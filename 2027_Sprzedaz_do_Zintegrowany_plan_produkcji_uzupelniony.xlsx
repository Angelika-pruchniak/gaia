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75" windowHeight="15480" tabRatio="600" firstSheet="0" activeTab="0" autoFilterDateGrouping="1"/>
  </bookViews>
  <sheets>
    <sheet xmlns:r="http://schemas.openxmlformats.org/officeDocument/2006/relationships" name="Sprzedaż" sheetId="1" state="visible" r:id="rId1"/>
    <sheet xmlns:r="http://schemas.openxmlformats.org/officeDocument/2006/relationships" name="Obliczenia" sheetId="2" state="visible" r:id="rId2"/>
    <sheet xmlns:r="http://schemas.openxmlformats.org/officeDocument/2006/relationships" name="Podsumowanie" sheetId="3" state="visible" r:id="rId3"/>
    <sheet xmlns:r="http://schemas.openxmlformats.org/officeDocument/2006/relationships" name="Kontrola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</externalReferences>
  <definedNames>
    <definedName name="___wyb1">#REF!</definedName>
    <definedName name="___wyb2">#REF!</definedName>
    <definedName name="___wyb3">#REF!</definedName>
    <definedName name="___wyb4">#REF!</definedName>
    <definedName name="___wyb6">#REF!</definedName>
    <definedName name="__aa1">#REF!</definedName>
    <definedName name="__aq13">#REF!</definedName>
    <definedName name="__as5">#REF!</definedName>
    <definedName name="__IntlFixup" hidden="1">TRUE</definedName>
    <definedName name="__IntlFixupTable" hidden="1">#REF!</definedName>
    <definedName name="__sd32">#REF!</definedName>
    <definedName name="__wyb1">#REF!</definedName>
    <definedName name="__wyb2">#REF!</definedName>
    <definedName name="__wyb3">#REF!</definedName>
    <definedName name="__wyb4">#REF!</definedName>
    <definedName name="__wyb5">#REF!</definedName>
    <definedName name="__wyb6">#REF!</definedName>
    <definedName name="__xlnm.Print_Area_1">#REF!</definedName>
    <definedName name="_aa1">#REF!</definedName>
    <definedName name="_AMO_XmlVersion" hidden="1">"'1'"</definedName>
    <definedName name="_aq13">#REF!</definedName>
    <definedName name="_as5">#REF!</definedName>
    <definedName name="_bi2">[1]!bilans</definedName>
    <definedName name="_cf1">[1]!cf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4">#REF!</definedName>
    <definedName name="_DAT42">[2]Arkusz1!#REF!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LTD2">#REF!</definedName>
    <definedName name="_Order1" hidden="1">255</definedName>
    <definedName name="_Order2" hidden="1">0</definedName>
    <definedName name="_r">[3]Arkusz1!$K$4:$K$642</definedName>
    <definedName name="_sd32">#REF!</definedName>
    <definedName name="_wyb1">#REF!</definedName>
    <definedName name="_wyb2">#REF!</definedName>
    <definedName name="_wyb3">#REF!</definedName>
    <definedName name="_wyb4">#REF!</definedName>
    <definedName name="_wyb5">#REF!</definedName>
    <definedName name="_wyb6">#REF!</definedName>
    <definedName name="a">[4]Arkusz1!$R$4:$R$721</definedName>
    <definedName name="aa">[5]Arkusz1!#REF!</definedName>
    <definedName name="aaa">#REF!</definedName>
    <definedName name="aaaa">#REF!</definedName>
    <definedName name="aaaaaddddddddddd">[6]SUROWCE!$C$50</definedName>
    <definedName name="Account_Payable__mths">#REF!</definedName>
    <definedName name="ad">#REF!,#REF!,#REF!,#REF!,#REF!,#REF!,#REF!,#REF!,#REF!,#REF!,#REF!,#REF!,#REF!,#REF!,#REF!,#REF!,#REF!,#REF!,#REF!</definedName>
    <definedName name="ad_1">[7]Arkusz1!$F$4</definedName>
    <definedName name="ad_10">[7]Arkusz1!$F$28</definedName>
    <definedName name="ad_11">[7]Arkusz1!$F$29</definedName>
    <definedName name="ad_12">[7]Arkusz1!$F$30</definedName>
    <definedName name="ad_13">[7]Arkusz1!$F$32</definedName>
    <definedName name="ad_14">[7]Arkusz1!$F$33</definedName>
    <definedName name="ad_15">[7]Arkusz1!$F$34</definedName>
    <definedName name="ad_16">[7]Arkusz1!$F$35</definedName>
    <definedName name="ad_17">[7]Arkusz1!$F$36</definedName>
    <definedName name="ad_18">[7]Arkusz1!$F$37</definedName>
    <definedName name="ad_19">[7]Arkusz1!$F$38</definedName>
    <definedName name="ad_2">[7]Arkusz1!$F$12</definedName>
    <definedName name="ad_20">[7]Arkusz1!$F$39</definedName>
    <definedName name="ad_21">[7]Arkusz1!$F$40</definedName>
    <definedName name="ad_3">[7]Arkusz1!$F$15</definedName>
    <definedName name="ad_4">[7]Arkusz1!$F$16</definedName>
    <definedName name="ad_5">[7]Arkusz1!$F$18</definedName>
    <definedName name="ad_6">[7]Arkusz1!$F$24</definedName>
    <definedName name="ad_7">[7]Arkusz1!$F$25</definedName>
    <definedName name="ad_8">[7]Arkusz1!$F$26</definedName>
    <definedName name="ad_9">[7]Arkusz1!$F$27</definedName>
    <definedName name="adjk">[6]SUROWCE!$C$50</definedName>
    <definedName name="Adres1">#REF!</definedName>
    <definedName name="Adres2">#REF!</definedName>
    <definedName name="aea">#REF!</definedName>
    <definedName name="ajh">#REF!</definedName>
    <definedName name="aktywa">#REF!</definedName>
    <definedName name="Amoniak">OFFSET([8]Notowania!#REF!,1,0,COUNTA([8]Notowania!#REF!)-2)</definedName>
    <definedName name="AmortPierwRok">#REF!</definedName>
    <definedName name="as">[4]Arkusz1!$S$4:$S$721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df">#REF!</definedName>
    <definedName name="asdkl">#REF!</definedName>
    <definedName name="Ast">[9]III!$O$217</definedName>
    <definedName name="Aster">#REF!</definedName>
    <definedName name="ATT_K1_P">[10]Fin.DW!$P$725:$AQ$725</definedName>
    <definedName name="ATT_K2_P">[10]Fin.DW!$P$726:$AQ$726</definedName>
    <definedName name="ATT_K3_P">[10]Fin.DW!$P$727:$AQ$727</definedName>
    <definedName name="Ave._Small_Recurring_Rev">#REF!</definedName>
    <definedName name="Avg._Collection_Period">#REF!</definedName>
    <definedName name="b">#REF!</definedName>
    <definedName name="Bankprov">0.05%</definedName>
    <definedName name="basia">#REF!</definedName>
    <definedName name="_xlnm.Database">#REF!</definedName>
    <definedName name="bb">[11]nawozy!$T$2:$T$961</definedName>
    <definedName name="bbb">#REF!</definedName>
    <definedName name="Beg_Bal">#REF!</definedName>
    <definedName name="BG_Del" hidden="1">15</definedName>
    <definedName name="BG_Ins" hidden="1">4</definedName>
    <definedName name="BG_Mod" hidden="1">6</definedName>
    <definedName name="Biel">OFFSET([8]Notowania!#REF!,1,0,COUNTA([8]Notowania!#REF!)-2)</definedName>
    <definedName name="bila">[7]Arkusz1!$A$1:$K$63</definedName>
    <definedName name="bilans">[1]!bilans</definedName>
    <definedName name="biubiafbnkldjf">[12]SUROWCE!#REF!</definedName>
    <definedName name="BOMinusJeden">#REF!</definedName>
    <definedName name="Brent_processing_share">#REF!</definedName>
    <definedName name="BS">#REF!</definedName>
    <definedName name="BZ">[13]Dane!$BB$55</definedName>
    <definedName name="BZPoprzedni">#REF!</definedName>
    <definedName name="BZPoró">#REF!</definedName>
    <definedName name="BZPoró__Data_bilansowa_okresu_porównywalnego__format_tekstowy_.">#REF!</definedName>
    <definedName name="CALOSC">#REF!</definedName>
    <definedName name="Capex">#REF!</definedName>
    <definedName name="cena_PLN_eksport">[14]Ceny_Srednie_PLN!$A$22:$O$57</definedName>
    <definedName name="cena_PLN_kraj">[15]Ceny_Srednie_PLN!$A$6:$P$21</definedName>
    <definedName name="ceny">[16]ceny!$A$2:$O$146</definedName>
    <definedName name="cf">[1]!cf</definedName>
    <definedName name="Check_Macro">[10]CP!$G$9</definedName>
    <definedName name="chuj">#REF!</definedName>
    <definedName name="chwili">#REF!</definedName>
    <definedName name="ciele">#REF!</definedName>
    <definedName name="ciulik">#REF!</definedName>
    <definedName name="comment">#REF!</definedName>
    <definedName name="CornF">OFFSET([8]Notowania!#REF!,1,0,COUNTA([8]Notowania!#REF!)-2)</definedName>
    <definedName name="Cost_of_Brent_crude_oil">#REF!</definedName>
    <definedName name="cv">[3]Arkusz1!$A$4:$T$642</definedName>
    <definedName name="czwarta">'[17]koszty wg kont ukł. rodz.'!#REF!</definedName>
    <definedName name="d">[5]Arkusz1!#REF!</definedName>
    <definedName name="daane">#REF!</definedName>
    <definedName name="Dania">#REF!</definedName>
    <definedName name="danuska">[6]SUROWCE!$C$4</definedName>
    <definedName name="DAP">OFFSET([8]Notowania!#REF!,1,0,COUNTA([8]Notowania!#REF!)-2)</definedName>
    <definedName name="DAT">#REF!</definedName>
    <definedName name="Data">#REF!</definedName>
    <definedName name="DATA1">[18]STWB!#REF!</definedName>
    <definedName name="DATA10">[18]STWB!#REF!</definedName>
    <definedName name="DATA11">[18]STWB!#REF!</definedName>
    <definedName name="DATA12">[18]STWB!#REF!</definedName>
    <definedName name="DATA13">[18]STWB!#REF!</definedName>
    <definedName name="DATA14">[18]STWB!#REF!</definedName>
    <definedName name="DATA15">[18]STWB!#REF!</definedName>
    <definedName name="DATA16">[18]STWB!#REF!</definedName>
    <definedName name="DATA17">[18]STWB!#REF!</definedName>
    <definedName name="DATA18">[18]STWB!#REF!</definedName>
    <definedName name="DATA19">[18]STWB!#REF!</definedName>
    <definedName name="DATA2">[18]STWB!#REF!</definedName>
    <definedName name="DATA20">[18]STWB!#REF!</definedName>
    <definedName name="DATA21">[18]STWB!#REF!</definedName>
    <definedName name="DATA22">[18]STWB!#REF!</definedName>
    <definedName name="DATA23">[18]STWB!#REF!</definedName>
    <definedName name="DATA24">[18]STWB!#REF!</definedName>
    <definedName name="DATA25">[18]STWB!#REF!</definedName>
    <definedName name="DATA26">[18]STWB!#REF!</definedName>
    <definedName name="DATA3">[18]STWB!#REF!</definedName>
    <definedName name="DATA4">[18]STWB!#REF!</definedName>
    <definedName name="DATA5">[18]STWB!#REF!</definedName>
    <definedName name="DATA6">[18]STWB!#REF!</definedName>
    <definedName name="DATA7">[18]STWB!#REF!</definedName>
    <definedName name="DATA8">[18]STWB!#REF!</definedName>
    <definedName name="DATA9">[18]STWB!#REF!</definedName>
    <definedName name="DataB">[19]PA!$A$7</definedName>
    <definedName name="DataBiel">OFFSET([8]Notowania!#REF!,1,0,COUNTA([8]Notowania!#REF!)-2)</definedName>
    <definedName name="datae">#REF!</definedName>
    <definedName name="DataGielda">OFFSET('[20]Indeksy giełdowe i stopy'!$B$52,1,0,COUNTA('[20]Indeksy giełdowe i stopy'!$B:$B)-3)</definedName>
    <definedName name="DataIlmenit">OFFSET([8]Notowania!#REF!,1,0,COUNTA([8]Notowania!#REF!)-2)</definedName>
    <definedName name="DataMakroPL">OFFSET([21]Miesięcznie!$B$1,0,1,2,COUNTA([21]Miesięcznie!$2:$2)-1)</definedName>
    <definedName name="datamc">OFFSET([21]Miesięcznie!$C$1,0,0,,COUNTA([21]Miesięcznie!$2:$2)-0)</definedName>
    <definedName name="DataProdukty">OFFSET([8]Notowania!#REF!,1,0,COUNTA([8]Notowania!#REF!)-2)</definedName>
    <definedName name="DataSiarka">OFFSET([8]Notowania!#REF!,1,0,COUNTA([8]Notowania!#REF!)-2)</definedName>
    <definedName name="DataZboza">OFFSET([8]Notowania!#REF!,1,0,COUNTA([8]Notowania!#REF!)-2)</definedName>
    <definedName name="dats1">#REF!</definedName>
    <definedName name="dd">#REF!</definedName>
    <definedName name="dekortu">#REF!</definedName>
    <definedName name="df">[22]nawozy!$J$4:$J$2888</definedName>
    <definedName name="dfk">#REF!</definedName>
    <definedName name="dGehalt">1296.94</definedName>
    <definedName name="Diesel_oil_price">#REF!</definedName>
    <definedName name="DODATKOWE">#REF!</definedName>
    <definedName name="DoDniaBilans">#REF!</definedName>
    <definedName name="druga">'[17]koszty wg kont ukł. rodz.'!#REF!</definedName>
    <definedName name="drul">#REF!</definedName>
    <definedName name="dsf">#REF!</definedName>
    <definedName name="dtmKoncOkrPoprz">#REF!</definedName>
    <definedName name="dtmKoncOkrPoró">#REF!</definedName>
    <definedName name="dtmKoncOkrSpraw">#REF!</definedName>
    <definedName name="dtmPoczOkrPoprz">#REF!</definedName>
    <definedName name="dtmPoczOkrPoró">#REF!</definedName>
    <definedName name="dtmPoczOkrSpraw">#REF!</definedName>
    <definedName name="dupa">#REF!</definedName>
    <definedName name="durchsch.Gehalt">1296.94</definedName>
    <definedName name="dyrtusz">#REF!</definedName>
    <definedName name="e">[3]Arkusz1!$J$4:$J$642</definedName>
    <definedName name="ee">[23]Arkusz1!$J$4:$J$4013</definedName>
    <definedName name="eeeee">'[17]koszty wg kont ukł. rodz.'!#REF!</definedName>
    <definedName name="eeew">#REF!</definedName>
    <definedName name="eegfeg">'[17]koszty wg kont ukł. rodz.'!#REF!</definedName>
    <definedName name="EG">#REF!</definedName>
    <definedName name="eksko">#REF!,#REF!,#REF!,#REF!,#REF!,#REF!,#REF!,#REF!</definedName>
    <definedName name="eksko2">#REF!,#REF!,#REF!,#REF!,#REF!,#REF!,#REF!,#REF!</definedName>
    <definedName name="ekskon">#REF!,#REF!,#REF!,#REF!,#REF!,#REF!,#REF!,#REF!</definedName>
    <definedName name="eksport">#REF!</definedName>
    <definedName name="eksport_ilość_suma">[24]Ilości!$A$67:$Q$103</definedName>
    <definedName name="ekswa">#REF!,#REF!,#REF!,#REF!,#REF!,#REF!,#REF!,#REF!</definedName>
    <definedName name="ekswa2">#REF!,#REF!,#REF!,#REF!,#REF!,#REF!,#REF!,#REF!</definedName>
    <definedName name="ekswan">#REF!,#REF!,#REF!,#REF!,#REF!,#REF!,#REF!,#REF!</definedName>
    <definedName name="End_Bal">#REF!</definedName>
    <definedName name="Energia_elektryczna">[7]Arkusz1!$C$4</definedName>
    <definedName name="EPMWorkbookOptions_1" hidden="1">"FE4AAB|LCAAAAAAABADtvQdgHEmWJSYvbcp7f0r1StfgdKEIgGATJNiQQBDswYjN5pLsHWlHIymrKoHKZVZlXWYWQMztnbz33nvvvffee||997o7nU4n99//P1xmZAFs9s5K2smeIYCqyB8/fnwfPyIe/x7vFmV6mddNUS0/|2h3vPNRmi|n1axYXnz20bo939799KPf4|g3Th5/t6rfTqrq7Zerlpo2Kb23bB69a4rPPpq37erR3btXV1fjq3v"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"jqr64u7ezs3v39/7i|evpPF9k28WyabPlNP/IvjW7|a2PqNc0fXxSLZf5FH2|qU7WdZ0v258s8iv|Mvj6adZm|il9/iJb5NKb7anNF6t1XXBXXzV5/bLOz3OCN83HhNBHR7//s5df/P5PXp68|O7uzu//PX1p9|HeePfTg/GDnfGne48OdvZ27jbZ6u5kNb37/d//ez91/Ib|JRyaqixmGdCgv8|zssm///gucHAYHa9WZTHNPOrdGjMDI4Tifa"</definedName>
    <definedName name="EPMWorkbookOptions_3" hidden="1">"wDPgow6SAg5HIUTO8OfvXtYjbLl0|LRb5sGN3hpg7VJmhDrV7PqysL46Qqq/qIKfP4buSbTe/yMNp63X2zNzx60X45jNhtW/ntvloWv2idc4fHJydffvXizeO7sS83wZCBkkDd39m9d7DrAYiRgN/9sp7l9dHO47vySxR6syqz65d1tcrr9rozU9roeda0r/OS5CSffZEvJiTukWbhxEYbUBN53xvy95Qg3x9/7|Xxq9MXb769S7||SHdJAnqNB"</definedName>
    <definedName name="EPMWorkbookOptions_4" hidden="1">"4B|u8jrrJ7Or13TlFTLo2VRfvYRZv6j6MD43cg03O7dx3dvGu43SI/f68sXz37/nzr|4vf6/X/qix8RJmSU8d6PKOJR5MnrH5FDybFHv|4|fHiww8//18ny|O5tFLFnF372bNhXT8/evHl1fPb865uxnZ19mpfbW7Hd/5dbMUuSUBqPf/4qpyGK3PsRRToUef78RyTpkOT|/9cp8v8ebX1y/Ob08y9f/T5fW1ffu3f//v7|/u119d7/u3W1IUjI"</definedName>
    <definedName name="EPMWorkbookOptions_5" hidden="1">"cl9sv/qp05Of|v86332zRHn5I6L0ifITPyJKjFOOX518|0c08Wny6v8fjPL/HlNGhD178/UN2acPdncODh7c3pDd|3|3IRNydDynN2/|v85v3yQ5kGL/ETl|FGoMkOOrN19|cfwjinjZw7OXr778kcUKmt2qVXw4R8|ef/ndr22vKEn26af37r1Hlmz//90GC9QI|e3F0/|v89o3R4v/7ynn/xcL3tmLN6evTr78|rL33uus9//fLXtKkB|J3wZ"</definedName>
    <definedName name="EPMWorkbookOptions_6" hidden="1">"y/P9AAr9Repyd/H|dHP/vUUivXr45|eoVkfbk6wew76|UPv1/t1LyiELsRv97/v95jvvGSPHy|Ysf0UJp8eZHbGFIcfrVq/|v0|L/PUqZgt2nX528|SEq5Af/71bISpAfeYkbyPH/Ay/x/00S|FOnT3/q7Pj5D9MrOvh/uxAamvxIDjdT5P8HovhNk|TF/|fdg2|aIt99|PDhj2jSoQnllv|/TpP/9xix1ydfvjz9Idqvh//vtl9MjpDffv7G9R"</definedName>
    <definedName name="EPMWorkbookOptions_7" hidden="1">"FifP57bf/8XZaO0OP17//iyxen/18nyP971NGbsy9|mNpod|f/3eoI5AgZbm9nd2|88|n/1znumybIvR8RxCPI7nh370cECTnk560fPcAh/9/XIR9ktb5Rq/XF6fHrr16dvv5hWq7d/3dbLkMSyfz/Pm9|3uZ/QkL8xP/3CfH/HrF7ffr5F6TTfphSt/f/bqlTivwo97qBHP8/SLz|v0cE37x68fubRd4fphze|3|3HPpk|ZEw3kSTN7///w9k8"</definedName>
    <definedName name="EPMWorkbookOptions_8" hidden="1">"meDLC|fv/gRWfpkOf3q//MLRd|gBr9FowCbeKPHd49Xq7KYZi3BsZ8Hn5rmBK1aLglx|uxp1mb8sf/hm6o7|Mev8vM6b|ZfLr9c5csjUO7x3fAzbnZS5lkNmF8uX2eX|dF5VjbUsvsxt/1uVb|dVNVb0vMtU9G07n8Rtr|a8aS5hl|uZHj/D05nyYsUTgAA"</definedName>
    <definedName name="er">[22]nawozy!$N$4:$N$2888</definedName>
    <definedName name="err">'[17]koszty wg kont ukł. rodz.'!#REF!</definedName>
    <definedName name="EUR">[10]Makro!$P$67:$AQ$67</definedName>
    <definedName name="EUR_ilość_suma">'[25]ceny, ilości, wartości'!$A$34:$J$36</definedName>
    <definedName name="expmtko">#REF!</definedName>
    <definedName name="expmtnk">#REF!</definedName>
    <definedName name="expmtnw">#REF!</definedName>
    <definedName name="expmtwa">#REF!</definedName>
    <definedName name="Extra_Pay">#REF!</definedName>
    <definedName name="f">[5]Arkusz1!#REF!</definedName>
    <definedName name="fdsssssssssss">#REF!</definedName>
    <definedName name="ff">[5]Arkusz1!$D$4:$D$1537</definedName>
    <definedName name="FF_K1_P">[10]Fin.DW!$P$383:$AQ$383</definedName>
    <definedName name="FF_K2_P">[10]Fin.DW!$P$384:$AQ$384</definedName>
    <definedName name="FF_K3_P">[10]Fin.DW!$P$385:$AQ$385</definedName>
    <definedName name="fghj">[6]SUROWCE!$C$9</definedName>
    <definedName name="fhjkl">[6]SUROWCE!#REF!</definedName>
    <definedName name="figa">[6]SUROWCE!$C$4</definedName>
    <definedName name="fighj">#REF!</definedName>
    <definedName name="Firma">#REF!</definedName>
    <definedName name="Firma2">#REF!</definedName>
    <definedName name="Firmy">#REF!</definedName>
    <definedName name="fixum">1400</definedName>
    <definedName name="FNS_Rdan">[26]FN_sur!$A$6:$CZ$450</definedName>
    <definedName name="FNS_Rpoz">[26]FN_sur!$A$2:$CZ$2</definedName>
    <definedName name="food">#REF!</definedName>
    <definedName name="Format">#REF!</definedName>
    <definedName name="Fosforyty">OFFSET([8]Notowania!#REF!,1,0,COUNTA([8]Notowania!#REF!)-2)</definedName>
    <definedName name="ftyjm">#REF!</definedName>
    <definedName name="Full_Print">#REF!</definedName>
    <definedName name="g">[4]Arkusz1!$E$4:$E$721</definedName>
    <definedName name="Gasoline_price">#REF!</definedName>
    <definedName name="GAT_K1_P">[10]Fin.DW!$P$38:$AQ$38</definedName>
    <definedName name="GAT_K2_P">[10]Fin.DW!$P$39:$AQ$39</definedName>
    <definedName name="GAT_K3_P">[10]Fin.DW!$P$40:$AQ$40</definedName>
    <definedName name="gfh">[4]Arkusz1!$A$4:$S$721</definedName>
    <definedName name="gg">[5]Arkusz1!#REF!</definedName>
    <definedName name="ggg">INDEX('[20]Indeksy giełdowe i stopy'!$C$53:OFFSET('[20]Indeksy giełdowe i stopy'!$B$53,0,19,COUNTA('[20]Indeksy giełdowe i stopy'!$B:$B)-3,1),,MATCH('[20]Indeksy giełdowe i stopy'!$E$3,'[20]Indeksy giełdowe i stopy'!$C$52:$O$52,0))</definedName>
    <definedName name="ggstopy">INDEX('[20]Indeksy giełdowe i stopy'!$P$53:OFFSET('[20]Indeksy giełdowe i stopy'!$P$53,0,4,COUNTA('[20]Indeksy giełdowe i stopy'!$B:$B)-3,1),,MATCH('[20]Indeksy giełdowe i stopy'!$E$22,'[20]Indeksy giełdowe i stopy'!$P$52:$S$52,0))</definedName>
    <definedName name="gh">[22]nawozy!$K$4:$K$2888</definedName>
    <definedName name="ghgjgj">'[17]koszty wg kont ukł. rodz.'!#REF!</definedName>
    <definedName name="gielda">INDEX('[20]Indeksy giełdowe i stopy'!$C$53:$O$83,,MATCH('[20]Indeksy giełdowe i stopy'!$E$3,'[20]Indeksy giełdowe i stopy'!$C$52:$O$52,0))</definedName>
    <definedName name="giełdowe">INDEX('[20]Indeksy giełdowe i stopy'!$C$53:$O$83,,MATCH('[20]Indeksy giełdowe i stopy'!$E$3,'[20]Indeksy giełdowe i stopy'!$C$52:$O$52,0))</definedName>
    <definedName name="Gliceryna">[7]Arkusz1!$C$36</definedName>
    <definedName name="główek">#REF!</definedName>
    <definedName name="gowno">[6]SUROWCE!$C$50</definedName>
    <definedName name="gówna">#REF!</definedName>
    <definedName name="gvx">#REF!</definedName>
    <definedName name="h">[4]Arkusz1!$H$4:$H$721</definedName>
    <definedName name="Header">#REF!</definedName>
    <definedName name="Header_Row">ROW(#REF!)</definedName>
    <definedName name="Heating_oil_price">#REF!</definedName>
    <definedName name="hgjgjh">#REF!</definedName>
    <definedName name="hh">[5]Arkusz1!#REF!</definedName>
    <definedName name="hno">[6]SUROWCE!$C$9</definedName>
    <definedName name="huj">[6]SUROWCE!$C$41</definedName>
    <definedName name="huk">#REF!</definedName>
    <definedName name="i">[3]Arkusz1!$O$4:$O$642</definedName>
    <definedName name="ii">[11]nawozy!$M$2:$M$961</definedName>
    <definedName name="ijf">#REF!</definedName>
    <definedName name="il">'[27]Ceny wyrobów'!$E$10:$E$30</definedName>
    <definedName name="Ilmenit">OFFSET([8]Notowania!#REF!,1,0,COUNTA([8]Notowania!#REF!)-2)</definedName>
    <definedName name="IloscRokPoprz">#REF!</definedName>
    <definedName name="ilość">#REF!</definedName>
    <definedName name="IlośćRokuBiezacego">#REF!</definedName>
    <definedName name="ilowyr">#REF!</definedName>
    <definedName name="Imię_i_nazwisko">[28]N24!#REF!</definedName>
    <definedName name="ind">1.05</definedName>
    <definedName name="Indeks_zaufania_konsumentów_BWUK">#REF!</definedName>
    <definedName name="Indeks_zaufania_konsumentów_WWUK">#REF!</definedName>
    <definedName name="Inf">[10]Makro!$P$97:$AQ$97</definedName>
    <definedName name="INF_C">#REF!</definedName>
    <definedName name="Infc">[10]Makro!$P$156:$AQ$156</definedName>
    <definedName name="InfcUE">[10]Makro!$P$157:$AQ$157</definedName>
    <definedName name="Infp">[10]Makro!$P$128:$AQ$128</definedName>
    <definedName name="InfpUE">[10]Makro!$P$129:$AQ$129</definedName>
    <definedName name="InfpUS">[10]Makro!$P$130:$AQ$130</definedName>
    <definedName name="InfUE">[10]Makro!$P$98:$AQ$98</definedName>
    <definedName name="InfUS">[10]Makro!$P$99:$AQ$99</definedName>
    <definedName name="Int">#REF!</definedName>
    <definedName name="Interest_Rate">#REF!</definedName>
    <definedName name="io">[3]Arkusz1!$T$4:$T$642</definedName>
    <definedName name="j">[4]Arkusz1!$I$4:$I$721</definedName>
    <definedName name="jahr">1999</definedName>
    <definedName name="JeczmienP">OFFSET([8]Notowania!#REF!,1,0,COUNTA([8]Notowania!#REF!)-2)</definedName>
    <definedName name="jednostka">#REF!</definedName>
    <definedName name="Jednostka2">#REF!</definedName>
    <definedName name="JET_1_price">#REF!</definedName>
    <definedName name="jikop">#REF!</definedName>
    <definedName name="jj">[5]Arkusz1!#REF!</definedName>
    <definedName name="juyt6">[6]SUROWCE!$C$53</definedName>
    <definedName name="KAPITAL">#REF!</definedName>
    <definedName name="kasia">#REF!</definedName>
    <definedName name="KF_Mag">[29]PF!$B$25:$I$42</definedName>
    <definedName name="KF_Sur">[29]PF!$D$82:$AL$126</definedName>
    <definedName name="KFS_Rdan">[26]KF_sur!$A$6:$CP$450</definedName>
    <definedName name="KFS_Rpoz">[26]KF_sur!$A$3:$CP$3</definedName>
    <definedName name="king">[6]SUROWCE!$C$8</definedName>
    <definedName name="kjednostkowe">#REF!</definedName>
    <definedName name="kjhg">#REF!</definedName>
    <definedName name="KKJ">#REF!</definedName>
    <definedName name="kns">13</definedName>
    <definedName name="KoncOkrPoprz">#REF!</definedName>
    <definedName name="KoncOkrPoprzAlt">#REF!</definedName>
    <definedName name="KoncOkrSpraw">[13]Dane!$BB$64</definedName>
    <definedName name="kosztop">#REF!,#REF!,#REF!,#REF!,#REF!,#REF!,#REF!,#REF!</definedName>
    <definedName name="Kr_Wyk">[19]PA!$BB$2:$BC$3</definedName>
    <definedName name="kraj">#REF!</definedName>
    <definedName name="kraj_ilość_suma">[14]Ilości!$A$6:$Q$19</definedName>
    <definedName name="krajko">#REF!,#REF!,#REF!,#REF!,#REF!,#REF!,#REF!,#REF!</definedName>
    <definedName name="krajko2">#REF!,#REF!,#REF!,#REF!,#REF!,#REF!,#REF!,#REF!</definedName>
    <definedName name="krajkon">#REF!,#REF!,#REF!,#REF!,#REF!,#REF!,#REF!,#REF!</definedName>
    <definedName name="krajwa">#REF!,#REF!,#REF!,#REF!,#REF!,#REF!,#REF!,#REF!</definedName>
    <definedName name="krajwa2">#REF!,#REF!,#REF!,#REF!,#REF!,#REF!,#REF!,#REF!</definedName>
    <definedName name="krajwan">#REF!,#REF!,#REF!,#REF!,#REF!,#REF!,#REF!,#REF!</definedName>
    <definedName name="kred_ant">8%</definedName>
    <definedName name="Kred_kost">2.3%</definedName>
    <definedName name="krowa">#REF!</definedName>
    <definedName name="KukurydzaP">OFFSET([8]Notowania!#REF!,1,0,COUNTA([8]Notowania!#REF!)-2)</definedName>
    <definedName name="kurs">1.8903</definedName>
    <definedName name="kurs99">100/48.45</definedName>
    <definedName name="kurs99b">100/45.9</definedName>
    <definedName name="kursdez">100/52.0314</definedName>
    <definedName name="kurshr">100/51.2478</definedName>
    <definedName name="kursPlan">2.25</definedName>
    <definedName name="kurwa">[6]SUROWCE!$C$9</definedName>
    <definedName name="l">[11]nawozy!$A$2:$A$961</definedName>
    <definedName name="Last_Row">IF(Values_Entered,Header_Row+Number_of_Payments,Header_Row)</definedName>
    <definedName name="lh">#REF!</definedName>
    <definedName name="Licence_Term_Yrs">#REF!</definedName>
    <definedName name="liczeks">#REF!</definedName>
    <definedName name="liczę">#REF!</definedName>
    <definedName name="liczkraj">#REF!</definedName>
    <definedName name="linia">#REF!</definedName>
    <definedName name="ll">[11]nawozy!$J$2:$J$961</definedName>
    <definedName name="lll">[11]nawozy!$K$2:$K$961</definedName>
    <definedName name="Loan_Amount">#REF!</definedName>
    <definedName name="Loan_Start">#REF!</definedName>
    <definedName name="Loan_Years">#REF!</definedName>
    <definedName name="LTD">#REF!</definedName>
    <definedName name="ltdq">#REF!</definedName>
    <definedName name="m">[11]nawozy!$E$2:$E$961</definedName>
    <definedName name="maciaszek">[6]SUROWCE!$C$36</definedName>
    <definedName name="MakroPolska">INDEX([21]Miesięcznie!$C$4:$R$13,MATCH([21]Arkusz1!$B$3,[21]Miesięcznie!$A$4:$A$13,0),0)</definedName>
    <definedName name="marze">#REF!,#REF!,#REF!,#REF!,#REF!,#REF!,#REF!,#REF!,#REF!,#REF!,#REF!,#REF!,#REF!,#REF!,#REF!,#REF!,#REF!,#REF!,#REF!</definedName>
    <definedName name="marze2">#REF!,#REF!,#REF!,#REF!,#REF!,#REF!,#REF!,#REF!,#REF!,#REF!</definedName>
    <definedName name="Metanol">[7]Arkusz1!$C$41</definedName>
    <definedName name="miech">#REF!</definedName>
    <definedName name="miechy">#REF!</definedName>
    <definedName name="Miesiące">#REF!</definedName>
    <definedName name="miesie">#REF!</definedName>
    <definedName name="mitte">#REF!</definedName>
    <definedName name="mm">#REF!</definedName>
    <definedName name="mnbv">#REF!</definedName>
    <definedName name="mnożniki">[1]Makro!$D$3:$Q$26</definedName>
    <definedName name="mobil">#REF!</definedName>
    <definedName name="Mocznik">OFFSET([8]Notowania!#REF!,1,0,COUNTA([8]Notowania!#REF!)-2)</definedName>
    <definedName name="myślko2">#REF!</definedName>
    <definedName name="myślkon">#REF!</definedName>
    <definedName name="myślkosz">#REF!</definedName>
    <definedName name="myślop">#REF!</definedName>
    <definedName name="myślwa2">#REF!</definedName>
    <definedName name="myślwan">#REF!</definedName>
    <definedName name="myślwar">#REF!</definedName>
    <definedName name="n">[11]nawozy!$U$2:$U$961</definedName>
    <definedName name="NaDzienBilans">[30]Dane!$BB$64</definedName>
    <definedName name="najwy">#REF!</definedName>
    <definedName name="Naklad_odtw">#REF!</definedName>
    <definedName name="nakłady">#REF!</definedName>
    <definedName name="naras">#REF!</definedName>
    <definedName name="NazwaJednostki">[30]Dane!$BB$46</definedName>
    <definedName name="NazwJedn">#REF!</definedName>
    <definedName name="NazwyJednostek">#REF!</definedName>
    <definedName name="NazwyJednostek2">#REF!</definedName>
    <definedName name="NE">[31]Analiza!$F$30</definedName>
    <definedName name="neben">4/100</definedName>
    <definedName name="Net_profit_distribution">#REF!</definedName>
    <definedName name="nk">0</definedName>
    <definedName name="nn">#REF!</definedName>
    <definedName name="nonfood">#REF!</definedName>
    <definedName name="nord">#REF!</definedName>
    <definedName name="NPK">OFFSET([8]Notowania!#REF!,1,0,COUNTA([8]Notowania!#REF!)-2)</definedName>
    <definedName name="NPKI_WSK">[32]NPKI!$C$7:$BC$50</definedName>
    <definedName name="Num_Pmt_Per_Year">#REF!</definedName>
    <definedName name="Number_of_Payments">MATCH(0.01,End_Bal,-1)+1</definedName>
    <definedName name="numery">#REF!</definedName>
    <definedName name="nvcx43">#REF!</definedName>
    <definedName name="o">[3]Arkusz1!$P$4:$P$642</definedName>
    <definedName name="o_miechy">#REF!</definedName>
    <definedName name="o_wybog">#REF!</definedName>
    <definedName name="o_wybzak">#REF!</definedName>
    <definedName name="o_zamiechy">#REF!</definedName>
    <definedName name="_xlnm.Consolidate_Area">#REF!</definedName>
    <definedName name="odchk">#REF!</definedName>
    <definedName name="odchnk">#REF!</definedName>
    <definedName name="odchyko">#REF!</definedName>
    <definedName name="odchykon">#REF!</definedName>
    <definedName name="odchylko">#REF!</definedName>
    <definedName name="odchylop">#REF!</definedName>
    <definedName name="odchywa">#REF!</definedName>
    <definedName name="odchywan">#REF!</definedName>
    <definedName name="OdDo">[30]Dane!$BB$58</definedName>
    <definedName name="OdDoPoprz">#REF!</definedName>
    <definedName name="OdDoPoprzAlt">#REF!</definedName>
    <definedName name="Okres">#REF!</definedName>
    <definedName name="Olej_rzepakowy">[7]Arkusz1!$C$43</definedName>
    <definedName name="op">[3]Arkusz1!$E$4:$E$642</definedName>
    <definedName name="opiskosz">#REF!</definedName>
    <definedName name="ost">#REF!</definedName>
    <definedName name="ost_excl.mobil">#REF!</definedName>
    <definedName name="ostadni">#REF!</definedName>
    <definedName name="p">[4]Arkusz1!$A$4:$A$721</definedName>
    <definedName name="P_Sp_Chem_01">[33]pl_sp_01!$A$7:$O$21</definedName>
    <definedName name="PA_Rdan">[34]PA!$A$6:$AU$372</definedName>
    <definedName name="PA_Rpoz">[34]PA!$A$2:$BA$2</definedName>
    <definedName name="para">#REF!</definedName>
    <definedName name="Para_0_6_MPa">[7]Arkusz1!$C$6</definedName>
    <definedName name="Para_1_5_MPa">[7]Arkusz1!$C$7</definedName>
    <definedName name="Partners_Economic_Ownership">#REF!</definedName>
    <definedName name="pasywa">#REF!</definedName>
    <definedName name="Pay_Date">#REF!</definedName>
    <definedName name="Pay_Num">#REF!</definedName>
    <definedName name="Payment_Date">DATE(YEAR(Loan_Start),MONTH(Loan_Start)+Payment_Number,DAY(Loan_Start))</definedName>
    <definedName name="pfron">0</definedName>
    <definedName name="pierdolec">#REF!</definedName>
    <definedName name="pierno1">#REF!</definedName>
    <definedName name="pierno10">#REF!</definedName>
    <definedName name="pierno11">#REF!</definedName>
    <definedName name="pierno12">#REF!</definedName>
    <definedName name="pierno2">#REF!</definedName>
    <definedName name="pierno3">#REF!</definedName>
    <definedName name="pierno4">#REF!</definedName>
    <definedName name="pierno5">#REF!</definedName>
    <definedName name="pierno6">#REF!</definedName>
    <definedName name="pierno7">#REF!</definedName>
    <definedName name="pierno8">#REF!</definedName>
    <definedName name="pierno9">#REF!</definedName>
    <definedName name="pierny">#REF!</definedName>
    <definedName name="pierwsza">'[17]koszty wg kont ukł. rodz.'!#REF!</definedName>
    <definedName name="PK_NazwaJednostki">[35]Dane!$AX$163</definedName>
    <definedName name="PK_OK1_End">[35]Dane!$AX$176</definedName>
    <definedName name="PK_OK1_Tekst">[35]Dane!$AX$184</definedName>
    <definedName name="PK_OK2_End">[35]Dane!$AX$179</definedName>
    <definedName name="PK_OK2_Tekst">[35]Dane!$AX$185</definedName>
    <definedName name="PK_OkresSF">[35]Dane!$AX$175</definedName>
    <definedName name="PLN_ilość_suma">[36]Ilości!$A$6:$P$20</definedName>
    <definedName name="PLN_przychody">'[36]Przychody waluta'!$A$6:$P$20</definedName>
    <definedName name="PoczOkrPoprz">#REF!</definedName>
    <definedName name="PoczOkrSpraw">#REF!</definedName>
    <definedName name="PoziomZaokraglen">[30]Dane!$BB$105</definedName>
    <definedName name="pp">[11]nawozy!$L$2:$L$961</definedName>
    <definedName name="pppty">#REF!</definedName>
    <definedName name="Prepaid_Expense">#REF!</definedName>
    <definedName name="Princ">#REF!</definedName>
    <definedName name="Print_Area_Reset">OFFSET(Full_Print,0,0,Last_Row)</definedName>
    <definedName name="prod_do">#REF!</definedName>
    <definedName name="prod_od">#REF!</definedName>
    <definedName name="Prowizja_bankowa">#REF!</definedName>
    <definedName name="PRZEPLYWY">#REF!</definedName>
    <definedName name="przepływy">#REF!</definedName>
    <definedName name="przychody_ze_sprzedaży2">'[37]koszty wg kont ukł. rodz.'!#REF!</definedName>
    <definedName name="PszenicaP">OFFSET([8]Notowania!#REF!,1,0,COUNTA([8]Notowania!#REF!)-2)</definedName>
    <definedName name="pupa">#REF!</definedName>
    <definedName name="pvf">[22]nawozy!$G$4:$G$2888</definedName>
    <definedName name="q">[23]Arkusz1!$A$4:$A$4013</definedName>
    <definedName name="qkurt">#REF!</definedName>
    <definedName name="qq">[11]nawozy!$R$2:$R$961</definedName>
    <definedName name="qqq">#REF!</definedName>
    <definedName name="qqqqqqqqqq">#REF!</definedName>
    <definedName name="qw">[22]nawozy!$L$4:$L$2888</definedName>
    <definedName name="RACHUNEK">#REF!</definedName>
    <definedName name="rachunekwyników">#REF!</definedName>
    <definedName name="ran">[5]Arkusz1!#REF!</definedName>
    <definedName name="RawData">#REF!</definedName>
    <definedName name="RawHeader">#REF!</definedName>
    <definedName name="Razem">#REF!</definedName>
    <definedName name="ręta">#REF!,#REF!</definedName>
    <definedName name="Rodzaj_karty_kredytowej">#REF!</definedName>
    <definedName name="rok">#REF!</definedName>
    <definedName name="roki">#REF!</definedName>
    <definedName name="rr">[11]nawozy!$O$2:$O$961</definedName>
    <definedName name="rt">[22]nawozy!$O$4:$O$2888</definedName>
    <definedName name="rtew">#REF!</definedName>
    <definedName name="rw">[1]!rw</definedName>
    <definedName name="RWKM">#REF!</definedName>
    <definedName name="rwkm1">#REF!,#REF!,#REF!,#REF!,#REF!,#REF!,#REF!,#REF!,#REF!,#REF!,#REF!,#REF!,#REF!,#REF!,#REF!,#REF!,#REF!,#REF!,#REF!</definedName>
    <definedName name="rzos">[6]SUROWCE!$C$43</definedName>
    <definedName name="s">#REF!</definedName>
    <definedName name="sad">#REF!</definedName>
    <definedName name="Salary_Inflator2000">#REF!</definedName>
    <definedName name="Salary_Inflator2001">#REF!</definedName>
    <definedName name="Salary_Inflator2002">#REF!</definedName>
    <definedName name="Salary_Inflator2003">#REF!</definedName>
    <definedName name="sasa">#REF!</definedName>
    <definedName name="SASMain_tkw_R1">#REF!</definedName>
    <definedName name="SASMain_tkw_R2">#REF!</definedName>
    <definedName name="SASMain_tkw_R4">#REF!</definedName>
    <definedName name="SASMain_tkw_R4_2">#REF!</definedName>
    <definedName name="SASMain_tkw_R4_3">#REF!</definedName>
    <definedName name="SASMain_tkw_R4_5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utzarbeit">0</definedName>
    <definedName name="Serie_makro">INDIRECT(#REF!)</definedName>
    <definedName name="Serwis">#REF!</definedName>
    <definedName name="Short">#REF!</definedName>
    <definedName name="SIA_K1_P">[10]Fin.DW!$P$839:$AQ$839</definedName>
    <definedName name="SIA_K2_P">[10]Fin.DW!$P$840:$AQ$840</definedName>
    <definedName name="SIA_K3_P">[10]Fin.DW!$P$841:$AQ$841</definedName>
    <definedName name="Siarka">OFFSET([8]Notowania!#REF!,1,0,COUNTA([8]Notowania!#REF!)-2)</definedName>
    <definedName name="sito">[6]SUROWCE!$C$41</definedName>
    <definedName name="SkrotWaluty">[30]Dane!$BB$96</definedName>
    <definedName name="skróty">#REF!</definedName>
    <definedName name="SkumInfl">#REF!</definedName>
    <definedName name="Sol">OFFSET([8]Notowania!#REF!,1,0,COUNTA([8]Notowania!#REF!)-2)</definedName>
    <definedName name="sozial">0</definedName>
    <definedName name="spanne">#REF!</definedName>
    <definedName name="Spanne_NF">#REF!-0.245</definedName>
    <definedName name="spkl">#REF!</definedName>
    <definedName name="Sprawdzić">Scheduled_Payment+Extra_Payment</definedName>
    <definedName name="Spread">#REF!</definedName>
    <definedName name="sprzedaż">#REF!</definedName>
    <definedName name="ss">'[38]Zestaw2 '!$D$45</definedName>
    <definedName name="ssss">'[38]Zestaw2 '!$E$48</definedName>
    <definedName name="stammdaten">#REF!</definedName>
    <definedName name="StanNaDzienBilans">[39]Dane!$BB$79</definedName>
    <definedName name="StanNaDzienBilans1">[39]Dane!$BB$80</definedName>
    <definedName name="stanowisko">#REF!</definedName>
    <definedName name="StanPoczOkrPoprz">[39]Dane!$BB$82</definedName>
    <definedName name="StanPoczOkrSpraw">[39]Dane!$BB$81</definedName>
    <definedName name="STD">#REF!</definedName>
    <definedName name="steuer">1.13</definedName>
    <definedName name="Stopa_bezrobocia">#REF!</definedName>
    <definedName name="STRONA1">#REF!</definedName>
    <definedName name="STRONA2">#REF!</definedName>
    <definedName name="STRONA3">#REF!</definedName>
    <definedName name="STRONA4">#REF!</definedName>
    <definedName name="struk">'[17]koszty wg kont ukł. rodz.'!#REF!</definedName>
    <definedName name="süd">#REF!</definedName>
    <definedName name="südwest">#REF!</definedName>
    <definedName name="sumaek">#REF!</definedName>
    <definedName name="sumaew">#REF!</definedName>
    <definedName name="sumakk">#REF!</definedName>
    <definedName name="sumakw">#REF!</definedName>
    <definedName name="sumanek">#REF!</definedName>
    <definedName name="sumanew">#REF!</definedName>
    <definedName name="sumankk">#REF!</definedName>
    <definedName name="sumankw">#REF!</definedName>
    <definedName name="Sumy">#REF!</definedName>
    <definedName name="sw">[22]nawozy!$I$4:$I$2888</definedName>
    <definedName name="swq">[11]nawozy!$H$2:$H$961</definedName>
    <definedName name="Szlaka">OFFSET([8]Notowania!#REF!,1,0,COUNTA([8]Notowania!#REF!)-2)</definedName>
    <definedName name="t">[3]Arkusz1!$L$4:$L$642</definedName>
    <definedName name="TEST0">#REF!</definedName>
    <definedName name="TEST1">#REF!</definedName>
    <definedName name="TEST13">[40]nawozy!#REF!</definedName>
    <definedName name="TEST19">'[41]BEZ mOCZNIKA'!#REF!</definedName>
    <definedName name="TEST20">'[41]BEZ mOCZNIKA'!#REF!</definedName>
    <definedName name="TEST21">'[41]BEZ mOCZNIKA'!#REF!</definedName>
    <definedName name="TEST22">'[41]BEZ mOCZNIKA'!#REF!</definedName>
    <definedName name="TESTHKEY">#REF!</definedName>
    <definedName name="TESTKEYS">#REF!</definedName>
    <definedName name="TESTVKEY">#REF!</definedName>
    <definedName name="TextRefCopyRangeCount" hidden="1">116</definedName>
    <definedName name="Tolerance">[10]CP!$G$10</definedName>
    <definedName name="total">#REF!</definedName>
    <definedName name="Total_Interest">#REF!</definedName>
    <definedName name="Total_Pay">#REF!</definedName>
    <definedName name="Total_Payment">Scheduled_Payment+Extra_Payment</definedName>
    <definedName name="trzecia">'[17]koszty wg kont ukł. rodz.'!#REF!</definedName>
    <definedName name="tt">[11]nawozy!$N$2:$N$961</definedName>
    <definedName name="ty">[3]Arkusz1!$Q$4:$Q$642</definedName>
    <definedName name="TYTUL">#REF!</definedName>
    <definedName name="tytuł">[28]N16!#REF!</definedName>
    <definedName name="u">[3]Arkusz1!$N$4:$N$642</definedName>
    <definedName name="ui">[3]Arkusz1!$S$4:$S$642</definedName>
    <definedName name="uiu">[22]nawozy!$R$4:$R$2888</definedName>
    <definedName name="umsatz">#REF!</definedName>
    <definedName name="USD">[10]Makro!$P$68:$AQ$68</definedName>
    <definedName name="USD_ilość_suma">'[25]ceny, ilości, wartości'!$A$17:$J$32</definedName>
    <definedName name="uu">[5]Arkusz1!#REF!</definedName>
    <definedName name="uytre">#REF!</definedName>
    <definedName name="v">[3]Arkusz1!$A$4:$A$642</definedName>
    <definedName name="VAL">#REF!</definedName>
    <definedName name="Values_Entered">IF(Loan_Amount*Interest_Rate*Loan_Years*Loan_Start&gt;0,1,0)</definedName>
    <definedName name="VAR">#REF!</definedName>
    <definedName name="vbn">[42]Ceny!$A$4:$Q$150</definedName>
    <definedName name="Version">#REF!</definedName>
    <definedName name="Volume_of_processed_crude_oil">#REF!</definedName>
    <definedName name="vv">[11]nawozy!$S$2:$S$961</definedName>
    <definedName name="W_K">#REF!</definedName>
    <definedName name="WA_ODP">#REF!</definedName>
    <definedName name="WA_RES">#REF!</definedName>
    <definedName name="WA_ZAT">#REF!</definedName>
    <definedName name="waluta3">[43]Arkusz1!$A$3:$A$5</definedName>
    <definedName name="WalutaSpraw">#REF!</definedName>
    <definedName name="warianty">#REF!</definedName>
    <definedName name="wartung">#REF!</definedName>
    <definedName name="WC">#REF!</definedName>
    <definedName name="we">[22]nawozy!$M$4:$M$2888</definedName>
    <definedName name="wedkl">#REF!</definedName>
    <definedName name="wer">#REF!</definedName>
    <definedName name="werq">#REF!</definedName>
    <definedName name="west">#REF!</definedName>
    <definedName name="WheatF">OFFSET([8]Notowania!#REF!,1,0,COUNTA([8]Notowania!#REF!)-2)</definedName>
    <definedName name="Woda_przemysłowa">[7]Arkusz1!$C$8</definedName>
    <definedName name="Woda_sanitarna">[7]Arkusz1!$C$9</definedName>
    <definedName name="Wodorotlenek_potasu">[7]Arkusz1!$C$50</definedName>
    <definedName name="WOkrPoprz">#REF!</definedName>
    <definedName name="WOkrPoprzAlt">#REF!</definedName>
    <definedName name="WOkrSpraw">#REF!</definedName>
    <definedName name="Worki_papierowe">[44]Arkusz1!#REF!</definedName>
    <definedName name="worki_papierowe2">[45]Analiza!#REF!</definedName>
    <definedName name="wqajh">#REF!</definedName>
    <definedName name="wrn.market." hidden="1">{#N/A,#N/A,FALSE,"C-12";#N/A,#N/A,FALSE,"T-7";#N/A,#N/A,FALSE,"T-8";#N/A,#N/A,FALSE,"T-9";#N/A,#N/A,FALSE,"T-10";#N/A,#N/A,FALSE,"T-11";#N/A,#N/A,FALSE,"C-13";#N/A,#N/A,FALSE,"T-12"}</definedName>
    <definedName name="wrn.refinery.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ort." hidden="1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name="wrn.tables.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wrzos">[6]SUROWCE!$C$7</definedName>
    <definedName name="wskaznik">#REF!</definedName>
    <definedName name="wskazuj">#REF!</definedName>
    <definedName name="WSZ_Wsk">[46]PWS!$B$7:$W$11</definedName>
    <definedName name="ww">[11]nawozy!$Q$2:$Q$961</definedName>
    <definedName name="www">#REF!</definedName>
    <definedName name="wybór1">#REF!</definedName>
    <definedName name="wybór2">#REF!</definedName>
    <definedName name="wybór3">#REF!</definedName>
    <definedName name="wybór4">#REF!</definedName>
    <definedName name="wybór5">#REF!</definedName>
    <definedName name="wybór6">#REF!</definedName>
    <definedName name="Wydziały">#REF!</definedName>
    <definedName name="WZ">#REF!</definedName>
    <definedName name="WZR">#REF!</definedName>
    <definedName name="x">#REF!</definedName>
    <definedName name="xc">[3]Arkusz1!$I$4:$I$642</definedName>
    <definedName name="xx">#REF!</definedName>
    <definedName name="xxl">#REF!</definedName>
    <definedName name="y">[3]Arkusz1!$M$4:$M$642</definedName>
    <definedName name="yhn">#REF!</definedName>
    <definedName name="yu">[3]Arkusz1!$R$4:$R$642</definedName>
    <definedName name="yvn">#REF!</definedName>
    <definedName name="yy">[5]Arkusz1!#REF!</definedName>
    <definedName name="ZAC_K1_P">[10]Fin.DW!$P$611:$AQ$611</definedName>
    <definedName name="ZAC_K2_P">[10]Fin.DW!$P$612:$AQ$612</definedName>
    <definedName name="ZAC_K3_P">[10]Fin.DW!$P$613:$AQ$613</definedName>
    <definedName name="ZAG">#REF!</definedName>
    <definedName name="ZAK">#REF!</definedName>
    <definedName name="ZAK_K1_P">[10]Fin.DW!$P$155:$AQ$155</definedName>
    <definedName name="ZAK_K2_P">[10]Fin.DW!$P$156:$AQ$156</definedName>
    <definedName name="ZAK_K3_P">[10]Fin.DW!$P$157:$AQ$157</definedName>
    <definedName name="zak_naz">#REF!</definedName>
    <definedName name="zakkod">#REF!</definedName>
    <definedName name="zakłady">#REF!</definedName>
    <definedName name="zaknum">#REF!</definedName>
    <definedName name="zal">[1]!zal</definedName>
    <definedName name="zamknij">[1]!zamknij</definedName>
    <definedName name="ZaOkrPoprz">#REF!</definedName>
    <definedName name="ZaOkrPoprzAlt">#REF!</definedName>
    <definedName name="ZaOkrSpraw">[30]Dane!$BB$66</definedName>
    <definedName name="ZAP_K1_P">[10]Fin.DW!$P$497:$AQ$497</definedName>
    <definedName name="ZAP_K2_P">[10]Fin.DW!$P$498:$AQ$498</definedName>
    <definedName name="ZAP_K3_P">[10]Fin.DW!$P$499:$AQ$499</definedName>
    <definedName name="zapot">[42]zapotrzebowania!$B$1:$Q$198</definedName>
    <definedName name="zapotrzebowania">[16]zapotrzebowania!$C$2:$Q$190</definedName>
    <definedName name="zatrudnienie">#REF!</definedName>
    <definedName name="ZCH_K1_P">[10]Fin.DW!$P$269:$AQ$269</definedName>
    <definedName name="ZCH_K2_P">[10]Fin.DW!$P$270:$AQ$270</definedName>
    <definedName name="ZCH_K3_P">[10]Fin.DW!$P$271:$AQ$271</definedName>
    <definedName name="zest.zbiorcze">'[38]Zestaw2 '!$D$16,'[38]Zestaw2 '!$D$20,'[38]Zestaw2 '!$D$24,'[38]Zestaw2 '!$D$28,'[38]Zestaw2 '!$D$32,'[38]Zestaw2 '!$D$36,'[38]Zestaw2 '!$D$40,'[38]Zestaw2 '!$D$44</definedName>
    <definedName name="Ziemia_bieląca">[7]Arkusz1!$C$53</definedName>
    <definedName name="zins">14.5%</definedName>
    <definedName name="ZME">#REF!</definedName>
    <definedName name="zosia">#REF!</definedName>
    <definedName name="ZUS">1.4815</definedName>
    <definedName name="zx">[3]Arkusz1!$H$4:$H$642</definedName>
    <definedName name="Zysk">#REF!</definedName>
    <definedName name="ZytoP">OFFSET([8]Notowania!#REF!,1,0,COUNTA([8]Notowania!#REF!)-2)</definedName>
    <definedName name="_bi2" localSheetId="0">[1]!bilans</definedName>
    <definedName name="_cf1" localSheetId="0">[1]!cf</definedName>
    <definedName name="bilans" localSheetId="0">[1]!bilans</definedName>
    <definedName name="cf" localSheetId="0">[1]!cf</definedName>
    <definedName name="Last_Row" localSheetId="0">IF(Sprzedaż!Values_Entered,[0]!Header_Row+Sprzedaż!Number_of_Payments,[0]!Header_Row)</definedName>
    <definedName name="Number_of_Payments" localSheetId="0">MATCH(0.01,[0]!End_Bal,-1)+1</definedName>
    <definedName name="Payment_Date" localSheetId="0">DATE(YEAR([0]!Loan_Start),MONTH([0]!Loan_Start)+Payment_Number,DAY([0]!Loan_Start))</definedName>
    <definedName name="Print_Area_Reset" localSheetId="0">OFFSET([0]!Full_Print,0,0,Sprzedaż!Last_Row)</definedName>
    <definedName name="rw" localSheetId="0">[1]!rw</definedName>
    <definedName name="Sprawdzić" localSheetId="0">Scheduled_Payment+Extra_Payment</definedName>
    <definedName name="Total_Payment" localSheetId="0">Scheduled_Payment+Extra_Payment</definedName>
    <definedName name="Values_Entered" localSheetId="0">IF([0]!Loan_Amount*[0]!Interest_Rate*[0]!Loan_Years*[0]!Loan_Start&gt;0,1,0)</definedName>
    <definedName name="wrn.market." localSheetId="0" hidden="1">{#N/A,#N/A,FALSE,"C-12";#N/A,#N/A,FALSE,"T-7";#N/A,#N/A,FALSE,"T-8";#N/A,#N/A,FALSE,"T-9";#N/A,#N/A,FALSE,"T-10";#N/A,#N/A,FALSE,"T-11";#N/A,#N/A,FALSE,"C-13";#N/A,#N/A,FALSE,"T-12"}</definedName>
    <definedName name="wrn.refinery." localSheetId="0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ort." localSheetId="0" hidden="1">{#N/A,#N/A,FALSE,"I-1";#N/A,#N/A,FALSE,"I-2";#N/A,#N/A,FALSE,"C-1M";#N/A,#N/A,FALSE,"C-2M";#N/A,#N/A,FALSE,"C-3M";#N/A,#N/A,FALSE,"C-4E";#N/A,#N/A,FALSE,"C-5E";#N/A,#N/A,FALSE,"C-6E";#N/A,#N/A,FALSE,"T-1";#N/A,#N/A,FALSE,"C-7";#N/A,#N/A,FALSE,"C-8";#N/A,#N/A,FALSE,"T-2";#N/A,#N/A,FALSE,"C-9A";#N/A,#N/A,FALSE,"C-9B";#N/A,#N/A,FALSE,"T-3";#N/A,#N/A,FALSE,"T-4";#N/A,#N/A,FALSE,"C-10A";#N/A,#N/A,FALSE,"C-10B";#N/A,#N/A,FALSE,"T-5";#N/A,#N/A,FALSE,"C-11";#N/A,#N/A,FALSE,"T-6";#N/A,#N/A,FALSE,"C-12";#N/A,#N/A,FALSE,"T-7";#N/A,#N/A,FALSE,"T-8";#N/A,#N/A,FALSE,"T-9";#N/A,#N/A,FALSE,"T-10";#N/A,#N/A,FALSE,"T-11";#N/A,#N/A,FALSE,"C-13";#N/A,#N/A,FALSE,"T-12"}</definedName>
    <definedName name="wrn.tables." localSheetId="0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Z_4D67A540_8C75_4268_B68B_7E5E4B57F2CC_.wvu.PrintArea" localSheetId="0" hidden="1">Sprzedaż!$B$2:$O$31</definedName>
    <definedName name="Z_80CC8BF0_9EE7_4083_B3C4_52C1418284CE_.wvu.PrintArea" localSheetId="0" hidden="1">Sprzedaż!$B$2:$O$31</definedName>
    <definedName name="zal" localSheetId="0">[1]!zal</definedName>
    <definedName name="zamknij" localSheetId="0">[1]!zamknij</definedName>
    <definedName name="_xlnm._FilterDatabase" localSheetId="0" hidden="1">'Sprzedaż'!$A$4:$P$92</definedName>
    <definedName name="_xlnm.Print_Area" localSheetId="0">'Sprzedaż'!$B$2:$O$32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;-#,##0;&quot;-&quot;"/>
    <numFmt numFmtId="165" formatCode="0.0%;-0.0%;&quot;-&quot;"/>
    <numFmt numFmtId="166" formatCode="0.000000"/>
  </numFmts>
  <fonts count="23">
    <font>
      <name val="Calibri"/>
      <charset val="238"/>
      <family val="2"/>
      <color theme="1"/>
      <sz val="11"/>
      <scheme val="minor"/>
    </font>
    <font>
      <name val="Arial"/>
      <charset val="238"/>
      <family val="2"/>
      <sz val="10"/>
    </font>
    <font>
      <name val="Aptos Narrow"/>
      <family val="2"/>
      <sz val="8"/>
    </font>
    <font>
      <name val="Aptos Narrow"/>
      <family val="2"/>
      <b val="1"/>
      <sz val="8"/>
    </font>
    <font>
      <name val="Aptos Narrow"/>
      <family val="2"/>
      <b val="1"/>
      <i val="1"/>
      <sz val="11"/>
    </font>
    <font>
      <name val="Aptos Narrow"/>
      <family val="2"/>
      <color indexed="9"/>
      <sz val="8"/>
    </font>
    <font>
      <name val="Aptos Narrow"/>
      <family val="2"/>
      <b val="1"/>
      <color indexed="9"/>
      <sz val="8"/>
    </font>
    <font>
      <name val="Aptos Narrow"/>
      <charset val="238"/>
      <family val="2"/>
      <sz val="8"/>
    </font>
    <font>
      <name val="Arial CE"/>
      <charset val="238"/>
      <sz val="10"/>
    </font>
    <font>
      <name val="Aptos Narrow"/>
      <family val="2"/>
      <b val="1"/>
      <color theme="3" tint="-0.249977111117893"/>
      <sz val="8"/>
    </font>
    <font>
      <name val="Aptos Narrow"/>
      <family val="2"/>
      <i val="1"/>
      <sz val="8"/>
    </font>
    <font>
      <name val="Aptos Narrow"/>
      <family val="2"/>
      <i val="1"/>
      <color indexed="10"/>
      <sz val="8"/>
    </font>
    <font>
      <name val="Aptos Narrow"/>
      <family val="2"/>
      <color rgb="FFFF0000"/>
      <sz val="8"/>
    </font>
    <font>
      <name val="Arial Narrow"/>
      <charset val="238"/>
      <family val="2"/>
      <sz val="8"/>
    </font>
    <font>
      <name val="Aptos Narrow"/>
      <i val="1"/>
      <color rgb="00808080"/>
      <sz val="9"/>
    </font>
    <font>
      <name val="Aptos Narrow"/>
      <b val="1"/>
      <sz val="14"/>
    </font>
    <font>
      <name val="Aptos Narrow"/>
      <i val="1"/>
      <color rgb="00595959"/>
    </font>
    <font>
      <name val="Aptos Narrow"/>
      <b val="1"/>
      <color rgb="00FFFFFF"/>
    </font>
    <font>
      <name val="Aptos Narrow"/>
    </font>
    <font>
      <name val="Aptos Narrow"/>
      <color rgb="000000FF"/>
    </font>
    <font>
      <name val="Aptos Narrow"/>
      <b val="1"/>
    </font>
    <font>
      <name val="Aptos Narrow"/>
      <b val="1"/>
      <sz val="12"/>
    </font>
    <font>
      <name val="Aptos Narrow"/>
      <color rgb="00808080"/>
    </font>
  </fonts>
  <fills count="1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3">
    <xf numFmtId="0" fontId="0" fillId="0" borderId="0"/>
    <xf numFmtId="0" fontId="1" fillId="0" borderId="0"/>
    <xf numFmtId="0" fontId="8" fillId="0" borderId="0"/>
  </cellStyleXfs>
  <cellXfs count="84">
    <xf numFmtId="0" fontId="0" fillId="0" borderId="0" pivotButton="0" quotePrefix="0" xfId="0"/>
    <xf numFmtId="14" fontId="2" fillId="0" borderId="0" pivotButton="0" quotePrefix="0" xfId="1"/>
    <xf numFmtId="0" fontId="3" fillId="2" borderId="0" applyAlignment="1" pivotButton="0" quotePrefix="0" xfId="1">
      <alignment horizontal="right"/>
    </xf>
    <xf numFmtId="0" fontId="3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right"/>
    </xf>
    <xf numFmtId="0" fontId="2" fillId="0" borderId="0" pivotButton="0" quotePrefix="0" xfId="1"/>
    <xf numFmtId="16" fontId="3" fillId="0" borderId="0" applyAlignment="1" pivotButton="0" quotePrefix="0" xfId="1">
      <alignment horizontal="center"/>
    </xf>
    <xf numFmtId="0" fontId="5" fillId="3" borderId="1" applyAlignment="1" pivotButton="0" quotePrefix="0" xfId="1">
      <alignment horizontal="right"/>
    </xf>
    <xf numFmtId="0" fontId="5" fillId="3" borderId="2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/>
    </xf>
    <xf numFmtId="0" fontId="5" fillId="3" borderId="4" applyAlignment="1" pivotButton="0" quotePrefix="0" xfId="1">
      <alignment horizontal="center" vertical="center"/>
    </xf>
    <xf numFmtId="0" fontId="5" fillId="3" borderId="5" applyAlignment="1" pivotButton="0" quotePrefix="0" xfId="1">
      <alignment horizontal="center" vertical="center"/>
    </xf>
    <xf numFmtId="0" fontId="6" fillId="3" borderId="6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2" fillId="4" borderId="0" pivotButton="0" quotePrefix="0" xfId="1"/>
    <xf numFmtId="0" fontId="3" fillId="0" borderId="7" applyAlignment="1" pivotButton="0" quotePrefix="0" xfId="1">
      <alignment horizontal="right"/>
    </xf>
    <xf numFmtId="3" fontId="7" fillId="5" borderId="8" applyAlignment="1" pivotButton="0" quotePrefix="0" xfId="1">
      <alignment horizontal="center"/>
    </xf>
    <xf numFmtId="3" fontId="7" fillId="5" borderId="7" applyAlignment="1" pivotButton="0" quotePrefix="0" xfId="1">
      <alignment horizontal="center"/>
    </xf>
    <xf numFmtId="3" fontId="2" fillId="0" borderId="0" pivotButton="0" quotePrefix="0" xfId="1"/>
    <xf numFmtId="1" fontId="2" fillId="0" borderId="0" pivotButton="0" quotePrefix="0" xfId="1"/>
    <xf numFmtId="0" fontId="3" fillId="6" borderId="7" applyAlignment="1" pivotButton="0" quotePrefix="0" xfId="1">
      <alignment horizontal="right"/>
    </xf>
    <xf numFmtId="3" fontId="7" fillId="6" borderId="8" applyAlignment="1" pivotButton="0" quotePrefix="0" xfId="1">
      <alignment horizontal="center"/>
    </xf>
    <xf numFmtId="3" fontId="7" fillId="6" borderId="7" applyAlignment="1" pivotButton="0" quotePrefix="0" xfId="1">
      <alignment horizontal="center"/>
    </xf>
    <xf numFmtId="3" fontId="10" fillId="0" borderId="0" pivotButton="0" quotePrefix="0" xfId="1"/>
    <xf numFmtId="3" fontId="7" fillId="5" borderId="10" applyAlignment="1" pivotButton="0" quotePrefix="0" xfId="1">
      <alignment horizontal="center"/>
    </xf>
    <xf numFmtId="0" fontId="11" fillId="0" borderId="0" pivotButton="0" quotePrefix="0" xfId="1"/>
    <xf numFmtId="0" fontId="12" fillId="0" borderId="0" pivotButton="0" quotePrefix="0" xfId="1"/>
    <xf numFmtId="1" fontId="12" fillId="0" borderId="0" pivotButton="0" quotePrefix="0" xfId="1"/>
    <xf numFmtId="0" fontId="3" fillId="0" borderId="11" applyAlignment="1" pivotButton="0" quotePrefix="0" xfId="1">
      <alignment horizontal="right"/>
    </xf>
    <xf numFmtId="3" fontId="7" fillId="0" borderId="12" applyAlignment="1" pivotButton="0" quotePrefix="0" xfId="1">
      <alignment horizontal="center"/>
    </xf>
    <xf numFmtId="3" fontId="7" fillId="0" borderId="7" applyAlignment="1" pivotButton="0" quotePrefix="0" xfId="1">
      <alignment horizontal="center"/>
    </xf>
    <xf numFmtId="3" fontId="3" fillId="0" borderId="10" applyAlignment="1" pivotButton="0" quotePrefix="0" xfId="1">
      <alignment horizontal="center"/>
    </xf>
    <xf numFmtId="3" fontId="7" fillId="8" borderId="12" applyAlignment="1" pivotButton="0" quotePrefix="0" xfId="1">
      <alignment horizontal="center"/>
    </xf>
    <xf numFmtId="3" fontId="7" fillId="8" borderId="7" applyAlignment="1" pivotButton="0" quotePrefix="0" xfId="1">
      <alignment horizontal="center"/>
    </xf>
    <xf numFmtId="3" fontId="7" fillId="8" borderId="10" applyAlignment="1" pivotButton="0" quotePrefix="0" xfId="1">
      <alignment horizontal="center"/>
    </xf>
    <xf numFmtId="3" fontId="9" fillId="0" borderId="14" applyAlignment="1" pivotButton="0" quotePrefix="0" xfId="1">
      <alignment horizontal="center"/>
    </xf>
    <xf numFmtId="3" fontId="7" fillId="0" borderId="10" applyAlignment="1" pivotButton="0" quotePrefix="0" xfId="1">
      <alignment horizontal="center"/>
    </xf>
    <xf numFmtId="0" fontId="2" fillId="10" borderId="0" pivotButton="0" quotePrefix="0" xfId="1"/>
    <xf numFmtId="3" fontId="3" fillId="11" borderId="7" applyAlignment="1" pivotButton="0" quotePrefix="0" xfId="1">
      <alignment horizontal="center"/>
    </xf>
    <xf numFmtId="3" fontId="3" fillId="0" borderId="7" applyAlignment="1" pivotButton="0" quotePrefix="0" xfId="1">
      <alignment horizontal="center"/>
    </xf>
    <xf numFmtId="0" fontId="2" fillId="0" borderId="0" applyAlignment="1" pivotButton="0" quotePrefix="0" xfId="1">
      <alignment horizontal="right"/>
    </xf>
    <xf numFmtId="3" fontId="3" fillId="0" borderId="9" applyAlignment="1" pivotButton="0" quotePrefix="0" xfId="2">
      <alignment horizontal="center" vertical="center"/>
    </xf>
    <xf numFmtId="3" fontId="3" fillId="0" borderId="9" applyAlignment="1" pivotButton="0" quotePrefix="0" xfId="1">
      <alignment horizontal="center"/>
    </xf>
    <xf numFmtId="3" fontId="9" fillId="0" borderId="9" applyAlignment="1" pivotButton="0" quotePrefix="0" xfId="1">
      <alignment horizontal="center"/>
    </xf>
    <xf numFmtId="3" fontId="7" fillId="5" borderId="11" applyAlignment="1" pivotButton="0" quotePrefix="0" xfId="1">
      <alignment horizontal="center"/>
    </xf>
    <xf numFmtId="3" fontId="3" fillId="0" borderId="11" applyAlignment="1" pivotButton="0" quotePrefix="0" xfId="1">
      <alignment horizontal="center"/>
    </xf>
    <xf numFmtId="3" fontId="7" fillId="0" borderId="0" applyAlignment="1" pivotButton="0" quotePrefix="0" xfId="1">
      <alignment horizontal="center"/>
    </xf>
    <xf numFmtId="3" fontId="3" fillId="0" borderId="0" applyAlignment="1" pivotButton="0" quotePrefix="0" xfId="1">
      <alignment horizontal="center"/>
    </xf>
    <xf numFmtId="3" fontId="7" fillId="5" borderId="15" applyAlignment="1" pivotButton="0" quotePrefix="0" xfId="1">
      <alignment horizontal="center"/>
    </xf>
    <xf numFmtId="0" fontId="2" fillId="10" borderId="7" pivotButton="0" quotePrefix="0" xfId="1"/>
    <xf numFmtId="3" fontId="9" fillId="5" borderId="16" applyAlignment="1" pivotButton="0" quotePrefix="0" xfId="1">
      <alignment horizontal="center"/>
    </xf>
    <xf numFmtId="3" fontId="9" fillId="5" borderId="12" applyAlignment="1" pivotButton="0" quotePrefix="0" xfId="1">
      <alignment horizontal="center"/>
    </xf>
    <xf numFmtId="0" fontId="2" fillId="7" borderId="0" pivotButton="0" quotePrefix="0" xfId="1"/>
    <xf numFmtId="3" fontId="9" fillId="5" borderId="8" applyAlignment="1" pivotButton="0" quotePrefix="0" xfId="1">
      <alignment horizontal="center"/>
    </xf>
    <xf numFmtId="3" fontId="9" fillId="5" borderId="7" applyAlignment="1" pivotButton="0" quotePrefix="0" xfId="1">
      <alignment horizontal="center"/>
    </xf>
    <xf numFmtId="3" fontId="9" fillId="0" borderId="13" applyAlignment="1" pivotButton="0" quotePrefix="0" xfId="1">
      <alignment horizontal="center"/>
    </xf>
    <xf numFmtId="3" fontId="9" fillId="8" borderId="13" applyAlignment="1" pivotButton="0" quotePrefix="0" xfId="1">
      <alignment horizontal="center"/>
    </xf>
    <xf numFmtId="0" fontId="2" fillId="9" borderId="0" pivotButton="0" quotePrefix="0" xfId="1"/>
    <xf numFmtId="3" fontId="9" fillId="0" borderId="7" applyAlignment="1" pivotButton="0" quotePrefix="0" xfId="1">
      <alignment horizontal="center"/>
    </xf>
    <xf numFmtId="3" fontId="13" fillId="5" borderId="7" applyAlignment="1" pivotButton="0" quotePrefix="0" xfId="1">
      <alignment horizontal="center"/>
    </xf>
    <xf numFmtId="0" fontId="2" fillId="12" borderId="0" pivotButton="0" quotePrefix="0" xfId="1"/>
    <xf numFmtId="0" fontId="3" fillId="0" borderId="10" applyAlignment="1" pivotButton="0" quotePrefix="0" xfId="1">
      <alignment horizontal="right"/>
    </xf>
    <xf numFmtId="0" fontId="4" fillId="0" borderId="0" applyAlignment="1" pivotButton="0" quotePrefix="0" xfId="1">
      <alignment horizontal="center"/>
    </xf>
    <xf numFmtId="3" fontId="7" fillId="5" borderId="16" applyAlignment="1" pivotButton="0" quotePrefix="0" xfId="1">
      <alignment horizontal="center"/>
    </xf>
    <xf numFmtId="3" fontId="7" fillId="5" borderId="12" applyAlignment="1" pivotButton="0" quotePrefix="0" xfId="1">
      <alignment horizontal="center"/>
    </xf>
    <xf numFmtId="3" fontId="14" fillId="0" borderId="0" pivotButton="0" quotePrefix="0" xfId="1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3" borderId="17" applyAlignment="1" pivotButton="0" quotePrefix="0" xfId="0">
      <alignment horizontal="center" vertical="center" wrapText="1"/>
    </xf>
    <xf numFmtId="0" fontId="18" fillId="0" borderId="17" pivotButton="0" quotePrefix="0" xfId="0"/>
    <xf numFmtId="0" fontId="19" fillId="14" borderId="17" applyAlignment="1" pivotButton="0" quotePrefix="0" xfId="0">
      <alignment horizontal="center"/>
    </xf>
    <xf numFmtId="164" fontId="18" fillId="0" borderId="17" pivotButton="0" quotePrefix="0" xfId="0"/>
    <xf numFmtId="164" fontId="18" fillId="0" borderId="17" applyAlignment="1" pivotButton="0" quotePrefix="0" xfId="0">
      <alignment horizontal="center"/>
    </xf>
    <xf numFmtId="165" fontId="18" fillId="0" borderId="17" pivotButton="0" quotePrefix="0" xfId="0"/>
    <xf numFmtId="166" fontId="22" fillId="0" borderId="0" pivotButton="0" quotePrefix="0" xfId="0"/>
    <xf numFmtId="164" fontId="20" fillId="15" borderId="17" pivotButton="0" quotePrefix="0" xfId="0"/>
    <xf numFmtId="164" fontId="20" fillId="16" borderId="17" pivotButton="0" quotePrefix="0" xfId="0"/>
    <xf numFmtId="165" fontId="20" fillId="16" borderId="17" pivotButton="0" quotePrefix="0" xfId="0"/>
    <xf numFmtId="165" fontId="20" fillId="15" borderId="17" pivotButton="0" quotePrefix="0" xfId="0"/>
    <xf numFmtId="165" fontId="20" fillId="0" borderId="17" pivotButton="0" quotePrefix="0" xfId="0"/>
    <xf numFmtId="0" fontId="21" fillId="0" borderId="0" pivotButton="0" quotePrefix="0" xfId="0"/>
    <xf numFmtId="0" fontId="18" fillId="0" borderId="17" applyAlignment="1" pivotButton="0" quotePrefix="0" xfId="0">
      <alignment vertical="top" wrapText="1"/>
    </xf>
    <xf numFmtId="164" fontId="18" fillId="0" borderId="17" applyAlignment="1" pivotButton="0" quotePrefix="0" xfId="0">
      <alignment vertical="top" wrapText="1"/>
    </xf>
  </cellXfs>
  <cellStyles count="3">
    <cellStyle name="Normalny" xfId="0" builtinId="0"/>
    <cellStyle name="Normalny 2" xfId="1"/>
    <cellStyle name="Normalny 3" xfId="2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externalLink" Target="/xl/externalLinks/externalLink5.xml" Id="rId9"/><Relationship Type="http://schemas.openxmlformats.org/officeDocument/2006/relationships/externalLink" Target="/xl/externalLinks/externalLink6.xml" Id="rId10"/><Relationship Type="http://schemas.openxmlformats.org/officeDocument/2006/relationships/externalLink" Target="/xl/externalLinks/externalLink7.xml" Id="rId11"/><Relationship Type="http://schemas.openxmlformats.org/officeDocument/2006/relationships/externalLink" Target="/xl/externalLinks/externalLink8.xml" Id="rId12"/><Relationship Type="http://schemas.openxmlformats.org/officeDocument/2006/relationships/externalLink" Target="/xl/externalLinks/externalLink9.xml" Id="rId13"/><Relationship Type="http://schemas.openxmlformats.org/officeDocument/2006/relationships/externalLink" Target="/xl/externalLinks/externalLink10.xml" Id="rId14"/><Relationship Type="http://schemas.openxmlformats.org/officeDocument/2006/relationships/externalLink" Target="/xl/externalLinks/externalLink11.xml" Id="rId15"/><Relationship Type="http://schemas.openxmlformats.org/officeDocument/2006/relationships/externalLink" Target="/xl/externalLinks/externalLink12.xml" Id="rId16"/><Relationship Type="http://schemas.openxmlformats.org/officeDocument/2006/relationships/externalLink" Target="/xl/externalLinks/externalLink13.xml" Id="rId17"/><Relationship Type="http://schemas.openxmlformats.org/officeDocument/2006/relationships/externalLink" Target="/xl/externalLinks/externalLink14.xml" Id="rId18"/><Relationship Type="http://schemas.openxmlformats.org/officeDocument/2006/relationships/externalLink" Target="/xl/externalLinks/externalLink15.xml" Id="rId19"/><Relationship Type="http://schemas.openxmlformats.org/officeDocument/2006/relationships/externalLink" Target="/xl/externalLinks/externalLink16.xml" Id="rId20"/><Relationship Type="http://schemas.openxmlformats.org/officeDocument/2006/relationships/externalLink" Target="/xl/externalLinks/externalLink17.xml" Id="rId21"/><Relationship Type="http://schemas.openxmlformats.org/officeDocument/2006/relationships/externalLink" Target="/xl/externalLinks/externalLink18.xml" Id="rId22"/><Relationship Type="http://schemas.openxmlformats.org/officeDocument/2006/relationships/externalLink" Target="/xl/externalLinks/externalLink19.xml" Id="rId23"/><Relationship Type="http://schemas.openxmlformats.org/officeDocument/2006/relationships/externalLink" Target="/xl/externalLinks/externalLink20.xml" Id="rId24"/><Relationship Type="http://schemas.openxmlformats.org/officeDocument/2006/relationships/externalLink" Target="/xl/externalLinks/externalLink21.xml" Id="rId25"/><Relationship Type="http://schemas.openxmlformats.org/officeDocument/2006/relationships/externalLink" Target="/xl/externalLinks/externalLink22.xml" Id="rId26"/><Relationship Type="http://schemas.openxmlformats.org/officeDocument/2006/relationships/externalLink" Target="/xl/externalLinks/externalLink23.xml" Id="rId27"/><Relationship Type="http://schemas.openxmlformats.org/officeDocument/2006/relationships/externalLink" Target="/xl/externalLinks/externalLink24.xml" Id="rId28"/><Relationship Type="http://schemas.openxmlformats.org/officeDocument/2006/relationships/externalLink" Target="/xl/externalLinks/externalLink25.xml" Id="rId29"/><Relationship Type="http://schemas.openxmlformats.org/officeDocument/2006/relationships/externalLink" Target="/xl/externalLinks/externalLink26.xml" Id="rId30"/><Relationship Type="http://schemas.openxmlformats.org/officeDocument/2006/relationships/externalLink" Target="/xl/externalLinks/externalLink27.xml" Id="rId31"/><Relationship Type="http://schemas.openxmlformats.org/officeDocument/2006/relationships/externalLink" Target="/xl/externalLinks/externalLink28.xml" Id="rId32"/><Relationship Type="http://schemas.openxmlformats.org/officeDocument/2006/relationships/externalLink" Target="/xl/externalLinks/externalLink29.xml" Id="rId33"/><Relationship Type="http://schemas.openxmlformats.org/officeDocument/2006/relationships/externalLink" Target="/xl/externalLinks/externalLink30.xml" Id="rId34"/><Relationship Type="http://schemas.openxmlformats.org/officeDocument/2006/relationships/externalLink" Target="/xl/externalLinks/externalLink31.xml" Id="rId35"/><Relationship Type="http://schemas.openxmlformats.org/officeDocument/2006/relationships/externalLink" Target="/xl/externalLinks/externalLink32.xml" Id="rId36"/><Relationship Type="http://schemas.openxmlformats.org/officeDocument/2006/relationships/externalLink" Target="/xl/externalLinks/externalLink33.xml" Id="rId37"/><Relationship Type="http://schemas.openxmlformats.org/officeDocument/2006/relationships/externalLink" Target="/xl/externalLinks/externalLink34.xml" Id="rId38"/><Relationship Type="http://schemas.openxmlformats.org/officeDocument/2006/relationships/externalLink" Target="/xl/externalLinks/externalLink35.xml" Id="rId39"/><Relationship Type="http://schemas.openxmlformats.org/officeDocument/2006/relationships/externalLink" Target="/xl/externalLinks/externalLink36.xml" Id="rId40"/><Relationship Type="http://schemas.openxmlformats.org/officeDocument/2006/relationships/externalLink" Target="/xl/externalLinks/externalLink37.xml" Id="rId41"/><Relationship Type="http://schemas.openxmlformats.org/officeDocument/2006/relationships/externalLink" Target="/xl/externalLinks/externalLink38.xml" Id="rId42"/><Relationship Type="http://schemas.openxmlformats.org/officeDocument/2006/relationships/externalLink" Target="/xl/externalLinks/externalLink39.xml" Id="rId43"/><Relationship Type="http://schemas.openxmlformats.org/officeDocument/2006/relationships/externalLink" Target="/xl/externalLinks/externalLink40.xml" Id="rId44"/><Relationship Type="http://schemas.openxmlformats.org/officeDocument/2006/relationships/externalLink" Target="/xl/externalLinks/externalLink41.xml" Id="rId45"/><Relationship Type="http://schemas.openxmlformats.org/officeDocument/2006/relationships/externalLink" Target="/xl/externalLinks/externalLink42.xml" Id="rId46"/><Relationship Type="http://schemas.openxmlformats.org/officeDocument/2006/relationships/externalLink" Target="/xl/externalLinks/externalLink43.xml" Id="rId47"/><Relationship Type="http://schemas.openxmlformats.org/officeDocument/2006/relationships/externalLink" Target="/xl/externalLinks/externalLink44.xml" Id="rId48"/><Relationship Type="http://schemas.openxmlformats.org/officeDocument/2006/relationships/externalLink" Target="/xl/externalLinks/externalLink45.xml" Id="rId49"/><Relationship Type="http://schemas.openxmlformats.org/officeDocument/2006/relationships/externalLink" Target="/xl/externalLinks/externalLink46.xml" Id="rId50"/><Relationship Type="http://schemas.openxmlformats.org/officeDocument/2006/relationships/externalLink" Target="/xl/externalLinks/externalLink47.xml" Id="rId51"/><Relationship Type="http://schemas.openxmlformats.org/officeDocument/2006/relationships/externalLink" Target="/xl/externalLinks/externalLink48.xml" Id="rId52"/><Relationship Type="http://schemas.openxmlformats.org/officeDocument/2006/relationships/externalLink" Target="/xl/externalLinks/externalLink49.xml" Id="rId53"/><Relationship Type="http://schemas.openxmlformats.org/officeDocument/2006/relationships/externalLink" Target="/xl/externalLinks/externalLink50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comments/comment1.xml><?xml version="1.0" encoding="utf-8"?>
<comments xmlns="http://schemas.openxmlformats.org/spreadsheetml/2006/main">
  <authors>
    <author>Claude</author>
  </authors>
  <commentList>
    <comment ref="E5" authorId="0" shapeId="0">
      <text>
        <t>Założenie: brak jednostki w pliku od sprzedaży – przyjęto tony [t] dla wszystkich wierszy bez jednostki w nazwie.</t>
      </text>
    </comment>
    <comment ref="F6" authorId="0" shapeId="0">
      <text>
        <t>Założenie: jednostka m3 – nie sumuje się z tonami</t>
      </text>
    </comment>
    <comment ref="F18" authorId="0" shapeId="0">
      <text>
        <t>Założenie: suma PULREA (wiersze 16+17)</t>
      </text>
    </comment>
    <comment ref="F26" authorId="0" shapeId="0">
      <text>
        <t>Założenie: suma Melaminy (wiersze 27-29)</t>
      </text>
    </comment>
    <comment ref="F38" authorId="0" shapeId="0">
      <text>
        <t>Założenie: jednostka butle – nie sumuje się z tonami</t>
      </text>
    </comment>
    <comment ref="F39" authorId="0" shapeId="0">
      <text>
        <t>Założenie: jednostka nieznana – do potwierdzenia ze sprzedażą; poza sumą ton</t>
      </text>
    </comment>
    <comment ref="F56" authorId="0" shapeId="0">
      <text>
        <t>Założenie: jednostka dam3 – nie sumuje się z tonami</t>
      </text>
    </comment>
    <comment ref="F57" authorId="0" shapeId="0">
      <text>
        <t>Założenie: jednostka dam3 – nie sumuje się z tonami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Q:\Drk\prace%20w%20toku\wykupy%20lewarowane\ZAT\wycena\reszta%2015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Poluser1\baza_ekh\Documents%20and%20Settings\m19039\Pulpit\dokumenty\ROK%202008\Plan%2010-12\plan%2017.11.2008\rozliczenie7%20gabry&#347;ka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Poluser1\m23614\Documents%20and%20Settings\m23614\Pulpit\Bazy\Kwiecie&#324;%202007\Klienci%20z%20rentowno&#347;ciami\Baza%20kraj%20kwiecie&#324;%202007%20tylko%20nawozy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Poluser1\m23614\Documents%20and%20Settings\m23614\Pulpit\Bazy\Luty%202007\Z%20klientami%20do%20ranking&#243;w\Baza%20kraj%20luty%202007%20z%20klientami%20nawozy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oluser1\m23614\Documents%20and%20Settings\m23614\Pulpit\Bazy\Luty%202007\Wst&#281;pne\Ranking%20luty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Uslugi\kontrol\Dokumenty%20Eli\KALKULUJ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192.168.1.123\controlling\Budzet-PZ\Budzet-PZ\Budzet-PZ\Budzet-PZ\Budzet-PZ\Budzet-PZ\Budzet-PZ\Budzet-PZ\Budzet-PZ\Wspolna-FC\Bud&#380;ety\2007\wersja_5\test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awozy\budzet-pz\Users\m24509\AppData\Local\Microsoft\Windows\Temporary%20Internet%20Files\Content.Outlook\85RFAWQC\propozycja%20raporty%20GA_10_2013.xlsx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192.168.1.123\controlling\Poczta\Faktury%202005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Nawozy\budzet-pz\Users\lbrzozowski\AppData\Roaming\Microsoft\Excel\Model_Finansowy_GK_Grupa_Azoty_140509g0127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Poluser1\m23614\Documents%20and%20Settings\m23614\Pulpit\Bazy\Marzec%202007\Z%20kosztami\baza%20marzec%202007%20kraj%20nawozy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poluser1\CO_JB_NITRO\Dokumenty%20Eli\KALKULUJ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zapbox\Foldery\Documents%20and%20Settings\Andrzej\Moje%20dokumenty\Wp&#322;ywy\HLB\KPMG%20po%20weryfikacji\Pakiet%20konsolidacyjny%20na%20dzie&#324;%2030.09.2008%20narastaj&#261;co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poluser1\CO_JB_NITRO\Documents%20and%20Settings\m19039\Ustawienia%20lokalne\Temporary%20Internet%20Files\Content.Outlook\4SA8532N\Plansprzeda&#380;y_VII_IX_21_06_2012_28_06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poluser1\CO_JB_NITRO\Users\m24505\AppData\Local\Microsoft\Windows\Temporary%20Internet%20Files\Content.Outlook\8R7QFFQZ\Plan%20sprzeda&#380;y_IX-X-XI-XII.xlsx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poluser1\CO_JB_NITRO\Documents%20and%20Settings\m19039\Ustawienia%20lokalne\Temporary%20Internet%20Files\Content.Outlook\4SA8532N\MRP_2012_07_09_07_08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zapbox\Foldery\pakiet\Wersja%20elektroniczna\pakiet%20II%202009\poz.%20stronyII%2009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zapbox\Foldery\Users\user\AppData\Local\Microsoft\Windows\Temporary%20Internet%20Files\Content.Outlook\A7XJC5B7\&#346;T%20w%20budowie%2031.07.2013.xlsx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poluser1\CO_JB_NITRO\Dane_11\Bilans\Bi_10_11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192.168.1.123\controlling\Users\m23622\AppData\Local\Microsoft\Windows\Temporary%20Internet%20Files\Content.Outlook\XTETMPJ3\2013_%2010_04_%20Model_SWO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192.168.1.123\controlling\Users\m23614\AppData\Local\Microsoft\Windows\Temporary%20Internet%20Files\Content.Outlook\SQXP8TU4\2013_%2009_09_%20Model%20SWO%20(3d)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Poluser1\m23614\Documents%20and%20Settings\m23614\Pulpit\Bazy\Kwiecie&#324;%202007\Do%20rankingu\Baza%20kraj%20nawozy%204%20mce%202007%20z%2015%20V%20do%20rankingu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Poluser1\m23614\Documents%20and%20Settings\m23614\Pulpit\Bazy\Maj%202007\Baza%205%20miesi&#281;cy%202007%20KRAJ%20z%2014%20VI%20do%20rankingu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poluser1\CO_JB_NITRO\Documents%20and%20Settings\m13982\Ustawienia%20lokalne\Temporary%20Internet%20Files\Content.Outlook\4BGEDDTD\Plansprzeda&#380;y_X_XI_XII_21_09_2012.xlsx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poluser1\CO_JB_NITRO\Users\m23534\AppData\Local\Microsoft\Windows\Temporary%20Internet%20Files\Content.Outlook\ZWFTHB7A\Bud&#380;et%202013%20-%20kopia%20zapasowa\Wersje%20finalne\Plan%20sprzeda&#380;y%202013_do%20raport&#243;w%20i%20plan&#243;w.xlsx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poluser1\CO_JB_NITRO\Dane_7\Import\Rap\Raport%207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zapbox\Foldery\Documents%20and%20Settings\ZAT-SA\Moje%20dokumenty\Pliki%20robocze\Moje%20dokumenty\Arkusze\MALGO\R&#243;&#380;ne2na%20Centra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zapbox\Foldery\Users\Robert\AppData\Local\Microsoft\Windows\Temporary%20Internet%20Files\Content.Outlook\8SBKI5JS\work\Konsolidacja%201.05.18%20(TS%20i%20TZ)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poluser1\CO_JB_NITRO\Dane_7\Zaklad\Ruch_7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zapbox\Foldery\Documents%20and%20Settings\ZAT-SA\Ustawienia%20lokalne\Temporary%20Internet%20Files\Content.IE5\WN5TK11E\Pakiet%20PROGNOZA%202008%20ZAT%20I-III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192.168.1.123\controlling\Wspolna-PA\Documents%20and%20Settings\WNaruc\Moje%20dokumenty\Program%20restrukturyzacji\2005_05\test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poluser1\CO_JB_NITRO\Dane_5\Zaklad\Ruch_5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poluser1\CO_JB_NITRO\Dane_6\Plany\Chemikal\Pl_Sp_Chm6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poluser1\CO_JB_NITRO\Dane_9\Import\Rap\Raport%209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zapbox\Foldery\Users\Robert\AppData\Local\Microsoft\Windows\Temporary%20Internet%20Files\Content.Outlook\8SBKI5JS\work\Pakiet%20konsolidacyjny%20NazwaJednostki%202005-12-31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poluser1\CO_JB_NITRO\GNC-Biuro%20Controllingu\plany%20miesi&#281;czne\2012\10.2012\Plansprzeda&#380;y_X_XI_XII_23_10_2012.xlsx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192.168.50.210\plany_roczne\pakiet\Wersja%20elektroniczna\pakiet%20II%202009\poz.%20stronyII%2009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zapbox\Foldery\Documents%20and%20Settings\ZAT-SA\Moje%20dokumenty\Pliki%20robocze\Moje%20dokumenty\Arkusze\Rent.%20p.%20Libera\Renta1006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zapbox\Foldery\Documents%20and%20Settings\anna.skotnicka\Ustawienia%20lokalne\Temporary%20Internet%20Files\Content.Outlook\HCRN3JQO\sprawozdanie%20dla%20Sp&#243;&#322;ek%20-%20noty1%20(2)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\\Poluser1\m23614\Documents%20and%20Settings\m23614\Pulpit\Bazy\Lipiec%202007\Do%20rankingu%20z%20klientami\Baza%20lipiec%202007%20kraj%20z%20klientami%2014%2008%20nawozy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\\Poluser1\m23614\Marketing\Opracowania\2007\Ranking%20dealer&#243;w%20za%20I%20kwarta&#322;%202005%20i%202006\Ranking%20bez%20sprzeda&#380;y%20mocznika\baza%20kraj%202005%20i%20I%20kw%202006%20nawozy%20bez%20mocznika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poluser1\CO_JB_NITRO\Users\m23534\AppData\Local\Microsoft\Windows\Temporary%20Internet%20Files\Content.Outlook\ZWFTHB7A\MRP_03_05_2013_21_03_2013_operatywny.xlsx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\\box\Formatki-planistyczne\Documents%20and%20Settings\mmaczka\Moje%20dokumenty\01%20PLAN\Plan%202011%202012\formatki\plan%20sprzedazy%20ERU.xlsx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\\Nawozy\budzet-pz\Budzet-PZ\Budzet-PZ\Budzet-PZ\Budzet-PZ\Budzet-PZ\Budzet-PZ\Budzet-PZ\Budzet-PZ\Budzet-PZ\Wspolna-FC\Bud&#380;ety\2007\wersja_5\test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\\Nawozy\budzet-pz\wspolna-nr3\Documents%20and%20Settings\WNaruc\Moje%20dokumenty\Program%20restrukturyzacji\2005_05\test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\\poluser1\CO_JB_NITRO\Dane_6\Zaklad\Ruch_6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\\zapbox\Foldery\Zintegrowany_plan_produkcji\Plan%202027\GA%202027\GK%20GA\GK%20GA%20%202027%20Plan%20roczny%20ver.%201.4.xlsx" TargetMode="External" Id="rId2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\\nawozy\Budzet-PZ\BUDZ2027\Archiwum\260819\Sprz27.xlsx" TargetMode="External" Id="rId2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\\nawozy\Budzet-PZ\BUDZ2027\Archiwum\260819\Produk27.xlsx" TargetMode="External" Id="rId2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\\Oxoplast\kontrol-pm\KONTROL_2027\BUD&#379;ET_2027\2027_Produkcja_W1_zapasy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S"/>
      <sheetName val="CF"/>
      <sheetName val="mo"/>
      <sheetName val="fin"/>
      <sheetName val="Makro"/>
      <sheetName val="DCF"/>
      <sheetName val="Indices"/>
      <sheetName val="CIT"/>
      <sheetName val="reszta 15"/>
      <sheetName val="reszta_15"/>
      <sheetName val="dane ceny wyroby 2011-2014"/>
      <sheetName val="dane sur"/>
      <sheetName val="surow ilości wg bazy dostaw m-c"/>
      <sheetName val="MPK"/>
      <sheetName val="reszta_151"/>
      <sheetName val="dane_ceny_wyroby_2011-2014"/>
      <sheetName val="dane_sur"/>
      <sheetName val="surow_ilości_wg_bazy_dostaw_m-c"/>
      <sheetName val="reszta_152"/>
      <sheetName val="dane_ceny_wyroby_2011-20141"/>
      <sheetName val="dane_sur1"/>
      <sheetName val="surow_ilości_wg_bazy_dostaw_m-1"/>
      <sheetName val="Słowniki"/>
      <sheetName val="reszta_153"/>
      <sheetName val="dane_ceny_wyroby_2011-20142"/>
      <sheetName val="dane_sur2"/>
      <sheetName val="surow_ilości_wg_bazy_dostaw_m-2"/>
      <sheetName val="Arkusz2"/>
    </sheetNames>
    <definedNames>
      <definedName name="bilans"/>
      <definedName name="cf"/>
      <definedName name="rw"/>
      <definedName name="zal"/>
      <definedName name="zamknij"/>
    </definedNames>
    <sheetDataSet>
      <sheetData sheetId="0"/>
      <sheetData sheetId="1"/>
      <sheetData sheetId="2"/>
      <sheetData sheetId="3"/>
      <sheetData sheetId="4">
        <row r="8">
          <cell r="F8">
            <v>2004</v>
          </cell>
          <cell r="G8">
            <v>2005</v>
          </cell>
          <cell r="H8">
            <v>2006</v>
          </cell>
          <cell r="I8">
            <v>2007</v>
          </cell>
          <cell r="J8">
            <v>2008</v>
          </cell>
          <cell r="K8">
            <v>2009</v>
          </cell>
          <cell r="L8">
            <v>2010</v>
          </cell>
          <cell r="M8">
            <v>2011</v>
          </cell>
          <cell r="N8">
            <v>2012</v>
          </cell>
          <cell r="O8">
            <v>2013</v>
          </cell>
          <cell r="P8">
            <v>2014</v>
          </cell>
          <cell r="Q8">
            <v>2015</v>
          </cell>
        </row>
        <row r="10">
          <cell r="D10" t="str">
            <v>Interest rates</v>
          </cell>
        </row>
        <row r="11">
          <cell r="D11" t="str">
            <v>WIBOR 1M</v>
          </cell>
          <cell r="F11">
            <v>5.4100000000000002E-2</v>
          </cell>
          <cell r="G11">
            <v>6.6400000000000001E-2</v>
          </cell>
          <cell r="H11">
            <v>4.5999999999999999E-2</v>
          </cell>
          <cell r="I11">
            <v>4.2000000000000003E-2</v>
          </cell>
          <cell r="J11">
            <v>4.5999999999999999E-2</v>
          </cell>
          <cell r="K11">
            <v>4.5999999999999999E-2</v>
          </cell>
          <cell r="L11">
            <v>4.5999999999999999E-2</v>
          </cell>
          <cell r="M11">
            <v>4.5999999999999999E-2</v>
          </cell>
          <cell r="N11">
            <v>4.5999999999999999E-2</v>
          </cell>
          <cell r="O11">
            <v>4.5999999999999999E-2</v>
          </cell>
          <cell r="P11">
            <v>4.5999999999999999E-2</v>
          </cell>
          <cell r="Q11">
            <v>4.5999999999999999E-2</v>
          </cell>
        </row>
        <row r="12">
          <cell r="D12" t="str">
            <v>WIBOR 3M</v>
          </cell>
          <cell r="F12">
            <v>5.6000000000000001E-2</v>
          </cell>
          <cell r="G12">
            <v>6.6500000000000004E-2</v>
          </cell>
          <cell r="H12">
            <v>4.5999999999999999E-2</v>
          </cell>
          <cell r="I12">
            <v>4.2999999999999997E-2</v>
          </cell>
          <cell r="J12">
            <v>4.8000000000000001E-2</v>
          </cell>
          <cell r="K12">
            <v>4.8000000000000001E-2</v>
          </cell>
          <cell r="L12">
            <v>4.8000000000000001E-2</v>
          </cell>
          <cell r="M12">
            <v>4.8000000000000001E-2</v>
          </cell>
          <cell r="N12">
            <v>4.8000000000000001E-2</v>
          </cell>
          <cell r="O12">
            <v>4.8000000000000001E-2</v>
          </cell>
          <cell r="P12">
            <v>4.8000000000000001E-2</v>
          </cell>
          <cell r="Q12">
            <v>4.8000000000000001E-2</v>
          </cell>
        </row>
        <row r="13">
          <cell r="D13" t="str">
            <v>WIBOR 6M</v>
          </cell>
          <cell r="F13">
            <v>0.17599999999999999</v>
          </cell>
          <cell r="G13">
            <v>0.108</v>
          </cell>
        </row>
        <row r="15">
          <cell r="D15" t="str">
            <v>EURIBOR 3M</v>
          </cell>
          <cell r="F15">
            <v>3.3000000000000002E-2</v>
          </cell>
          <cell r="G15">
            <v>3.6999999999999998E-2</v>
          </cell>
        </row>
        <row r="16">
          <cell r="D16" t="str">
            <v>EURIBOR 6M</v>
          </cell>
          <cell r="F16">
            <v>4.5999999999999999E-2</v>
          </cell>
          <cell r="G16">
            <v>4.2000000000000003E-2</v>
          </cell>
        </row>
        <row r="17">
          <cell r="D17" t="str">
            <v>LIBOR 3M (USD)</v>
          </cell>
          <cell r="F17">
            <v>5.7000000000000002E-2</v>
          </cell>
          <cell r="G17">
            <v>3.7999999999999999E-2</v>
          </cell>
        </row>
        <row r="18">
          <cell r="D18" t="str">
            <v>LIBOR 6M (USD)</v>
          </cell>
          <cell r="F18">
            <v>6.6000000000000003E-2</v>
          </cell>
          <cell r="G18">
            <v>5.5E-2</v>
          </cell>
        </row>
        <row r="20">
          <cell r="D20" t="str">
            <v>NBP interest rate</v>
          </cell>
        </row>
        <row r="21">
          <cell r="D21" t="str">
            <v>Kredyt lombardowy (średnioroczny)</v>
          </cell>
          <cell r="F21">
            <v>0.2</v>
          </cell>
          <cell r="G21">
            <v>0.19400000000000001</v>
          </cell>
          <cell r="H21">
            <v>0.115</v>
          </cell>
          <cell r="I21">
            <v>5.7000000000000002E-2</v>
          </cell>
          <cell r="J21">
            <v>6.0999999999999999E-2</v>
          </cell>
          <cell r="K21">
            <v>6.0999999999999999E-2</v>
          </cell>
          <cell r="L21">
            <v>6.0999999999999999E-2</v>
          </cell>
          <cell r="M21">
            <v>6.0999999999999999E-2</v>
          </cell>
          <cell r="N21">
            <v>6.0999999999999999E-2</v>
          </cell>
          <cell r="O21">
            <v>6.0999999999999999E-2</v>
          </cell>
          <cell r="P21">
            <v>6.0999999999999999E-2</v>
          </cell>
          <cell r="Q21">
            <v>6.0999999999999999E-2</v>
          </cell>
        </row>
        <row r="22">
          <cell r="D22" t="str">
            <v>Reference rate</v>
          </cell>
          <cell r="F22">
            <v>5.2499999999999998E-2</v>
          </cell>
          <cell r="G22">
            <v>6.5000000000000002E-2</v>
          </cell>
          <cell r="H22">
            <v>4.4999999999999998E-2</v>
          </cell>
          <cell r="I22">
            <v>4.2500000000000003E-2</v>
          </cell>
          <cell r="J22">
            <v>4.4999999999999998E-2</v>
          </cell>
          <cell r="K22">
            <v>4.4999999999999998E-2</v>
          </cell>
          <cell r="L22">
            <v>4.4999999999999998E-2</v>
          </cell>
          <cell r="M22">
            <v>4.4999999999999998E-2</v>
          </cell>
          <cell r="N22">
            <v>4.4999999999999998E-2</v>
          </cell>
          <cell r="O22">
            <v>4.4999999999999998E-2</v>
          </cell>
          <cell r="P22">
            <v>4.4999999999999998E-2</v>
          </cell>
          <cell r="Q22">
            <v>4.4999999999999998E-2</v>
          </cell>
        </row>
        <row r="24">
          <cell r="D24" t="str">
            <v>Inflation</v>
          </cell>
        </row>
        <row r="25">
          <cell r="D25" t="str">
            <v>Inflation in Poland (year average)</v>
          </cell>
          <cell r="F25">
            <v>8.0000000000000002E-3</v>
          </cell>
          <cell r="G25">
            <v>3.5000000000000003E-2</v>
          </cell>
          <cell r="H25">
            <v>2.1000000000000001E-2</v>
          </cell>
          <cell r="I25">
            <v>2.5000000000000001E-2</v>
          </cell>
          <cell r="J25">
            <v>2.5000000000000001E-2</v>
          </cell>
          <cell r="K25">
            <v>2.5000000000000001E-2</v>
          </cell>
          <cell r="L25">
            <v>2.5000000000000001E-2</v>
          </cell>
          <cell r="M25">
            <v>2.5000000000000001E-2</v>
          </cell>
          <cell r="N25">
            <v>2.5000000000000001E-2</v>
          </cell>
          <cell r="O25">
            <v>2.5000000000000001E-2</v>
          </cell>
          <cell r="P25">
            <v>2.5000000000000001E-2</v>
          </cell>
          <cell r="Q25">
            <v>2.5000000000000001E-2</v>
          </cell>
        </row>
        <row r="26">
          <cell r="D26" t="str">
            <v>Inflacja Euroland</v>
          </cell>
          <cell r="F26">
            <v>2.3E-2</v>
          </cell>
          <cell r="G26">
            <v>2.5000000000000001E-2</v>
          </cell>
          <cell r="H26">
            <v>2.1999999999999999E-2</v>
          </cell>
          <cell r="I26">
            <v>0.02</v>
          </cell>
          <cell r="J26">
            <v>0.02</v>
          </cell>
          <cell r="K26">
            <v>0.02</v>
          </cell>
          <cell r="L26">
            <v>0.02</v>
          </cell>
          <cell r="M26">
            <v>0.02</v>
          </cell>
          <cell r="N26">
            <v>0.02</v>
          </cell>
          <cell r="O26">
            <v>0.02</v>
          </cell>
          <cell r="P26">
            <v>0.02</v>
          </cell>
          <cell r="Q26">
            <v>0.02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ozliczenie"/>
      <sheetName val="lis"/>
      <sheetName val="gr pes"/>
      <sheetName val="gr real"/>
      <sheetName val="produkcja"/>
      <sheetName val="Arkusz1"/>
      <sheetName val="gr_pes"/>
      <sheetName val="gr_real"/>
      <sheetName val="marze przerob"/>
      <sheetName val="gr_pes1"/>
      <sheetName val="gr_real1"/>
      <sheetName val="gr_pes2"/>
      <sheetName val="gr_real2"/>
      <sheetName val="marze_przerob"/>
      <sheetName val="gr_pes3"/>
      <sheetName val="gr_real3"/>
      <sheetName val="marze_przerob1"/>
      <sheetName val="gr_pes5"/>
      <sheetName val="gr_real5"/>
      <sheetName val="marze_przerob3"/>
      <sheetName val="gr_pes4"/>
      <sheetName val="gr_real4"/>
      <sheetName val="marze_przerob2"/>
      <sheetName val="gr_pes6"/>
      <sheetName val="gr_real6"/>
      <sheetName val="marze_przerob4"/>
      <sheetName val="POMOC"/>
      <sheetName val="gr_pes7"/>
      <sheetName val="gr_real7"/>
      <sheetName val="marze_przerob5"/>
      <sheetName val="SP-W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wozy kraj kwiecień 2007"/>
      <sheetName val="Odbiorcy nawozy kraj III. 2007"/>
      <sheetName val="kraj kwiecień (7)"/>
      <sheetName val="kraj kwiecień (6)"/>
      <sheetName val="kraj kwiecień (5)"/>
      <sheetName val="kraj kwiecień (4)"/>
      <sheetName val="kraj kwiecień (3)"/>
      <sheetName val="kraj kwiecień (2)"/>
      <sheetName val="kraj kwiecień (1)"/>
      <sheetName val="tabela przest."/>
      <sheetName val="Arkusz1"/>
      <sheetName val="nawozy kraj bez EC"/>
      <sheetName val="Nawozy_kraj_kwiecień_2007"/>
      <sheetName val="Odbiorcy_nawozy_kraj_III__2007"/>
      <sheetName val="kraj_kwiecień_(7)"/>
      <sheetName val="kraj_kwiecień_(6)"/>
      <sheetName val="kraj_kwiecień_(5)"/>
      <sheetName val="kraj_kwiecień_(4)"/>
      <sheetName val="kraj_kwiecień_(3)"/>
      <sheetName val="kraj_kwiecień_(2)"/>
      <sheetName val="kraj_kwiecień_(1)"/>
      <sheetName val="tabela_przest_"/>
      <sheetName val="nawozy_kraj_bez_EC"/>
      <sheetName val="Dane"/>
      <sheetName val="Nawozy_kraj_kwiecień_20071"/>
      <sheetName val="Odbiorcy_nawozy_kraj_III__20071"/>
      <sheetName val="kraj_kwiecień_(7)1"/>
      <sheetName val="kraj_kwiecień_(6)1"/>
      <sheetName val="kraj_kwiecień_(5)1"/>
      <sheetName val="kraj_kwiecień_(4)1"/>
      <sheetName val="kraj_kwiecień_(3)1"/>
      <sheetName val="kraj_kwiecień_(2)1"/>
      <sheetName val="kraj_kwiecień_(1)1"/>
      <sheetName val="tabela_przest_1"/>
      <sheetName val="nawozy_kraj_bez_EC1"/>
      <sheetName val="Nawozy_kraj_kwiecień_20072"/>
      <sheetName val="Odbiorcy_nawozy_kraj_III__20072"/>
      <sheetName val="kraj_kwiecień_(7)2"/>
      <sheetName val="kraj_kwiecień_(6)2"/>
      <sheetName val="kraj_kwiecień_(5)2"/>
      <sheetName val="kraj_kwiecień_(4)2"/>
      <sheetName val="kraj_kwiecień_(3)2"/>
      <sheetName val="kraj_kwiecień_(2)2"/>
      <sheetName val="kraj_kwiecień_(1)2"/>
      <sheetName val="tabela_przest_2"/>
      <sheetName val="nawozy_kraj_bez_EC2"/>
      <sheetName val="Nawozy_kraj_kwiecień_20073"/>
      <sheetName val="Odbiorcy_nawozy_kraj_III__20073"/>
      <sheetName val="kraj_kwiecień_(7)3"/>
      <sheetName val="kraj_kwiecień_(6)3"/>
      <sheetName val="kraj_kwiecień_(5)3"/>
      <sheetName val="kraj_kwiecień_(4)3"/>
      <sheetName val="kraj_kwiecień_(3)3"/>
      <sheetName val="kraj_kwiecień_(2)3"/>
      <sheetName val="kraj_kwiecień_(1)3"/>
      <sheetName val="tabela_przest_3"/>
      <sheetName val="nawozy_kraj_bez_EC3"/>
      <sheetName val="Nawozy_kraj_kwiecień_20075"/>
      <sheetName val="Odbiorcy_nawozy_kraj_III__20075"/>
      <sheetName val="kraj_kwiecień_(7)5"/>
      <sheetName val="kraj_kwiecień_(6)5"/>
      <sheetName val="kraj_kwiecień_(5)5"/>
      <sheetName val="kraj_kwiecień_(4)5"/>
      <sheetName val="kraj_kwiecień_(3)5"/>
      <sheetName val="kraj_kwiecień_(2)5"/>
      <sheetName val="kraj_kwiecień_(1)5"/>
      <sheetName val="tabela_przest_5"/>
      <sheetName val="nawozy_kraj_bez_EC5"/>
      <sheetName val="Nawozy_kraj_kwiecień_20074"/>
      <sheetName val="Odbiorcy_nawozy_kraj_III__20074"/>
      <sheetName val="kraj_kwiecień_(7)4"/>
      <sheetName val="kraj_kwiecień_(6)4"/>
      <sheetName val="kraj_kwiecień_(5)4"/>
      <sheetName val="kraj_kwiecień_(4)4"/>
      <sheetName val="kraj_kwiecień_(3)4"/>
      <sheetName val="kraj_kwiecień_(2)4"/>
      <sheetName val="kraj_kwiecień_(1)4"/>
      <sheetName val="tabela_przest_4"/>
      <sheetName val="nawozy_kraj_bez_EC4"/>
      <sheetName val="Nawozy_kraj_kwiecień_20076"/>
      <sheetName val="Odbiorcy_nawozy_kraj_III__20076"/>
      <sheetName val="kraj_kwiecień_(7)6"/>
      <sheetName val="kraj_kwiecień_(6)6"/>
      <sheetName val="kraj_kwiecień_(5)6"/>
      <sheetName val="kraj_kwiecień_(4)6"/>
      <sheetName val="kraj_kwiecień_(3)6"/>
      <sheetName val="kraj_kwiecień_(2)6"/>
      <sheetName val="kraj_kwiecień_(1)6"/>
      <sheetName val="tabela_przest_6"/>
      <sheetName val="nawozy_kraj_bez_EC6"/>
      <sheetName val="Nawozy_kraj_kwiecień_20077"/>
      <sheetName val="Odbiorcy_nawozy_kraj_III__20077"/>
      <sheetName val="kraj_kwiecień_(7)7"/>
      <sheetName val="kraj_kwiecień_(6)7"/>
      <sheetName val="kraj_kwiecień_(5)7"/>
      <sheetName val="kraj_kwiecień_(4)7"/>
      <sheetName val="kraj_kwiecień_(3)7"/>
      <sheetName val="kraj_kwiecień_(2)7"/>
      <sheetName val="kraj_kwiecień_(1)7"/>
      <sheetName val="tabela_przest_7"/>
      <sheetName val="nawozy_kraj_bez_EC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A4" t="str">
            <v>PLN   Złoty</v>
          </cell>
          <cell r="B4" t="str">
            <v>1000/1420       NP 18-46 POLIDAP</v>
          </cell>
          <cell r="C4" t="str">
            <v>1000060    CIECH S.A.</v>
          </cell>
          <cell r="D4" t="str">
            <v>EC Export Ciech</v>
          </cell>
          <cell r="E4">
            <v>2214297.5699999901</v>
          </cell>
          <cell r="F4">
            <v>1949.7719999999899</v>
          </cell>
          <cell r="G4">
            <v>1757738.23</v>
          </cell>
          <cell r="H4">
            <v>113354.539999999</v>
          </cell>
          <cell r="I4">
            <v>81204.600000000006</v>
          </cell>
          <cell r="J4">
            <v>0</v>
          </cell>
          <cell r="K4">
            <v>0</v>
          </cell>
          <cell r="L4">
            <v>81204.600000000006</v>
          </cell>
          <cell r="M4">
            <v>1952297.37</v>
          </cell>
          <cell r="N4">
            <v>262000.2</v>
          </cell>
          <cell r="O4">
            <v>0</v>
          </cell>
          <cell r="P4">
            <v>1952297.37</v>
          </cell>
          <cell r="Q4">
            <v>262000.2</v>
          </cell>
          <cell r="R4">
            <v>26483.119999999901</v>
          </cell>
          <cell r="S4">
            <v>1978780.49</v>
          </cell>
          <cell r="T4">
            <v>235517.079999999</v>
          </cell>
        </row>
        <row r="5">
          <cell r="A5" t="str">
            <v>PLN   Złoty</v>
          </cell>
          <cell r="B5" t="str">
            <v>1000/1700       Mocznik</v>
          </cell>
          <cell r="C5" t="str">
            <v>1002098    KEYTRADE POLSKA SP.</v>
          </cell>
          <cell r="D5" t="str">
            <v>EC Export Ciech</v>
          </cell>
          <cell r="E5">
            <v>3966600.6</v>
          </cell>
          <cell r="F5">
            <v>4122</v>
          </cell>
          <cell r="G5">
            <v>2858775.47</v>
          </cell>
          <cell r="H5">
            <v>203058.66</v>
          </cell>
          <cell r="I5">
            <v>27180.54</v>
          </cell>
          <cell r="J5">
            <v>0</v>
          </cell>
          <cell r="K5">
            <v>0</v>
          </cell>
          <cell r="L5">
            <v>27180.54</v>
          </cell>
          <cell r="M5">
            <v>3089014.6699999901</v>
          </cell>
          <cell r="N5">
            <v>877585.93</v>
          </cell>
          <cell r="O5">
            <v>0</v>
          </cell>
          <cell r="P5">
            <v>3089014.6699999901</v>
          </cell>
          <cell r="Q5">
            <v>877585.93</v>
          </cell>
          <cell r="R5">
            <v>15423.15</v>
          </cell>
          <cell r="S5">
            <v>3104437.8199999901</v>
          </cell>
          <cell r="T5">
            <v>862162.78</v>
          </cell>
        </row>
        <row r="6">
          <cell r="A6" t="str">
            <v>PLN   Złoty</v>
          </cell>
          <cell r="B6" t="str">
            <v>1000/1401       NPK 6-20-30</v>
          </cell>
          <cell r="C6" t="str">
            <v>1000080    CN-KIELCE</v>
          </cell>
          <cell r="D6" t="str">
            <v>KB Sprzed. bezpośrednia</v>
          </cell>
          <cell r="E6">
            <v>25080</v>
          </cell>
          <cell r="F6">
            <v>24</v>
          </cell>
          <cell r="G6">
            <v>16998.47</v>
          </cell>
          <cell r="H6">
            <v>1283.8699999999899</v>
          </cell>
          <cell r="I6">
            <v>609.37</v>
          </cell>
          <cell r="J6">
            <v>1833.8399999999899</v>
          </cell>
          <cell r="K6">
            <v>0</v>
          </cell>
          <cell r="L6">
            <v>2443.21</v>
          </cell>
          <cell r="M6">
            <v>20725.549999999901</v>
          </cell>
          <cell r="N6">
            <v>4354.4499999999898</v>
          </cell>
          <cell r="O6">
            <v>0</v>
          </cell>
          <cell r="P6">
            <v>20725.549999999901</v>
          </cell>
          <cell r="Q6">
            <v>4354.4499999999898</v>
          </cell>
          <cell r="R6">
            <v>256.10000000000002</v>
          </cell>
          <cell r="S6">
            <v>20981.65</v>
          </cell>
          <cell r="T6">
            <v>4098.3500000000004</v>
          </cell>
        </row>
        <row r="7">
          <cell r="A7" t="str">
            <v>PLN   Złoty</v>
          </cell>
          <cell r="B7" t="str">
            <v>1000/1401       NPK 6-20-30</v>
          </cell>
          <cell r="C7" t="str">
            <v>1000112    GS 'SCh'</v>
          </cell>
          <cell r="D7" t="str">
            <v>KB Sprzed. bezpośrednia</v>
          </cell>
          <cell r="E7">
            <v>24000</v>
          </cell>
          <cell r="F7">
            <v>24</v>
          </cell>
          <cell r="G7">
            <v>16998.48</v>
          </cell>
          <cell r="H7">
            <v>1228.6099999999899</v>
          </cell>
          <cell r="I7">
            <v>609.37</v>
          </cell>
          <cell r="J7">
            <v>0</v>
          </cell>
          <cell r="K7">
            <v>0</v>
          </cell>
          <cell r="L7">
            <v>609.37</v>
          </cell>
          <cell r="M7">
            <v>18836.459999999901</v>
          </cell>
          <cell r="N7">
            <v>5163.54</v>
          </cell>
          <cell r="O7">
            <v>0</v>
          </cell>
          <cell r="P7">
            <v>18836.459999999901</v>
          </cell>
          <cell r="Q7">
            <v>5163.54</v>
          </cell>
          <cell r="R7">
            <v>256.10000000000002</v>
          </cell>
          <cell r="S7">
            <v>19092.560000000001</v>
          </cell>
          <cell r="T7">
            <v>4907.4399999999896</v>
          </cell>
        </row>
        <row r="8">
          <cell r="A8" t="str">
            <v>PLN   Złoty</v>
          </cell>
          <cell r="B8" t="str">
            <v>1000/1401       NPK 6-20-30</v>
          </cell>
          <cell r="C8" t="str">
            <v>1000117    SKIBA</v>
          </cell>
          <cell r="D8" t="str">
            <v>KB Sprzed. bezpośrednia</v>
          </cell>
          <cell r="E8">
            <v>124698.24000000001</v>
          </cell>
          <cell r="F8">
            <v>120</v>
          </cell>
          <cell r="G8">
            <v>86768.97</v>
          </cell>
          <cell r="H8">
            <v>6383.54</v>
          </cell>
          <cell r="I8">
            <v>3046.8499999999899</v>
          </cell>
          <cell r="J8">
            <v>9403.92</v>
          </cell>
          <cell r="K8">
            <v>0</v>
          </cell>
          <cell r="L8">
            <v>12450.77</v>
          </cell>
          <cell r="M8">
            <v>105603.28</v>
          </cell>
          <cell r="N8">
            <v>19094.959999999901</v>
          </cell>
          <cell r="O8">
            <v>0</v>
          </cell>
          <cell r="P8">
            <v>105603.28</v>
          </cell>
          <cell r="Q8">
            <v>19094.959999999901</v>
          </cell>
          <cell r="R8">
            <v>1307.29</v>
          </cell>
          <cell r="S8">
            <v>106910.57</v>
          </cell>
          <cell r="T8">
            <v>17787.6699999999</v>
          </cell>
        </row>
        <row r="9">
          <cell r="A9" t="str">
            <v>PLN   Złoty</v>
          </cell>
          <cell r="B9" t="str">
            <v>1000/1401       NPK 6-20-30</v>
          </cell>
          <cell r="C9" t="str">
            <v>1000120    GS-PABIANICE</v>
          </cell>
          <cell r="D9" t="str">
            <v>KB Sprzed. bezpośrednia</v>
          </cell>
          <cell r="E9">
            <v>25080</v>
          </cell>
          <cell r="F9">
            <v>24</v>
          </cell>
          <cell r="G9">
            <v>16998.47</v>
          </cell>
          <cell r="H9">
            <v>1283.8699999999899</v>
          </cell>
          <cell r="I9">
            <v>609.37</v>
          </cell>
          <cell r="J9">
            <v>1456.8</v>
          </cell>
          <cell r="K9">
            <v>0</v>
          </cell>
          <cell r="L9">
            <v>2066.17</v>
          </cell>
          <cell r="M9">
            <v>20348.5099999999</v>
          </cell>
          <cell r="N9">
            <v>4731.4899999999898</v>
          </cell>
          <cell r="O9">
            <v>0</v>
          </cell>
          <cell r="P9">
            <v>20348.5099999999</v>
          </cell>
          <cell r="Q9">
            <v>4731.4899999999898</v>
          </cell>
          <cell r="R9">
            <v>256.10000000000002</v>
          </cell>
          <cell r="S9">
            <v>20604.61</v>
          </cell>
          <cell r="T9">
            <v>4475.3900000000003</v>
          </cell>
        </row>
        <row r="10">
          <cell r="A10" t="str">
            <v>PLN   Złoty</v>
          </cell>
          <cell r="B10" t="str">
            <v>1000/1401       NPK 6-20-30</v>
          </cell>
          <cell r="C10" t="str">
            <v>1000150    GS-GRODZIS</v>
          </cell>
          <cell r="D10" t="str">
            <v>KB Sprzed. bezpośrednia</v>
          </cell>
          <cell r="E10">
            <v>25080</v>
          </cell>
          <cell r="F10">
            <v>24</v>
          </cell>
          <cell r="G10">
            <v>16998.47</v>
          </cell>
          <cell r="H10">
            <v>1283.8699999999899</v>
          </cell>
          <cell r="I10">
            <v>609.37</v>
          </cell>
          <cell r="J10">
            <v>2163.36</v>
          </cell>
          <cell r="K10">
            <v>0</v>
          </cell>
          <cell r="L10">
            <v>2772.73</v>
          </cell>
          <cell r="M10">
            <v>21055.07</v>
          </cell>
          <cell r="N10">
            <v>4024.9299999999898</v>
          </cell>
          <cell r="O10">
            <v>0</v>
          </cell>
          <cell r="P10">
            <v>21055.07</v>
          </cell>
          <cell r="Q10">
            <v>4024.9299999999898</v>
          </cell>
          <cell r="R10">
            <v>256.10000000000002</v>
          </cell>
          <cell r="S10">
            <v>21311.1699999999</v>
          </cell>
          <cell r="T10">
            <v>3768.8299999999899</v>
          </cell>
        </row>
        <row r="11">
          <cell r="A11" t="str">
            <v>PLN   Złoty</v>
          </cell>
          <cell r="B11" t="str">
            <v>1000/1401       NPK 6-20-30</v>
          </cell>
          <cell r="C11" t="str">
            <v>1000182    AGRA NOWA</v>
          </cell>
          <cell r="D11" t="str">
            <v>KB Sprzed. bezpośrednia</v>
          </cell>
          <cell r="E11">
            <v>24000</v>
          </cell>
          <cell r="F11">
            <v>24</v>
          </cell>
          <cell r="G11">
            <v>16998.47</v>
          </cell>
          <cell r="H11">
            <v>1228.6099999999899</v>
          </cell>
          <cell r="I11">
            <v>609.37</v>
          </cell>
          <cell r="J11">
            <v>0</v>
          </cell>
          <cell r="K11">
            <v>0</v>
          </cell>
          <cell r="L11">
            <v>609.37</v>
          </cell>
          <cell r="M11">
            <v>18836.45</v>
          </cell>
          <cell r="N11">
            <v>5163.55</v>
          </cell>
          <cell r="O11">
            <v>0</v>
          </cell>
          <cell r="P11">
            <v>18836.45</v>
          </cell>
          <cell r="Q11">
            <v>5163.55</v>
          </cell>
          <cell r="R11">
            <v>256.10000000000002</v>
          </cell>
          <cell r="S11">
            <v>19092.549999999901</v>
          </cell>
          <cell r="T11">
            <v>4907.4499999999898</v>
          </cell>
        </row>
        <row r="12">
          <cell r="A12" t="str">
            <v>PLN   Złoty</v>
          </cell>
          <cell r="B12" t="str">
            <v>1000/1401       NPK 6-20-30</v>
          </cell>
          <cell r="C12" t="str">
            <v>1000192    ROLBUD</v>
          </cell>
          <cell r="D12" t="str">
            <v>KB Sprzed. bezpośrednia</v>
          </cell>
          <cell r="E12">
            <v>25250</v>
          </cell>
          <cell r="F12">
            <v>25</v>
          </cell>
          <cell r="G12">
            <v>17706.740000000002</v>
          </cell>
          <cell r="H12">
            <v>1292.6400000000001</v>
          </cell>
          <cell r="I12">
            <v>634.75999999999897</v>
          </cell>
          <cell r="J12">
            <v>1693.74</v>
          </cell>
          <cell r="K12">
            <v>0</v>
          </cell>
          <cell r="L12">
            <v>2328.5</v>
          </cell>
          <cell r="M12">
            <v>21327.88</v>
          </cell>
          <cell r="N12">
            <v>3922.1199999999899</v>
          </cell>
          <cell r="O12">
            <v>0</v>
          </cell>
          <cell r="P12">
            <v>21327.88</v>
          </cell>
          <cell r="Q12">
            <v>3922.1199999999899</v>
          </cell>
          <cell r="R12">
            <v>266.76999999999902</v>
          </cell>
          <cell r="S12">
            <v>21594.65</v>
          </cell>
          <cell r="T12">
            <v>3655.3499999999899</v>
          </cell>
        </row>
        <row r="13">
          <cell r="A13" t="str">
            <v>PLN   Złoty</v>
          </cell>
          <cell r="B13" t="str">
            <v>1000/1401       NPK 6-20-30</v>
          </cell>
          <cell r="C13" t="str">
            <v>1000205    SKŁODOWSKI</v>
          </cell>
          <cell r="D13" t="str">
            <v>KB Sprzed. bezpośrednia</v>
          </cell>
          <cell r="E13">
            <v>174331.92</v>
          </cell>
          <cell r="F13">
            <v>168</v>
          </cell>
          <cell r="G13">
            <v>122797.25999999901</v>
          </cell>
          <cell r="H13">
            <v>8924.3799999999901</v>
          </cell>
          <cell r="I13">
            <v>4265.59</v>
          </cell>
          <cell r="J13">
            <v>10181.280000000001</v>
          </cell>
          <cell r="K13">
            <v>0</v>
          </cell>
          <cell r="L13">
            <v>14446.87</v>
          </cell>
          <cell r="M13">
            <v>146168.51</v>
          </cell>
          <cell r="N13">
            <v>28163.41</v>
          </cell>
          <cell r="O13">
            <v>0</v>
          </cell>
          <cell r="P13">
            <v>146168.51</v>
          </cell>
          <cell r="Q13">
            <v>28163.41</v>
          </cell>
          <cell r="R13">
            <v>1850.14</v>
          </cell>
          <cell r="S13">
            <v>148018.649999999</v>
          </cell>
          <cell r="T13">
            <v>26313.27</v>
          </cell>
        </row>
        <row r="14">
          <cell r="A14" t="str">
            <v>PLN   Złoty</v>
          </cell>
          <cell r="B14" t="str">
            <v>1000/1401       NPK 6-20-30</v>
          </cell>
          <cell r="C14" t="str">
            <v>1000226    MAŁECCY</v>
          </cell>
          <cell r="D14" t="str">
            <v>KB Sprzed. bezpośrednia</v>
          </cell>
          <cell r="E14">
            <v>14000</v>
          </cell>
          <cell r="F14">
            <v>14</v>
          </cell>
          <cell r="G14">
            <v>9915.77</v>
          </cell>
          <cell r="H14">
            <v>716.66999999999905</v>
          </cell>
          <cell r="I14">
            <v>355.45999999999901</v>
          </cell>
          <cell r="J14">
            <v>0</v>
          </cell>
          <cell r="K14">
            <v>0</v>
          </cell>
          <cell r="L14">
            <v>355.45999999999901</v>
          </cell>
          <cell r="M14">
            <v>10987.9</v>
          </cell>
          <cell r="N14">
            <v>3012.0999999999899</v>
          </cell>
          <cell r="O14">
            <v>0</v>
          </cell>
          <cell r="P14">
            <v>10987.9</v>
          </cell>
          <cell r="Q14">
            <v>3012.0999999999899</v>
          </cell>
          <cell r="R14">
            <v>149.41999999999899</v>
          </cell>
          <cell r="S14">
            <v>11137.32</v>
          </cell>
          <cell r="T14">
            <v>2862.6799999999898</v>
          </cell>
        </row>
        <row r="15">
          <cell r="A15" t="str">
            <v>PLN   Złoty</v>
          </cell>
          <cell r="B15" t="str">
            <v>1000/1401       NPK 6-20-30</v>
          </cell>
          <cell r="C15" t="str">
            <v>1000248    DYMNY</v>
          </cell>
          <cell r="D15" t="str">
            <v>KB Sprzed. bezpośrednia</v>
          </cell>
          <cell r="E15">
            <v>524304</v>
          </cell>
          <cell r="F15">
            <v>528</v>
          </cell>
          <cell r="G15">
            <v>379185.03</v>
          </cell>
          <cell r="H15">
            <v>26840.23</v>
          </cell>
          <cell r="I15">
            <v>13406.11</v>
          </cell>
          <cell r="J15">
            <v>0</v>
          </cell>
          <cell r="K15">
            <v>0</v>
          </cell>
          <cell r="L15">
            <v>13406.11</v>
          </cell>
          <cell r="M15">
            <v>419431.37</v>
          </cell>
          <cell r="N15">
            <v>104872.63</v>
          </cell>
          <cell r="O15">
            <v>0</v>
          </cell>
          <cell r="P15">
            <v>419431.37</v>
          </cell>
          <cell r="Q15">
            <v>104872.63</v>
          </cell>
          <cell r="R15">
            <v>5713.04</v>
          </cell>
          <cell r="S15">
            <v>425144.40999999898</v>
          </cell>
          <cell r="T15">
            <v>99159.589999999895</v>
          </cell>
        </row>
        <row r="16">
          <cell r="A16" t="str">
            <v>PLN   Złoty</v>
          </cell>
          <cell r="B16" t="str">
            <v>1000/1401       NPK 6-20-30</v>
          </cell>
          <cell r="C16" t="str">
            <v>1000252    AGROSKŁAD</v>
          </cell>
          <cell r="D16" t="str">
            <v>KB Sprzed. bezpośrednia</v>
          </cell>
          <cell r="E16">
            <v>24904.560000000001</v>
          </cell>
          <cell r="F16">
            <v>24</v>
          </cell>
          <cell r="G16">
            <v>16998.47</v>
          </cell>
          <cell r="H16">
            <v>1274.9000000000001</v>
          </cell>
          <cell r="I16">
            <v>609.37</v>
          </cell>
          <cell r="J16">
            <v>1833.8399999999899</v>
          </cell>
          <cell r="K16">
            <v>0</v>
          </cell>
          <cell r="L16">
            <v>2443.21</v>
          </cell>
          <cell r="M16">
            <v>20716.580000000002</v>
          </cell>
          <cell r="N16">
            <v>4187.9799999999896</v>
          </cell>
          <cell r="O16">
            <v>0</v>
          </cell>
          <cell r="P16">
            <v>20716.580000000002</v>
          </cell>
          <cell r="Q16">
            <v>4187.9799999999896</v>
          </cell>
          <cell r="R16">
            <v>256.10000000000002</v>
          </cell>
          <cell r="S16">
            <v>20972.68</v>
          </cell>
          <cell r="T16">
            <v>3931.88</v>
          </cell>
        </row>
        <row r="17">
          <cell r="A17" t="str">
            <v>PLN   Złoty</v>
          </cell>
          <cell r="B17" t="str">
            <v>1000/1401       NPK 6-20-30</v>
          </cell>
          <cell r="C17" t="str">
            <v>1000257    MAGROL</v>
          </cell>
          <cell r="D17" t="str">
            <v>KB Sprzed. bezpośrednia</v>
          </cell>
          <cell r="E17">
            <v>37356.839999999902</v>
          </cell>
          <cell r="F17">
            <v>36</v>
          </cell>
          <cell r="G17">
            <v>25497.709999999901</v>
          </cell>
          <cell r="H17">
            <v>1912.3299999999899</v>
          </cell>
          <cell r="I17">
            <v>914.05999999999904</v>
          </cell>
          <cell r="J17">
            <v>1788.1199999999899</v>
          </cell>
          <cell r="K17">
            <v>0</v>
          </cell>
          <cell r="L17">
            <v>2702.1799999999898</v>
          </cell>
          <cell r="M17">
            <v>30112.22</v>
          </cell>
          <cell r="N17">
            <v>7244.6199999999899</v>
          </cell>
          <cell r="O17">
            <v>0</v>
          </cell>
          <cell r="P17">
            <v>30112.22</v>
          </cell>
          <cell r="Q17">
            <v>7244.6199999999899</v>
          </cell>
          <cell r="R17">
            <v>384.18</v>
          </cell>
          <cell r="S17">
            <v>30496.400000000001</v>
          </cell>
          <cell r="T17">
            <v>6860.4399999999896</v>
          </cell>
        </row>
        <row r="18">
          <cell r="A18" t="str">
            <v>PLN   Złoty</v>
          </cell>
          <cell r="B18" t="str">
            <v>1000/1401       NPK 6-20-30</v>
          </cell>
          <cell r="C18" t="str">
            <v>1000263    PRO-AGRO</v>
          </cell>
          <cell r="D18" t="str">
            <v>KB Sprzed. bezpośrednia</v>
          </cell>
          <cell r="E18">
            <v>25080</v>
          </cell>
          <cell r="F18">
            <v>24</v>
          </cell>
          <cell r="G18">
            <v>16998.47</v>
          </cell>
          <cell r="H18">
            <v>1283.8699999999899</v>
          </cell>
          <cell r="I18">
            <v>609.37</v>
          </cell>
          <cell r="J18">
            <v>1992.72</v>
          </cell>
          <cell r="K18">
            <v>0</v>
          </cell>
          <cell r="L18">
            <v>2602.09</v>
          </cell>
          <cell r="M18">
            <v>20884.43</v>
          </cell>
          <cell r="N18">
            <v>4195.5699999999897</v>
          </cell>
          <cell r="O18">
            <v>0</v>
          </cell>
          <cell r="P18">
            <v>20884.43</v>
          </cell>
          <cell r="Q18">
            <v>4195.5699999999897</v>
          </cell>
          <cell r="R18">
            <v>256.10000000000002</v>
          </cell>
          <cell r="S18">
            <v>21140.529999999901</v>
          </cell>
          <cell r="T18">
            <v>3939.4699999999898</v>
          </cell>
        </row>
        <row r="19">
          <cell r="A19" t="str">
            <v>PLN   Złoty</v>
          </cell>
          <cell r="B19" t="str">
            <v>1000/1401       NPK 6-20-30</v>
          </cell>
          <cell r="C19" t="str">
            <v>1000273    HANDEL ARTYKUŁAMI K.</v>
          </cell>
          <cell r="D19" t="str">
            <v>KB Sprzed. bezpośrednia</v>
          </cell>
          <cell r="E19">
            <v>23832</v>
          </cell>
          <cell r="F19">
            <v>24</v>
          </cell>
          <cell r="G19">
            <v>16998.47</v>
          </cell>
          <cell r="H19">
            <v>1220.03</v>
          </cell>
          <cell r="I19">
            <v>609.37</v>
          </cell>
          <cell r="J19">
            <v>0</v>
          </cell>
          <cell r="K19">
            <v>0</v>
          </cell>
          <cell r="L19">
            <v>609.37</v>
          </cell>
          <cell r="M19">
            <v>18827.869999999901</v>
          </cell>
          <cell r="N19">
            <v>5004.13</v>
          </cell>
          <cell r="O19">
            <v>0</v>
          </cell>
          <cell r="P19">
            <v>18827.869999999901</v>
          </cell>
          <cell r="Q19">
            <v>5004.13</v>
          </cell>
          <cell r="R19">
            <v>256.10000000000002</v>
          </cell>
          <cell r="S19">
            <v>19083.97</v>
          </cell>
          <cell r="T19">
            <v>4748.0299999999897</v>
          </cell>
        </row>
        <row r="20">
          <cell r="A20" t="str">
            <v>PLN   Złoty</v>
          </cell>
          <cell r="B20" t="str">
            <v>1000/1401       NPK 6-20-30</v>
          </cell>
          <cell r="C20" t="str">
            <v>1000277    ATRANS</v>
          </cell>
          <cell r="D20" t="str">
            <v>KB Sprzed. bezpośrednia</v>
          </cell>
          <cell r="E20">
            <v>73992</v>
          </cell>
          <cell r="F20">
            <v>72</v>
          </cell>
          <cell r="G20">
            <v>50995.41</v>
          </cell>
          <cell r="H20">
            <v>3787.8</v>
          </cell>
          <cell r="I20">
            <v>1828.1099999999899</v>
          </cell>
          <cell r="J20">
            <v>3561.5999999999899</v>
          </cell>
          <cell r="K20">
            <v>0</v>
          </cell>
          <cell r="L20">
            <v>5389.71</v>
          </cell>
          <cell r="M20">
            <v>60172.919999999896</v>
          </cell>
          <cell r="N20">
            <v>13819.08</v>
          </cell>
          <cell r="O20">
            <v>0</v>
          </cell>
          <cell r="P20">
            <v>60172.919999999896</v>
          </cell>
          <cell r="Q20">
            <v>13819.08</v>
          </cell>
          <cell r="R20">
            <v>768.32</v>
          </cell>
          <cell r="S20">
            <v>60941.239999999903</v>
          </cell>
          <cell r="T20">
            <v>13050.76</v>
          </cell>
        </row>
        <row r="21">
          <cell r="A21" t="str">
            <v>PLN   Złoty</v>
          </cell>
          <cell r="B21" t="str">
            <v>1000/1401       NPK 6-20-30</v>
          </cell>
          <cell r="C21" t="str">
            <v>1000286    ZAPROL Sp. z o.o.</v>
          </cell>
          <cell r="D21" t="str">
            <v>KB Sprzed. bezpośrednia</v>
          </cell>
          <cell r="E21">
            <v>74306.320000000007</v>
          </cell>
          <cell r="F21">
            <v>76</v>
          </cell>
          <cell r="G21">
            <v>58068.889999999898</v>
          </cell>
          <cell r="H21">
            <v>3803.94</v>
          </cell>
          <cell r="I21">
            <v>1929.66</v>
          </cell>
          <cell r="J21">
            <v>0</v>
          </cell>
          <cell r="K21">
            <v>0</v>
          </cell>
          <cell r="L21">
            <v>1929.66</v>
          </cell>
          <cell r="M21">
            <v>63802.489999999903</v>
          </cell>
          <cell r="N21">
            <v>10503.83</v>
          </cell>
          <cell r="O21">
            <v>0</v>
          </cell>
          <cell r="P21">
            <v>63802.489999999903</v>
          </cell>
          <cell r="Q21">
            <v>10503.83</v>
          </cell>
          <cell r="R21">
            <v>874.88999999999896</v>
          </cell>
          <cell r="S21">
            <v>64677.379999999903</v>
          </cell>
          <cell r="T21">
            <v>9628.94</v>
          </cell>
        </row>
        <row r="22">
          <cell r="A22" t="str">
            <v>PLN   Złoty</v>
          </cell>
          <cell r="B22" t="str">
            <v>1000/1401       NPK 6-20-30</v>
          </cell>
          <cell r="C22" t="str">
            <v>1000289    PLON A.Dadrzyński</v>
          </cell>
          <cell r="D22" t="str">
            <v>KB Sprzed. bezpośrednia</v>
          </cell>
          <cell r="E22">
            <v>163847.359999999</v>
          </cell>
          <cell r="F22">
            <v>158</v>
          </cell>
          <cell r="G22">
            <v>113443.69</v>
          </cell>
          <cell r="H22">
            <v>8387.67</v>
          </cell>
          <cell r="I22">
            <v>4011.6799999999898</v>
          </cell>
          <cell r="J22">
            <v>10288.5</v>
          </cell>
          <cell r="K22">
            <v>0</v>
          </cell>
          <cell r="L22">
            <v>14300.18</v>
          </cell>
          <cell r="M22">
            <v>136131.54</v>
          </cell>
          <cell r="N22">
            <v>27715.82</v>
          </cell>
          <cell r="O22">
            <v>0</v>
          </cell>
          <cell r="P22">
            <v>136131.54</v>
          </cell>
          <cell r="Q22">
            <v>27715.82</v>
          </cell>
          <cell r="R22">
            <v>1709.19</v>
          </cell>
          <cell r="S22">
            <v>137840.73000000001</v>
          </cell>
          <cell r="T22">
            <v>26006.63</v>
          </cell>
        </row>
        <row r="23">
          <cell r="A23" t="str">
            <v>PLN   Złoty</v>
          </cell>
          <cell r="B23" t="str">
            <v>1000/1401       NPK 6-20-30</v>
          </cell>
          <cell r="C23" t="str">
            <v>1000291    "AGRO-BIZNES" SP.J.</v>
          </cell>
          <cell r="D23" t="str">
            <v>KB Sprzed. bezpośrednia</v>
          </cell>
          <cell r="E23">
            <v>47664</v>
          </cell>
          <cell r="F23">
            <v>48</v>
          </cell>
          <cell r="G23">
            <v>34885.25</v>
          </cell>
          <cell r="H23">
            <v>2440.0599999999899</v>
          </cell>
          <cell r="I23">
            <v>1218.74</v>
          </cell>
          <cell r="J23">
            <v>0</v>
          </cell>
          <cell r="K23">
            <v>0</v>
          </cell>
          <cell r="L23">
            <v>1218.74</v>
          </cell>
          <cell r="M23">
            <v>38544.050000000003</v>
          </cell>
          <cell r="N23">
            <v>9119.9500000000007</v>
          </cell>
          <cell r="O23">
            <v>0</v>
          </cell>
          <cell r="P23">
            <v>38544.050000000003</v>
          </cell>
          <cell r="Q23">
            <v>9119.9500000000007</v>
          </cell>
          <cell r="R23">
            <v>525.61</v>
          </cell>
          <cell r="S23">
            <v>39069.660000000003</v>
          </cell>
          <cell r="T23">
            <v>8594.34</v>
          </cell>
        </row>
        <row r="24">
          <cell r="A24" t="str">
            <v>PLN   Złoty</v>
          </cell>
          <cell r="B24" t="str">
            <v>1000/1401       NPK 6-20-30</v>
          </cell>
          <cell r="C24" t="str">
            <v>1000524    "CHEMIROL" SP. Z O.O</v>
          </cell>
          <cell r="D24" t="str">
            <v>KB Sprzed. bezpośrednia</v>
          </cell>
          <cell r="E24">
            <v>47664</v>
          </cell>
          <cell r="F24">
            <v>48</v>
          </cell>
          <cell r="G24">
            <v>35773.559999999903</v>
          </cell>
          <cell r="H24">
            <v>2440.04</v>
          </cell>
          <cell r="I24">
            <v>1218.74</v>
          </cell>
          <cell r="J24">
            <v>0</v>
          </cell>
          <cell r="K24">
            <v>0</v>
          </cell>
          <cell r="L24">
            <v>1218.74</v>
          </cell>
          <cell r="M24">
            <v>39432.339999999902</v>
          </cell>
          <cell r="N24">
            <v>8231.6599999999908</v>
          </cell>
          <cell r="O24">
            <v>0</v>
          </cell>
          <cell r="P24">
            <v>39432.339999999902</v>
          </cell>
          <cell r="Q24">
            <v>8231.6599999999908</v>
          </cell>
          <cell r="R24">
            <v>538.97</v>
          </cell>
          <cell r="S24">
            <v>39971.309999999903</v>
          </cell>
          <cell r="T24">
            <v>7692.6899999999896</v>
          </cell>
        </row>
        <row r="25">
          <cell r="A25" t="str">
            <v>PLN   Złoty</v>
          </cell>
          <cell r="B25" t="str">
            <v>1000/1401       NPK 6-20-30</v>
          </cell>
          <cell r="C25" t="str">
            <v>1000592    NOŻYŃSKI</v>
          </cell>
          <cell r="D25" t="str">
            <v>KB Sprzed. bezpośrednia</v>
          </cell>
          <cell r="E25">
            <v>24720</v>
          </cell>
          <cell r="F25">
            <v>24</v>
          </cell>
          <cell r="G25">
            <v>16998.47</v>
          </cell>
          <cell r="H25">
            <v>1265.48</v>
          </cell>
          <cell r="I25">
            <v>609.37</v>
          </cell>
          <cell r="J25">
            <v>2119.1999999999898</v>
          </cell>
          <cell r="K25">
            <v>0</v>
          </cell>
          <cell r="L25">
            <v>2728.57</v>
          </cell>
          <cell r="M25">
            <v>20992.52</v>
          </cell>
          <cell r="N25">
            <v>3727.48</v>
          </cell>
          <cell r="O25">
            <v>0</v>
          </cell>
          <cell r="P25">
            <v>20992.52</v>
          </cell>
          <cell r="Q25">
            <v>3727.48</v>
          </cell>
          <cell r="R25">
            <v>256.10000000000002</v>
          </cell>
          <cell r="S25">
            <v>21248.619999999901</v>
          </cell>
          <cell r="T25">
            <v>3471.38</v>
          </cell>
        </row>
        <row r="26">
          <cell r="A26" t="str">
            <v>PLN   Złoty</v>
          </cell>
          <cell r="B26" t="str">
            <v>1000/1401       NPK 6-20-30</v>
          </cell>
          <cell r="C26" t="str">
            <v>1000607    POGES</v>
          </cell>
          <cell r="D26" t="str">
            <v>KB Sprzed. bezpośrednia</v>
          </cell>
          <cell r="E26">
            <v>11916</v>
          </cell>
          <cell r="F26">
            <v>12</v>
          </cell>
          <cell r="G26">
            <v>8499.2399999999907</v>
          </cell>
          <cell r="H26">
            <v>609.99</v>
          </cell>
          <cell r="I26">
            <v>304.68</v>
          </cell>
          <cell r="J26">
            <v>0</v>
          </cell>
          <cell r="K26">
            <v>0</v>
          </cell>
          <cell r="L26">
            <v>304.68</v>
          </cell>
          <cell r="M26">
            <v>9413.9099999999908</v>
          </cell>
          <cell r="N26">
            <v>2502.09</v>
          </cell>
          <cell r="O26">
            <v>0</v>
          </cell>
          <cell r="P26">
            <v>9413.9099999999908</v>
          </cell>
          <cell r="Q26">
            <v>2502.09</v>
          </cell>
          <cell r="R26">
            <v>128.06</v>
          </cell>
          <cell r="S26">
            <v>9541.9699999999903</v>
          </cell>
          <cell r="T26">
            <v>2374.0300000000002</v>
          </cell>
        </row>
        <row r="27">
          <cell r="A27" t="str">
            <v>PLN   Złoty</v>
          </cell>
          <cell r="B27" t="str">
            <v>1000/1401       NPK 6-20-30</v>
          </cell>
          <cell r="C27" t="str">
            <v>1000662    "AGRO-HANDLOWIEC" K</v>
          </cell>
          <cell r="D27" t="str">
            <v>KB Sprzed. bezpośrednia</v>
          </cell>
          <cell r="E27">
            <v>268855.799999999</v>
          </cell>
          <cell r="F27">
            <v>261</v>
          </cell>
          <cell r="G27">
            <v>186889.72</v>
          </cell>
          <cell r="H27">
            <v>13763.29</v>
          </cell>
          <cell r="I27">
            <v>6626.88</v>
          </cell>
          <cell r="J27">
            <v>13810.93</v>
          </cell>
          <cell r="K27">
            <v>0</v>
          </cell>
          <cell r="L27">
            <v>20437.810000000001</v>
          </cell>
          <cell r="M27">
            <v>221090.82</v>
          </cell>
          <cell r="N27">
            <v>47764.98</v>
          </cell>
          <cell r="O27">
            <v>0</v>
          </cell>
          <cell r="P27">
            <v>221090.82</v>
          </cell>
          <cell r="Q27">
            <v>47764.98</v>
          </cell>
          <cell r="R27">
            <v>2815.76</v>
          </cell>
          <cell r="S27">
            <v>223906.579999999</v>
          </cell>
          <cell r="T27">
            <v>44949.22</v>
          </cell>
        </row>
        <row r="28">
          <cell r="A28" t="str">
            <v>PLN   Złoty</v>
          </cell>
          <cell r="B28" t="str">
            <v>1000/1401       NPK 6-20-30</v>
          </cell>
          <cell r="C28" t="str">
            <v>1000725    SGS-LUBLIN</v>
          </cell>
          <cell r="D28" t="str">
            <v>KB Sprzed. bezpośrednia</v>
          </cell>
          <cell r="E28">
            <v>25080</v>
          </cell>
          <cell r="F28">
            <v>24</v>
          </cell>
          <cell r="G28">
            <v>16998.48</v>
          </cell>
          <cell r="H28">
            <v>1283.8699999999899</v>
          </cell>
          <cell r="I28">
            <v>609.37</v>
          </cell>
          <cell r="J28">
            <v>2013.24</v>
          </cell>
          <cell r="K28">
            <v>0</v>
          </cell>
          <cell r="L28">
            <v>2622.61</v>
          </cell>
          <cell r="M28">
            <v>20904.959999999901</v>
          </cell>
          <cell r="N28">
            <v>4175.04</v>
          </cell>
          <cell r="O28">
            <v>0</v>
          </cell>
          <cell r="P28">
            <v>20904.959999999901</v>
          </cell>
          <cell r="Q28">
            <v>4175.04</v>
          </cell>
          <cell r="R28">
            <v>256.10000000000002</v>
          </cell>
          <cell r="S28">
            <v>21161.06</v>
          </cell>
          <cell r="T28">
            <v>3918.94</v>
          </cell>
        </row>
        <row r="29">
          <cell r="A29" t="str">
            <v>PLN   Złoty</v>
          </cell>
          <cell r="B29" t="str">
            <v>1000/1401       NPK 6-20-30</v>
          </cell>
          <cell r="C29" t="str">
            <v>1000808    TERRA Sp. z o.o.</v>
          </cell>
          <cell r="D29" t="str">
            <v>KB Sprzed. bezpośrednia</v>
          </cell>
          <cell r="E29">
            <v>11916</v>
          </cell>
          <cell r="F29">
            <v>12</v>
          </cell>
          <cell r="G29">
            <v>8499.2399999999907</v>
          </cell>
          <cell r="H29">
            <v>609.99</v>
          </cell>
          <cell r="I29">
            <v>304.68</v>
          </cell>
          <cell r="J29">
            <v>0</v>
          </cell>
          <cell r="K29">
            <v>0</v>
          </cell>
          <cell r="L29">
            <v>304.68</v>
          </cell>
          <cell r="M29">
            <v>9413.9099999999908</v>
          </cell>
          <cell r="N29">
            <v>2502.09</v>
          </cell>
          <cell r="O29">
            <v>0</v>
          </cell>
          <cell r="P29">
            <v>9413.9099999999908</v>
          </cell>
          <cell r="Q29">
            <v>2502.09</v>
          </cell>
          <cell r="R29">
            <v>128.06</v>
          </cell>
          <cell r="S29">
            <v>9541.9699999999903</v>
          </cell>
          <cell r="T29">
            <v>2374.0300000000002</v>
          </cell>
        </row>
        <row r="30">
          <cell r="A30" t="str">
            <v>PLN   Złoty</v>
          </cell>
          <cell r="B30" t="str">
            <v>1000/1401       NPK 6-20-30</v>
          </cell>
          <cell r="C30" t="str">
            <v>1000982    TORAL Elżbieta Krupa</v>
          </cell>
          <cell r="D30" t="str">
            <v>KB Sprzed. bezpośrednia</v>
          </cell>
          <cell r="E30">
            <v>84050</v>
          </cell>
          <cell r="F30">
            <v>82</v>
          </cell>
          <cell r="G30">
            <v>58078.11</v>
          </cell>
          <cell r="H30">
            <v>4302.7299999999896</v>
          </cell>
          <cell r="I30">
            <v>2082.0100000000002</v>
          </cell>
          <cell r="J30">
            <v>3339.4299999999898</v>
          </cell>
          <cell r="K30">
            <v>0</v>
          </cell>
          <cell r="L30">
            <v>5421.4399999999896</v>
          </cell>
          <cell r="M30">
            <v>67802.279999999897</v>
          </cell>
          <cell r="N30">
            <v>16247.719999999899</v>
          </cell>
          <cell r="O30">
            <v>0</v>
          </cell>
          <cell r="P30">
            <v>67802.279999999897</v>
          </cell>
          <cell r="Q30">
            <v>16247.719999999899</v>
          </cell>
          <cell r="R30">
            <v>875.03999999999905</v>
          </cell>
          <cell r="S30">
            <v>68677.320000000007</v>
          </cell>
          <cell r="T30">
            <v>15372.68</v>
          </cell>
        </row>
        <row r="31">
          <cell r="A31" t="str">
            <v>PLN   Złoty</v>
          </cell>
          <cell r="B31" t="str">
            <v>1000/1401       NPK 6-20-30</v>
          </cell>
          <cell r="C31" t="str">
            <v>1001024    TALAGA</v>
          </cell>
          <cell r="D31" t="str">
            <v>KB Sprzed. bezpośrednia</v>
          </cell>
          <cell r="E31">
            <v>57743</v>
          </cell>
          <cell r="F31">
            <v>58</v>
          </cell>
          <cell r="G31">
            <v>41866.779999999897</v>
          </cell>
          <cell r="H31">
            <v>2956</v>
          </cell>
          <cell r="I31">
            <v>1472.64</v>
          </cell>
          <cell r="J31">
            <v>0</v>
          </cell>
          <cell r="K31">
            <v>0</v>
          </cell>
          <cell r="L31">
            <v>1472.64</v>
          </cell>
          <cell r="M31">
            <v>46295.419999999896</v>
          </cell>
          <cell r="N31">
            <v>11447.58</v>
          </cell>
          <cell r="O31">
            <v>0</v>
          </cell>
          <cell r="P31">
            <v>46295.419999999896</v>
          </cell>
          <cell r="Q31">
            <v>11447.58</v>
          </cell>
          <cell r="R31">
            <v>630.80999999999904</v>
          </cell>
          <cell r="S31">
            <v>46926.23</v>
          </cell>
          <cell r="T31">
            <v>10816.77</v>
          </cell>
        </row>
        <row r="32">
          <cell r="A32" t="str">
            <v>PLN   Złoty</v>
          </cell>
          <cell r="B32" t="str">
            <v>1000/1401       NPK 6-20-30</v>
          </cell>
          <cell r="C32" t="str">
            <v>1001481    Hurt.Śr.Ochr.Roślin-</v>
          </cell>
          <cell r="D32" t="str">
            <v>KB Sprzed. bezpośrednia</v>
          </cell>
          <cell r="E32">
            <v>24645.84</v>
          </cell>
          <cell r="F32">
            <v>24</v>
          </cell>
          <cell r="G32">
            <v>16998.47</v>
          </cell>
          <cell r="H32">
            <v>1261.5999999999899</v>
          </cell>
          <cell r="I32">
            <v>609.37</v>
          </cell>
          <cell r="J32">
            <v>2207.7600000000002</v>
          </cell>
          <cell r="K32">
            <v>0</v>
          </cell>
          <cell r="L32">
            <v>2817.13</v>
          </cell>
          <cell r="M32">
            <v>21077.200000000001</v>
          </cell>
          <cell r="N32">
            <v>3568.6399999999899</v>
          </cell>
          <cell r="O32">
            <v>0</v>
          </cell>
          <cell r="P32">
            <v>21077.200000000001</v>
          </cell>
          <cell r="Q32">
            <v>3568.6399999999899</v>
          </cell>
          <cell r="R32">
            <v>256.10000000000002</v>
          </cell>
          <cell r="S32">
            <v>21333.299999999901</v>
          </cell>
          <cell r="T32">
            <v>3312.54</v>
          </cell>
        </row>
        <row r="33">
          <cell r="A33" t="str">
            <v>PLN   Złoty</v>
          </cell>
          <cell r="B33" t="str">
            <v>1000/1401       NPK 6-20-30</v>
          </cell>
          <cell r="C33" t="str">
            <v>1001494    AGROLOK Sp. z o.o.</v>
          </cell>
          <cell r="D33" t="str">
            <v>KB Sprzed. bezpośrednia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7578.72</v>
          </cell>
          <cell r="K33">
            <v>0</v>
          </cell>
          <cell r="L33">
            <v>7578.72</v>
          </cell>
          <cell r="M33">
            <v>7578.72</v>
          </cell>
          <cell r="N33">
            <v>-7578.72</v>
          </cell>
          <cell r="O33">
            <v>0</v>
          </cell>
          <cell r="P33">
            <v>7578.72</v>
          </cell>
          <cell r="Q33">
            <v>-7578.72</v>
          </cell>
          <cell r="R33">
            <v>0</v>
          </cell>
          <cell r="S33">
            <v>7578.72</v>
          </cell>
          <cell r="T33">
            <v>-7578.72</v>
          </cell>
        </row>
        <row r="34">
          <cell r="A34" t="str">
            <v>PLN   Złoty</v>
          </cell>
          <cell r="B34" t="str">
            <v>1000/1401       NPK 6-20-30</v>
          </cell>
          <cell r="C34" t="str">
            <v>1001983    FAZOT</v>
          </cell>
          <cell r="D34" t="str">
            <v>KB Sprzed. bezpośrednia</v>
          </cell>
          <cell r="E34">
            <v>36720</v>
          </cell>
          <cell r="F34">
            <v>36</v>
          </cell>
          <cell r="G34">
            <v>25497.709999999901</v>
          </cell>
          <cell r="H34">
            <v>1879.76</v>
          </cell>
          <cell r="I34">
            <v>914.05999999999904</v>
          </cell>
          <cell r="J34">
            <v>1212.48</v>
          </cell>
          <cell r="K34">
            <v>0</v>
          </cell>
          <cell r="L34">
            <v>2126.54</v>
          </cell>
          <cell r="M34">
            <v>29504.0099999999</v>
          </cell>
          <cell r="N34">
            <v>7215.9899999999898</v>
          </cell>
          <cell r="O34">
            <v>0</v>
          </cell>
          <cell r="P34">
            <v>29504.0099999999</v>
          </cell>
          <cell r="Q34">
            <v>7215.9899999999898</v>
          </cell>
          <cell r="R34">
            <v>384.18</v>
          </cell>
          <cell r="S34">
            <v>29888.1899999999</v>
          </cell>
          <cell r="T34">
            <v>6831.81</v>
          </cell>
        </row>
        <row r="35">
          <cell r="A35" t="str">
            <v>PLN   Złoty</v>
          </cell>
          <cell r="B35" t="str">
            <v>1000/1401       NPK 6-20-30</v>
          </cell>
          <cell r="C35" t="str">
            <v>1001988    ROLNIK-KOŚCIAN</v>
          </cell>
          <cell r="D35" t="str">
            <v>KB Sprzed. bezpośrednia</v>
          </cell>
          <cell r="E35">
            <v>552603.47999999905</v>
          </cell>
          <cell r="F35">
            <v>528</v>
          </cell>
          <cell r="G35">
            <v>388999.44</v>
          </cell>
          <cell r="H35">
            <v>28288.97</v>
          </cell>
          <cell r="I35">
            <v>13406.1</v>
          </cell>
          <cell r="J35">
            <v>14672.4</v>
          </cell>
          <cell r="K35">
            <v>0</v>
          </cell>
          <cell r="L35">
            <v>28078.5</v>
          </cell>
          <cell r="M35">
            <v>445366.90999999898</v>
          </cell>
          <cell r="N35">
            <v>107236.57</v>
          </cell>
          <cell r="O35">
            <v>0</v>
          </cell>
          <cell r="P35">
            <v>445366.90999999898</v>
          </cell>
          <cell r="Q35">
            <v>107236.57</v>
          </cell>
          <cell r="R35">
            <v>5860.9099999999899</v>
          </cell>
          <cell r="S35">
            <v>451227.82</v>
          </cell>
          <cell r="T35">
            <v>101375.66</v>
          </cell>
        </row>
        <row r="36">
          <cell r="A36" t="str">
            <v>PLN   Złoty</v>
          </cell>
          <cell r="B36" t="str">
            <v>1000/1401       NPK 6-20-30</v>
          </cell>
          <cell r="C36" t="str">
            <v>1001991    WAMEX</v>
          </cell>
          <cell r="D36" t="str">
            <v>KB Sprzed. bezpośrednia</v>
          </cell>
          <cell r="E36">
            <v>116031.48</v>
          </cell>
          <cell r="F36">
            <v>114</v>
          </cell>
          <cell r="G36">
            <v>80742.740000000005</v>
          </cell>
          <cell r="H36">
            <v>5939.89</v>
          </cell>
          <cell r="I36">
            <v>2894.4899999999898</v>
          </cell>
          <cell r="J36">
            <v>7914.1</v>
          </cell>
          <cell r="K36">
            <v>0</v>
          </cell>
          <cell r="L36">
            <v>10808.59</v>
          </cell>
          <cell r="M36">
            <v>97491.22</v>
          </cell>
          <cell r="N36">
            <v>18540.2599999999</v>
          </cell>
          <cell r="O36">
            <v>0</v>
          </cell>
          <cell r="P36">
            <v>97491.22</v>
          </cell>
          <cell r="Q36">
            <v>18540.2599999999</v>
          </cell>
          <cell r="R36">
            <v>1216.52</v>
          </cell>
          <cell r="S36">
            <v>98707.74</v>
          </cell>
          <cell r="T36">
            <v>17323.740000000002</v>
          </cell>
        </row>
        <row r="37">
          <cell r="A37" t="str">
            <v>PLN   Złoty</v>
          </cell>
          <cell r="B37" t="str">
            <v>1000/1401       NPK 6-20-30</v>
          </cell>
          <cell r="C37" t="str">
            <v>1001994    SKR-STRZELCE</v>
          </cell>
          <cell r="D37" t="str">
            <v>KB Sprzed. bezpośrednia</v>
          </cell>
          <cell r="E37">
            <v>63730.8</v>
          </cell>
          <cell r="F37">
            <v>64</v>
          </cell>
          <cell r="G37">
            <v>47162.139999999898</v>
          </cell>
          <cell r="H37">
            <v>3262.51</v>
          </cell>
          <cell r="I37">
            <v>1624.99</v>
          </cell>
          <cell r="J37">
            <v>0</v>
          </cell>
          <cell r="K37">
            <v>0</v>
          </cell>
          <cell r="L37">
            <v>1624.99</v>
          </cell>
          <cell r="M37">
            <v>52049.639999999898</v>
          </cell>
          <cell r="N37">
            <v>11681.16</v>
          </cell>
          <cell r="O37">
            <v>0</v>
          </cell>
          <cell r="P37">
            <v>52049.639999999898</v>
          </cell>
          <cell r="Q37">
            <v>11681.16</v>
          </cell>
          <cell r="R37">
            <v>710.58</v>
          </cell>
          <cell r="S37">
            <v>52760.22</v>
          </cell>
          <cell r="T37">
            <v>10970.58</v>
          </cell>
        </row>
        <row r="38">
          <cell r="A38" t="str">
            <v>PLN   Złoty</v>
          </cell>
          <cell r="B38" t="str">
            <v>1000/1401       NPK 6-20-30</v>
          </cell>
          <cell r="C38" t="str">
            <v>1002009    AGROTECHNI</v>
          </cell>
          <cell r="D38" t="str">
            <v>KB Sprzed. bezpośrednia</v>
          </cell>
          <cell r="E38">
            <v>-280</v>
          </cell>
          <cell r="F38">
            <v>0</v>
          </cell>
          <cell r="G38">
            <v>0</v>
          </cell>
          <cell r="H38">
            <v>-14.33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-14.33</v>
          </cell>
          <cell r="N38">
            <v>-265.67</v>
          </cell>
          <cell r="O38">
            <v>0</v>
          </cell>
          <cell r="P38">
            <v>-14.33</v>
          </cell>
          <cell r="Q38">
            <v>-265.67</v>
          </cell>
          <cell r="R38">
            <v>0</v>
          </cell>
          <cell r="S38">
            <v>-14.33</v>
          </cell>
          <cell r="T38">
            <v>-265.67</v>
          </cell>
        </row>
        <row r="39">
          <cell r="A39" t="str">
            <v>PLN   Złoty</v>
          </cell>
          <cell r="B39" t="str">
            <v>1000/1401       NPK 6-20-30</v>
          </cell>
          <cell r="C39" t="str">
            <v>1002056    GS-Koronowo</v>
          </cell>
          <cell r="D39" t="str">
            <v>KB Sprzed. bezpośrednia</v>
          </cell>
          <cell r="E39">
            <v>57265</v>
          </cell>
          <cell r="F39">
            <v>55</v>
          </cell>
          <cell r="G39">
            <v>39582.75</v>
          </cell>
          <cell r="H39">
            <v>2931.54</v>
          </cell>
          <cell r="I39">
            <v>1396.47</v>
          </cell>
          <cell r="J39">
            <v>1910.04</v>
          </cell>
          <cell r="K39">
            <v>0</v>
          </cell>
          <cell r="L39">
            <v>3306.51</v>
          </cell>
          <cell r="M39">
            <v>45820.800000000003</v>
          </cell>
          <cell r="N39">
            <v>11444.2</v>
          </cell>
          <cell r="O39">
            <v>0</v>
          </cell>
          <cell r="P39">
            <v>45820.800000000003</v>
          </cell>
          <cell r="Q39">
            <v>11444.2</v>
          </cell>
          <cell r="R39">
            <v>596.36</v>
          </cell>
          <cell r="S39">
            <v>46417.16</v>
          </cell>
          <cell r="T39">
            <v>10847.84</v>
          </cell>
        </row>
        <row r="40">
          <cell r="A40" t="str">
            <v>PLN   Złoty</v>
          </cell>
          <cell r="B40" t="str">
            <v>1000/1401       NPK 6-20-30</v>
          </cell>
          <cell r="C40" t="str">
            <v>1002058    GS-Gardeja</v>
          </cell>
          <cell r="D40" t="str">
            <v>KB Sprzed. bezpośrednia</v>
          </cell>
          <cell r="E40">
            <v>18810</v>
          </cell>
          <cell r="F40">
            <v>18</v>
          </cell>
          <cell r="G40">
            <v>12748.85</v>
          </cell>
          <cell r="H40">
            <v>962.88</v>
          </cell>
          <cell r="I40">
            <v>457.01999999999902</v>
          </cell>
          <cell r="J40">
            <v>909.36</v>
          </cell>
          <cell r="K40">
            <v>0</v>
          </cell>
          <cell r="L40">
            <v>1366.38</v>
          </cell>
          <cell r="M40">
            <v>15078.11</v>
          </cell>
          <cell r="N40">
            <v>3731.8899999999899</v>
          </cell>
          <cell r="O40">
            <v>0</v>
          </cell>
          <cell r="P40">
            <v>15078.11</v>
          </cell>
          <cell r="Q40">
            <v>3731.8899999999899</v>
          </cell>
          <cell r="R40">
            <v>192.099999999999</v>
          </cell>
          <cell r="S40">
            <v>15270.209999999901</v>
          </cell>
          <cell r="T40">
            <v>3539.79</v>
          </cell>
        </row>
        <row r="41">
          <cell r="A41" t="str">
            <v>PLN   Złoty</v>
          </cell>
          <cell r="B41" t="str">
            <v>1000/1401       NPK 6-20-30</v>
          </cell>
          <cell r="C41" t="str">
            <v>1002407    ROLBUD</v>
          </cell>
          <cell r="D41" t="str">
            <v>KB Sprzed. bezpośrednia</v>
          </cell>
          <cell r="E41">
            <v>23474.639999999901</v>
          </cell>
          <cell r="F41">
            <v>24</v>
          </cell>
          <cell r="G41">
            <v>16998.47</v>
          </cell>
          <cell r="H41">
            <v>1201.69</v>
          </cell>
          <cell r="I41">
            <v>609.37</v>
          </cell>
          <cell r="J41">
            <v>0</v>
          </cell>
          <cell r="K41">
            <v>0</v>
          </cell>
          <cell r="L41">
            <v>609.37</v>
          </cell>
          <cell r="M41">
            <v>18809.529999999901</v>
          </cell>
          <cell r="N41">
            <v>4665.1099999999897</v>
          </cell>
          <cell r="O41">
            <v>0</v>
          </cell>
          <cell r="P41">
            <v>18809.529999999901</v>
          </cell>
          <cell r="Q41">
            <v>4665.1099999999897</v>
          </cell>
          <cell r="R41">
            <v>256.10000000000002</v>
          </cell>
          <cell r="S41">
            <v>19065.63</v>
          </cell>
          <cell r="T41">
            <v>4409.01</v>
          </cell>
        </row>
        <row r="42">
          <cell r="A42" t="str">
            <v>PLN   Złoty</v>
          </cell>
          <cell r="B42" t="str">
            <v>1000/1401       NPK 6-20-30</v>
          </cell>
          <cell r="C42" t="str">
            <v>1002643    "MINERAL" SP. Z O.O.</v>
          </cell>
          <cell r="D42" t="str">
            <v>KB Sprzed. bezpośrednia</v>
          </cell>
          <cell r="E42">
            <v>22173.799999999901</v>
          </cell>
          <cell r="F42">
            <v>22</v>
          </cell>
          <cell r="G42">
            <v>17313.650000000001</v>
          </cell>
          <cell r="H42">
            <v>1135.1199999999899</v>
          </cell>
          <cell r="I42">
            <v>558.58000000000004</v>
          </cell>
          <cell r="J42">
            <v>0</v>
          </cell>
          <cell r="K42">
            <v>0</v>
          </cell>
          <cell r="L42">
            <v>558.58000000000004</v>
          </cell>
          <cell r="M42">
            <v>19007.3499999999</v>
          </cell>
          <cell r="N42">
            <v>3166.4499999999898</v>
          </cell>
          <cell r="O42">
            <v>0</v>
          </cell>
          <cell r="P42">
            <v>19007.3499999999</v>
          </cell>
          <cell r="Q42">
            <v>3166.4499999999898</v>
          </cell>
          <cell r="R42">
            <v>260.85000000000002</v>
          </cell>
          <cell r="S42">
            <v>19268.2</v>
          </cell>
          <cell r="T42">
            <v>2905.5999999999899</v>
          </cell>
        </row>
        <row r="43">
          <cell r="A43" t="str">
            <v>PLN   Złoty</v>
          </cell>
          <cell r="B43" t="str">
            <v>1000/1401       NPK 6-20-30</v>
          </cell>
          <cell r="C43" t="str">
            <v>1002790    AGRO-SKŁAD SZYMON NO</v>
          </cell>
          <cell r="D43" t="str">
            <v>KB Sprzed. bezpośrednia</v>
          </cell>
          <cell r="E43">
            <v>164496</v>
          </cell>
          <cell r="F43">
            <v>165</v>
          </cell>
          <cell r="G43">
            <v>120603.2</v>
          </cell>
          <cell r="H43">
            <v>8420.94</v>
          </cell>
          <cell r="I43">
            <v>4189.4099999999899</v>
          </cell>
          <cell r="J43">
            <v>0</v>
          </cell>
          <cell r="K43">
            <v>0</v>
          </cell>
          <cell r="L43">
            <v>4189.4099999999899</v>
          </cell>
          <cell r="M43">
            <v>133213.549999999</v>
          </cell>
          <cell r="N43">
            <v>31282.45</v>
          </cell>
          <cell r="O43">
            <v>0</v>
          </cell>
          <cell r="P43">
            <v>133213.549999999</v>
          </cell>
          <cell r="Q43">
            <v>31282.45</v>
          </cell>
          <cell r="R43">
            <v>1817.0799999999899</v>
          </cell>
          <cell r="S43">
            <v>135030.63</v>
          </cell>
          <cell r="T43">
            <v>29465.369999999901</v>
          </cell>
        </row>
        <row r="44">
          <cell r="A44" t="str">
            <v>PLN   Złoty</v>
          </cell>
          <cell r="B44" t="str">
            <v>1000/1401       NPK 6-20-30</v>
          </cell>
          <cell r="C44" t="str">
            <v>1003056    LECHPOL SP. Z O.O.</v>
          </cell>
          <cell r="D44" t="str">
            <v>KB Sprzed. bezpośrednia</v>
          </cell>
          <cell r="E44">
            <v>147472.799999999</v>
          </cell>
          <cell r="F44">
            <v>144</v>
          </cell>
          <cell r="G44">
            <v>102519.13</v>
          </cell>
          <cell r="H44">
            <v>7549.39</v>
          </cell>
          <cell r="I44">
            <v>3656.21</v>
          </cell>
          <cell r="J44">
            <v>8521.68</v>
          </cell>
          <cell r="K44">
            <v>0</v>
          </cell>
          <cell r="L44">
            <v>12177.889999999899</v>
          </cell>
          <cell r="M44">
            <v>122246.41</v>
          </cell>
          <cell r="N44">
            <v>25226.389999999901</v>
          </cell>
          <cell r="O44">
            <v>0</v>
          </cell>
          <cell r="P44">
            <v>122246.41</v>
          </cell>
          <cell r="Q44">
            <v>25226.389999999901</v>
          </cell>
          <cell r="R44">
            <v>1544.5999999999899</v>
          </cell>
          <cell r="S44">
            <v>123791.00999999901</v>
          </cell>
          <cell r="T44">
            <v>23681.79</v>
          </cell>
        </row>
        <row r="45">
          <cell r="A45" t="str">
            <v>PLN   Złoty</v>
          </cell>
          <cell r="B45" t="str">
            <v>1000/1401       NPK 6-20-30</v>
          </cell>
          <cell r="C45" t="str">
            <v>1003605    "AGROMUND"</v>
          </cell>
          <cell r="D45" t="str">
            <v>KB Sprzed. bezpośrednia</v>
          </cell>
          <cell r="E45">
            <v>24904.560000000001</v>
          </cell>
          <cell r="F45">
            <v>24</v>
          </cell>
          <cell r="G45">
            <v>16998.47</v>
          </cell>
          <cell r="H45">
            <v>1274.9000000000001</v>
          </cell>
          <cell r="I45">
            <v>609.37</v>
          </cell>
          <cell r="J45">
            <v>1456.8</v>
          </cell>
          <cell r="K45">
            <v>0</v>
          </cell>
          <cell r="L45">
            <v>2066.17</v>
          </cell>
          <cell r="M45">
            <v>20339.54</v>
          </cell>
          <cell r="N45">
            <v>4565.0200000000004</v>
          </cell>
          <cell r="O45">
            <v>0</v>
          </cell>
          <cell r="P45">
            <v>20339.54</v>
          </cell>
          <cell r="Q45">
            <v>4565.0200000000004</v>
          </cell>
          <cell r="R45">
            <v>256.10000000000002</v>
          </cell>
          <cell r="S45">
            <v>20595.639999999901</v>
          </cell>
          <cell r="T45">
            <v>4308.92</v>
          </cell>
        </row>
        <row r="46">
          <cell r="A46" t="str">
            <v>PLN   Złoty</v>
          </cell>
          <cell r="B46" t="str">
            <v>1000/1401       NPK 6-20-30</v>
          </cell>
          <cell r="C46" t="str">
            <v>1003827    STAL-BUD</v>
          </cell>
          <cell r="D46" t="str">
            <v>KB Sprzed. bezpośrednia</v>
          </cell>
          <cell r="E46">
            <v>74806.619999999893</v>
          </cell>
          <cell r="F46">
            <v>73</v>
          </cell>
          <cell r="G46">
            <v>51703.69</v>
          </cell>
          <cell r="H46">
            <v>3829.51</v>
          </cell>
          <cell r="I46">
            <v>1853.5</v>
          </cell>
          <cell r="J46">
            <v>6143.51</v>
          </cell>
          <cell r="K46">
            <v>0</v>
          </cell>
          <cell r="L46">
            <v>7997.01</v>
          </cell>
          <cell r="M46">
            <v>63530.209999999897</v>
          </cell>
          <cell r="N46">
            <v>11276.41</v>
          </cell>
          <cell r="O46">
            <v>0</v>
          </cell>
          <cell r="P46">
            <v>63530.209999999897</v>
          </cell>
          <cell r="Q46">
            <v>11276.41</v>
          </cell>
          <cell r="R46">
            <v>779.00999999999897</v>
          </cell>
          <cell r="S46">
            <v>64309.22</v>
          </cell>
          <cell r="T46">
            <v>10497.4</v>
          </cell>
        </row>
        <row r="47">
          <cell r="A47" t="str">
            <v>PLN   Złoty</v>
          </cell>
          <cell r="B47" t="str">
            <v>1000/1401       NPK 6-20-30</v>
          </cell>
          <cell r="C47" t="str">
            <v>1003857    EDMAR</v>
          </cell>
          <cell r="D47" t="str">
            <v>KB Sprzed. bezpośrednia</v>
          </cell>
          <cell r="E47">
            <v>100320</v>
          </cell>
          <cell r="F47">
            <v>96</v>
          </cell>
          <cell r="G47">
            <v>67993.88</v>
          </cell>
          <cell r="H47">
            <v>5135.5799999999899</v>
          </cell>
          <cell r="I47">
            <v>2437.48</v>
          </cell>
          <cell r="J47">
            <v>7388.1599999999899</v>
          </cell>
          <cell r="K47">
            <v>0</v>
          </cell>
          <cell r="L47">
            <v>9825.6399999999903</v>
          </cell>
          <cell r="M47">
            <v>82955.100000000006</v>
          </cell>
          <cell r="N47">
            <v>17364.900000000001</v>
          </cell>
          <cell r="O47">
            <v>0</v>
          </cell>
          <cell r="P47">
            <v>82955.100000000006</v>
          </cell>
          <cell r="Q47">
            <v>17364.900000000001</v>
          </cell>
          <cell r="R47">
            <v>1024.43</v>
          </cell>
          <cell r="S47">
            <v>83979.529999999897</v>
          </cell>
          <cell r="T47">
            <v>16340.469999999899</v>
          </cell>
        </row>
        <row r="48">
          <cell r="A48" t="str">
            <v>PLN   Złoty</v>
          </cell>
          <cell r="B48" t="str">
            <v>1000/1401       NPK 6-20-30</v>
          </cell>
          <cell r="C48" t="str">
            <v>1003981    GRUPA POLSKIE SKŁADY</v>
          </cell>
          <cell r="D48" t="str">
            <v>KB Sprzed. bezpośrednia</v>
          </cell>
          <cell r="E48">
            <v>23832</v>
          </cell>
          <cell r="F48">
            <v>24</v>
          </cell>
          <cell r="G48">
            <v>16998.47</v>
          </cell>
          <cell r="H48">
            <v>1220.03</v>
          </cell>
          <cell r="I48">
            <v>609.37</v>
          </cell>
          <cell r="J48">
            <v>0</v>
          </cell>
          <cell r="K48">
            <v>0</v>
          </cell>
          <cell r="L48">
            <v>609.37</v>
          </cell>
          <cell r="M48">
            <v>18827.869999999901</v>
          </cell>
          <cell r="N48">
            <v>5004.13</v>
          </cell>
          <cell r="O48">
            <v>0</v>
          </cell>
          <cell r="P48">
            <v>18827.869999999901</v>
          </cell>
          <cell r="Q48">
            <v>5004.13</v>
          </cell>
          <cell r="R48">
            <v>256.10000000000002</v>
          </cell>
          <cell r="S48">
            <v>19083.97</v>
          </cell>
          <cell r="T48">
            <v>4748.0299999999897</v>
          </cell>
        </row>
        <row r="49">
          <cell r="A49" t="str">
            <v>PLN   Złoty</v>
          </cell>
          <cell r="B49" t="str">
            <v>1000/1401       NPK 6-20-30</v>
          </cell>
          <cell r="C49" t="str">
            <v>1003988    BLENDING Sp.z o.o.</v>
          </cell>
          <cell r="D49" t="str">
            <v>KB Sprzed. bezpośrednia</v>
          </cell>
          <cell r="E49">
            <v>48912</v>
          </cell>
          <cell r="F49">
            <v>48</v>
          </cell>
          <cell r="G49">
            <v>33996.94</v>
          </cell>
          <cell r="H49">
            <v>2503.92</v>
          </cell>
          <cell r="I49">
            <v>1218.74</v>
          </cell>
          <cell r="J49">
            <v>1833.8399999999899</v>
          </cell>
          <cell r="K49">
            <v>0</v>
          </cell>
          <cell r="L49">
            <v>3052.5799999999899</v>
          </cell>
          <cell r="M49">
            <v>39553.440000000002</v>
          </cell>
          <cell r="N49">
            <v>9358.5599999999904</v>
          </cell>
          <cell r="O49">
            <v>0</v>
          </cell>
          <cell r="P49">
            <v>39553.440000000002</v>
          </cell>
          <cell r="Q49">
            <v>9358.5599999999904</v>
          </cell>
          <cell r="R49">
            <v>512.22</v>
          </cell>
          <cell r="S49">
            <v>40065.660000000003</v>
          </cell>
          <cell r="T49">
            <v>8846.34</v>
          </cell>
        </row>
        <row r="50">
          <cell r="A50" t="str">
            <v>PLN   Złoty</v>
          </cell>
          <cell r="B50" t="str">
            <v>1000/1401       NPK 6-20-30</v>
          </cell>
          <cell r="C50" t="str">
            <v>1004168    "OSADKOWSKI" SPÓŁKA</v>
          </cell>
          <cell r="D50" t="str">
            <v>KB Sprzed. bezpośrednia</v>
          </cell>
          <cell r="E50">
            <v>34720</v>
          </cell>
          <cell r="F50">
            <v>34</v>
          </cell>
          <cell r="G50">
            <v>24081.1699999999</v>
          </cell>
          <cell r="H50">
            <v>1777.4</v>
          </cell>
          <cell r="I50">
            <v>863.26999999999896</v>
          </cell>
          <cell r="J50">
            <v>1065.5999999999899</v>
          </cell>
          <cell r="K50">
            <v>0</v>
          </cell>
          <cell r="L50">
            <v>1928.8699999999899</v>
          </cell>
          <cell r="M50">
            <v>27787.4399999999</v>
          </cell>
          <cell r="N50">
            <v>6932.56</v>
          </cell>
          <cell r="O50">
            <v>0</v>
          </cell>
          <cell r="P50">
            <v>27787.4399999999</v>
          </cell>
          <cell r="Q50">
            <v>6932.56</v>
          </cell>
          <cell r="R50">
            <v>362.81999999999903</v>
          </cell>
          <cell r="S50">
            <v>28150.2599999999</v>
          </cell>
          <cell r="T50">
            <v>6569.7399999999898</v>
          </cell>
        </row>
        <row r="51">
          <cell r="A51" t="str">
            <v>PLN   Złoty</v>
          </cell>
          <cell r="B51" t="str">
            <v>1000/1401       NPK 6-20-30</v>
          </cell>
          <cell r="C51" t="str">
            <v>1004208    Morawski-Sprzed.Art.</v>
          </cell>
          <cell r="D51" t="str">
            <v>KB Sprzed. bezpośrednia</v>
          </cell>
          <cell r="E51">
            <v>50160</v>
          </cell>
          <cell r="F51">
            <v>48</v>
          </cell>
          <cell r="G51">
            <v>33996.94</v>
          </cell>
          <cell r="H51">
            <v>2567.8000000000002</v>
          </cell>
          <cell r="I51">
            <v>1218.74</v>
          </cell>
          <cell r="J51">
            <v>3325.92</v>
          </cell>
          <cell r="K51">
            <v>0</v>
          </cell>
          <cell r="L51">
            <v>4544.6599999999899</v>
          </cell>
          <cell r="M51">
            <v>41109.4</v>
          </cell>
          <cell r="N51">
            <v>9050.6</v>
          </cell>
          <cell r="O51">
            <v>0</v>
          </cell>
          <cell r="P51">
            <v>41109.4</v>
          </cell>
          <cell r="Q51">
            <v>9050.6</v>
          </cell>
          <cell r="R51">
            <v>512.22</v>
          </cell>
          <cell r="S51">
            <v>41621.620000000003</v>
          </cell>
          <cell r="T51">
            <v>8538.3799999999901</v>
          </cell>
        </row>
        <row r="52">
          <cell r="A52" t="str">
            <v>PLN   Złoty</v>
          </cell>
          <cell r="B52" t="str">
            <v>1000/1401       NPK 6-20-30</v>
          </cell>
          <cell r="C52" t="str">
            <v>1004534    FIRMA HANDLOWA "ROLB</v>
          </cell>
          <cell r="D52" t="str">
            <v>KB Sprzed. bezpośrednia</v>
          </cell>
          <cell r="E52">
            <v>23832</v>
          </cell>
          <cell r="F52">
            <v>24</v>
          </cell>
          <cell r="G52">
            <v>16998.47</v>
          </cell>
          <cell r="H52">
            <v>1220.03</v>
          </cell>
          <cell r="I52">
            <v>609.37</v>
          </cell>
          <cell r="J52">
            <v>0</v>
          </cell>
          <cell r="K52">
            <v>0</v>
          </cell>
          <cell r="L52">
            <v>609.37</v>
          </cell>
          <cell r="M52">
            <v>18827.869999999901</v>
          </cell>
          <cell r="N52">
            <v>5004.13</v>
          </cell>
          <cell r="O52">
            <v>0</v>
          </cell>
          <cell r="P52">
            <v>18827.869999999901</v>
          </cell>
          <cell r="Q52">
            <v>5004.13</v>
          </cell>
          <cell r="R52">
            <v>256.10000000000002</v>
          </cell>
          <cell r="S52">
            <v>19083.97</v>
          </cell>
          <cell r="T52">
            <v>4748.0299999999897</v>
          </cell>
        </row>
        <row r="53">
          <cell r="A53" t="str">
            <v>PLN   Złoty</v>
          </cell>
          <cell r="B53" t="str">
            <v>1000/1401       NPK 6-20-30</v>
          </cell>
          <cell r="C53" t="str">
            <v>1004710    "AGRICOLA-LUBLIN" SP</v>
          </cell>
          <cell r="D53" t="str">
            <v>KB Sprzed. bezpośrednia</v>
          </cell>
          <cell r="E53">
            <v>63919.58</v>
          </cell>
          <cell r="F53">
            <v>62</v>
          </cell>
          <cell r="G53">
            <v>45689.339999999902</v>
          </cell>
          <cell r="H53">
            <v>3272.1999999999898</v>
          </cell>
          <cell r="I53">
            <v>1574.2</v>
          </cell>
          <cell r="J53">
            <v>4238.3999999999896</v>
          </cell>
          <cell r="K53">
            <v>0</v>
          </cell>
          <cell r="L53">
            <v>5812.6</v>
          </cell>
          <cell r="M53">
            <v>54774.139999999898</v>
          </cell>
          <cell r="N53">
            <v>9145.44</v>
          </cell>
          <cell r="O53">
            <v>0</v>
          </cell>
          <cell r="P53">
            <v>54774.139999999898</v>
          </cell>
          <cell r="Q53">
            <v>9145.44</v>
          </cell>
          <cell r="R53">
            <v>688.38999999999896</v>
          </cell>
          <cell r="S53">
            <v>55462.529999999897</v>
          </cell>
          <cell r="T53">
            <v>8457.0499999999902</v>
          </cell>
        </row>
        <row r="54">
          <cell r="A54" t="str">
            <v>PLN   Złoty</v>
          </cell>
          <cell r="B54" t="str">
            <v>1000/1401       NPK 6-20-30</v>
          </cell>
          <cell r="C54" t="str">
            <v>1004788    "ADAR" HANDEL NAWOZA</v>
          </cell>
          <cell r="D54" t="str">
            <v>KB Sprzed. bezpośrednia</v>
          </cell>
          <cell r="E54">
            <v>163278.299999999</v>
          </cell>
          <cell r="F54">
            <v>162</v>
          </cell>
          <cell r="G54">
            <v>114739.679999999</v>
          </cell>
          <cell r="H54">
            <v>8358.5599999999904</v>
          </cell>
          <cell r="I54">
            <v>4113.2799999999897</v>
          </cell>
          <cell r="J54">
            <v>0</v>
          </cell>
          <cell r="K54">
            <v>0</v>
          </cell>
          <cell r="L54">
            <v>4113.2799999999897</v>
          </cell>
          <cell r="M54">
            <v>127211.52</v>
          </cell>
          <cell r="N54">
            <v>36066.779999999897</v>
          </cell>
          <cell r="O54">
            <v>0</v>
          </cell>
          <cell r="P54">
            <v>127211.52</v>
          </cell>
          <cell r="Q54">
            <v>36066.779999999897</v>
          </cell>
          <cell r="R54">
            <v>1728.74</v>
          </cell>
          <cell r="S54">
            <v>128940.25999999901</v>
          </cell>
          <cell r="T54">
            <v>34338.04</v>
          </cell>
        </row>
        <row r="55">
          <cell r="A55" t="str">
            <v>PLN   Złoty</v>
          </cell>
          <cell r="B55" t="str">
            <v>1000/1402       NPK 8-24-24</v>
          </cell>
          <cell r="C55" t="str">
            <v>1000080    CN-KIELCE</v>
          </cell>
          <cell r="D55" t="str">
            <v>KB Sprzed. bezpośrednia</v>
          </cell>
          <cell r="E55">
            <v>25200</v>
          </cell>
          <cell r="F55">
            <v>24</v>
          </cell>
          <cell r="G55">
            <v>17526.22</v>
          </cell>
          <cell r="H55">
            <v>1290.01</v>
          </cell>
          <cell r="I55">
            <v>953.49</v>
          </cell>
          <cell r="J55">
            <v>1833.8399999999899</v>
          </cell>
          <cell r="K55">
            <v>0</v>
          </cell>
          <cell r="L55">
            <v>2787.3299999999899</v>
          </cell>
          <cell r="M55">
            <v>21603.56</v>
          </cell>
          <cell r="N55">
            <v>3596.44</v>
          </cell>
          <cell r="O55">
            <v>0</v>
          </cell>
          <cell r="P55">
            <v>21603.56</v>
          </cell>
          <cell r="Q55">
            <v>3596.44</v>
          </cell>
          <cell r="R55">
            <v>264.04000000000002</v>
          </cell>
          <cell r="S55">
            <v>21867.5999999999</v>
          </cell>
          <cell r="T55">
            <v>3332.4</v>
          </cell>
        </row>
        <row r="56">
          <cell r="A56" t="str">
            <v>PLN   Złoty</v>
          </cell>
          <cell r="B56" t="str">
            <v>1000/1402       NPK 8-24-24</v>
          </cell>
          <cell r="C56" t="str">
            <v>1000112    GS 'SCh'</v>
          </cell>
          <cell r="D56" t="str">
            <v>KB Sprzed. bezpośrednia</v>
          </cell>
          <cell r="E56">
            <v>36180</v>
          </cell>
          <cell r="F56">
            <v>36</v>
          </cell>
          <cell r="G56">
            <v>26289.33</v>
          </cell>
          <cell r="H56">
            <v>1852.17</v>
          </cell>
          <cell r="I56">
            <v>1430.23</v>
          </cell>
          <cell r="J56">
            <v>0</v>
          </cell>
          <cell r="K56">
            <v>0</v>
          </cell>
          <cell r="L56">
            <v>1430.23</v>
          </cell>
          <cell r="M56">
            <v>29571.73</v>
          </cell>
          <cell r="N56">
            <v>6608.27</v>
          </cell>
          <cell r="O56">
            <v>0</v>
          </cell>
          <cell r="P56">
            <v>29571.73</v>
          </cell>
          <cell r="Q56">
            <v>6608.27</v>
          </cell>
          <cell r="R56">
            <v>396.08999999999901</v>
          </cell>
          <cell r="S56">
            <v>29967.82</v>
          </cell>
          <cell r="T56">
            <v>6212.18</v>
          </cell>
        </row>
        <row r="57">
          <cell r="A57" t="str">
            <v>PLN   Złoty</v>
          </cell>
          <cell r="B57" t="str">
            <v>1000/1402       NPK 8-24-24</v>
          </cell>
          <cell r="C57" t="str">
            <v>1000117    SKIBA</v>
          </cell>
          <cell r="D57" t="str">
            <v>KB Sprzed. bezpośrednia</v>
          </cell>
          <cell r="E57">
            <v>50223.599999999897</v>
          </cell>
          <cell r="F57">
            <v>48</v>
          </cell>
          <cell r="G57">
            <v>35052.44</v>
          </cell>
          <cell r="H57">
            <v>2571.04</v>
          </cell>
          <cell r="I57">
            <v>1906.97</v>
          </cell>
          <cell r="J57">
            <v>3556.5599999999899</v>
          </cell>
          <cell r="K57">
            <v>0</v>
          </cell>
          <cell r="L57">
            <v>5463.5299999999897</v>
          </cell>
          <cell r="M57">
            <v>43087.01</v>
          </cell>
          <cell r="N57">
            <v>7136.59</v>
          </cell>
          <cell r="O57">
            <v>0</v>
          </cell>
          <cell r="P57">
            <v>43087.01</v>
          </cell>
          <cell r="Q57">
            <v>7136.59</v>
          </cell>
          <cell r="R57">
            <v>528.12</v>
          </cell>
          <cell r="S57">
            <v>43615.129999999903</v>
          </cell>
          <cell r="T57">
            <v>6608.47</v>
          </cell>
        </row>
        <row r="58">
          <cell r="A58" t="str">
            <v>PLN   Złoty</v>
          </cell>
          <cell r="B58" t="str">
            <v>1000/1402       NPK 8-24-24</v>
          </cell>
          <cell r="C58" t="str">
            <v>1000141    SKR-Łaszczów</v>
          </cell>
          <cell r="D58" t="str">
            <v>KB Sprzed. bezpośrednia</v>
          </cell>
          <cell r="E58">
            <v>25200</v>
          </cell>
          <cell r="F58">
            <v>24</v>
          </cell>
          <cell r="G58">
            <v>17526.22</v>
          </cell>
          <cell r="H58">
            <v>1290.01</v>
          </cell>
          <cell r="I58">
            <v>953.49</v>
          </cell>
          <cell r="J58">
            <v>2325.36</v>
          </cell>
          <cell r="K58">
            <v>0</v>
          </cell>
          <cell r="L58">
            <v>3278.8499999999899</v>
          </cell>
          <cell r="M58">
            <v>22095.08</v>
          </cell>
          <cell r="N58">
            <v>3104.92</v>
          </cell>
          <cell r="O58">
            <v>0</v>
          </cell>
          <cell r="P58">
            <v>22095.08</v>
          </cell>
          <cell r="Q58">
            <v>3104.92</v>
          </cell>
          <cell r="R58">
            <v>264.04000000000002</v>
          </cell>
          <cell r="S58">
            <v>22359.119999999901</v>
          </cell>
          <cell r="T58">
            <v>2840.88</v>
          </cell>
        </row>
        <row r="59">
          <cell r="A59" t="str">
            <v>PLN   Złoty</v>
          </cell>
          <cell r="B59" t="str">
            <v>1000/1402       NPK 8-24-24</v>
          </cell>
          <cell r="C59" t="str">
            <v>1000150    GS-GRODZIS</v>
          </cell>
          <cell r="D59" t="str">
            <v>KB Sprzed. bezpośrednia</v>
          </cell>
          <cell r="E59">
            <v>25200</v>
          </cell>
          <cell r="F59">
            <v>24</v>
          </cell>
          <cell r="G59">
            <v>17526.22</v>
          </cell>
          <cell r="H59">
            <v>1290.01</v>
          </cell>
          <cell r="I59">
            <v>953.49</v>
          </cell>
          <cell r="J59">
            <v>2163.36</v>
          </cell>
          <cell r="K59">
            <v>0</v>
          </cell>
          <cell r="L59">
            <v>3116.8499999999899</v>
          </cell>
          <cell r="M59">
            <v>21933.08</v>
          </cell>
          <cell r="N59">
            <v>3266.92</v>
          </cell>
          <cell r="O59">
            <v>0</v>
          </cell>
          <cell r="P59">
            <v>21933.08</v>
          </cell>
          <cell r="Q59">
            <v>3266.92</v>
          </cell>
          <cell r="R59">
            <v>264.04000000000002</v>
          </cell>
          <cell r="S59">
            <v>22197.119999999901</v>
          </cell>
          <cell r="T59">
            <v>3002.88</v>
          </cell>
        </row>
        <row r="60">
          <cell r="A60" t="str">
            <v>PLN   Złoty</v>
          </cell>
          <cell r="B60" t="str">
            <v>1000/1402       NPK 8-24-24</v>
          </cell>
          <cell r="C60" t="str">
            <v>1000182    AGRA NOWA</v>
          </cell>
          <cell r="D60" t="str">
            <v>KB Sprzed. bezpośrednia</v>
          </cell>
          <cell r="E60">
            <v>23951.279999999901</v>
          </cell>
          <cell r="F60">
            <v>24</v>
          </cell>
          <cell r="G60">
            <v>17526.22</v>
          </cell>
          <cell r="H60">
            <v>1226.0899999999899</v>
          </cell>
          <cell r="I60">
            <v>953.49</v>
          </cell>
          <cell r="J60">
            <v>0</v>
          </cell>
          <cell r="K60">
            <v>0</v>
          </cell>
          <cell r="L60">
            <v>953.49</v>
          </cell>
          <cell r="M60">
            <v>19705.799999999901</v>
          </cell>
          <cell r="N60">
            <v>4245.4799999999896</v>
          </cell>
          <cell r="O60">
            <v>0</v>
          </cell>
          <cell r="P60">
            <v>19705.799999999901</v>
          </cell>
          <cell r="Q60">
            <v>4245.4799999999896</v>
          </cell>
          <cell r="R60">
            <v>264.04000000000002</v>
          </cell>
          <cell r="S60">
            <v>19969.84</v>
          </cell>
          <cell r="T60">
            <v>3981.44</v>
          </cell>
        </row>
        <row r="61">
          <cell r="A61" t="str">
            <v>PLN   Złoty</v>
          </cell>
          <cell r="B61" t="str">
            <v>1000/1402       NPK 8-24-24</v>
          </cell>
          <cell r="C61" t="str">
            <v>1000219    BUTOR</v>
          </cell>
          <cell r="D61" t="str">
            <v>KB Sprzed. bezpośrednia</v>
          </cell>
          <cell r="E61">
            <v>24840</v>
          </cell>
          <cell r="F61">
            <v>24</v>
          </cell>
          <cell r="G61">
            <v>17526.22</v>
          </cell>
          <cell r="H61">
            <v>1271.5799999999899</v>
          </cell>
          <cell r="I61">
            <v>953.49</v>
          </cell>
          <cell r="J61">
            <v>1701.1199999999899</v>
          </cell>
          <cell r="K61">
            <v>0</v>
          </cell>
          <cell r="L61">
            <v>2654.61</v>
          </cell>
          <cell r="M61">
            <v>21452.41</v>
          </cell>
          <cell r="N61">
            <v>3387.59</v>
          </cell>
          <cell r="O61">
            <v>0</v>
          </cell>
          <cell r="P61">
            <v>21452.41</v>
          </cell>
          <cell r="Q61">
            <v>3387.59</v>
          </cell>
          <cell r="R61">
            <v>264.04000000000002</v>
          </cell>
          <cell r="S61">
            <v>21716.45</v>
          </cell>
          <cell r="T61">
            <v>3123.55</v>
          </cell>
        </row>
        <row r="62">
          <cell r="A62" t="str">
            <v>PLN   Złoty</v>
          </cell>
          <cell r="B62" t="str">
            <v>1000/1402       NPK 8-24-24</v>
          </cell>
          <cell r="C62" t="str">
            <v>1000222    ROLPOL</v>
          </cell>
          <cell r="D62" t="str">
            <v>KB Sprzed. bezpośrednia</v>
          </cell>
          <cell r="E62">
            <v>23951.279999999901</v>
          </cell>
          <cell r="F62">
            <v>24</v>
          </cell>
          <cell r="G62">
            <v>17526.22</v>
          </cell>
          <cell r="H62">
            <v>1226.0899999999899</v>
          </cell>
          <cell r="I62">
            <v>953.49</v>
          </cell>
          <cell r="J62">
            <v>0</v>
          </cell>
          <cell r="K62">
            <v>0</v>
          </cell>
          <cell r="L62">
            <v>953.49</v>
          </cell>
          <cell r="M62">
            <v>19705.799999999901</v>
          </cell>
          <cell r="N62">
            <v>4245.4799999999896</v>
          </cell>
          <cell r="O62">
            <v>0</v>
          </cell>
          <cell r="P62">
            <v>19705.799999999901</v>
          </cell>
          <cell r="Q62">
            <v>4245.4799999999896</v>
          </cell>
          <cell r="R62">
            <v>264.04000000000002</v>
          </cell>
          <cell r="S62">
            <v>19969.84</v>
          </cell>
          <cell r="T62">
            <v>3981.44</v>
          </cell>
        </row>
        <row r="63">
          <cell r="A63" t="str">
            <v>PLN   Złoty</v>
          </cell>
          <cell r="B63" t="str">
            <v>1000/1402       NPK 8-24-24</v>
          </cell>
          <cell r="C63" t="str">
            <v>1000252    AGROSKŁAD</v>
          </cell>
          <cell r="D63" t="str">
            <v>KB Sprzed. bezpośrednia</v>
          </cell>
          <cell r="E63">
            <v>56958.639999999898</v>
          </cell>
          <cell r="F63">
            <v>56</v>
          </cell>
          <cell r="G63">
            <v>40894.51</v>
          </cell>
          <cell r="H63">
            <v>2915.82</v>
          </cell>
          <cell r="I63">
            <v>2224.8000000000002</v>
          </cell>
          <cell r="J63">
            <v>1833.8399999999899</v>
          </cell>
          <cell r="K63">
            <v>0</v>
          </cell>
          <cell r="L63">
            <v>4058.6399999999899</v>
          </cell>
          <cell r="M63">
            <v>47868.97</v>
          </cell>
          <cell r="N63">
            <v>9089.67</v>
          </cell>
          <cell r="O63">
            <v>0</v>
          </cell>
          <cell r="P63">
            <v>47868.97</v>
          </cell>
          <cell r="Q63">
            <v>9089.67</v>
          </cell>
          <cell r="R63">
            <v>616.13999999999896</v>
          </cell>
          <cell r="S63">
            <v>48485.11</v>
          </cell>
          <cell r="T63">
            <v>8473.5300000000007</v>
          </cell>
        </row>
        <row r="64">
          <cell r="A64" t="str">
            <v>PLN   Złoty</v>
          </cell>
          <cell r="B64" t="str">
            <v>1000/1402       NPK 8-24-24</v>
          </cell>
          <cell r="C64" t="str">
            <v>1000256    TYMIŃSKA</v>
          </cell>
          <cell r="D64" t="str">
            <v>KB Sprzed. bezpośrednia</v>
          </cell>
          <cell r="E64">
            <v>48617.519999999902</v>
          </cell>
          <cell r="F64">
            <v>48</v>
          </cell>
          <cell r="G64">
            <v>36223.300000000003</v>
          </cell>
          <cell r="H64">
            <v>2488.8299999999899</v>
          </cell>
          <cell r="I64">
            <v>1906.98</v>
          </cell>
          <cell r="J64">
            <v>1589.52</v>
          </cell>
          <cell r="K64">
            <v>0</v>
          </cell>
          <cell r="L64">
            <v>3496.5</v>
          </cell>
          <cell r="M64">
            <v>42208.629999999903</v>
          </cell>
          <cell r="N64">
            <v>6408.89</v>
          </cell>
          <cell r="O64">
            <v>0</v>
          </cell>
          <cell r="P64">
            <v>42208.629999999903</v>
          </cell>
          <cell r="Q64">
            <v>6408.89</v>
          </cell>
          <cell r="R64">
            <v>545.74</v>
          </cell>
          <cell r="S64">
            <v>42754.37</v>
          </cell>
          <cell r="T64">
            <v>5863.1499999999896</v>
          </cell>
        </row>
        <row r="65">
          <cell r="A65" t="str">
            <v>PLN   Złoty</v>
          </cell>
          <cell r="B65" t="str">
            <v>1000/1402       NPK 8-24-24</v>
          </cell>
          <cell r="C65" t="str">
            <v>1000257    MAGROL</v>
          </cell>
          <cell r="D65" t="str">
            <v>KB Sprzed. bezpośrednia</v>
          </cell>
          <cell r="E65">
            <v>37535.4</v>
          </cell>
          <cell r="F65">
            <v>36</v>
          </cell>
          <cell r="G65">
            <v>26289.33</v>
          </cell>
          <cell r="H65">
            <v>1921.51</v>
          </cell>
          <cell r="I65">
            <v>1430.23</v>
          </cell>
          <cell r="J65">
            <v>1788.1199999999899</v>
          </cell>
          <cell r="K65">
            <v>0</v>
          </cell>
          <cell r="L65">
            <v>3218.3499999999899</v>
          </cell>
          <cell r="M65">
            <v>31429.1899999999</v>
          </cell>
          <cell r="N65">
            <v>6106.21</v>
          </cell>
          <cell r="O65">
            <v>0</v>
          </cell>
          <cell r="P65">
            <v>31429.1899999999</v>
          </cell>
          <cell r="Q65">
            <v>6106.21</v>
          </cell>
          <cell r="R65">
            <v>396.08999999999901</v>
          </cell>
          <cell r="S65">
            <v>31825.279999999901</v>
          </cell>
          <cell r="T65">
            <v>5710.1199999999899</v>
          </cell>
        </row>
        <row r="66">
          <cell r="A66" t="str">
            <v>PLN   Złoty</v>
          </cell>
          <cell r="B66" t="str">
            <v>1000/1402       NPK 8-24-24</v>
          </cell>
          <cell r="C66" t="str">
            <v>1000263    PRO-AGRO</v>
          </cell>
          <cell r="D66" t="str">
            <v>KB Sprzed. bezpośrednia</v>
          </cell>
          <cell r="E66">
            <v>50400</v>
          </cell>
          <cell r="F66">
            <v>48</v>
          </cell>
          <cell r="G66">
            <v>35052.44</v>
          </cell>
          <cell r="H66">
            <v>2580.0999999999899</v>
          </cell>
          <cell r="I66">
            <v>1906.97</v>
          </cell>
          <cell r="J66">
            <v>3985.44</v>
          </cell>
          <cell r="K66">
            <v>0</v>
          </cell>
          <cell r="L66">
            <v>5892.4099999999899</v>
          </cell>
          <cell r="M66">
            <v>43524.949999999903</v>
          </cell>
          <cell r="N66">
            <v>6875.05</v>
          </cell>
          <cell r="O66">
            <v>0</v>
          </cell>
          <cell r="P66">
            <v>43524.949999999903</v>
          </cell>
          <cell r="Q66">
            <v>6875.05</v>
          </cell>
          <cell r="R66">
            <v>528.12</v>
          </cell>
          <cell r="S66">
            <v>44053.07</v>
          </cell>
          <cell r="T66">
            <v>6346.93</v>
          </cell>
        </row>
        <row r="67">
          <cell r="A67" t="str">
            <v>PLN   Złoty</v>
          </cell>
          <cell r="B67" t="str">
            <v>1000/1402       NPK 8-24-24</v>
          </cell>
          <cell r="C67" t="str">
            <v>1000277    ATRANS</v>
          </cell>
          <cell r="D67" t="str">
            <v>KB Sprzed. bezpośrednia</v>
          </cell>
          <cell r="E67">
            <v>97391.279999999897</v>
          </cell>
          <cell r="F67">
            <v>96</v>
          </cell>
          <cell r="G67">
            <v>70104.88</v>
          </cell>
          <cell r="H67">
            <v>4985.6899999999896</v>
          </cell>
          <cell r="I67">
            <v>3813.9499999999898</v>
          </cell>
          <cell r="J67">
            <v>1780.8</v>
          </cell>
          <cell r="K67">
            <v>0</v>
          </cell>
          <cell r="L67">
            <v>5594.75</v>
          </cell>
          <cell r="M67">
            <v>80685.320000000007</v>
          </cell>
          <cell r="N67">
            <v>16705.959999999901</v>
          </cell>
          <cell r="O67">
            <v>0</v>
          </cell>
          <cell r="P67">
            <v>80685.320000000007</v>
          </cell>
          <cell r="Q67">
            <v>16705.959999999901</v>
          </cell>
          <cell r="R67">
            <v>1056.26</v>
          </cell>
          <cell r="S67">
            <v>81741.58</v>
          </cell>
          <cell r="T67">
            <v>15649.7</v>
          </cell>
        </row>
        <row r="68">
          <cell r="A68" t="str">
            <v>PLN   Złoty</v>
          </cell>
          <cell r="B68" t="str">
            <v>1000/1402       NPK 8-24-24</v>
          </cell>
          <cell r="C68" t="str">
            <v>1000307    P.TRANSBUD</v>
          </cell>
          <cell r="D68" t="str">
            <v>KB Sprzed. bezpośrednia</v>
          </cell>
          <cell r="E68">
            <v>25200</v>
          </cell>
          <cell r="F68">
            <v>24</v>
          </cell>
          <cell r="G68">
            <v>17526.22</v>
          </cell>
          <cell r="H68">
            <v>1290.01</v>
          </cell>
          <cell r="I68">
            <v>953.49</v>
          </cell>
          <cell r="J68">
            <v>2325.36</v>
          </cell>
          <cell r="K68">
            <v>0</v>
          </cell>
          <cell r="L68">
            <v>3278.8499999999899</v>
          </cell>
          <cell r="M68">
            <v>22095.08</v>
          </cell>
          <cell r="N68">
            <v>3104.92</v>
          </cell>
          <cell r="O68">
            <v>0</v>
          </cell>
          <cell r="P68">
            <v>22095.08</v>
          </cell>
          <cell r="Q68">
            <v>3104.92</v>
          </cell>
          <cell r="R68">
            <v>264.04000000000002</v>
          </cell>
          <cell r="S68">
            <v>22359.119999999901</v>
          </cell>
          <cell r="T68">
            <v>2840.88</v>
          </cell>
        </row>
        <row r="69">
          <cell r="A69" t="str">
            <v>PLN   Złoty</v>
          </cell>
          <cell r="B69" t="str">
            <v>1000/1402       NPK 8-24-24</v>
          </cell>
          <cell r="C69" t="str">
            <v>1000403    SOBIANEK</v>
          </cell>
          <cell r="D69" t="str">
            <v>KB Sprzed. bezpośrednia</v>
          </cell>
          <cell r="E69">
            <v>24666.240000000002</v>
          </cell>
          <cell r="F69">
            <v>24</v>
          </cell>
          <cell r="G69">
            <v>17526.459999999901</v>
          </cell>
          <cell r="H69">
            <v>1262.74</v>
          </cell>
          <cell r="I69">
            <v>953.49</v>
          </cell>
          <cell r="J69">
            <v>1980.72</v>
          </cell>
          <cell r="K69">
            <v>0</v>
          </cell>
          <cell r="L69">
            <v>2934.21</v>
          </cell>
          <cell r="M69">
            <v>21723.41</v>
          </cell>
          <cell r="N69">
            <v>2942.8299999999899</v>
          </cell>
          <cell r="O69">
            <v>0</v>
          </cell>
          <cell r="P69">
            <v>21723.41</v>
          </cell>
          <cell r="Q69">
            <v>2942.8299999999899</v>
          </cell>
          <cell r="R69">
            <v>264.05</v>
          </cell>
          <cell r="S69">
            <v>21987.459999999901</v>
          </cell>
          <cell r="T69">
            <v>2678.78</v>
          </cell>
        </row>
        <row r="70">
          <cell r="A70" t="str">
            <v>PLN   Złoty</v>
          </cell>
          <cell r="B70" t="str">
            <v>1000/1402       NPK 8-24-24</v>
          </cell>
          <cell r="C70" t="str">
            <v>1000415    GÓRKA</v>
          </cell>
          <cell r="D70" t="str">
            <v>KB Sprzed. bezpośrednia</v>
          </cell>
          <cell r="E70">
            <v>23951.279999999901</v>
          </cell>
          <cell r="F70">
            <v>24</v>
          </cell>
          <cell r="G70">
            <v>17526.22</v>
          </cell>
          <cell r="H70">
            <v>1226.0899999999899</v>
          </cell>
          <cell r="I70">
            <v>953.49</v>
          </cell>
          <cell r="J70">
            <v>0</v>
          </cell>
          <cell r="K70">
            <v>0</v>
          </cell>
          <cell r="L70">
            <v>953.49</v>
          </cell>
          <cell r="M70">
            <v>19705.799999999901</v>
          </cell>
          <cell r="N70">
            <v>4245.4799999999896</v>
          </cell>
          <cell r="O70">
            <v>0</v>
          </cell>
          <cell r="P70">
            <v>19705.799999999901</v>
          </cell>
          <cell r="Q70">
            <v>4245.4799999999896</v>
          </cell>
          <cell r="R70">
            <v>264.04000000000002</v>
          </cell>
          <cell r="S70">
            <v>19969.84</v>
          </cell>
          <cell r="T70">
            <v>3981.44</v>
          </cell>
        </row>
        <row r="71">
          <cell r="A71" t="str">
            <v>PLN   Złoty</v>
          </cell>
          <cell r="B71" t="str">
            <v>1000/1402       NPK 8-24-24</v>
          </cell>
          <cell r="C71" t="str">
            <v>1000534    BAZI</v>
          </cell>
          <cell r="D71" t="str">
            <v>KB Sprzed. bezpośrednia</v>
          </cell>
          <cell r="E71">
            <v>25200</v>
          </cell>
          <cell r="F71">
            <v>24</v>
          </cell>
          <cell r="G71">
            <v>17526.22</v>
          </cell>
          <cell r="H71">
            <v>1290.01</v>
          </cell>
          <cell r="I71">
            <v>953.49</v>
          </cell>
          <cell r="J71">
            <v>1094.8800000000001</v>
          </cell>
          <cell r="K71">
            <v>0</v>
          </cell>
          <cell r="L71">
            <v>2048.3699999999899</v>
          </cell>
          <cell r="M71">
            <v>20864.5999999999</v>
          </cell>
          <cell r="N71">
            <v>4335.3999999999896</v>
          </cell>
          <cell r="O71">
            <v>0</v>
          </cell>
          <cell r="P71">
            <v>20864.5999999999</v>
          </cell>
          <cell r="Q71">
            <v>4335.3999999999896</v>
          </cell>
          <cell r="R71">
            <v>264.04000000000002</v>
          </cell>
          <cell r="S71">
            <v>21128.639999999901</v>
          </cell>
          <cell r="T71">
            <v>4071.36</v>
          </cell>
        </row>
        <row r="72">
          <cell r="A72" t="str">
            <v>PLN   Złoty</v>
          </cell>
          <cell r="B72" t="str">
            <v>1000/1402       NPK 8-24-24</v>
          </cell>
          <cell r="C72" t="str">
            <v>1000592    NOŻYŃSKI</v>
          </cell>
          <cell r="D72" t="str">
            <v>KB Sprzed. bezpośrednia</v>
          </cell>
          <cell r="E72">
            <v>50040</v>
          </cell>
          <cell r="F72">
            <v>48</v>
          </cell>
          <cell r="G72">
            <v>35052.44</v>
          </cell>
          <cell r="H72">
            <v>2561.65</v>
          </cell>
          <cell r="I72">
            <v>1906.97</v>
          </cell>
          <cell r="J72">
            <v>4444.5600000000004</v>
          </cell>
          <cell r="K72">
            <v>0</v>
          </cell>
          <cell r="L72">
            <v>6351.5299999999897</v>
          </cell>
          <cell r="M72">
            <v>43965.62</v>
          </cell>
          <cell r="N72">
            <v>6074.38</v>
          </cell>
          <cell r="O72">
            <v>0</v>
          </cell>
          <cell r="P72">
            <v>43965.62</v>
          </cell>
          <cell r="Q72">
            <v>6074.38</v>
          </cell>
          <cell r="R72">
            <v>528.12</v>
          </cell>
          <cell r="S72">
            <v>44493.739999999903</v>
          </cell>
          <cell r="T72">
            <v>5546.26</v>
          </cell>
        </row>
        <row r="73">
          <cell r="A73" t="str">
            <v>PLN   Złoty</v>
          </cell>
          <cell r="B73" t="str">
            <v>1000/1402       NPK 8-24-24</v>
          </cell>
          <cell r="C73" t="str">
            <v>1000607    POGES</v>
          </cell>
          <cell r="D73" t="str">
            <v>KB Sprzed. bezpośrednia</v>
          </cell>
          <cell r="E73">
            <v>12060</v>
          </cell>
          <cell r="F73">
            <v>12</v>
          </cell>
          <cell r="G73">
            <v>8763.11</v>
          </cell>
          <cell r="H73">
            <v>617.41999999999905</v>
          </cell>
          <cell r="I73">
            <v>476.75</v>
          </cell>
          <cell r="J73">
            <v>0</v>
          </cell>
          <cell r="K73">
            <v>0</v>
          </cell>
          <cell r="L73">
            <v>476.75</v>
          </cell>
          <cell r="M73">
            <v>9857.2800000000007</v>
          </cell>
          <cell r="N73">
            <v>2202.7199999999898</v>
          </cell>
          <cell r="O73">
            <v>0</v>
          </cell>
          <cell r="P73">
            <v>9857.2800000000007</v>
          </cell>
          <cell r="Q73">
            <v>2202.7199999999898</v>
          </cell>
          <cell r="R73">
            <v>132.009999999999</v>
          </cell>
          <cell r="S73">
            <v>9989.2900000000009</v>
          </cell>
          <cell r="T73">
            <v>2070.71</v>
          </cell>
        </row>
        <row r="74">
          <cell r="A74" t="str">
            <v>PLN   Złoty</v>
          </cell>
          <cell r="B74" t="str">
            <v>1000/1402       NPK 8-24-24</v>
          </cell>
          <cell r="C74" t="str">
            <v>1000662    "AGRO-HANDLOWIEC" K</v>
          </cell>
          <cell r="D74" t="str">
            <v>KB Sprzed. bezpośrednia</v>
          </cell>
          <cell r="E74">
            <v>224852.64</v>
          </cell>
          <cell r="F74">
            <v>216</v>
          </cell>
          <cell r="G74">
            <v>161248.53</v>
          </cell>
          <cell r="H74">
            <v>11510.68</v>
          </cell>
          <cell r="I74">
            <v>8581.3899999999903</v>
          </cell>
          <cell r="J74">
            <v>12955.92</v>
          </cell>
          <cell r="K74">
            <v>0</v>
          </cell>
          <cell r="L74">
            <v>21537.31</v>
          </cell>
          <cell r="M74">
            <v>194296.519999999</v>
          </cell>
          <cell r="N74">
            <v>30556.119999999901</v>
          </cell>
          <cell r="O74">
            <v>0</v>
          </cell>
          <cell r="P74">
            <v>194296.519999999</v>
          </cell>
          <cell r="Q74">
            <v>30556.119999999901</v>
          </cell>
          <cell r="R74">
            <v>2429.44</v>
          </cell>
          <cell r="S74">
            <v>196725.959999999</v>
          </cell>
          <cell r="T74">
            <v>28126.68</v>
          </cell>
        </row>
        <row r="75">
          <cell r="A75" t="str">
            <v>PLN   Złoty</v>
          </cell>
          <cell r="B75" t="str">
            <v>1000/1402       NPK 8-24-24</v>
          </cell>
          <cell r="C75" t="str">
            <v>1000680    Giełda Rolna ZOLA Sp</v>
          </cell>
          <cell r="D75" t="str">
            <v>KB Sprzed. bezpośrednia</v>
          </cell>
          <cell r="E75">
            <v>26334.36</v>
          </cell>
          <cell r="F75">
            <v>26</v>
          </cell>
          <cell r="G75">
            <v>21735.24</v>
          </cell>
          <cell r="H75">
            <v>1348.16</v>
          </cell>
          <cell r="I75">
            <v>1032.95</v>
          </cell>
          <cell r="J75">
            <v>0</v>
          </cell>
          <cell r="K75">
            <v>0</v>
          </cell>
          <cell r="L75">
            <v>1032.95</v>
          </cell>
          <cell r="M75">
            <v>24116.3499999999</v>
          </cell>
          <cell r="N75">
            <v>2218.0100000000002</v>
          </cell>
          <cell r="O75">
            <v>0</v>
          </cell>
          <cell r="P75">
            <v>24116.3499999999</v>
          </cell>
          <cell r="Q75">
            <v>2218.0100000000002</v>
          </cell>
          <cell r="R75">
            <v>327.47000000000003</v>
          </cell>
          <cell r="S75">
            <v>24443.82</v>
          </cell>
          <cell r="T75">
            <v>1890.54</v>
          </cell>
        </row>
        <row r="76">
          <cell r="A76" t="str">
            <v>PLN   Złoty</v>
          </cell>
          <cell r="B76" t="str">
            <v>1000/1402       NPK 8-24-24</v>
          </cell>
          <cell r="C76" t="str">
            <v>1001024    TALAGA</v>
          </cell>
          <cell r="D76" t="str">
            <v>KB Sprzed. bezpośrednia</v>
          </cell>
          <cell r="E76">
            <v>86391.24</v>
          </cell>
          <cell r="F76">
            <v>86</v>
          </cell>
          <cell r="G76">
            <v>65493.029999999897</v>
          </cell>
          <cell r="H76">
            <v>4422.5799999999899</v>
          </cell>
          <cell r="I76">
            <v>3416.6599999999899</v>
          </cell>
          <cell r="J76">
            <v>0</v>
          </cell>
          <cell r="K76">
            <v>0</v>
          </cell>
          <cell r="L76">
            <v>3416.6599999999899</v>
          </cell>
          <cell r="M76">
            <v>73332.27</v>
          </cell>
          <cell r="N76">
            <v>13058.969999999899</v>
          </cell>
          <cell r="O76">
            <v>0</v>
          </cell>
          <cell r="P76">
            <v>73332.27</v>
          </cell>
          <cell r="Q76">
            <v>13058.969999999899</v>
          </cell>
          <cell r="R76">
            <v>986.75999999999897</v>
          </cell>
          <cell r="S76">
            <v>74319.029999999897</v>
          </cell>
          <cell r="T76">
            <v>12072.209999999901</v>
          </cell>
        </row>
        <row r="77">
          <cell r="A77" t="str">
            <v>PLN   Złoty</v>
          </cell>
          <cell r="B77" t="str">
            <v>1000/1402       NPK 8-24-24</v>
          </cell>
          <cell r="C77" t="str">
            <v>1001494    AGROLOK Sp. z o.o.</v>
          </cell>
          <cell r="D77" t="str">
            <v>KB Sprzed. bezpośrednia</v>
          </cell>
          <cell r="E77">
            <v>24666.240000000002</v>
          </cell>
          <cell r="F77">
            <v>24</v>
          </cell>
          <cell r="G77">
            <v>17526.22</v>
          </cell>
          <cell r="H77">
            <v>1262.74</v>
          </cell>
          <cell r="I77">
            <v>953.49</v>
          </cell>
          <cell r="J77">
            <v>1212.48</v>
          </cell>
          <cell r="K77">
            <v>0</v>
          </cell>
          <cell r="L77">
            <v>2165.9699999999898</v>
          </cell>
          <cell r="M77">
            <v>20954.93</v>
          </cell>
          <cell r="N77">
            <v>3711.3099999999899</v>
          </cell>
          <cell r="O77">
            <v>0</v>
          </cell>
          <cell r="P77">
            <v>20954.93</v>
          </cell>
          <cell r="Q77">
            <v>3711.3099999999899</v>
          </cell>
          <cell r="R77">
            <v>264.04000000000002</v>
          </cell>
          <cell r="S77">
            <v>21218.97</v>
          </cell>
          <cell r="T77">
            <v>3447.27</v>
          </cell>
        </row>
        <row r="78">
          <cell r="A78" t="str">
            <v>PLN   Złoty</v>
          </cell>
          <cell r="B78" t="str">
            <v>1000/1402       NPK 8-24-24</v>
          </cell>
          <cell r="C78" t="str">
            <v>1001519    "ARGOL" LESZEK KALIS</v>
          </cell>
          <cell r="D78" t="str">
            <v>KB Sprzed. bezpośrednia</v>
          </cell>
          <cell r="E78">
            <v>20400</v>
          </cell>
          <cell r="F78">
            <v>20</v>
          </cell>
          <cell r="G78">
            <v>16021.36</v>
          </cell>
          <cell r="H78">
            <v>1044.28</v>
          </cell>
          <cell r="I78">
            <v>794.57</v>
          </cell>
          <cell r="J78">
            <v>0</v>
          </cell>
          <cell r="K78">
            <v>0</v>
          </cell>
          <cell r="L78">
            <v>794.57</v>
          </cell>
          <cell r="M78">
            <v>17860.209999999901</v>
          </cell>
          <cell r="N78">
            <v>2539.79</v>
          </cell>
          <cell r="O78">
            <v>0</v>
          </cell>
          <cell r="P78">
            <v>17860.209999999901</v>
          </cell>
          <cell r="Q78">
            <v>2539.79</v>
          </cell>
          <cell r="R78">
            <v>241.38999999999899</v>
          </cell>
          <cell r="S78">
            <v>18101.5999999999</v>
          </cell>
          <cell r="T78">
            <v>2298.4</v>
          </cell>
        </row>
        <row r="79">
          <cell r="A79" t="str">
            <v>PLN   Złoty</v>
          </cell>
          <cell r="B79" t="str">
            <v>1000/1402       NPK 8-24-24</v>
          </cell>
          <cell r="C79" t="str">
            <v>1001983    FAZOT</v>
          </cell>
          <cell r="D79" t="str">
            <v>KB Sprzed. bezpośrednia</v>
          </cell>
          <cell r="E79">
            <v>62221.349999999897</v>
          </cell>
          <cell r="F79">
            <v>61</v>
          </cell>
          <cell r="G79">
            <v>44545.809999999903</v>
          </cell>
          <cell r="H79">
            <v>3185.23</v>
          </cell>
          <cell r="I79">
            <v>2423.44</v>
          </cell>
          <cell r="J79">
            <v>3324.9899999999898</v>
          </cell>
          <cell r="K79">
            <v>0</v>
          </cell>
          <cell r="L79">
            <v>5748.43</v>
          </cell>
          <cell r="M79">
            <v>53479.47</v>
          </cell>
          <cell r="N79">
            <v>8741.8799999999901</v>
          </cell>
          <cell r="O79">
            <v>0</v>
          </cell>
          <cell r="P79">
            <v>53479.47</v>
          </cell>
          <cell r="Q79">
            <v>8741.8799999999901</v>
          </cell>
          <cell r="R79">
            <v>671.12</v>
          </cell>
          <cell r="S79">
            <v>54150.589999999902</v>
          </cell>
          <cell r="T79">
            <v>8070.76</v>
          </cell>
        </row>
        <row r="80">
          <cell r="A80" t="str">
            <v>PLN   Złoty</v>
          </cell>
          <cell r="B80" t="str">
            <v>1000/1402       NPK 8-24-24</v>
          </cell>
          <cell r="C80" t="str">
            <v>1001988    ROLNIK-KOŚCIAN</v>
          </cell>
          <cell r="D80" t="str">
            <v>KB Sprzed. bezpośrednia</v>
          </cell>
          <cell r="E80">
            <v>197823.179999999</v>
          </cell>
          <cell r="F80">
            <v>190</v>
          </cell>
          <cell r="G80">
            <v>144697.209999999</v>
          </cell>
          <cell r="H80">
            <v>10126.950000000001</v>
          </cell>
          <cell r="I80">
            <v>7548.4399999999896</v>
          </cell>
          <cell r="J80">
            <v>0</v>
          </cell>
          <cell r="K80">
            <v>0</v>
          </cell>
          <cell r="L80">
            <v>7548.4399999999896</v>
          </cell>
          <cell r="M80">
            <v>162372.6</v>
          </cell>
          <cell r="N80">
            <v>35450.58</v>
          </cell>
          <cell r="O80">
            <v>0</v>
          </cell>
          <cell r="P80">
            <v>162372.6</v>
          </cell>
          <cell r="Q80">
            <v>35450.58</v>
          </cell>
          <cell r="R80">
            <v>2180.0799999999899</v>
          </cell>
          <cell r="S80">
            <v>164552.679999999</v>
          </cell>
          <cell r="T80">
            <v>33270.5</v>
          </cell>
        </row>
        <row r="81">
          <cell r="A81" t="str">
            <v>PLN   Złoty</v>
          </cell>
          <cell r="B81" t="str">
            <v>1000/1402       NPK 8-24-24</v>
          </cell>
          <cell r="C81" t="str">
            <v>1001991    WAMEX</v>
          </cell>
          <cell r="D81" t="str">
            <v>KB Sprzed. bezpośrednia</v>
          </cell>
          <cell r="E81">
            <v>349794.179999999</v>
          </cell>
          <cell r="F81">
            <v>342</v>
          </cell>
          <cell r="G81">
            <v>249748.6</v>
          </cell>
          <cell r="H81">
            <v>17906.6699999999</v>
          </cell>
          <cell r="I81">
            <v>13587.19</v>
          </cell>
          <cell r="J81">
            <v>24841.119999999901</v>
          </cell>
          <cell r="K81">
            <v>0</v>
          </cell>
          <cell r="L81">
            <v>38428.309999999903</v>
          </cell>
          <cell r="M81">
            <v>306083.58</v>
          </cell>
          <cell r="N81">
            <v>43710.599999999897</v>
          </cell>
          <cell r="O81">
            <v>0</v>
          </cell>
          <cell r="P81">
            <v>306083.58</v>
          </cell>
          <cell r="Q81">
            <v>43710.599999999897</v>
          </cell>
          <cell r="R81">
            <v>3762.88</v>
          </cell>
          <cell r="S81">
            <v>309846.46000000002</v>
          </cell>
          <cell r="T81">
            <v>39947.72</v>
          </cell>
        </row>
        <row r="82">
          <cell r="A82" t="str">
            <v>PLN   Złoty</v>
          </cell>
          <cell r="B82" t="str">
            <v>1000/1402       NPK 8-24-24</v>
          </cell>
          <cell r="C82" t="str">
            <v>1001992    PLON Pastuszka Kazał</v>
          </cell>
          <cell r="D82" t="str">
            <v>KB Sprzed. bezpośrednia</v>
          </cell>
          <cell r="E82">
            <v>25200</v>
          </cell>
          <cell r="F82">
            <v>24</v>
          </cell>
          <cell r="G82">
            <v>17526.22</v>
          </cell>
          <cell r="H82">
            <v>1290.01</v>
          </cell>
          <cell r="I82">
            <v>953.49</v>
          </cell>
          <cell r="J82">
            <v>1701.1199999999899</v>
          </cell>
          <cell r="K82">
            <v>0</v>
          </cell>
          <cell r="L82">
            <v>2654.61</v>
          </cell>
          <cell r="M82">
            <v>21470.84</v>
          </cell>
          <cell r="N82">
            <v>3729.1599999999899</v>
          </cell>
          <cell r="O82">
            <v>0</v>
          </cell>
          <cell r="P82">
            <v>21470.84</v>
          </cell>
          <cell r="Q82">
            <v>3729.1599999999899</v>
          </cell>
          <cell r="R82">
            <v>264.04000000000002</v>
          </cell>
          <cell r="S82">
            <v>21734.880000000001</v>
          </cell>
          <cell r="T82">
            <v>3465.1199999999899</v>
          </cell>
        </row>
        <row r="83">
          <cell r="A83" t="str">
            <v>PLN   Złoty</v>
          </cell>
          <cell r="B83" t="str">
            <v>1000/1402       NPK 8-24-24</v>
          </cell>
          <cell r="C83" t="str">
            <v>1001994    SKR-STRZELCE</v>
          </cell>
          <cell r="D83" t="str">
            <v>KB Sprzed. bezpośrednia</v>
          </cell>
          <cell r="E83">
            <v>11975.639999999899</v>
          </cell>
          <cell r="F83">
            <v>12</v>
          </cell>
          <cell r="G83">
            <v>8763.11</v>
          </cell>
          <cell r="H83">
            <v>613.08000000000004</v>
          </cell>
          <cell r="I83">
            <v>476.75</v>
          </cell>
          <cell r="J83">
            <v>0</v>
          </cell>
          <cell r="K83">
            <v>0</v>
          </cell>
          <cell r="L83">
            <v>476.75</v>
          </cell>
          <cell r="M83">
            <v>9852.94</v>
          </cell>
          <cell r="N83">
            <v>2122.6999999999898</v>
          </cell>
          <cell r="O83">
            <v>0</v>
          </cell>
          <cell r="P83">
            <v>9852.94</v>
          </cell>
          <cell r="Q83">
            <v>2122.6999999999898</v>
          </cell>
          <cell r="R83">
            <v>132.009999999999</v>
          </cell>
          <cell r="S83">
            <v>9984.9500000000007</v>
          </cell>
          <cell r="T83">
            <v>1990.69</v>
          </cell>
        </row>
        <row r="84">
          <cell r="A84" t="str">
            <v>PLN   Złoty</v>
          </cell>
          <cell r="B84" t="str">
            <v>1000/1402       NPK 8-24-24</v>
          </cell>
          <cell r="C84" t="str">
            <v>1002004    AZOT</v>
          </cell>
          <cell r="D84" t="str">
            <v>KB Sprzed. bezpośrednia</v>
          </cell>
          <cell r="E84">
            <v>16800</v>
          </cell>
          <cell r="F84">
            <v>16</v>
          </cell>
          <cell r="G84">
            <v>11684.15</v>
          </cell>
          <cell r="H84">
            <v>860.02999999999895</v>
          </cell>
          <cell r="I84">
            <v>635.64999999999895</v>
          </cell>
          <cell r="J84">
            <v>1030.24</v>
          </cell>
          <cell r="K84">
            <v>0</v>
          </cell>
          <cell r="L84">
            <v>1665.89</v>
          </cell>
          <cell r="M84">
            <v>14210.07</v>
          </cell>
          <cell r="N84">
            <v>2589.9299999999898</v>
          </cell>
          <cell r="O84">
            <v>0</v>
          </cell>
          <cell r="P84">
            <v>14210.07</v>
          </cell>
          <cell r="Q84">
            <v>2589.9299999999898</v>
          </cell>
          <cell r="R84">
            <v>176.03</v>
          </cell>
          <cell r="S84">
            <v>14386.1</v>
          </cell>
          <cell r="T84">
            <v>2413.9</v>
          </cell>
        </row>
        <row r="85">
          <cell r="A85" t="str">
            <v>PLN   Złoty</v>
          </cell>
          <cell r="B85" t="str">
            <v>1000/1402       NPK 8-24-24</v>
          </cell>
          <cell r="C85" t="str">
            <v>1002005    LAMCH-TOMI</v>
          </cell>
          <cell r="D85" t="str">
            <v>KB Sprzed. bezpośrednia</v>
          </cell>
          <cell r="E85">
            <v>37623.599999999897</v>
          </cell>
          <cell r="F85">
            <v>36</v>
          </cell>
          <cell r="G85">
            <v>26289.33</v>
          </cell>
          <cell r="H85">
            <v>1925.98</v>
          </cell>
          <cell r="I85">
            <v>1430.23</v>
          </cell>
          <cell r="J85">
            <v>2495.88</v>
          </cell>
          <cell r="K85">
            <v>0</v>
          </cell>
          <cell r="L85">
            <v>3926.11</v>
          </cell>
          <cell r="M85">
            <v>32141.4199999999</v>
          </cell>
          <cell r="N85">
            <v>5482.18</v>
          </cell>
          <cell r="O85">
            <v>0</v>
          </cell>
          <cell r="P85">
            <v>32141.4199999999</v>
          </cell>
          <cell r="Q85">
            <v>5482.18</v>
          </cell>
          <cell r="R85">
            <v>396.08999999999901</v>
          </cell>
          <cell r="S85">
            <v>32537.5099999999</v>
          </cell>
          <cell r="T85">
            <v>5086.09</v>
          </cell>
        </row>
        <row r="86">
          <cell r="A86" t="str">
            <v>PLN   Złoty</v>
          </cell>
          <cell r="B86" t="str">
            <v>1000/1402       NPK 8-24-24</v>
          </cell>
          <cell r="C86" t="str">
            <v>1002007    STAMPOL</v>
          </cell>
          <cell r="D86" t="str">
            <v>KB Sprzed. bezpośrednia</v>
          </cell>
          <cell r="E86">
            <v>25023.5999999999</v>
          </cell>
          <cell r="F86">
            <v>24</v>
          </cell>
          <cell r="G86">
            <v>17526.22</v>
          </cell>
          <cell r="H86">
            <v>1281</v>
          </cell>
          <cell r="I86">
            <v>953.49</v>
          </cell>
          <cell r="J86">
            <v>1992.72</v>
          </cell>
          <cell r="K86">
            <v>0</v>
          </cell>
          <cell r="L86">
            <v>2946.21</v>
          </cell>
          <cell r="M86">
            <v>21753.43</v>
          </cell>
          <cell r="N86">
            <v>3270.17</v>
          </cell>
          <cell r="O86">
            <v>0</v>
          </cell>
          <cell r="P86">
            <v>21753.43</v>
          </cell>
          <cell r="Q86">
            <v>3270.17</v>
          </cell>
          <cell r="R86">
            <v>264.04000000000002</v>
          </cell>
          <cell r="S86">
            <v>22017.47</v>
          </cell>
          <cell r="T86">
            <v>3006.13</v>
          </cell>
        </row>
        <row r="87">
          <cell r="A87" t="str">
            <v>PLN   Złoty</v>
          </cell>
          <cell r="B87" t="str">
            <v>1000/1402       NPK 8-24-24</v>
          </cell>
          <cell r="C87" t="str">
            <v>1002047    Chempest</v>
          </cell>
          <cell r="D87" t="str">
            <v>KB Sprzed. bezpośrednia</v>
          </cell>
          <cell r="E87">
            <v>25200</v>
          </cell>
          <cell r="F87">
            <v>24</v>
          </cell>
          <cell r="G87">
            <v>18697.07</v>
          </cell>
          <cell r="H87">
            <v>1290.01</v>
          </cell>
          <cell r="I87">
            <v>953.49</v>
          </cell>
          <cell r="J87">
            <v>1662.96</v>
          </cell>
          <cell r="K87">
            <v>0</v>
          </cell>
          <cell r="L87">
            <v>2616.4499999999898</v>
          </cell>
          <cell r="M87">
            <v>22603.529999999901</v>
          </cell>
          <cell r="N87">
            <v>2596.4699999999898</v>
          </cell>
          <cell r="O87">
            <v>0</v>
          </cell>
          <cell r="P87">
            <v>22603.529999999901</v>
          </cell>
          <cell r="Q87">
            <v>2596.4699999999898</v>
          </cell>
          <cell r="R87">
            <v>281.69999999999902</v>
          </cell>
          <cell r="S87">
            <v>22885.23</v>
          </cell>
          <cell r="T87">
            <v>2314.77</v>
          </cell>
        </row>
        <row r="88">
          <cell r="A88" t="str">
            <v>PLN   Złoty</v>
          </cell>
          <cell r="B88" t="str">
            <v>1000/1402       NPK 8-24-24</v>
          </cell>
          <cell r="C88" t="str">
            <v>1002056    GS-Koronowo</v>
          </cell>
          <cell r="D88" t="str">
            <v>KB Sprzed. bezpośrednia</v>
          </cell>
          <cell r="E88">
            <v>76260</v>
          </cell>
          <cell r="F88">
            <v>73</v>
          </cell>
          <cell r="G88">
            <v>54683.169999999896</v>
          </cell>
          <cell r="H88">
            <v>3903.9299999999898</v>
          </cell>
          <cell r="I88">
            <v>2900.19</v>
          </cell>
          <cell r="J88">
            <v>2369.1599999999899</v>
          </cell>
          <cell r="K88">
            <v>0</v>
          </cell>
          <cell r="L88">
            <v>5269.35</v>
          </cell>
          <cell r="M88">
            <v>63856.449999999903</v>
          </cell>
          <cell r="N88">
            <v>12403.549999999899</v>
          </cell>
          <cell r="O88">
            <v>0</v>
          </cell>
          <cell r="P88">
            <v>63856.449999999903</v>
          </cell>
          <cell r="Q88">
            <v>12403.549999999899</v>
          </cell>
          <cell r="R88">
            <v>823.86</v>
          </cell>
          <cell r="S88">
            <v>64680.309999999903</v>
          </cell>
          <cell r="T88">
            <v>11579.69</v>
          </cell>
        </row>
        <row r="89">
          <cell r="A89" t="str">
            <v>PLN   Złoty</v>
          </cell>
          <cell r="B89" t="str">
            <v>1000/1402       NPK 8-24-24</v>
          </cell>
          <cell r="C89" t="str">
            <v>1002643    "MINERAL" SP. Z O.O.</v>
          </cell>
          <cell r="D89" t="str">
            <v>KB Sprzed. bezpośrednia</v>
          </cell>
          <cell r="E89">
            <v>12154.32</v>
          </cell>
          <cell r="F89">
            <v>12</v>
          </cell>
          <cell r="G89">
            <v>9612.8199999999906</v>
          </cell>
          <cell r="H89">
            <v>622.22</v>
          </cell>
          <cell r="I89">
            <v>476.75</v>
          </cell>
          <cell r="J89">
            <v>0</v>
          </cell>
          <cell r="K89">
            <v>0</v>
          </cell>
          <cell r="L89">
            <v>476.75</v>
          </cell>
          <cell r="M89">
            <v>10711.79</v>
          </cell>
          <cell r="N89">
            <v>1442.53</v>
          </cell>
          <cell r="O89">
            <v>0</v>
          </cell>
          <cell r="P89">
            <v>10711.79</v>
          </cell>
          <cell r="Q89">
            <v>1442.53</v>
          </cell>
          <cell r="R89">
            <v>144.819999999999</v>
          </cell>
          <cell r="S89">
            <v>10856.61</v>
          </cell>
          <cell r="T89">
            <v>1297.71</v>
          </cell>
        </row>
        <row r="90">
          <cell r="A90" t="str">
            <v>PLN   Złoty</v>
          </cell>
          <cell r="B90" t="str">
            <v>1000/1402       NPK 8-24-24</v>
          </cell>
          <cell r="C90" t="str">
            <v>1002790    AGRO-SKŁAD SZYMON NO</v>
          </cell>
          <cell r="D90" t="str">
            <v>KB Sprzed. bezpośrednia</v>
          </cell>
          <cell r="E90">
            <v>25200</v>
          </cell>
          <cell r="F90">
            <v>24</v>
          </cell>
          <cell r="G90">
            <v>17526.22</v>
          </cell>
          <cell r="H90">
            <v>1290.01</v>
          </cell>
          <cell r="I90">
            <v>953.49</v>
          </cell>
          <cell r="J90">
            <v>1886.64</v>
          </cell>
          <cell r="K90">
            <v>0</v>
          </cell>
          <cell r="L90">
            <v>2840.13</v>
          </cell>
          <cell r="M90">
            <v>21656.36</v>
          </cell>
          <cell r="N90">
            <v>3543.6399999999899</v>
          </cell>
          <cell r="O90">
            <v>0</v>
          </cell>
          <cell r="P90">
            <v>21656.36</v>
          </cell>
          <cell r="Q90">
            <v>3543.6399999999899</v>
          </cell>
          <cell r="R90">
            <v>264.04000000000002</v>
          </cell>
          <cell r="S90">
            <v>21920.400000000001</v>
          </cell>
          <cell r="T90">
            <v>3279.5999999999899</v>
          </cell>
        </row>
        <row r="91">
          <cell r="A91" t="str">
            <v>PLN   Złoty</v>
          </cell>
          <cell r="B91" t="str">
            <v>1000/1402       NPK 8-24-24</v>
          </cell>
          <cell r="C91" t="str">
            <v>1003315    ZAKŁAD OBROTU ROLNEG</v>
          </cell>
          <cell r="D91" t="str">
            <v>KB Sprzed. bezpośrednia</v>
          </cell>
          <cell r="E91">
            <v>25023.5999999999</v>
          </cell>
          <cell r="F91">
            <v>24</v>
          </cell>
          <cell r="G91">
            <v>17526.22</v>
          </cell>
          <cell r="H91">
            <v>1281</v>
          </cell>
          <cell r="I91">
            <v>953.49</v>
          </cell>
          <cell r="J91">
            <v>1833.8399999999899</v>
          </cell>
          <cell r="K91">
            <v>0</v>
          </cell>
          <cell r="L91">
            <v>2787.3299999999899</v>
          </cell>
          <cell r="M91">
            <v>21594.549999999901</v>
          </cell>
          <cell r="N91">
            <v>3429.05</v>
          </cell>
          <cell r="O91">
            <v>0</v>
          </cell>
          <cell r="P91">
            <v>21594.549999999901</v>
          </cell>
          <cell r="Q91">
            <v>3429.05</v>
          </cell>
          <cell r="R91">
            <v>264.04000000000002</v>
          </cell>
          <cell r="S91">
            <v>21858.59</v>
          </cell>
          <cell r="T91">
            <v>3165.01</v>
          </cell>
        </row>
        <row r="92">
          <cell r="A92" t="str">
            <v>PLN   Złoty</v>
          </cell>
          <cell r="B92" t="str">
            <v>1000/1402       NPK 8-24-24</v>
          </cell>
          <cell r="C92" t="str">
            <v>1003605    "AGROMUND"</v>
          </cell>
          <cell r="D92" t="str">
            <v>KB Sprzed. bezpośrednia</v>
          </cell>
          <cell r="E92">
            <v>25321.5</v>
          </cell>
          <cell r="F92">
            <v>25</v>
          </cell>
          <cell r="G92">
            <v>20026.7</v>
          </cell>
          <cell r="H92">
            <v>1296.26</v>
          </cell>
          <cell r="I92">
            <v>993.22</v>
          </cell>
          <cell r="J92">
            <v>0</v>
          </cell>
          <cell r="K92">
            <v>0</v>
          </cell>
          <cell r="L92">
            <v>993.22</v>
          </cell>
          <cell r="M92">
            <v>22316.18</v>
          </cell>
          <cell r="N92">
            <v>3005.32</v>
          </cell>
          <cell r="O92">
            <v>0</v>
          </cell>
          <cell r="P92">
            <v>22316.18</v>
          </cell>
          <cell r="Q92">
            <v>3005.32</v>
          </cell>
          <cell r="R92">
            <v>301.75</v>
          </cell>
          <cell r="S92">
            <v>22617.93</v>
          </cell>
          <cell r="T92">
            <v>2703.57</v>
          </cell>
        </row>
        <row r="93">
          <cell r="A93" t="str">
            <v>PLN   Złoty</v>
          </cell>
          <cell r="B93" t="str">
            <v>1000/1402       NPK 8-24-24</v>
          </cell>
          <cell r="C93" t="str">
            <v>1003773    "NIRO"</v>
          </cell>
          <cell r="D93" t="str">
            <v>KB Sprzed. bezpośrednia</v>
          </cell>
          <cell r="E93">
            <v>23951.279999999901</v>
          </cell>
          <cell r="F93">
            <v>24</v>
          </cell>
          <cell r="G93">
            <v>17526.22</v>
          </cell>
          <cell r="H93">
            <v>1226.0899999999899</v>
          </cell>
          <cell r="I93">
            <v>953.49</v>
          </cell>
          <cell r="J93">
            <v>0</v>
          </cell>
          <cell r="K93">
            <v>0</v>
          </cell>
          <cell r="L93">
            <v>953.49</v>
          </cell>
          <cell r="M93">
            <v>19705.799999999901</v>
          </cell>
          <cell r="N93">
            <v>4245.4799999999896</v>
          </cell>
          <cell r="O93">
            <v>0</v>
          </cell>
          <cell r="P93">
            <v>19705.799999999901</v>
          </cell>
          <cell r="Q93">
            <v>4245.4799999999896</v>
          </cell>
          <cell r="R93">
            <v>264.04000000000002</v>
          </cell>
          <cell r="S93">
            <v>19969.84</v>
          </cell>
          <cell r="T93">
            <v>3981.44</v>
          </cell>
        </row>
        <row r="94">
          <cell r="A94" t="str">
            <v>PLN   Złoty</v>
          </cell>
          <cell r="B94" t="str">
            <v>1000/1402       NPK 8-24-24</v>
          </cell>
          <cell r="C94" t="str">
            <v>1003827    STAL-BUD</v>
          </cell>
          <cell r="D94" t="str">
            <v>KB Sprzed. bezpośrednia</v>
          </cell>
          <cell r="E94">
            <v>49689.839999999902</v>
          </cell>
          <cell r="F94">
            <v>48</v>
          </cell>
          <cell r="G94">
            <v>35052.44</v>
          </cell>
          <cell r="H94">
            <v>2543.7199999999898</v>
          </cell>
          <cell r="I94">
            <v>1906.97</v>
          </cell>
          <cell r="J94">
            <v>4238.3999999999896</v>
          </cell>
          <cell r="K94">
            <v>0</v>
          </cell>
          <cell r="L94">
            <v>6145.3699999999899</v>
          </cell>
          <cell r="M94">
            <v>43741.529999999897</v>
          </cell>
          <cell r="N94">
            <v>5948.31</v>
          </cell>
          <cell r="O94">
            <v>0</v>
          </cell>
          <cell r="P94">
            <v>43741.529999999897</v>
          </cell>
          <cell r="Q94">
            <v>5948.31</v>
          </cell>
          <cell r="R94">
            <v>528.12</v>
          </cell>
          <cell r="S94">
            <v>44269.65</v>
          </cell>
          <cell r="T94">
            <v>5420.1899999999896</v>
          </cell>
        </row>
        <row r="95">
          <cell r="A95" t="str">
            <v>PLN   Złoty</v>
          </cell>
          <cell r="B95" t="str">
            <v>1000/1402       NPK 8-24-24</v>
          </cell>
          <cell r="C95" t="str">
            <v>1003857    EDMAR</v>
          </cell>
          <cell r="D95" t="str">
            <v>KB Sprzed. bezpośrednia</v>
          </cell>
          <cell r="E95">
            <v>361690.799999999</v>
          </cell>
          <cell r="F95">
            <v>346</v>
          </cell>
          <cell r="G95">
            <v>252669.67</v>
          </cell>
          <cell r="H95">
            <v>18515.740000000002</v>
          </cell>
          <cell r="I95">
            <v>13746.11</v>
          </cell>
          <cell r="J95">
            <v>25281.040000000001</v>
          </cell>
          <cell r="K95">
            <v>0</v>
          </cell>
          <cell r="L95">
            <v>39027.15</v>
          </cell>
          <cell r="M95">
            <v>310212.56</v>
          </cell>
          <cell r="N95">
            <v>51478.239999999903</v>
          </cell>
          <cell r="O95">
            <v>0</v>
          </cell>
          <cell r="P95">
            <v>310212.56</v>
          </cell>
          <cell r="Q95">
            <v>51478.239999999903</v>
          </cell>
          <cell r="R95">
            <v>3806.88</v>
          </cell>
          <cell r="S95">
            <v>314019.44</v>
          </cell>
          <cell r="T95">
            <v>47671.360000000001</v>
          </cell>
        </row>
        <row r="96">
          <cell r="A96" t="str">
            <v>PLN   Złoty</v>
          </cell>
          <cell r="B96" t="str">
            <v>1000/1402       NPK 8-24-24</v>
          </cell>
          <cell r="C96" t="str">
            <v>1003981    GRUPA POLSKIE SKŁADY</v>
          </cell>
          <cell r="D96" t="str">
            <v>KB Sprzed. bezpośrednia</v>
          </cell>
          <cell r="E96">
            <v>48974.879999999903</v>
          </cell>
          <cell r="F96">
            <v>48</v>
          </cell>
          <cell r="G96">
            <v>35052.44</v>
          </cell>
          <cell r="H96">
            <v>2507.1599999999899</v>
          </cell>
          <cell r="I96">
            <v>1906.97</v>
          </cell>
          <cell r="J96">
            <v>1242.24</v>
          </cell>
          <cell r="K96">
            <v>0</v>
          </cell>
          <cell r="L96">
            <v>3149.21</v>
          </cell>
          <cell r="M96">
            <v>40708.809999999903</v>
          </cell>
          <cell r="N96">
            <v>8266.0699999999906</v>
          </cell>
          <cell r="O96">
            <v>0</v>
          </cell>
          <cell r="P96">
            <v>40708.809999999903</v>
          </cell>
          <cell r="Q96">
            <v>8266.0699999999906</v>
          </cell>
          <cell r="R96">
            <v>528.12</v>
          </cell>
          <cell r="S96">
            <v>41236.93</v>
          </cell>
          <cell r="T96">
            <v>7737.9499999999898</v>
          </cell>
        </row>
        <row r="97">
          <cell r="A97" t="str">
            <v>PLN   Złoty</v>
          </cell>
          <cell r="B97" t="str">
            <v>1000/1402       NPK 8-24-24</v>
          </cell>
          <cell r="C97" t="str">
            <v>1004208    Morawski-Sprzed.Art.</v>
          </cell>
          <cell r="D97" t="str">
            <v>KB Sprzed. bezpośrednia</v>
          </cell>
          <cell r="E97">
            <v>50400</v>
          </cell>
          <cell r="F97">
            <v>48</v>
          </cell>
          <cell r="G97">
            <v>35052.44</v>
          </cell>
          <cell r="H97">
            <v>2580.0999999999899</v>
          </cell>
          <cell r="I97">
            <v>1906.97</v>
          </cell>
          <cell r="J97">
            <v>3325.92</v>
          </cell>
          <cell r="K97">
            <v>0</v>
          </cell>
          <cell r="L97">
            <v>5232.8900000000003</v>
          </cell>
          <cell r="M97">
            <v>42865.43</v>
          </cell>
          <cell r="N97">
            <v>7534.5699999999897</v>
          </cell>
          <cell r="O97">
            <v>0</v>
          </cell>
          <cell r="P97">
            <v>42865.43</v>
          </cell>
          <cell r="Q97">
            <v>7534.5699999999897</v>
          </cell>
          <cell r="R97">
            <v>528.12</v>
          </cell>
          <cell r="S97">
            <v>43393.55</v>
          </cell>
          <cell r="T97">
            <v>7006.4499999999898</v>
          </cell>
        </row>
        <row r="98">
          <cell r="A98" t="str">
            <v>PLN   Złoty</v>
          </cell>
          <cell r="B98" t="str">
            <v>1000/1402       NPK 8-24-24</v>
          </cell>
          <cell r="C98" t="str">
            <v>1004340    "AGRO-TECH"</v>
          </cell>
          <cell r="D98" t="str">
            <v>KB Sprzed. bezpośrednia</v>
          </cell>
          <cell r="E98">
            <v>25023.5999999999</v>
          </cell>
          <cell r="F98">
            <v>24</v>
          </cell>
          <cell r="G98">
            <v>17526.22</v>
          </cell>
          <cell r="H98">
            <v>1281</v>
          </cell>
          <cell r="I98">
            <v>953.49</v>
          </cell>
          <cell r="J98">
            <v>2119.1999999999898</v>
          </cell>
          <cell r="K98">
            <v>0</v>
          </cell>
          <cell r="L98">
            <v>3072.69</v>
          </cell>
          <cell r="M98">
            <v>21879.91</v>
          </cell>
          <cell r="N98">
            <v>3143.69</v>
          </cell>
          <cell r="O98">
            <v>0</v>
          </cell>
          <cell r="P98">
            <v>21879.91</v>
          </cell>
          <cell r="Q98">
            <v>3143.69</v>
          </cell>
          <cell r="R98">
            <v>264.04000000000002</v>
          </cell>
          <cell r="S98">
            <v>22143.95</v>
          </cell>
          <cell r="T98">
            <v>2879.65</v>
          </cell>
        </row>
        <row r="99">
          <cell r="A99" t="str">
            <v>PLN   Złoty</v>
          </cell>
          <cell r="B99" t="str">
            <v>1000/1402       NPK 8-24-24</v>
          </cell>
          <cell r="C99" t="str">
            <v>1004534    FIRMA HANDLOWA "ROLB</v>
          </cell>
          <cell r="D99" t="str">
            <v>KB Sprzed. bezpośrednia</v>
          </cell>
          <cell r="E99">
            <v>52547.22</v>
          </cell>
          <cell r="F99">
            <v>51</v>
          </cell>
          <cell r="G99">
            <v>40097.43</v>
          </cell>
          <cell r="H99">
            <v>2689.96</v>
          </cell>
          <cell r="I99">
            <v>2026.17</v>
          </cell>
          <cell r="J99">
            <v>1727.76</v>
          </cell>
          <cell r="K99">
            <v>0</v>
          </cell>
          <cell r="L99">
            <v>3753.9299999999898</v>
          </cell>
          <cell r="M99">
            <v>46541.32</v>
          </cell>
          <cell r="N99">
            <v>6005.8999999999896</v>
          </cell>
          <cell r="O99">
            <v>0</v>
          </cell>
          <cell r="P99">
            <v>46541.32</v>
          </cell>
          <cell r="Q99">
            <v>6005.8999999999896</v>
          </cell>
          <cell r="R99">
            <v>604.1</v>
          </cell>
          <cell r="S99">
            <v>47145.419999999896</v>
          </cell>
          <cell r="T99">
            <v>5401.8</v>
          </cell>
        </row>
        <row r="100">
          <cell r="A100" t="str">
            <v>PLN   Złoty</v>
          </cell>
          <cell r="B100" t="str">
            <v>1000/1402       NPK 8-24-24</v>
          </cell>
          <cell r="C100" t="str">
            <v>1004710    "AGRICOLA-LUBLIN" SP</v>
          </cell>
          <cell r="D100" t="str">
            <v>KB Sprzed. bezpośrednia</v>
          </cell>
          <cell r="E100">
            <v>14180.04</v>
          </cell>
          <cell r="F100">
            <v>14</v>
          </cell>
          <cell r="G100">
            <v>10223.620000000001</v>
          </cell>
          <cell r="H100">
            <v>725.85</v>
          </cell>
          <cell r="I100">
            <v>556.20000000000005</v>
          </cell>
          <cell r="J100">
            <v>0</v>
          </cell>
          <cell r="K100">
            <v>0</v>
          </cell>
          <cell r="L100">
            <v>556.20000000000005</v>
          </cell>
          <cell r="M100">
            <v>11505.67</v>
          </cell>
          <cell r="N100">
            <v>2674.3699999999899</v>
          </cell>
          <cell r="O100">
            <v>0</v>
          </cell>
          <cell r="P100">
            <v>11505.67</v>
          </cell>
          <cell r="Q100">
            <v>2674.3699999999899</v>
          </cell>
          <cell r="R100">
            <v>154.03</v>
          </cell>
          <cell r="S100">
            <v>11659.7</v>
          </cell>
          <cell r="T100">
            <v>2520.34</v>
          </cell>
        </row>
        <row r="101">
          <cell r="A101" t="str">
            <v>PLN   Złoty</v>
          </cell>
          <cell r="B101" t="str">
            <v>1000/1402       NPK 8-24-24</v>
          </cell>
          <cell r="C101" t="str">
            <v>1004737    PH-U"AGRO-PLON"</v>
          </cell>
          <cell r="D101" t="str">
            <v>KB Sprzed. bezpośrednia</v>
          </cell>
          <cell r="E101">
            <v>24949</v>
          </cell>
          <cell r="F101">
            <v>25</v>
          </cell>
          <cell r="G101">
            <v>20447.77</v>
          </cell>
          <cell r="H101">
            <v>1277.2</v>
          </cell>
          <cell r="I101">
            <v>993.22</v>
          </cell>
          <cell r="J101">
            <v>0</v>
          </cell>
          <cell r="K101">
            <v>0</v>
          </cell>
          <cell r="L101">
            <v>993.22</v>
          </cell>
          <cell r="M101">
            <v>22718.1899999999</v>
          </cell>
          <cell r="N101">
            <v>2230.8099999999899</v>
          </cell>
          <cell r="O101">
            <v>0</v>
          </cell>
          <cell r="P101">
            <v>22718.1899999999</v>
          </cell>
          <cell r="Q101">
            <v>2230.8099999999899</v>
          </cell>
          <cell r="R101">
            <v>308.07999999999902</v>
          </cell>
          <cell r="S101">
            <v>23026.27</v>
          </cell>
          <cell r="T101">
            <v>1922.73</v>
          </cell>
        </row>
        <row r="102">
          <cell r="A102" t="str">
            <v>PLN   Złoty</v>
          </cell>
          <cell r="B102" t="str">
            <v>1000/1402       NPK 8-24-24</v>
          </cell>
          <cell r="C102" t="str">
            <v>1004788    "ADAR" HANDEL NAWOZA</v>
          </cell>
          <cell r="D102" t="str">
            <v>KB Sprzed. bezpośrednia</v>
          </cell>
          <cell r="E102">
            <v>214726.32</v>
          </cell>
          <cell r="F102">
            <v>212</v>
          </cell>
          <cell r="G102">
            <v>154814.95000000001</v>
          </cell>
          <cell r="H102">
            <v>10992.309999999899</v>
          </cell>
          <cell r="I102">
            <v>8422.4799999999905</v>
          </cell>
          <cell r="J102">
            <v>0</v>
          </cell>
          <cell r="K102">
            <v>0</v>
          </cell>
          <cell r="L102">
            <v>8422.4799999999905</v>
          </cell>
          <cell r="M102">
            <v>174229.739999999</v>
          </cell>
          <cell r="N102">
            <v>40496.58</v>
          </cell>
          <cell r="O102">
            <v>0</v>
          </cell>
          <cell r="P102">
            <v>174229.739999999</v>
          </cell>
          <cell r="Q102">
            <v>40496.58</v>
          </cell>
          <cell r="R102">
            <v>2332.5500000000002</v>
          </cell>
          <cell r="S102">
            <v>176562.29</v>
          </cell>
          <cell r="T102">
            <v>38164.029999999897</v>
          </cell>
        </row>
        <row r="103">
          <cell r="A103" t="str">
            <v>PLN   Złoty</v>
          </cell>
          <cell r="B103" t="str">
            <v>1000/1402       NPK 8-24-24</v>
          </cell>
          <cell r="C103" t="str">
            <v>1004807    "STAN-ROL" BOGUSŁAW</v>
          </cell>
          <cell r="D103" t="str">
            <v>KB Sprzed. bezpośrednia</v>
          </cell>
          <cell r="E103">
            <v>24308.639999999901</v>
          </cell>
          <cell r="F103">
            <v>24</v>
          </cell>
          <cell r="G103">
            <v>17526.22</v>
          </cell>
          <cell r="H103">
            <v>1244.44</v>
          </cell>
          <cell r="I103">
            <v>953.58</v>
          </cell>
          <cell r="J103">
            <v>0</v>
          </cell>
          <cell r="K103">
            <v>0</v>
          </cell>
          <cell r="L103">
            <v>953.58</v>
          </cell>
          <cell r="M103">
            <v>19724.240000000002</v>
          </cell>
          <cell r="N103">
            <v>4584.3999999999896</v>
          </cell>
          <cell r="O103">
            <v>0</v>
          </cell>
          <cell r="P103">
            <v>19724.240000000002</v>
          </cell>
          <cell r="Q103">
            <v>4584.3999999999896</v>
          </cell>
          <cell r="R103">
            <v>264.04000000000002</v>
          </cell>
          <cell r="S103">
            <v>19988.279999999901</v>
          </cell>
          <cell r="T103">
            <v>4320.3599999999897</v>
          </cell>
        </row>
        <row r="104">
          <cell r="A104" t="str">
            <v>PLN   Złoty</v>
          </cell>
          <cell r="B104" t="str">
            <v>1000/1409       NPK 4-12-32</v>
          </cell>
          <cell r="C104" t="str">
            <v>1000112    GS 'SCh'</v>
          </cell>
          <cell r="D104" t="str">
            <v>KB Sprzed. bezpośrednia</v>
          </cell>
          <cell r="E104">
            <v>10020</v>
          </cell>
          <cell r="F104">
            <v>12</v>
          </cell>
          <cell r="G104">
            <v>7419.92</v>
          </cell>
          <cell r="H104">
            <v>512.96</v>
          </cell>
          <cell r="I104">
            <v>324.12</v>
          </cell>
          <cell r="J104">
            <v>0</v>
          </cell>
          <cell r="K104">
            <v>0</v>
          </cell>
          <cell r="L104">
            <v>324.12</v>
          </cell>
          <cell r="M104">
            <v>8257</v>
          </cell>
          <cell r="N104">
            <v>1763</v>
          </cell>
          <cell r="O104">
            <v>0</v>
          </cell>
          <cell r="P104">
            <v>8257</v>
          </cell>
          <cell r="Q104">
            <v>1763</v>
          </cell>
          <cell r="R104">
            <v>111.78</v>
          </cell>
          <cell r="S104">
            <v>8368.7800000000007</v>
          </cell>
          <cell r="T104">
            <v>1651.22</v>
          </cell>
        </row>
        <row r="105">
          <cell r="A105" t="str">
            <v>PLN   Złoty</v>
          </cell>
          <cell r="B105" t="str">
            <v>1000/1409       NPK 4-12-32</v>
          </cell>
          <cell r="C105" t="str">
            <v>1000205    SKŁODOWSKI</v>
          </cell>
          <cell r="D105" t="str">
            <v>KB Sprzed. bezpośrednia</v>
          </cell>
          <cell r="E105">
            <v>83888.639999999898</v>
          </cell>
          <cell r="F105">
            <v>96</v>
          </cell>
          <cell r="G105">
            <v>59359.360000000001</v>
          </cell>
          <cell r="H105">
            <v>4294.46</v>
          </cell>
          <cell r="I105">
            <v>2592.9899999999898</v>
          </cell>
          <cell r="J105">
            <v>6858.2399999999898</v>
          </cell>
          <cell r="K105">
            <v>0</v>
          </cell>
          <cell r="L105">
            <v>9451.2299999999905</v>
          </cell>
          <cell r="M105">
            <v>73105.05</v>
          </cell>
          <cell r="N105">
            <v>10783.59</v>
          </cell>
          <cell r="O105">
            <v>0</v>
          </cell>
          <cell r="P105">
            <v>73105.05</v>
          </cell>
          <cell r="Q105">
            <v>10783.59</v>
          </cell>
          <cell r="R105">
            <v>894.34</v>
          </cell>
          <cell r="S105">
            <v>73999.389999999898</v>
          </cell>
          <cell r="T105">
            <v>9889.25</v>
          </cell>
        </row>
        <row r="106">
          <cell r="A106" t="str">
            <v>PLN   Złoty</v>
          </cell>
          <cell r="B106" t="str">
            <v>1000/1409       NPK 4-12-32</v>
          </cell>
          <cell r="C106" t="str">
            <v>1000248    DYMNY</v>
          </cell>
          <cell r="D106" t="str">
            <v>KB Sprzed. bezpośrednia</v>
          </cell>
          <cell r="E106">
            <v>69649.440000000002</v>
          </cell>
          <cell r="F106">
            <v>84</v>
          </cell>
          <cell r="G106">
            <v>51939.44</v>
          </cell>
          <cell r="H106">
            <v>3565.4699999999898</v>
          </cell>
          <cell r="I106">
            <v>2268.86</v>
          </cell>
          <cell r="J106">
            <v>0</v>
          </cell>
          <cell r="K106">
            <v>0</v>
          </cell>
          <cell r="L106">
            <v>2268.86</v>
          </cell>
          <cell r="M106">
            <v>57773.769999999902</v>
          </cell>
          <cell r="N106">
            <v>11875.67</v>
          </cell>
          <cell r="O106">
            <v>0</v>
          </cell>
          <cell r="P106">
            <v>57773.769999999902</v>
          </cell>
          <cell r="Q106">
            <v>11875.67</v>
          </cell>
          <cell r="R106">
            <v>782.53999999999905</v>
          </cell>
          <cell r="S106">
            <v>58556.309999999903</v>
          </cell>
          <cell r="T106">
            <v>11093.129999999899</v>
          </cell>
        </row>
        <row r="107">
          <cell r="A107" t="str">
            <v>PLN   Złoty</v>
          </cell>
          <cell r="B107" t="str">
            <v>1000/1409       NPK 4-12-32</v>
          </cell>
          <cell r="C107" t="str">
            <v>1000252    AGROSKŁAD</v>
          </cell>
          <cell r="D107" t="str">
            <v>KB Sprzed. bezpośrednia</v>
          </cell>
          <cell r="E107">
            <v>33166.400000000001</v>
          </cell>
          <cell r="F107">
            <v>40</v>
          </cell>
          <cell r="G107">
            <v>24733.07</v>
          </cell>
          <cell r="H107">
            <v>1697.88</v>
          </cell>
          <cell r="I107">
            <v>1080.43</v>
          </cell>
          <cell r="J107">
            <v>0</v>
          </cell>
          <cell r="K107">
            <v>0</v>
          </cell>
          <cell r="L107">
            <v>1080.43</v>
          </cell>
          <cell r="M107">
            <v>27511.38</v>
          </cell>
          <cell r="N107">
            <v>5655.02</v>
          </cell>
          <cell r="O107">
            <v>0</v>
          </cell>
          <cell r="P107">
            <v>27511.38</v>
          </cell>
          <cell r="Q107">
            <v>5655.02</v>
          </cell>
          <cell r="R107">
            <v>372.63999999999902</v>
          </cell>
          <cell r="S107">
            <v>27884.02</v>
          </cell>
          <cell r="T107">
            <v>5282.38</v>
          </cell>
        </row>
        <row r="108">
          <cell r="A108" t="str">
            <v>PLN   Złoty</v>
          </cell>
          <cell r="B108" t="str">
            <v>1000/1409       NPK 4-12-32</v>
          </cell>
          <cell r="C108" t="str">
            <v>1000277    ATRANS</v>
          </cell>
          <cell r="D108" t="str">
            <v>KB Sprzed. bezpośrednia</v>
          </cell>
          <cell r="E108">
            <v>42240</v>
          </cell>
          <cell r="F108">
            <v>48</v>
          </cell>
          <cell r="G108">
            <v>29679.68</v>
          </cell>
          <cell r="H108">
            <v>2162.38</v>
          </cell>
          <cell r="I108">
            <v>1296.5</v>
          </cell>
          <cell r="J108">
            <v>3561.5999999999899</v>
          </cell>
          <cell r="K108">
            <v>0</v>
          </cell>
          <cell r="L108">
            <v>4858.1000000000004</v>
          </cell>
          <cell r="M108">
            <v>36700.160000000003</v>
          </cell>
          <cell r="N108">
            <v>5539.84</v>
          </cell>
          <cell r="O108">
            <v>0</v>
          </cell>
          <cell r="P108">
            <v>36700.160000000003</v>
          </cell>
          <cell r="Q108">
            <v>5539.84</v>
          </cell>
          <cell r="R108">
            <v>447.19</v>
          </cell>
          <cell r="S108">
            <v>37147.349999999897</v>
          </cell>
          <cell r="T108">
            <v>5092.6499999999896</v>
          </cell>
        </row>
        <row r="109">
          <cell r="A109" t="str">
            <v>PLN   Złoty</v>
          </cell>
          <cell r="B109" t="str">
            <v>1000/1409       NPK 4-12-32</v>
          </cell>
          <cell r="C109" t="str">
            <v>1000291    "AGRO-BIZNES" SP.J.</v>
          </cell>
          <cell r="D109" t="str">
            <v>KB Sprzed. bezpośrednia</v>
          </cell>
          <cell r="E109">
            <v>19899.84</v>
          </cell>
          <cell r="F109">
            <v>24</v>
          </cell>
          <cell r="G109">
            <v>14839.84</v>
          </cell>
          <cell r="H109">
            <v>1018.66</v>
          </cell>
          <cell r="I109">
            <v>648.25999999999897</v>
          </cell>
          <cell r="J109">
            <v>0</v>
          </cell>
          <cell r="K109">
            <v>0</v>
          </cell>
          <cell r="L109">
            <v>648.25999999999897</v>
          </cell>
          <cell r="M109">
            <v>16506.7599999999</v>
          </cell>
          <cell r="N109">
            <v>3393.0799999999899</v>
          </cell>
          <cell r="O109">
            <v>0</v>
          </cell>
          <cell r="P109">
            <v>16506.7599999999</v>
          </cell>
          <cell r="Q109">
            <v>3393.0799999999899</v>
          </cell>
          <cell r="R109">
            <v>223.61</v>
          </cell>
          <cell r="S109">
            <v>16730.369999999901</v>
          </cell>
          <cell r="T109">
            <v>3169.4699999999898</v>
          </cell>
        </row>
        <row r="110">
          <cell r="A110" t="str">
            <v>PLN   Złoty</v>
          </cell>
          <cell r="B110" t="str">
            <v>1000/1409       NPK 4-12-32</v>
          </cell>
          <cell r="C110" t="str">
            <v>1000808    TERRA Sp. z o.o.</v>
          </cell>
          <cell r="D110" t="str">
            <v>KB Sprzed. bezpośrednia</v>
          </cell>
          <cell r="E110">
            <v>9949.92</v>
          </cell>
          <cell r="F110">
            <v>12</v>
          </cell>
          <cell r="G110">
            <v>7419.92</v>
          </cell>
          <cell r="H110">
            <v>509.35</v>
          </cell>
          <cell r="I110">
            <v>324.12</v>
          </cell>
          <cell r="J110">
            <v>0</v>
          </cell>
          <cell r="K110">
            <v>0</v>
          </cell>
          <cell r="L110">
            <v>324.12</v>
          </cell>
          <cell r="M110">
            <v>8253.3899999999903</v>
          </cell>
          <cell r="N110">
            <v>1696.53</v>
          </cell>
          <cell r="O110">
            <v>0</v>
          </cell>
          <cell r="P110">
            <v>8253.3899999999903</v>
          </cell>
          <cell r="Q110">
            <v>1696.53</v>
          </cell>
          <cell r="R110">
            <v>111.78</v>
          </cell>
          <cell r="S110">
            <v>8365.17</v>
          </cell>
          <cell r="T110">
            <v>1584.75</v>
          </cell>
        </row>
        <row r="111">
          <cell r="A111" t="str">
            <v>PLN   Złoty</v>
          </cell>
          <cell r="B111" t="str">
            <v>1000/1409       NPK 4-12-32</v>
          </cell>
          <cell r="C111" t="str">
            <v>1000982    TORAL Elżbieta Krupa</v>
          </cell>
          <cell r="D111" t="str">
            <v>KB Sprzed. bezpośrednia</v>
          </cell>
          <cell r="E111">
            <v>90560</v>
          </cell>
          <cell r="F111">
            <v>106</v>
          </cell>
          <cell r="G111">
            <v>65542.63</v>
          </cell>
          <cell r="H111">
            <v>4635.97</v>
          </cell>
          <cell r="I111">
            <v>2863.09</v>
          </cell>
          <cell r="J111">
            <v>3200.03</v>
          </cell>
          <cell r="K111">
            <v>0</v>
          </cell>
          <cell r="L111">
            <v>6063.1199999999899</v>
          </cell>
          <cell r="M111">
            <v>76241.72</v>
          </cell>
          <cell r="N111">
            <v>14318.28</v>
          </cell>
          <cell r="O111">
            <v>0</v>
          </cell>
          <cell r="P111">
            <v>76241.72</v>
          </cell>
          <cell r="Q111">
            <v>14318.28</v>
          </cell>
          <cell r="R111">
            <v>987.50999999999897</v>
          </cell>
          <cell r="S111">
            <v>77229.229999999894</v>
          </cell>
          <cell r="T111">
            <v>13330.77</v>
          </cell>
        </row>
        <row r="112">
          <cell r="A112" t="str">
            <v>PLN   Złoty</v>
          </cell>
          <cell r="B112" t="str">
            <v>1000/1409       NPK 4-12-32</v>
          </cell>
          <cell r="C112" t="str">
            <v>1001662    AMPOL-MEROL Sp. z o.</v>
          </cell>
          <cell r="D112" t="str">
            <v>KB Sprzed. bezpośrednia</v>
          </cell>
          <cell r="E112">
            <v>101132.16</v>
          </cell>
          <cell r="F112">
            <v>120</v>
          </cell>
          <cell r="G112">
            <v>74199.199999999895</v>
          </cell>
          <cell r="H112">
            <v>5177.1599999999899</v>
          </cell>
          <cell r="I112">
            <v>3241.26</v>
          </cell>
          <cell r="J112">
            <v>1589.52</v>
          </cell>
          <cell r="K112">
            <v>0</v>
          </cell>
          <cell r="L112">
            <v>4830.7799999999897</v>
          </cell>
          <cell r="M112">
            <v>84207.139999999898</v>
          </cell>
          <cell r="N112">
            <v>16925.02</v>
          </cell>
          <cell r="O112">
            <v>0</v>
          </cell>
          <cell r="P112">
            <v>84207.139999999898</v>
          </cell>
          <cell r="Q112">
            <v>16925.02</v>
          </cell>
          <cell r="R112">
            <v>1117.94</v>
          </cell>
          <cell r="S112">
            <v>85325.08</v>
          </cell>
          <cell r="T112">
            <v>15807.08</v>
          </cell>
        </row>
        <row r="113">
          <cell r="A113" t="str">
            <v>PLN   Złoty</v>
          </cell>
          <cell r="B113" t="str">
            <v>1000/1409       NPK 4-12-32</v>
          </cell>
          <cell r="C113" t="str">
            <v>1001871    ROLPOL SPÓŁKA JAWNA</v>
          </cell>
          <cell r="D113" t="str">
            <v>KB Sprzed. bezpośrednia</v>
          </cell>
          <cell r="E113">
            <v>20040</v>
          </cell>
          <cell r="F113">
            <v>24</v>
          </cell>
          <cell r="G113">
            <v>14839.84</v>
          </cell>
          <cell r="H113">
            <v>1025.8399999999899</v>
          </cell>
          <cell r="I113">
            <v>648.25999999999897</v>
          </cell>
          <cell r="J113">
            <v>0</v>
          </cell>
          <cell r="K113">
            <v>0</v>
          </cell>
          <cell r="L113">
            <v>648.25999999999897</v>
          </cell>
          <cell r="M113">
            <v>16513.9399999999</v>
          </cell>
          <cell r="N113">
            <v>3526.0599999999899</v>
          </cell>
          <cell r="O113">
            <v>0</v>
          </cell>
          <cell r="P113">
            <v>16513.9399999999</v>
          </cell>
          <cell r="Q113">
            <v>3526.0599999999899</v>
          </cell>
          <cell r="R113">
            <v>223.61</v>
          </cell>
          <cell r="S113">
            <v>16737.549999999901</v>
          </cell>
          <cell r="T113">
            <v>3302.4499999999898</v>
          </cell>
        </row>
        <row r="114">
          <cell r="A114" t="str">
            <v>PLN   Złoty</v>
          </cell>
          <cell r="B114" t="str">
            <v>1000/1409       NPK 4-12-32</v>
          </cell>
          <cell r="C114" t="str">
            <v>1001988    ROLNIK-KOŚCIAN</v>
          </cell>
          <cell r="D114" t="str">
            <v>KB Sprzed. bezpośrednia</v>
          </cell>
          <cell r="E114">
            <v>624653.34999999905</v>
          </cell>
          <cell r="F114">
            <v>712</v>
          </cell>
          <cell r="G114">
            <v>463244.679999999</v>
          </cell>
          <cell r="H114">
            <v>31977.34</v>
          </cell>
          <cell r="I114">
            <v>19231.4199999999</v>
          </cell>
          <cell r="J114">
            <v>3167.04</v>
          </cell>
          <cell r="K114">
            <v>0</v>
          </cell>
          <cell r="L114">
            <v>22398.459999999901</v>
          </cell>
          <cell r="M114">
            <v>517620.47999999899</v>
          </cell>
          <cell r="N114">
            <v>107032.87</v>
          </cell>
          <cell r="O114">
            <v>0</v>
          </cell>
          <cell r="P114">
            <v>517620.47999999899</v>
          </cell>
          <cell r="Q114">
            <v>107032.87</v>
          </cell>
          <cell r="R114">
            <v>6979.5299999999897</v>
          </cell>
          <cell r="S114">
            <v>524600.01</v>
          </cell>
          <cell r="T114">
            <v>100053.34</v>
          </cell>
        </row>
        <row r="115">
          <cell r="A115" t="str">
            <v>PLN   Złoty</v>
          </cell>
          <cell r="B115" t="str">
            <v>1000/1409       NPK 4-12-32</v>
          </cell>
          <cell r="C115" t="str">
            <v>1001991    WAMEX</v>
          </cell>
          <cell r="D115" t="str">
            <v>KB Sprzed. bezpośrednia</v>
          </cell>
          <cell r="E115">
            <v>19899.84</v>
          </cell>
          <cell r="F115">
            <v>24</v>
          </cell>
          <cell r="G115">
            <v>14839.84</v>
          </cell>
          <cell r="H115">
            <v>1018.66</v>
          </cell>
          <cell r="I115">
            <v>648.25999999999897</v>
          </cell>
          <cell r="J115">
            <v>0</v>
          </cell>
          <cell r="K115">
            <v>0</v>
          </cell>
          <cell r="L115">
            <v>648.25999999999897</v>
          </cell>
          <cell r="M115">
            <v>16506.7599999999</v>
          </cell>
          <cell r="N115">
            <v>3393.0799999999899</v>
          </cell>
          <cell r="O115">
            <v>0</v>
          </cell>
          <cell r="P115">
            <v>16506.7599999999</v>
          </cell>
          <cell r="Q115">
            <v>3393.0799999999899</v>
          </cell>
          <cell r="R115">
            <v>223.61</v>
          </cell>
          <cell r="S115">
            <v>16730.369999999901</v>
          </cell>
          <cell r="T115">
            <v>3169.4699999999898</v>
          </cell>
        </row>
        <row r="116">
          <cell r="A116" t="str">
            <v>PLN   Złoty</v>
          </cell>
          <cell r="B116" t="str">
            <v>1000/1409       NPK 4-12-32</v>
          </cell>
          <cell r="C116" t="str">
            <v>1001992    PLON Pastuszka Kazał</v>
          </cell>
          <cell r="D116" t="str">
            <v>KB Sprzed. bezpośrednia</v>
          </cell>
          <cell r="E116">
            <v>21120</v>
          </cell>
          <cell r="F116">
            <v>24</v>
          </cell>
          <cell r="G116">
            <v>14839.84</v>
          </cell>
          <cell r="H116">
            <v>1081.1500000000001</v>
          </cell>
          <cell r="I116">
            <v>648.25999999999897</v>
          </cell>
          <cell r="J116">
            <v>1701.1199999999899</v>
          </cell>
          <cell r="K116">
            <v>0</v>
          </cell>
          <cell r="L116">
            <v>2349.38</v>
          </cell>
          <cell r="M116">
            <v>18270.369999999901</v>
          </cell>
          <cell r="N116">
            <v>2849.63</v>
          </cell>
          <cell r="O116">
            <v>0</v>
          </cell>
          <cell r="P116">
            <v>18270.369999999901</v>
          </cell>
          <cell r="Q116">
            <v>2849.63</v>
          </cell>
          <cell r="R116">
            <v>223.61</v>
          </cell>
          <cell r="S116">
            <v>18493.98</v>
          </cell>
          <cell r="T116">
            <v>2626.02</v>
          </cell>
        </row>
        <row r="117">
          <cell r="A117" t="str">
            <v>PLN   Złoty</v>
          </cell>
          <cell r="B117" t="str">
            <v>1000/1409       NPK 4-12-32</v>
          </cell>
          <cell r="C117" t="str">
            <v>1001994    SKR-STRZELCE</v>
          </cell>
          <cell r="D117" t="str">
            <v>KB Sprzed. bezpośrednia</v>
          </cell>
          <cell r="E117">
            <v>90800.279999999897</v>
          </cell>
          <cell r="F117">
            <v>108</v>
          </cell>
          <cell r="G117">
            <v>67710.729999999894</v>
          </cell>
          <cell r="H117">
            <v>4648.26</v>
          </cell>
          <cell r="I117">
            <v>2917.11</v>
          </cell>
          <cell r="J117">
            <v>1701.1199999999899</v>
          </cell>
          <cell r="K117">
            <v>0</v>
          </cell>
          <cell r="L117">
            <v>4618.2299999999896</v>
          </cell>
          <cell r="M117">
            <v>76977.22</v>
          </cell>
          <cell r="N117">
            <v>13823.059999999899</v>
          </cell>
          <cell r="O117">
            <v>0</v>
          </cell>
          <cell r="P117">
            <v>76977.22</v>
          </cell>
          <cell r="Q117">
            <v>13823.059999999899</v>
          </cell>
          <cell r="R117">
            <v>1020.16</v>
          </cell>
          <cell r="S117">
            <v>77997.38</v>
          </cell>
          <cell r="T117">
            <v>12802.9</v>
          </cell>
        </row>
        <row r="118">
          <cell r="A118" t="str">
            <v>PLN   Złoty</v>
          </cell>
          <cell r="B118" t="str">
            <v>1000/1409       NPK 4-12-32</v>
          </cell>
          <cell r="C118" t="str">
            <v>1002657    "AGROFIRMA"-TOMASZ W</v>
          </cell>
          <cell r="D118" t="str">
            <v>KB Sprzed. bezpośrednia</v>
          </cell>
          <cell r="E118">
            <v>20040</v>
          </cell>
          <cell r="F118">
            <v>24</v>
          </cell>
          <cell r="G118">
            <v>14839.84</v>
          </cell>
          <cell r="H118">
            <v>1025.8399999999899</v>
          </cell>
          <cell r="I118">
            <v>648.25999999999897</v>
          </cell>
          <cell r="J118">
            <v>0</v>
          </cell>
          <cell r="K118">
            <v>0</v>
          </cell>
          <cell r="L118">
            <v>648.25999999999897</v>
          </cell>
          <cell r="M118">
            <v>16513.9399999999</v>
          </cell>
          <cell r="N118">
            <v>3526.0599999999899</v>
          </cell>
          <cell r="O118">
            <v>0</v>
          </cell>
          <cell r="P118">
            <v>16513.9399999999</v>
          </cell>
          <cell r="Q118">
            <v>3526.0599999999899</v>
          </cell>
          <cell r="R118">
            <v>223.61</v>
          </cell>
          <cell r="S118">
            <v>16737.549999999901</v>
          </cell>
          <cell r="T118">
            <v>3302.4499999999898</v>
          </cell>
        </row>
        <row r="119">
          <cell r="A119" t="str">
            <v>PLN   Złoty</v>
          </cell>
          <cell r="B119" t="str">
            <v>1000/1409       NPK 4-12-32</v>
          </cell>
          <cell r="C119" t="str">
            <v>1003056    LECHPOL SP. Z O.O.</v>
          </cell>
          <cell r="D119" t="str">
            <v>KB Sprzed. bezpośrednia</v>
          </cell>
          <cell r="E119">
            <v>40872</v>
          </cell>
          <cell r="F119">
            <v>48</v>
          </cell>
          <cell r="G119">
            <v>29679.68</v>
          </cell>
          <cell r="H119">
            <v>2092.3200000000002</v>
          </cell>
          <cell r="I119">
            <v>1296.5</v>
          </cell>
          <cell r="J119">
            <v>2325.36</v>
          </cell>
          <cell r="K119">
            <v>0</v>
          </cell>
          <cell r="L119">
            <v>3621.86</v>
          </cell>
          <cell r="M119">
            <v>35393.86</v>
          </cell>
          <cell r="N119">
            <v>5478.14</v>
          </cell>
          <cell r="O119">
            <v>0</v>
          </cell>
          <cell r="P119">
            <v>35393.86</v>
          </cell>
          <cell r="Q119">
            <v>5478.14</v>
          </cell>
          <cell r="R119">
            <v>447.19</v>
          </cell>
          <cell r="S119">
            <v>35841.050000000003</v>
          </cell>
          <cell r="T119">
            <v>5030.9499999999898</v>
          </cell>
        </row>
        <row r="120">
          <cell r="A120" t="str">
            <v>PLN   Złoty</v>
          </cell>
          <cell r="B120" t="str">
            <v>1000/1409       NPK 4-12-32</v>
          </cell>
          <cell r="C120" t="str">
            <v>1003315    ZAKŁAD OBROTU ROLNEG</v>
          </cell>
          <cell r="D120" t="str">
            <v>KB Sprzed. bezpośrednia</v>
          </cell>
          <cell r="E120">
            <v>20257.2</v>
          </cell>
          <cell r="F120">
            <v>24</v>
          </cell>
          <cell r="G120">
            <v>14839.84</v>
          </cell>
          <cell r="H120">
            <v>1036.96</v>
          </cell>
          <cell r="I120">
            <v>648.25999999999897</v>
          </cell>
          <cell r="J120">
            <v>0</v>
          </cell>
          <cell r="K120">
            <v>0</v>
          </cell>
          <cell r="L120">
            <v>648.25999999999897</v>
          </cell>
          <cell r="M120">
            <v>16525.060000000001</v>
          </cell>
          <cell r="N120">
            <v>3732.1399999999899</v>
          </cell>
          <cell r="O120">
            <v>0</v>
          </cell>
          <cell r="P120">
            <v>16525.060000000001</v>
          </cell>
          <cell r="Q120">
            <v>3732.1399999999899</v>
          </cell>
          <cell r="R120">
            <v>223.61</v>
          </cell>
          <cell r="S120">
            <v>16748.6699999999</v>
          </cell>
          <cell r="T120">
            <v>3508.53</v>
          </cell>
        </row>
        <row r="121">
          <cell r="A121" t="str">
            <v>PLN   Złoty</v>
          </cell>
          <cell r="B121" t="str">
            <v>1000/1409       NPK 4-12-32</v>
          </cell>
          <cell r="C121" t="str">
            <v>1003605    "AGROMUND"</v>
          </cell>
          <cell r="D121" t="str">
            <v>KB Sprzed. bezpośrednia</v>
          </cell>
          <cell r="E121">
            <v>20614.799999999901</v>
          </cell>
          <cell r="F121">
            <v>24</v>
          </cell>
          <cell r="G121">
            <v>14839.84</v>
          </cell>
          <cell r="H121">
            <v>1055.3599999999899</v>
          </cell>
          <cell r="I121">
            <v>648.25999999999897</v>
          </cell>
          <cell r="J121">
            <v>1344.96</v>
          </cell>
          <cell r="K121">
            <v>0</v>
          </cell>
          <cell r="L121">
            <v>1993.22</v>
          </cell>
          <cell r="M121">
            <v>17888.4199999999</v>
          </cell>
          <cell r="N121">
            <v>2726.38</v>
          </cell>
          <cell r="O121">
            <v>0</v>
          </cell>
          <cell r="P121">
            <v>17888.4199999999</v>
          </cell>
          <cell r="Q121">
            <v>2726.38</v>
          </cell>
          <cell r="R121">
            <v>223.61</v>
          </cell>
          <cell r="S121">
            <v>18112.029999999901</v>
          </cell>
          <cell r="T121">
            <v>2502.77</v>
          </cell>
        </row>
        <row r="122">
          <cell r="A122" t="str">
            <v>PLN   Złoty</v>
          </cell>
          <cell r="B122" t="str">
            <v>1000/1409       NPK 4-12-32</v>
          </cell>
          <cell r="C122" t="str">
            <v>1003857    EDMAR</v>
          </cell>
          <cell r="D122" t="str">
            <v>KB Sprzed. bezpośrednia</v>
          </cell>
          <cell r="E122">
            <v>21120</v>
          </cell>
          <cell r="F122">
            <v>24</v>
          </cell>
          <cell r="G122">
            <v>14839.84</v>
          </cell>
          <cell r="H122">
            <v>1081.1500000000001</v>
          </cell>
          <cell r="I122">
            <v>648.25999999999897</v>
          </cell>
          <cell r="J122">
            <v>2033.76</v>
          </cell>
          <cell r="K122">
            <v>0</v>
          </cell>
          <cell r="L122">
            <v>2682.02</v>
          </cell>
          <cell r="M122">
            <v>18603.0099999999</v>
          </cell>
          <cell r="N122">
            <v>2516.9899999999898</v>
          </cell>
          <cell r="O122">
            <v>0</v>
          </cell>
          <cell r="P122">
            <v>18603.0099999999</v>
          </cell>
          <cell r="Q122">
            <v>2516.9899999999898</v>
          </cell>
          <cell r="R122">
            <v>223.61</v>
          </cell>
          <cell r="S122">
            <v>18826.619999999901</v>
          </cell>
          <cell r="T122">
            <v>2293.38</v>
          </cell>
        </row>
        <row r="123">
          <cell r="A123" t="str">
            <v>PLN   Złoty</v>
          </cell>
          <cell r="B123" t="str">
            <v>1000/1409       NPK 4-12-32</v>
          </cell>
          <cell r="C123" t="str">
            <v>1003988    BLENDING Sp.z o.o.</v>
          </cell>
          <cell r="D123" t="str">
            <v>KB Sprzed. bezpośrednia</v>
          </cell>
          <cell r="E123">
            <v>33645</v>
          </cell>
          <cell r="F123">
            <v>39</v>
          </cell>
          <cell r="G123">
            <v>24114.74</v>
          </cell>
          <cell r="H123">
            <v>1722.3499999999899</v>
          </cell>
          <cell r="I123">
            <v>1053.4100000000001</v>
          </cell>
          <cell r="J123">
            <v>1833.8399999999899</v>
          </cell>
          <cell r="K123">
            <v>0</v>
          </cell>
          <cell r="L123">
            <v>2887.25</v>
          </cell>
          <cell r="M123">
            <v>28724.34</v>
          </cell>
          <cell r="N123">
            <v>4920.6599999999899</v>
          </cell>
          <cell r="O123">
            <v>0</v>
          </cell>
          <cell r="P123">
            <v>28724.34</v>
          </cell>
          <cell r="Q123">
            <v>4920.6599999999899</v>
          </cell>
          <cell r="R123">
            <v>363.31999999999903</v>
          </cell>
          <cell r="S123">
            <v>29087.66</v>
          </cell>
          <cell r="T123">
            <v>4557.34</v>
          </cell>
        </row>
        <row r="124">
          <cell r="A124" t="str">
            <v>PLN   Złoty</v>
          </cell>
          <cell r="B124" t="str">
            <v>1000/1409       NPK 4-12-32</v>
          </cell>
          <cell r="C124" t="str">
            <v>1004208    Morawski-Sprzed.Art.</v>
          </cell>
          <cell r="D124" t="str">
            <v>KB Sprzed. bezpośrednia</v>
          </cell>
          <cell r="E124">
            <v>63360</v>
          </cell>
          <cell r="F124">
            <v>72</v>
          </cell>
          <cell r="G124">
            <v>44519.519999999902</v>
          </cell>
          <cell r="H124">
            <v>3243.53</v>
          </cell>
          <cell r="I124">
            <v>1944.76</v>
          </cell>
          <cell r="J124">
            <v>4988.88</v>
          </cell>
          <cell r="K124">
            <v>0</v>
          </cell>
          <cell r="L124">
            <v>6933.64</v>
          </cell>
          <cell r="M124">
            <v>54696.69</v>
          </cell>
          <cell r="N124">
            <v>8663.3099999999904</v>
          </cell>
          <cell r="O124">
            <v>0</v>
          </cell>
          <cell r="P124">
            <v>54696.69</v>
          </cell>
          <cell r="Q124">
            <v>8663.3099999999904</v>
          </cell>
          <cell r="R124">
            <v>670.76999999999896</v>
          </cell>
          <cell r="S124">
            <v>55367.459999999897</v>
          </cell>
          <cell r="T124">
            <v>7992.54</v>
          </cell>
        </row>
        <row r="125">
          <cell r="A125" t="str">
            <v>PLN   Złoty</v>
          </cell>
          <cell r="B125" t="str">
            <v>1000/1409       NPK 4-12-32</v>
          </cell>
          <cell r="C125" t="str">
            <v>1004713    AGRI TRADING SP. Z O</v>
          </cell>
          <cell r="D125" t="str">
            <v>KB Sprzed. bezpośrednia</v>
          </cell>
          <cell r="E125">
            <v>9949.92</v>
          </cell>
          <cell r="F125">
            <v>12</v>
          </cell>
          <cell r="G125">
            <v>7419.92</v>
          </cell>
          <cell r="H125">
            <v>509.35</v>
          </cell>
          <cell r="I125">
            <v>324.04000000000002</v>
          </cell>
          <cell r="J125">
            <v>0</v>
          </cell>
          <cell r="K125">
            <v>0</v>
          </cell>
          <cell r="L125">
            <v>324.04000000000002</v>
          </cell>
          <cell r="M125">
            <v>8253.3099999999904</v>
          </cell>
          <cell r="N125">
            <v>1696.6099999999899</v>
          </cell>
          <cell r="O125">
            <v>0</v>
          </cell>
          <cell r="P125">
            <v>8253.3099999999904</v>
          </cell>
          <cell r="Q125">
            <v>1696.6099999999899</v>
          </cell>
          <cell r="R125">
            <v>111.78</v>
          </cell>
          <cell r="S125">
            <v>8365.09</v>
          </cell>
          <cell r="T125">
            <v>1584.8299999999899</v>
          </cell>
        </row>
        <row r="126">
          <cell r="A126" t="str">
            <v>PLN   Złoty</v>
          </cell>
          <cell r="B126" t="str">
            <v>1000/1411       NPK MG 5-15-30-2</v>
          </cell>
          <cell r="C126" t="str">
            <v>1000112    GS 'SCh'</v>
          </cell>
          <cell r="D126" t="str">
            <v>KB Sprzed. bezpośrednia</v>
          </cell>
          <cell r="E126">
            <v>10320</v>
          </cell>
          <cell r="F126">
            <v>12</v>
          </cell>
          <cell r="G126">
            <v>7873.2399999999898</v>
          </cell>
          <cell r="H126">
            <v>528.30999999999904</v>
          </cell>
          <cell r="I126">
            <v>292.06999999999903</v>
          </cell>
          <cell r="J126">
            <v>0</v>
          </cell>
          <cell r="K126">
            <v>0</v>
          </cell>
          <cell r="L126">
            <v>292.06999999999903</v>
          </cell>
          <cell r="M126">
            <v>8693.6200000000008</v>
          </cell>
          <cell r="N126">
            <v>1626.38</v>
          </cell>
          <cell r="O126">
            <v>0</v>
          </cell>
          <cell r="P126">
            <v>8693.6200000000008</v>
          </cell>
          <cell r="Q126">
            <v>1626.38</v>
          </cell>
          <cell r="R126">
            <v>118.62</v>
          </cell>
          <cell r="S126">
            <v>8812.2399999999907</v>
          </cell>
          <cell r="T126">
            <v>1507.76</v>
          </cell>
        </row>
        <row r="127">
          <cell r="A127" t="str">
            <v>PLN   Złoty</v>
          </cell>
          <cell r="B127" t="str">
            <v>1000/1411       NPK MG 5-15-30-2</v>
          </cell>
          <cell r="C127" t="str">
            <v>1000141    SKR-Łaszczów</v>
          </cell>
          <cell r="D127" t="str">
            <v>KB Sprzed. bezpośrednia</v>
          </cell>
          <cell r="E127">
            <v>21720</v>
          </cell>
          <cell r="F127">
            <v>24</v>
          </cell>
          <cell r="G127">
            <v>15746.469999999899</v>
          </cell>
          <cell r="H127">
            <v>1111.9000000000001</v>
          </cell>
          <cell r="I127">
            <v>584.13999999999896</v>
          </cell>
          <cell r="J127">
            <v>1992.72</v>
          </cell>
          <cell r="K127">
            <v>0</v>
          </cell>
          <cell r="L127">
            <v>2576.86</v>
          </cell>
          <cell r="M127">
            <v>19435.23</v>
          </cell>
          <cell r="N127">
            <v>2284.77</v>
          </cell>
          <cell r="O127">
            <v>0</v>
          </cell>
          <cell r="P127">
            <v>19435.23</v>
          </cell>
          <cell r="Q127">
            <v>2284.77</v>
          </cell>
          <cell r="R127">
            <v>237.27</v>
          </cell>
          <cell r="S127">
            <v>19672.5</v>
          </cell>
          <cell r="T127">
            <v>2047.5</v>
          </cell>
        </row>
        <row r="128">
          <cell r="A128" t="str">
            <v>PLN   Złoty</v>
          </cell>
          <cell r="B128" t="str">
            <v>1000/1411       NPK MG 5-15-30-2</v>
          </cell>
          <cell r="C128" t="str">
            <v>1000289    PLON A.Dadrzyński</v>
          </cell>
          <cell r="D128" t="str">
            <v>KB Sprzed. bezpośrednia</v>
          </cell>
          <cell r="E128">
            <v>8900</v>
          </cell>
          <cell r="F128">
            <v>10</v>
          </cell>
          <cell r="G128">
            <v>6905.63</v>
          </cell>
          <cell r="H128">
            <v>455.62</v>
          </cell>
          <cell r="I128">
            <v>243.38999999999899</v>
          </cell>
          <cell r="J128">
            <v>623.1</v>
          </cell>
          <cell r="K128">
            <v>0</v>
          </cell>
          <cell r="L128">
            <v>866.49</v>
          </cell>
          <cell r="M128">
            <v>8227.7399999999907</v>
          </cell>
          <cell r="N128">
            <v>672.25999999999897</v>
          </cell>
          <cell r="O128">
            <v>0</v>
          </cell>
          <cell r="P128">
            <v>8227.7399999999907</v>
          </cell>
          <cell r="Q128">
            <v>672.25999999999897</v>
          </cell>
          <cell r="R128">
            <v>104.05</v>
          </cell>
          <cell r="S128">
            <v>8331.7900000000009</v>
          </cell>
          <cell r="T128">
            <v>568.21</v>
          </cell>
        </row>
        <row r="129">
          <cell r="A129" t="str">
            <v>PLN   Złoty</v>
          </cell>
          <cell r="B129" t="str">
            <v>1000/1411       NPK MG 5-15-30-2</v>
          </cell>
          <cell r="C129" t="str">
            <v>1000675    Zaopatrz.Roln. Andrz</v>
          </cell>
          <cell r="D129" t="str">
            <v>KB Sprzed. bezpośrednia</v>
          </cell>
          <cell r="E129">
            <v>21568.080000000002</v>
          </cell>
          <cell r="F129">
            <v>24</v>
          </cell>
          <cell r="G129">
            <v>15746.469999999899</v>
          </cell>
          <cell r="H129">
            <v>1104.1199999999899</v>
          </cell>
          <cell r="I129">
            <v>584.13999999999896</v>
          </cell>
          <cell r="J129">
            <v>1183.2</v>
          </cell>
          <cell r="K129">
            <v>0</v>
          </cell>
          <cell r="L129">
            <v>1767.3399999999899</v>
          </cell>
          <cell r="M129">
            <v>18617.93</v>
          </cell>
          <cell r="N129">
            <v>2950.15</v>
          </cell>
          <cell r="O129">
            <v>0</v>
          </cell>
          <cell r="P129">
            <v>18617.93</v>
          </cell>
          <cell r="Q129">
            <v>2950.15</v>
          </cell>
          <cell r="R129">
            <v>237.27</v>
          </cell>
          <cell r="S129">
            <v>18855.2</v>
          </cell>
          <cell r="T129">
            <v>2712.88</v>
          </cell>
        </row>
        <row r="130">
          <cell r="A130" t="str">
            <v>PLN   Złoty</v>
          </cell>
          <cell r="B130" t="str">
            <v>1000/1411       NPK MG 5-15-30-2</v>
          </cell>
          <cell r="C130" t="str">
            <v>1000808    TERRA Sp. z o.o.</v>
          </cell>
          <cell r="D130" t="str">
            <v>KB Sprzed. bezpośrednia</v>
          </cell>
          <cell r="E130">
            <v>20495.52</v>
          </cell>
          <cell r="F130">
            <v>24</v>
          </cell>
          <cell r="G130">
            <v>16573.5099999999</v>
          </cell>
          <cell r="H130">
            <v>1049.17</v>
          </cell>
          <cell r="I130">
            <v>584.13999999999896</v>
          </cell>
          <cell r="J130">
            <v>0</v>
          </cell>
          <cell r="K130">
            <v>0</v>
          </cell>
          <cell r="L130">
            <v>584.13999999999896</v>
          </cell>
          <cell r="M130">
            <v>18206.82</v>
          </cell>
          <cell r="N130">
            <v>2288.6999999999898</v>
          </cell>
          <cell r="O130">
            <v>0</v>
          </cell>
          <cell r="P130">
            <v>18206.82</v>
          </cell>
          <cell r="Q130">
            <v>2288.6999999999898</v>
          </cell>
          <cell r="R130">
            <v>249.69</v>
          </cell>
          <cell r="S130">
            <v>18456.5099999999</v>
          </cell>
          <cell r="T130">
            <v>2039.01</v>
          </cell>
        </row>
        <row r="131">
          <cell r="A131" t="str">
            <v>PLN   Złoty</v>
          </cell>
          <cell r="B131" t="str">
            <v>1000/1411       NPK MG 5-15-30-2</v>
          </cell>
          <cell r="C131" t="str">
            <v>1000858    BEISELEN - ATR Sp. z</v>
          </cell>
          <cell r="D131" t="str">
            <v>KB Sprzed. bezpośrednia</v>
          </cell>
          <cell r="E131">
            <v>20495.52</v>
          </cell>
          <cell r="F131">
            <v>24</v>
          </cell>
          <cell r="G131">
            <v>16081.25</v>
          </cell>
          <cell r="H131">
            <v>1049.17</v>
          </cell>
          <cell r="I131">
            <v>584.13999999999896</v>
          </cell>
          <cell r="J131">
            <v>0</v>
          </cell>
          <cell r="K131">
            <v>0</v>
          </cell>
          <cell r="L131">
            <v>584.13999999999896</v>
          </cell>
          <cell r="M131">
            <v>17714.560000000001</v>
          </cell>
          <cell r="N131">
            <v>2780.96</v>
          </cell>
          <cell r="O131">
            <v>0</v>
          </cell>
          <cell r="P131">
            <v>17714.560000000001</v>
          </cell>
          <cell r="Q131">
            <v>2780.96</v>
          </cell>
          <cell r="R131">
            <v>242.31</v>
          </cell>
          <cell r="S131">
            <v>17956.869999999901</v>
          </cell>
          <cell r="T131">
            <v>2538.65</v>
          </cell>
        </row>
        <row r="132">
          <cell r="A132" t="str">
            <v>PLN   Złoty</v>
          </cell>
          <cell r="B132" t="str">
            <v>1000/1411       NPK MG 5-15-30-2</v>
          </cell>
          <cell r="C132" t="str">
            <v>1001494    AGROLOK Sp. z o.o.</v>
          </cell>
          <cell r="D132" t="str">
            <v>KB Sprzed. bezpośrednia</v>
          </cell>
          <cell r="E132">
            <v>42930.48</v>
          </cell>
          <cell r="F132">
            <v>48</v>
          </cell>
          <cell r="G132">
            <v>31827.6699999999</v>
          </cell>
          <cell r="H132">
            <v>2197.73</v>
          </cell>
          <cell r="I132">
            <v>1168.28</v>
          </cell>
          <cell r="J132">
            <v>2462.88</v>
          </cell>
          <cell r="K132">
            <v>0</v>
          </cell>
          <cell r="L132">
            <v>3631.1599999999899</v>
          </cell>
          <cell r="M132">
            <v>37656.559999999903</v>
          </cell>
          <cell r="N132">
            <v>5273.92</v>
          </cell>
          <cell r="O132">
            <v>0</v>
          </cell>
          <cell r="P132">
            <v>37656.559999999903</v>
          </cell>
          <cell r="Q132">
            <v>5273.92</v>
          </cell>
          <cell r="R132">
            <v>479.57999999999902</v>
          </cell>
          <cell r="S132">
            <v>38136.139999999898</v>
          </cell>
          <cell r="T132">
            <v>4794.34</v>
          </cell>
        </row>
        <row r="133">
          <cell r="A133" t="str">
            <v>PLN   Złoty</v>
          </cell>
          <cell r="B133" t="str">
            <v>1000/1411       NPK MG 5-15-30-2</v>
          </cell>
          <cell r="C133" t="str">
            <v>1001985    GS-BANIE</v>
          </cell>
          <cell r="D133" t="str">
            <v>KB Sprzed. bezpośrednia</v>
          </cell>
          <cell r="E133">
            <v>12809.7</v>
          </cell>
          <cell r="F133">
            <v>15</v>
          </cell>
          <cell r="G133">
            <v>9841.5499999999902</v>
          </cell>
          <cell r="H133">
            <v>655.75</v>
          </cell>
          <cell r="I133">
            <v>365.08999999999901</v>
          </cell>
          <cell r="J133">
            <v>0</v>
          </cell>
          <cell r="K133">
            <v>0</v>
          </cell>
          <cell r="L133">
            <v>365.08999999999901</v>
          </cell>
          <cell r="M133">
            <v>10862.389999999899</v>
          </cell>
          <cell r="N133">
            <v>1947.3099999999899</v>
          </cell>
          <cell r="O133">
            <v>0</v>
          </cell>
          <cell r="P133">
            <v>10862.389999999899</v>
          </cell>
          <cell r="Q133">
            <v>1947.3099999999899</v>
          </cell>
          <cell r="R133">
            <v>148.28</v>
          </cell>
          <cell r="S133">
            <v>11010.67</v>
          </cell>
          <cell r="T133">
            <v>1799.03</v>
          </cell>
        </row>
        <row r="134">
          <cell r="A134" t="str">
            <v>PLN   Złoty</v>
          </cell>
          <cell r="B134" t="str">
            <v>1000/1411       NPK MG 5-15-30-2</v>
          </cell>
          <cell r="C134" t="str">
            <v>1001988    ROLNIK-KOŚCIAN</v>
          </cell>
          <cell r="D134" t="str">
            <v>KB Sprzed. bezpośrednia</v>
          </cell>
          <cell r="E134">
            <v>65385.839999999902</v>
          </cell>
          <cell r="F134">
            <v>72</v>
          </cell>
          <cell r="G134">
            <v>49228.269999999902</v>
          </cell>
          <cell r="H134">
            <v>3347.2199999999898</v>
          </cell>
          <cell r="I134">
            <v>1752.43</v>
          </cell>
          <cell r="J134">
            <v>1050.96</v>
          </cell>
          <cell r="K134">
            <v>0</v>
          </cell>
          <cell r="L134">
            <v>2803.3899999999899</v>
          </cell>
          <cell r="M134">
            <v>55378.879999999903</v>
          </cell>
          <cell r="N134">
            <v>10006.959999999901</v>
          </cell>
          <cell r="O134">
            <v>0</v>
          </cell>
          <cell r="P134">
            <v>55378.879999999903</v>
          </cell>
          <cell r="Q134">
            <v>10006.959999999901</v>
          </cell>
          <cell r="R134">
            <v>741.7</v>
          </cell>
          <cell r="S134">
            <v>56120.58</v>
          </cell>
          <cell r="T134">
            <v>9265.26</v>
          </cell>
        </row>
        <row r="135">
          <cell r="A135" t="str">
            <v>PLN   Złoty</v>
          </cell>
          <cell r="B135" t="str">
            <v>1000/1411       NPK MG 5-15-30-2</v>
          </cell>
          <cell r="C135" t="str">
            <v>1001994    SKR-STRZELCE</v>
          </cell>
          <cell r="D135" t="str">
            <v>KB Sprzed. bezpośrednia</v>
          </cell>
          <cell r="E135">
            <v>21210.48</v>
          </cell>
          <cell r="F135">
            <v>24</v>
          </cell>
          <cell r="G135">
            <v>15746.469999999899</v>
          </cell>
          <cell r="H135">
            <v>1085.8299999999899</v>
          </cell>
          <cell r="I135">
            <v>584.13999999999896</v>
          </cell>
          <cell r="J135">
            <v>1153.68</v>
          </cell>
          <cell r="K135">
            <v>0</v>
          </cell>
          <cell r="L135">
            <v>1737.8199999999899</v>
          </cell>
          <cell r="M135">
            <v>18570.119999999901</v>
          </cell>
          <cell r="N135">
            <v>2640.36</v>
          </cell>
          <cell r="O135">
            <v>0</v>
          </cell>
          <cell r="P135">
            <v>18570.119999999901</v>
          </cell>
          <cell r="Q135">
            <v>2640.36</v>
          </cell>
          <cell r="R135">
            <v>237.27</v>
          </cell>
          <cell r="S135">
            <v>18807.389999999901</v>
          </cell>
          <cell r="T135">
            <v>2403.09</v>
          </cell>
        </row>
        <row r="136">
          <cell r="A136" t="str">
            <v>PLN   Złoty</v>
          </cell>
          <cell r="B136" t="str">
            <v>1000/1411       NPK MG 5-15-30-2</v>
          </cell>
          <cell r="C136" t="str">
            <v>1002643    "MINERAL" SP. Z O.O.</v>
          </cell>
          <cell r="D136" t="str">
            <v>KB Sprzed. bezpośrednia</v>
          </cell>
          <cell r="E136">
            <v>21568.080000000002</v>
          </cell>
          <cell r="F136">
            <v>24</v>
          </cell>
          <cell r="G136">
            <v>15746.469999999899</v>
          </cell>
          <cell r="H136">
            <v>1104.1199999999899</v>
          </cell>
          <cell r="I136">
            <v>584.13999999999896</v>
          </cell>
          <cell r="J136">
            <v>1212.48</v>
          </cell>
          <cell r="K136">
            <v>0</v>
          </cell>
          <cell r="L136">
            <v>1796.6199999999899</v>
          </cell>
          <cell r="M136">
            <v>18647.209999999901</v>
          </cell>
          <cell r="N136">
            <v>2920.8699999999899</v>
          </cell>
          <cell r="O136">
            <v>0</v>
          </cell>
          <cell r="P136">
            <v>18647.209999999901</v>
          </cell>
          <cell r="Q136">
            <v>2920.8699999999899</v>
          </cell>
          <cell r="R136">
            <v>237.27</v>
          </cell>
          <cell r="S136">
            <v>18884.48</v>
          </cell>
          <cell r="T136">
            <v>2683.5999999999899</v>
          </cell>
        </row>
        <row r="137">
          <cell r="A137" t="str">
            <v>PLN   Złoty</v>
          </cell>
          <cell r="B137" t="str">
            <v>1000/1411       NPK MG 5-15-30-2</v>
          </cell>
          <cell r="C137" t="str">
            <v>1002956    MIROSŁAW ULENBERG "U</v>
          </cell>
          <cell r="D137" t="str">
            <v>KB Sprzed. bezpośrednia</v>
          </cell>
          <cell r="E137">
            <v>43080</v>
          </cell>
          <cell r="F137">
            <v>48</v>
          </cell>
          <cell r="G137">
            <v>32319.98</v>
          </cell>
          <cell r="H137">
            <v>2205.38</v>
          </cell>
          <cell r="I137">
            <v>1168.28</v>
          </cell>
          <cell r="J137">
            <v>2517.36</v>
          </cell>
          <cell r="K137">
            <v>0</v>
          </cell>
          <cell r="L137">
            <v>3685.6399999999899</v>
          </cell>
          <cell r="M137">
            <v>38211</v>
          </cell>
          <cell r="N137">
            <v>4869</v>
          </cell>
          <cell r="O137">
            <v>0</v>
          </cell>
          <cell r="P137">
            <v>38211</v>
          </cell>
          <cell r="Q137">
            <v>4869</v>
          </cell>
          <cell r="R137">
            <v>486.95999999999901</v>
          </cell>
          <cell r="S137">
            <v>38697.959999999897</v>
          </cell>
          <cell r="T137">
            <v>4382.04</v>
          </cell>
        </row>
        <row r="138">
          <cell r="A138" t="str">
            <v>PLN   Złoty</v>
          </cell>
          <cell r="B138" t="str">
            <v>1000/1411       NPK MG 5-15-30-2</v>
          </cell>
          <cell r="C138" t="str">
            <v>1003056    LECHPOL SP. Z O.O.</v>
          </cell>
          <cell r="D138" t="str">
            <v>KB Sprzed. bezpośrednia</v>
          </cell>
          <cell r="E138">
            <v>42714.48</v>
          </cell>
          <cell r="F138">
            <v>48</v>
          </cell>
          <cell r="G138">
            <v>31492.9399999999</v>
          </cell>
          <cell r="H138">
            <v>2186.65</v>
          </cell>
          <cell r="I138">
            <v>1168.29</v>
          </cell>
          <cell r="J138">
            <v>3234.96</v>
          </cell>
          <cell r="K138">
            <v>0</v>
          </cell>
          <cell r="L138">
            <v>4403.25</v>
          </cell>
          <cell r="M138">
            <v>38082.839999999902</v>
          </cell>
          <cell r="N138">
            <v>4631.6400000000003</v>
          </cell>
          <cell r="O138">
            <v>0</v>
          </cell>
          <cell r="P138">
            <v>38082.839999999902</v>
          </cell>
          <cell r="Q138">
            <v>4631.6400000000003</v>
          </cell>
          <cell r="R138">
            <v>474.49</v>
          </cell>
          <cell r="S138">
            <v>38557.33</v>
          </cell>
          <cell r="T138">
            <v>4157.1499999999896</v>
          </cell>
        </row>
        <row r="139">
          <cell r="A139" t="str">
            <v>PLN   Złoty</v>
          </cell>
          <cell r="B139" t="str">
            <v>1000/1411       NPK MG 5-15-30-2</v>
          </cell>
          <cell r="C139" t="str">
            <v>1004168    "OSADKOWSKI" SPÓŁKA</v>
          </cell>
          <cell r="D139" t="str">
            <v>KB Sprzed. bezpośrednia</v>
          </cell>
          <cell r="E139">
            <v>86138.399999999907</v>
          </cell>
          <cell r="F139">
            <v>96</v>
          </cell>
          <cell r="G139">
            <v>63812.919999999896</v>
          </cell>
          <cell r="H139">
            <v>4409.63</v>
          </cell>
          <cell r="I139">
            <v>2336.5700000000002</v>
          </cell>
          <cell r="J139">
            <v>3920.4</v>
          </cell>
          <cell r="K139">
            <v>0</v>
          </cell>
          <cell r="L139">
            <v>6256.97</v>
          </cell>
          <cell r="M139">
            <v>74479.520000000004</v>
          </cell>
          <cell r="N139">
            <v>11658.879999999899</v>
          </cell>
          <cell r="O139">
            <v>0</v>
          </cell>
          <cell r="P139">
            <v>74479.520000000004</v>
          </cell>
          <cell r="Q139">
            <v>11658.879999999899</v>
          </cell>
          <cell r="R139">
            <v>961.42999999999904</v>
          </cell>
          <cell r="S139">
            <v>75440.949999999895</v>
          </cell>
          <cell r="T139">
            <v>10697.45</v>
          </cell>
        </row>
        <row r="140">
          <cell r="A140" t="str">
            <v>PLN   Złoty</v>
          </cell>
          <cell r="B140" t="str">
            <v>1000/1411       NPK MG 5-15-30-2</v>
          </cell>
          <cell r="C140" t="str">
            <v>1004788    "ADAR" HANDEL NAWOZA</v>
          </cell>
          <cell r="D140" t="str">
            <v>KB Sprzed. bezpośrednia</v>
          </cell>
          <cell r="E140">
            <v>20495.52</v>
          </cell>
          <cell r="F140">
            <v>24</v>
          </cell>
          <cell r="G140">
            <v>16573.5099999999</v>
          </cell>
          <cell r="H140">
            <v>1049.17</v>
          </cell>
          <cell r="I140">
            <v>584.13999999999896</v>
          </cell>
          <cell r="J140">
            <v>0</v>
          </cell>
          <cell r="K140">
            <v>0</v>
          </cell>
          <cell r="L140">
            <v>584.13999999999896</v>
          </cell>
          <cell r="M140">
            <v>18206.82</v>
          </cell>
          <cell r="N140">
            <v>2288.6999999999898</v>
          </cell>
          <cell r="O140">
            <v>0</v>
          </cell>
          <cell r="P140">
            <v>18206.82</v>
          </cell>
          <cell r="Q140">
            <v>2288.6999999999898</v>
          </cell>
          <cell r="R140">
            <v>249.69</v>
          </cell>
          <cell r="S140">
            <v>18456.5099999999</v>
          </cell>
          <cell r="T140">
            <v>2039.01</v>
          </cell>
        </row>
        <row r="141">
          <cell r="A141" t="str">
            <v>PLN   Złoty</v>
          </cell>
          <cell r="B141" t="str">
            <v>1000/1414       POLI.M 5-16-24-4</v>
          </cell>
          <cell r="C141" t="str">
            <v>1000080    CN-KIELCE</v>
          </cell>
          <cell r="D141" t="str">
            <v>KB Sprzed. bezpośrednia</v>
          </cell>
          <cell r="E141">
            <v>42480</v>
          </cell>
          <cell r="F141">
            <v>48</v>
          </cell>
          <cell r="G141">
            <v>29633.34</v>
          </cell>
          <cell r="H141">
            <v>2174.65</v>
          </cell>
          <cell r="I141">
            <v>1941.45</v>
          </cell>
          <cell r="J141">
            <v>3561.5999999999899</v>
          </cell>
          <cell r="K141">
            <v>0</v>
          </cell>
          <cell r="L141">
            <v>5503.05</v>
          </cell>
          <cell r="M141">
            <v>37311.040000000001</v>
          </cell>
          <cell r="N141">
            <v>5168.96</v>
          </cell>
          <cell r="O141">
            <v>0</v>
          </cell>
          <cell r="P141">
            <v>37311.040000000001</v>
          </cell>
          <cell r="Q141">
            <v>5168.96</v>
          </cell>
          <cell r="R141">
            <v>446.48</v>
          </cell>
          <cell r="S141">
            <v>37757.519999999902</v>
          </cell>
          <cell r="T141">
            <v>4722.4799999999896</v>
          </cell>
        </row>
        <row r="142">
          <cell r="A142" t="str">
            <v>PLN   Złoty</v>
          </cell>
          <cell r="B142" t="str">
            <v>1000/1414       POLI.M 5-16-24-4</v>
          </cell>
          <cell r="C142" t="str">
            <v>1000117    SKIBA</v>
          </cell>
          <cell r="D142" t="str">
            <v>KB Sprzed. bezpośrednia</v>
          </cell>
          <cell r="E142">
            <v>20160</v>
          </cell>
          <cell r="F142">
            <v>24</v>
          </cell>
          <cell r="G142">
            <v>14816.67</v>
          </cell>
          <cell r="H142">
            <v>1032.03</v>
          </cell>
          <cell r="I142">
            <v>970.74</v>
          </cell>
          <cell r="J142">
            <v>0</v>
          </cell>
          <cell r="K142">
            <v>0</v>
          </cell>
          <cell r="L142">
            <v>970.74</v>
          </cell>
          <cell r="M142">
            <v>16819.4399999999</v>
          </cell>
          <cell r="N142">
            <v>3340.5599999999899</v>
          </cell>
          <cell r="O142">
            <v>0</v>
          </cell>
          <cell r="P142">
            <v>16819.4399999999</v>
          </cell>
          <cell r="Q142">
            <v>3340.5599999999899</v>
          </cell>
          <cell r="R142">
            <v>223.24</v>
          </cell>
          <cell r="S142">
            <v>17042.68</v>
          </cell>
          <cell r="T142">
            <v>3117.32</v>
          </cell>
        </row>
        <row r="143">
          <cell r="A143" t="str">
            <v>PLN   Złoty</v>
          </cell>
          <cell r="B143" t="str">
            <v>1000/1414       POLI.M 5-16-24-4</v>
          </cell>
          <cell r="C143" t="str">
            <v>1000120    GS-PABIANICE</v>
          </cell>
          <cell r="D143" t="str">
            <v>KB Sprzed. bezpośrednia</v>
          </cell>
          <cell r="E143">
            <v>21240</v>
          </cell>
          <cell r="F143">
            <v>24</v>
          </cell>
          <cell r="G143">
            <v>14816.67</v>
          </cell>
          <cell r="H143">
            <v>1087.3199999999899</v>
          </cell>
          <cell r="I143">
            <v>970.74</v>
          </cell>
          <cell r="J143">
            <v>1404</v>
          </cell>
          <cell r="K143">
            <v>0</v>
          </cell>
          <cell r="L143">
            <v>2374.7399999999898</v>
          </cell>
          <cell r="M143">
            <v>18278.73</v>
          </cell>
          <cell r="N143">
            <v>2961.27</v>
          </cell>
          <cell r="O143">
            <v>0</v>
          </cell>
          <cell r="P143">
            <v>18278.73</v>
          </cell>
          <cell r="Q143">
            <v>2961.27</v>
          </cell>
          <cell r="R143">
            <v>223.24</v>
          </cell>
          <cell r="S143">
            <v>18501.97</v>
          </cell>
          <cell r="T143">
            <v>2738.03</v>
          </cell>
        </row>
        <row r="144">
          <cell r="A144" t="str">
            <v>PLN   Złoty</v>
          </cell>
          <cell r="B144" t="str">
            <v>1000/1414       POLI.M 5-16-24-4</v>
          </cell>
          <cell r="C144" t="str">
            <v>1000150    GS-GRODZIS</v>
          </cell>
          <cell r="D144" t="str">
            <v>KB Sprzed. bezpośrednia</v>
          </cell>
          <cell r="E144">
            <v>21240</v>
          </cell>
          <cell r="F144">
            <v>24</v>
          </cell>
          <cell r="G144">
            <v>14816.67</v>
          </cell>
          <cell r="H144">
            <v>1087.3199999999899</v>
          </cell>
          <cell r="I144">
            <v>970.74</v>
          </cell>
          <cell r="J144">
            <v>2163.36</v>
          </cell>
          <cell r="K144">
            <v>0</v>
          </cell>
          <cell r="L144">
            <v>3134.0999999999899</v>
          </cell>
          <cell r="M144">
            <v>19038.09</v>
          </cell>
          <cell r="N144">
            <v>2201.9099999999899</v>
          </cell>
          <cell r="O144">
            <v>0</v>
          </cell>
          <cell r="P144">
            <v>19038.09</v>
          </cell>
          <cell r="Q144">
            <v>2201.9099999999899</v>
          </cell>
          <cell r="R144">
            <v>223.24</v>
          </cell>
          <cell r="S144">
            <v>19261.330000000002</v>
          </cell>
          <cell r="T144">
            <v>1978.67</v>
          </cell>
        </row>
        <row r="145">
          <cell r="A145" t="str">
            <v>PLN   Złoty</v>
          </cell>
          <cell r="B145" t="str">
            <v>1000/1414       POLI.M 5-16-24-4</v>
          </cell>
          <cell r="C145" t="str">
            <v>1000248    DYMNY</v>
          </cell>
          <cell r="D145" t="str">
            <v>KB Sprzed. bezpośrednia</v>
          </cell>
          <cell r="E145">
            <v>78407.279999999897</v>
          </cell>
          <cell r="F145">
            <v>94</v>
          </cell>
          <cell r="G145">
            <v>62015.73</v>
          </cell>
          <cell r="H145">
            <v>4013.8299999999899</v>
          </cell>
          <cell r="I145">
            <v>3802.03</v>
          </cell>
          <cell r="J145">
            <v>0</v>
          </cell>
          <cell r="K145">
            <v>0</v>
          </cell>
          <cell r="L145">
            <v>3802.03</v>
          </cell>
          <cell r="M145">
            <v>69831.589999999895</v>
          </cell>
          <cell r="N145">
            <v>8575.69</v>
          </cell>
          <cell r="O145">
            <v>0</v>
          </cell>
          <cell r="P145">
            <v>69831.589999999895</v>
          </cell>
          <cell r="Q145">
            <v>8575.69</v>
          </cell>
          <cell r="R145">
            <v>934.36</v>
          </cell>
          <cell r="S145">
            <v>70765.949999999895</v>
          </cell>
          <cell r="T145">
            <v>7641.3299999999899</v>
          </cell>
        </row>
        <row r="146">
          <cell r="A146" t="str">
            <v>PLN   Złoty</v>
          </cell>
          <cell r="B146" t="str">
            <v>1000/1414       POLI.M 5-16-24-4</v>
          </cell>
          <cell r="C146" t="str">
            <v>1000252    AGROSKŁAD</v>
          </cell>
          <cell r="D146" t="str">
            <v>KB Sprzed. bezpośrednia</v>
          </cell>
          <cell r="E146">
            <v>41110.32</v>
          </cell>
          <cell r="F146">
            <v>48</v>
          </cell>
          <cell r="G146">
            <v>31022.79</v>
          </cell>
          <cell r="H146">
            <v>2104.4499999999898</v>
          </cell>
          <cell r="I146">
            <v>1941.48</v>
          </cell>
          <cell r="J146">
            <v>1833.8399999999899</v>
          </cell>
          <cell r="K146">
            <v>0</v>
          </cell>
          <cell r="L146">
            <v>3775.32</v>
          </cell>
          <cell r="M146">
            <v>36902.559999999903</v>
          </cell>
          <cell r="N146">
            <v>4207.76</v>
          </cell>
          <cell r="O146">
            <v>0</v>
          </cell>
          <cell r="P146">
            <v>36902.559999999903</v>
          </cell>
          <cell r="Q146">
            <v>4207.76</v>
          </cell>
          <cell r="R146">
            <v>467.42</v>
          </cell>
          <cell r="S146">
            <v>37369.980000000003</v>
          </cell>
          <cell r="T146">
            <v>3740.34</v>
          </cell>
        </row>
        <row r="147">
          <cell r="A147" t="str">
            <v>PLN   Złoty</v>
          </cell>
          <cell r="B147" t="str">
            <v>1000/1414       POLI.M 5-16-24-4</v>
          </cell>
          <cell r="C147" t="str">
            <v>1000263    PRO-AGRO</v>
          </cell>
          <cell r="D147" t="str">
            <v>KB Sprzed. bezpośrednia</v>
          </cell>
          <cell r="E147">
            <v>63720</v>
          </cell>
          <cell r="F147">
            <v>72</v>
          </cell>
          <cell r="G147">
            <v>44450.01</v>
          </cell>
          <cell r="H147">
            <v>3261.9899999999898</v>
          </cell>
          <cell r="I147">
            <v>2912.19</v>
          </cell>
          <cell r="J147">
            <v>5978.1599999999899</v>
          </cell>
          <cell r="K147">
            <v>0</v>
          </cell>
          <cell r="L147">
            <v>8890.35</v>
          </cell>
          <cell r="M147">
            <v>56602.349999999897</v>
          </cell>
          <cell r="N147">
            <v>7117.6499999999896</v>
          </cell>
          <cell r="O147">
            <v>0</v>
          </cell>
          <cell r="P147">
            <v>56602.349999999897</v>
          </cell>
          <cell r="Q147">
            <v>7117.6499999999896</v>
          </cell>
          <cell r="R147">
            <v>669.72</v>
          </cell>
          <cell r="S147">
            <v>57272.07</v>
          </cell>
          <cell r="T147">
            <v>6447.93</v>
          </cell>
        </row>
        <row r="148">
          <cell r="A148" t="str">
            <v>PLN   Złoty</v>
          </cell>
          <cell r="B148" t="str">
            <v>1000/1414       POLI.M 5-16-24-4</v>
          </cell>
          <cell r="C148" t="str">
            <v>1000524    "CHEMIROL" SP. Z O.O</v>
          </cell>
          <cell r="D148" t="str">
            <v>KB Sprzed. bezpośrednia</v>
          </cell>
          <cell r="E148">
            <v>281631.59999999899</v>
          </cell>
          <cell r="F148">
            <v>336</v>
          </cell>
          <cell r="G148">
            <v>213536.16</v>
          </cell>
          <cell r="H148">
            <v>14417.29</v>
          </cell>
          <cell r="I148">
            <v>13590.24</v>
          </cell>
          <cell r="J148">
            <v>2801.76</v>
          </cell>
          <cell r="K148">
            <v>0</v>
          </cell>
          <cell r="L148">
            <v>16392</v>
          </cell>
          <cell r="M148">
            <v>244345.45</v>
          </cell>
          <cell r="N148">
            <v>37286.15</v>
          </cell>
          <cell r="O148">
            <v>0</v>
          </cell>
          <cell r="P148">
            <v>244345.45</v>
          </cell>
          <cell r="Q148">
            <v>37286.15</v>
          </cell>
          <cell r="R148">
            <v>3217.23</v>
          </cell>
          <cell r="S148">
            <v>247562.679999999</v>
          </cell>
          <cell r="T148">
            <v>34068.919999999896</v>
          </cell>
        </row>
        <row r="149">
          <cell r="A149" t="str">
            <v>PLN   Złoty</v>
          </cell>
          <cell r="B149" t="str">
            <v>1000/1414       POLI.M 5-16-24-4</v>
          </cell>
          <cell r="C149" t="str">
            <v>1000592    NOŻYŃSKI</v>
          </cell>
          <cell r="D149" t="str">
            <v>KB Sprzed. bezpośrednia</v>
          </cell>
          <cell r="E149">
            <v>20880</v>
          </cell>
          <cell r="F149">
            <v>24</v>
          </cell>
          <cell r="G149">
            <v>14816.48</v>
          </cell>
          <cell r="H149">
            <v>1068.93</v>
          </cell>
          <cell r="I149">
            <v>970.74</v>
          </cell>
          <cell r="J149">
            <v>2119.1999999999898</v>
          </cell>
          <cell r="K149">
            <v>0</v>
          </cell>
          <cell r="L149">
            <v>3089.94</v>
          </cell>
          <cell r="M149">
            <v>18975.3499999999</v>
          </cell>
          <cell r="N149">
            <v>1904.65</v>
          </cell>
          <cell r="O149">
            <v>0</v>
          </cell>
          <cell r="P149">
            <v>18975.3499999999</v>
          </cell>
          <cell r="Q149">
            <v>1904.65</v>
          </cell>
          <cell r="R149">
            <v>223.24</v>
          </cell>
          <cell r="S149">
            <v>19198.59</v>
          </cell>
          <cell r="T149">
            <v>1681.41</v>
          </cell>
        </row>
        <row r="150">
          <cell r="A150" t="str">
            <v>PLN   Złoty</v>
          </cell>
          <cell r="B150" t="str">
            <v>1000/1414       POLI.M 5-16-24-4</v>
          </cell>
          <cell r="C150" t="str">
            <v>1000662    "AGRO-HANDLOWIEC" K</v>
          </cell>
          <cell r="D150" t="str">
            <v>KB Sprzed. bezpośrednia</v>
          </cell>
          <cell r="E150">
            <v>63274.32</v>
          </cell>
          <cell r="F150">
            <v>72</v>
          </cell>
          <cell r="G150">
            <v>44450.01</v>
          </cell>
          <cell r="H150">
            <v>3239.0999999999899</v>
          </cell>
          <cell r="I150">
            <v>2912.19</v>
          </cell>
          <cell r="J150">
            <v>4391.2799999999897</v>
          </cell>
          <cell r="K150">
            <v>0</v>
          </cell>
          <cell r="L150">
            <v>7303.47</v>
          </cell>
          <cell r="M150">
            <v>54992.58</v>
          </cell>
          <cell r="N150">
            <v>8281.7399999999907</v>
          </cell>
          <cell r="O150">
            <v>0</v>
          </cell>
          <cell r="P150">
            <v>54992.58</v>
          </cell>
          <cell r="Q150">
            <v>8281.7399999999907</v>
          </cell>
          <cell r="R150">
            <v>669.72</v>
          </cell>
          <cell r="S150">
            <v>55662.3</v>
          </cell>
          <cell r="T150">
            <v>7612.02</v>
          </cell>
        </row>
        <row r="151">
          <cell r="A151" t="str">
            <v>PLN   Złoty</v>
          </cell>
          <cell r="B151" t="str">
            <v>1000/1414       POLI.M 5-16-24-4</v>
          </cell>
          <cell r="C151" t="str">
            <v>1000725    SGS-LUBLIN</v>
          </cell>
          <cell r="D151" t="str">
            <v>KB Sprzed. bezpośrednia</v>
          </cell>
          <cell r="E151">
            <v>10620</v>
          </cell>
          <cell r="F151">
            <v>12</v>
          </cell>
          <cell r="G151">
            <v>7408.34</v>
          </cell>
          <cell r="H151">
            <v>543.64999999999895</v>
          </cell>
          <cell r="I151">
            <v>485.37</v>
          </cell>
          <cell r="J151">
            <v>1016.88</v>
          </cell>
          <cell r="K151">
            <v>0</v>
          </cell>
          <cell r="L151">
            <v>1502.25</v>
          </cell>
          <cell r="M151">
            <v>9454.2399999999907</v>
          </cell>
          <cell r="N151">
            <v>1165.76</v>
          </cell>
          <cell r="O151">
            <v>0</v>
          </cell>
          <cell r="P151">
            <v>9454.2399999999907</v>
          </cell>
          <cell r="Q151">
            <v>1165.76</v>
          </cell>
          <cell r="R151">
            <v>111.63</v>
          </cell>
          <cell r="S151">
            <v>9565.8700000000008</v>
          </cell>
          <cell r="T151">
            <v>1054.1300000000001</v>
          </cell>
        </row>
        <row r="152">
          <cell r="A152" t="str">
            <v>PLN   Złoty</v>
          </cell>
          <cell r="B152" t="str">
            <v>1000/1414       POLI.M 5-16-24-4</v>
          </cell>
          <cell r="C152" t="str">
            <v>1000858    BEISELEN - ATR Sp. z</v>
          </cell>
          <cell r="D152" t="str">
            <v>KB Sprzed. bezpośrednia</v>
          </cell>
          <cell r="E152">
            <v>20018.88</v>
          </cell>
          <cell r="F152">
            <v>24</v>
          </cell>
          <cell r="G152">
            <v>14816.67</v>
          </cell>
          <cell r="H152">
            <v>1024.79</v>
          </cell>
          <cell r="I152">
            <v>970.74</v>
          </cell>
          <cell r="J152">
            <v>0</v>
          </cell>
          <cell r="K152">
            <v>0</v>
          </cell>
          <cell r="L152">
            <v>970.74</v>
          </cell>
          <cell r="M152">
            <v>16812.2</v>
          </cell>
          <cell r="N152">
            <v>3206.6799999999898</v>
          </cell>
          <cell r="O152">
            <v>0</v>
          </cell>
          <cell r="P152">
            <v>16812.2</v>
          </cell>
          <cell r="Q152">
            <v>3206.6799999999898</v>
          </cell>
          <cell r="R152">
            <v>223.24</v>
          </cell>
          <cell r="S152">
            <v>17035.4399999999</v>
          </cell>
          <cell r="T152">
            <v>2983.44</v>
          </cell>
        </row>
        <row r="153">
          <cell r="A153" t="str">
            <v>PLN   Złoty</v>
          </cell>
          <cell r="B153" t="str">
            <v>1000/1414       POLI.M 5-16-24-4</v>
          </cell>
          <cell r="C153" t="str">
            <v>1001024    TALAGA</v>
          </cell>
          <cell r="D153" t="str">
            <v>KB Sprzed. bezpośrednia</v>
          </cell>
          <cell r="E153">
            <v>40752.959999999897</v>
          </cell>
          <cell r="F153">
            <v>48</v>
          </cell>
          <cell r="G153">
            <v>32371.43</v>
          </cell>
          <cell r="H153">
            <v>2086.3200000000002</v>
          </cell>
          <cell r="I153">
            <v>1941.48</v>
          </cell>
          <cell r="J153">
            <v>0</v>
          </cell>
          <cell r="K153">
            <v>0</v>
          </cell>
          <cell r="L153">
            <v>1941.48</v>
          </cell>
          <cell r="M153">
            <v>36399.230000000003</v>
          </cell>
          <cell r="N153">
            <v>4353.7299999999896</v>
          </cell>
          <cell r="O153">
            <v>0</v>
          </cell>
          <cell r="P153">
            <v>36399.230000000003</v>
          </cell>
          <cell r="Q153">
            <v>4353.7299999999896</v>
          </cell>
          <cell r="R153">
            <v>487.74</v>
          </cell>
          <cell r="S153">
            <v>36886.97</v>
          </cell>
          <cell r="T153">
            <v>3865.9899999999898</v>
          </cell>
        </row>
        <row r="154">
          <cell r="A154" t="str">
            <v>PLN   Złoty</v>
          </cell>
          <cell r="B154" t="str">
            <v>1000/1414       POLI.M 5-16-24-4</v>
          </cell>
          <cell r="C154" t="str">
            <v>1001662    AMPOL-MEROL Sp. z o.</v>
          </cell>
          <cell r="D154" t="str">
            <v>KB Sprzed. bezpośrednia</v>
          </cell>
          <cell r="E154">
            <v>40320</v>
          </cell>
          <cell r="F154">
            <v>48</v>
          </cell>
          <cell r="G154">
            <v>30650.47</v>
          </cell>
          <cell r="H154">
            <v>2064.0599999999899</v>
          </cell>
          <cell r="I154">
            <v>1941.48</v>
          </cell>
          <cell r="J154">
            <v>0</v>
          </cell>
          <cell r="K154">
            <v>0</v>
          </cell>
          <cell r="L154">
            <v>1941.48</v>
          </cell>
          <cell r="M154">
            <v>34656.01</v>
          </cell>
          <cell r="N154">
            <v>5663.9899999999898</v>
          </cell>
          <cell r="O154">
            <v>0</v>
          </cell>
          <cell r="P154">
            <v>34656.01</v>
          </cell>
          <cell r="Q154">
            <v>5663.9899999999898</v>
          </cell>
          <cell r="R154">
            <v>461.81</v>
          </cell>
          <cell r="S154">
            <v>35117.82</v>
          </cell>
          <cell r="T154">
            <v>5202.18</v>
          </cell>
        </row>
        <row r="155">
          <cell r="A155" t="str">
            <v>PLN   Złoty</v>
          </cell>
          <cell r="B155" t="str">
            <v>1000/1414       POLI.M 5-16-24-4</v>
          </cell>
          <cell r="C155" t="str">
            <v>1001701    INTRAT-BRZ</v>
          </cell>
          <cell r="D155" t="str">
            <v>KB Sprzed. bezpośrednia</v>
          </cell>
          <cell r="E155">
            <v>10080</v>
          </cell>
          <cell r="F155">
            <v>12</v>
          </cell>
          <cell r="G155">
            <v>7408.34</v>
          </cell>
          <cell r="H155">
            <v>516.01999999999896</v>
          </cell>
          <cell r="I155">
            <v>485.37</v>
          </cell>
          <cell r="J155">
            <v>0</v>
          </cell>
          <cell r="K155">
            <v>0</v>
          </cell>
          <cell r="L155">
            <v>485.37</v>
          </cell>
          <cell r="M155">
            <v>8409.7299999999905</v>
          </cell>
          <cell r="N155">
            <v>1670.27</v>
          </cell>
          <cell r="O155">
            <v>0</v>
          </cell>
          <cell r="P155">
            <v>8409.7299999999905</v>
          </cell>
          <cell r="Q155">
            <v>1670.27</v>
          </cell>
          <cell r="R155">
            <v>111.63</v>
          </cell>
          <cell r="S155">
            <v>8521.36</v>
          </cell>
          <cell r="T155">
            <v>1558.64</v>
          </cell>
        </row>
        <row r="156">
          <cell r="A156" t="str">
            <v>PLN   Złoty</v>
          </cell>
          <cell r="B156" t="str">
            <v>1000/1414       POLI.M 5-16-24-4</v>
          </cell>
          <cell r="C156" t="str">
            <v>1001988    ROLNIK-KOŚCIAN</v>
          </cell>
          <cell r="D156" t="str">
            <v>KB Sprzed. bezpośrednia</v>
          </cell>
          <cell r="E156">
            <v>80281.919999999896</v>
          </cell>
          <cell r="F156">
            <v>92</v>
          </cell>
          <cell r="G156">
            <v>57814.37</v>
          </cell>
          <cell r="H156">
            <v>4109.8299999999899</v>
          </cell>
          <cell r="I156">
            <v>3721.1399999999899</v>
          </cell>
          <cell r="J156">
            <v>1456.8</v>
          </cell>
          <cell r="K156">
            <v>0</v>
          </cell>
          <cell r="L156">
            <v>5177.9399999999896</v>
          </cell>
          <cell r="M156">
            <v>67102.139999999898</v>
          </cell>
          <cell r="N156">
            <v>13179.78</v>
          </cell>
          <cell r="O156">
            <v>0</v>
          </cell>
          <cell r="P156">
            <v>67102.139999999898</v>
          </cell>
          <cell r="Q156">
            <v>13179.78</v>
          </cell>
          <cell r="R156">
            <v>871.08</v>
          </cell>
          <cell r="S156">
            <v>67973.22</v>
          </cell>
          <cell r="T156">
            <v>12308.7</v>
          </cell>
        </row>
        <row r="157">
          <cell r="A157" t="str">
            <v>PLN   Złoty</v>
          </cell>
          <cell r="B157" t="str">
            <v>1000/1414       POLI.M 5-16-24-4</v>
          </cell>
          <cell r="C157" t="str">
            <v>1001994    SKR-STRZELCE</v>
          </cell>
          <cell r="D157" t="str">
            <v>KB Sprzed. bezpośrednia</v>
          </cell>
          <cell r="E157">
            <v>60056.639999999898</v>
          </cell>
          <cell r="F157">
            <v>72</v>
          </cell>
          <cell r="G157">
            <v>46484.269999999902</v>
          </cell>
          <cell r="H157">
            <v>3074.38</v>
          </cell>
          <cell r="I157">
            <v>2912.19</v>
          </cell>
          <cell r="J157">
            <v>0</v>
          </cell>
          <cell r="K157">
            <v>0</v>
          </cell>
          <cell r="L157">
            <v>2912.19</v>
          </cell>
          <cell r="M157">
            <v>52470.839999999902</v>
          </cell>
          <cell r="N157">
            <v>7585.8</v>
          </cell>
          <cell r="O157">
            <v>0</v>
          </cell>
          <cell r="P157">
            <v>52470.839999999902</v>
          </cell>
          <cell r="Q157">
            <v>7585.8</v>
          </cell>
          <cell r="R157">
            <v>700.35</v>
          </cell>
          <cell r="S157">
            <v>53171.19</v>
          </cell>
          <cell r="T157">
            <v>6885.4499999999898</v>
          </cell>
        </row>
        <row r="158">
          <cell r="A158" t="str">
            <v>PLN   Złoty</v>
          </cell>
          <cell r="B158" t="str">
            <v>1000/1414       POLI.M 5-16-24-4</v>
          </cell>
          <cell r="C158" t="str">
            <v>1002005    LAMCH-TOMI</v>
          </cell>
          <cell r="D158" t="str">
            <v>KB Sprzed. bezpośrednia</v>
          </cell>
          <cell r="E158">
            <v>10620</v>
          </cell>
          <cell r="F158">
            <v>12</v>
          </cell>
          <cell r="G158">
            <v>7408.34</v>
          </cell>
          <cell r="H158">
            <v>543.64999999999895</v>
          </cell>
          <cell r="I158">
            <v>485.37</v>
          </cell>
          <cell r="J158">
            <v>794.75999999999897</v>
          </cell>
          <cell r="K158">
            <v>0</v>
          </cell>
          <cell r="L158">
            <v>1280.1300000000001</v>
          </cell>
          <cell r="M158">
            <v>9232.1200000000008</v>
          </cell>
          <cell r="N158">
            <v>1387.88</v>
          </cell>
          <cell r="O158">
            <v>0</v>
          </cell>
          <cell r="P158">
            <v>9232.1200000000008</v>
          </cell>
          <cell r="Q158">
            <v>1387.88</v>
          </cell>
          <cell r="R158">
            <v>111.63</v>
          </cell>
          <cell r="S158">
            <v>9343.75</v>
          </cell>
          <cell r="T158">
            <v>1276.25</v>
          </cell>
        </row>
        <row r="159">
          <cell r="A159" t="str">
            <v>PLN   Złoty</v>
          </cell>
          <cell r="B159" t="str">
            <v>1000/1414       POLI.M 5-16-24-4</v>
          </cell>
          <cell r="C159" t="str">
            <v>1002050    "SYLWEK"</v>
          </cell>
          <cell r="D159" t="str">
            <v>KB Sprzed. bezpośrednia</v>
          </cell>
          <cell r="E159">
            <v>10620</v>
          </cell>
          <cell r="F159">
            <v>12</v>
          </cell>
          <cell r="G159">
            <v>7408.34</v>
          </cell>
          <cell r="H159">
            <v>543.64999999999895</v>
          </cell>
          <cell r="I159">
            <v>485.37</v>
          </cell>
          <cell r="J159">
            <v>943.32</v>
          </cell>
          <cell r="K159">
            <v>0</v>
          </cell>
          <cell r="L159">
            <v>1428.69</v>
          </cell>
          <cell r="M159">
            <v>9380.68</v>
          </cell>
          <cell r="N159">
            <v>1239.3199999999899</v>
          </cell>
          <cell r="O159">
            <v>0</v>
          </cell>
          <cell r="P159">
            <v>9380.68</v>
          </cell>
          <cell r="Q159">
            <v>1239.3199999999899</v>
          </cell>
          <cell r="R159">
            <v>111.63</v>
          </cell>
          <cell r="S159">
            <v>9492.3099999999904</v>
          </cell>
          <cell r="T159">
            <v>1127.69</v>
          </cell>
        </row>
        <row r="160">
          <cell r="A160" t="str">
            <v>PLN   Złoty</v>
          </cell>
          <cell r="B160" t="str">
            <v>1000/1414       POLI.M 5-16-24-4</v>
          </cell>
          <cell r="C160" t="str">
            <v>1002056    GS-Koronowo</v>
          </cell>
          <cell r="D160" t="str">
            <v>KB Sprzed. bezpośrednia</v>
          </cell>
          <cell r="E160">
            <v>25515</v>
          </cell>
          <cell r="F160">
            <v>29</v>
          </cell>
          <cell r="G160">
            <v>18330.799999999901</v>
          </cell>
          <cell r="H160">
            <v>1306.19</v>
          </cell>
          <cell r="I160">
            <v>1172.97</v>
          </cell>
          <cell r="J160">
            <v>918.24</v>
          </cell>
          <cell r="K160">
            <v>0</v>
          </cell>
          <cell r="L160">
            <v>2091.21</v>
          </cell>
          <cell r="M160">
            <v>21728.2</v>
          </cell>
          <cell r="N160">
            <v>3786.8</v>
          </cell>
          <cell r="O160">
            <v>0</v>
          </cell>
          <cell r="P160">
            <v>21728.2</v>
          </cell>
          <cell r="Q160">
            <v>3786.8</v>
          </cell>
          <cell r="R160">
            <v>276.18</v>
          </cell>
          <cell r="S160">
            <v>22004.38</v>
          </cell>
          <cell r="T160">
            <v>3510.6199999999899</v>
          </cell>
        </row>
        <row r="161">
          <cell r="A161" t="str">
            <v>PLN   Złoty</v>
          </cell>
          <cell r="B161" t="str">
            <v>1000/1414       POLI.M 5-16-24-4</v>
          </cell>
          <cell r="C161" t="str">
            <v>1003056    LECHPOL SP. Z O.O.</v>
          </cell>
          <cell r="D161" t="str">
            <v>KB Sprzed. bezpośrednia</v>
          </cell>
          <cell r="E161">
            <v>81571.44</v>
          </cell>
          <cell r="F161">
            <v>96</v>
          </cell>
          <cell r="G161">
            <v>59266.68</v>
          </cell>
          <cell r="H161">
            <v>4175.8100000000004</v>
          </cell>
          <cell r="I161">
            <v>3882.92</v>
          </cell>
          <cell r="J161">
            <v>2325.36</v>
          </cell>
          <cell r="K161">
            <v>0</v>
          </cell>
          <cell r="L161">
            <v>6208.2799999999897</v>
          </cell>
          <cell r="M161">
            <v>69650.77</v>
          </cell>
          <cell r="N161">
            <v>11920.67</v>
          </cell>
          <cell r="O161">
            <v>0</v>
          </cell>
          <cell r="P161">
            <v>69650.77</v>
          </cell>
          <cell r="Q161">
            <v>11920.67</v>
          </cell>
          <cell r="R161">
            <v>892.95</v>
          </cell>
          <cell r="S161">
            <v>70543.72</v>
          </cell>
          <cell r="T161">
            <v>11027.719999999899</v>
          </cell>
        </row>
        <row r="162">
          <cell r="A162" t="str">
            <v>PLN   Złoty</v>
          </cell>
          <cell r="B162" t="str">
            <v>1000/1414       POLI.M 5-16-24-4</v>
          </cell>
          <cell r="C162" t="str">
            <v>1003773    "NIRO"</v>
          </cell>
          <cell r="D162" t="str">
            <v>KB Sprzed. bezpośrednia</v>
          </cell>
          <cell r="E162">
            <v>10009.44</v>
          </cell>
          <cell r="F162">
            <v>12</v>
          </cell>
          <cell r="G162">
            <v>7408.34</v>
          </cell>
          <cell r="H162">
            <v>512.45000000000005</v>
          </cell>
          <cell r="I162">
            <v>485.37</v>
          </cell>
          <cell r="J162">
            <v>0</v>
          </cell>
          <cell r="K162">
            <v>0</v>
          </cell>
          <cell r="L162">
            <v>485.37</v>
          </cell>
          <cell r="M162">
            <v>8406.1599999999908</v>
          </cell>
          <cell r="N162">
            <v>1603.28</v>
          </cell>
          <cell r="O162">
            <v>0</v>
          </cell>
          <cell r="P162">
            <v>8406.1599999999908</v>
          </cell>
          <cell r="Q162">
            <v>1603.28</v>
          </cell>
          <cell r="R162">
            <v>111.63</v>
          </cell>
          <cell r="S162">
            <v>8517.7900000000009</v>
          </cell>
          <cell r="T162">
            <v>1491.65</v>
          </cell>
        </row>
        <row r="163">
          <cell r="A163" t="str">
            <v>PLN   Złoty</v>
          </cell>
          <cell r="B163" t="str">
            <v>1000/1414       POLI.M 5-16-24-4</v>
          </cell>
          <cell r="C163" t="str">
            <v>1003827    STAL-BUD</v>
          </cell>
          <cell r="D163" t="str">
            <v>KB Sprzed. bezpośrednia</v>
          </cell>
          <cell r="E163">
            <v>21091.4399999999</v>
          </cell>
          <cell r="F163">
            <v>24</v>
          </cell>
          <cell r="G163">
            <v>14816.67</v>
          </cell>
          <cell r="H163">
            <v>1079.6600000000001</v>
          </cell>
          <cell r="I163">
            <v>970.74</v>
          </cell>
          <cell r="J163">
            <v>2119.1999999999898</v>
          </cell>
          <cell r="K163">
            <v>0</v>
          </cell>
          <cell r="L163">
            <v>3089.94</v>
          </cell>
          <cell r="M163">
            <v>18986.27</v>
          </cell>
          <cell r="N163">
            <v>2105.17</v>
          </cell>
          <cell r="O163">
            <v>0</v>
          </cell>
          <cell r="P163">
            <v>18986.27</v>
          </cell>
          <cell r="Q163">
            <v>2105.17</v>
          </cell>
          <cell r="R163">
            <v>223.24</v>
          </cell>
          <cell r="S163">
            <v>19209.5099999999</v>
          </cell>
          <cell r="T163">
            <v>1881.93</v>
          </cell>
        </row>
        <row r="164">
          <cell r="A164" t="str">
            <v>PLN   Złoty</v>
          </cell>
          <cell r="B164" t="str">
            <v>1000/1414       POLI.M 5-16-24-4</v>
          </cell>
          <cell r="C164" t="str">
            <v>1003857    EDMAR</v>
          </cell>
          <cell r="D164" t="str">
            <v>KB Sprzed. bezpośrednia</v>
          </cell>
          <cell r="E164">
            <v>106051.44</v>
          </cell>
          <cell r="F164">
            <v>120</v>
          </cell>
          <cell r="G164">
            <v>74083.360000000001</v>
          </cell>
          <cell r="H164">
            <v>5429</v>
          </cell>
          <cell r="I164">
            <v>4853.6599999999899</v>
          </cell>
          <cell r="J164">
            <v>9486.7199999999903</v>
          </cell>
          <cell r="K164">
            <v>0</v>
          </cell>
          <cell r="L164">
            <v>14340.379999999899</v>
          </cell>
          <cell r="M164">
            <v>93852.74</v>
          </cell>
          <cell r="N164">
            <v>12198.7</v>
          </cell>
          <cell r="O164">
            <v>0</v>
          </cell>
          <cell r="P164">
            <v>93852.74</v>
          </cell>
          <cell r="Q164">
            <v>12198.7</v>
          </cell>
          <cell r="R164">
            <v>1116.17</v>
          </cell>
          <cell r="S164">
            <v>94968.91</v>
          </cell>
          <cell r="T164">
            <v>11082.53</v>
          </cell>
        </row>
        <row r="165">
          <cell r="A165" t="str">
            <v>PLN   Złoty</v>
          </cell>
          <cell r="B165" t="str">
            <v>1000/1414       POLI.M 5-16-24-4</v>
          </cell>
          <cell r="C165" t="str">
            <v>1003988    BLENDING Sp.z o.o.</v>
          </cell>
          <cell r="D165" t="str">
            <v>KB Sprzed. bezpośrednia</v>
          </cell>
          <cell r="E165">
            <v>21240</v>
          </cell>
          <cell r="F165">
            <v>24</v>
          </cell>
          <cell r="G165">
            <v>14816.67</v>
          </cell>
          <cell r="H165">
            <v>1087.3199999999899</v>
          </cell>
          <cell r="I165">
            <v>970.74</v>
          </cell>
          <cell r="J165">
            <v>1833.8399999999899</v>
          </cell>
          <cell r="K165">
            <v>0</v>
          </cell>
          <cell r="L165">
            <v>2804.5799999999899</v>
          </cell>
          <cell r="M165">
            <v>18708.57</v>
          </cell>
          <cell r="N165">
            <v>2531.4299999999898</v>
          </cell>
          <cell r="O165">
            <v>0</v>
          </cell>
          <cell r="P165">
            <v>18708.57</v>
          </cell>
          <cell r="Q165">
            <v>2531.4299999999898</v>
          </cell>
          <cell r="R165">
            <v>223.24</v>
          </cell>
          <cell r="S165">
            <v>18931.810000000001</v>
          </cell>
          <cell r="T165">
            <v>2308.19</v>
          </cell>
        </row>
        <row r="166">
          <cell r="A166" t="str">
            <v>PLN   Złoty</v>
          </cell>
          <cell r="B166" t="str">
            <v>1000/1414       POLI.M 5-16-24-4</v>
          </cell>
          <cell r="C166" t="str">
            <v>1004168    "OSADKOWSKI" SPÓŁKA</v>
          </cell>
          <cell r="D166" t="str">
            <v>KB Sprzed. bezpośrednia</v>
          </cell>
          <cell r="E166">
            <v>11760</v>
          </cell>
          <cell r="F166">
            <v>14</v>
          </cell>
          <cell r="G166">
            <v>8643.0599999999904</v>
          </cell>
          <cell r="H166">
            <v>602.00999999999897</v>
          </cell>
          <cell r="I166">
            <v>566.25999999999897</v>
          </cell>
          <cell r="J166">
            <v>0</v>
          </cell>
          <cell r="K166">
            <v>0</v>
          </cell>
          <cell r="L166">
            <v>566.25999999999897</v>
          </cell>
          <cell r="M166">
            <v>9811.3299999999908</v>
          </cell>
          <cell r="N166">
            <v>1948.67</v>
          </cell>
          <cell r="O166">
            <v>0</v>
          </cell>
          <cell r="P166">
            <v>9811.3299999999908</v>
          </cell>
          <cell r="Q166">
            <v>1948.67</v>
          </cell>
          <cell r="R166">
            <v>130.229999999999</v>
          </cell>
          <cell r="S166">
            <v>9941.5599999999904</v>
          </cell>
          <cell r="T166">
            <v>1818.44</v>
          </cell>
        </row>
        <row r="167">
          <cell r="A167" t="str">
            <v>PLN   Złoty</v>
          </cell>
          <cell r="B167" t="str">
            <v>1000/1414       POLI.M 5-16-24-4</v>
          </cell>
          <cell r="C167" t="str">
            <v>1004618    GOSPODARSTWO ARCHIDI</v>
          </cell>
          <cell r="D167" t="str">
            <v>KB Sprzed. bezpośrednia</v>
          </cell>
          <cell r="E167">
            <v>21168</v>
          </cell>
          <cell r="F167">
            <v>24</v>
          </cell>
          <cell r="G167">
            <v>15833.799999999899</v>
          </cell>
          <cell r="H167">
            <v>1083.69</v>
          </cell>
          <cell r="I167">
            <v>970.74</v>
          </cell>
          <cell r="J167">
            <v>0</v>
          </cell>
          <cell r="K167">
            <v>0</v>
          </cell>
          <cell r="L167">
            <v>970.74</v>
          </cell>
          <cell r="M167">
            <v>17888.23</v>
          </cell>
          <cell r="N167">
            <v>3279.77</v>
          </cell>
          <cell r="O167">
            <v>0</v>
          </cell>
          <cell r="P167">
            <v>17888.23</v>
          </cell>
          <cell r="Q167">
            <v>3279.77</v>
          </cell>
          <cell r="R167">
            <v>238.569999999999</v>
          </cell>
          <cell r="S167">
            <v>18126.799999999901</v>
          </cell>
          <cell r="T167">
            <v>3041.1999999999898</v>
          </cell>
        </row>
        <row r="168">
          <cell r="A168" t="str">
            <v>PLN   Złoty</v>
          </cell>
          <cell r="B168" t="str">
            <v>1000/1414       POLI.M 5-16-24-4</v>
          </cell>
          <cell r="C168" t="str">
            <v>1004710    "AGRICOLA-LUBLIN" SP</v>
          </cell>
          <cell r="D168" t="str">
            <v>KB Sprzed. bezpośrednia</v>
          </cell>
          <cell r="E168">
            <v>11037.19</v>
          </cell>
          <cell r="F168">
            <v>13</v>
          </cell>
          <cell r="G168">
            <v>8025.6999999999898</v>
          </cell>
          <cell r="H168">
            <v>565.04999999999905</v>
          </cell>
          <cell r="I168">
            <v>525.75</v>
          </cell>
          <cell r="J168">
            <v>0</v>
          </cell>
          <cell r="K168">
            <v>0</v>
          </cell>
          <cell r="L168">
            <v>525.75</v>
          </cell>
          <cell r="M168">
            <v>9116.5</v>
          </cell>
          <cell r="N168">
            <v>1920.69</v>
          </cell>
          <cell r="O168">
            <v>0</v>
          </cell>
          <cell r="P168">
            <v>9116.5</v>
          </cell>
          <cell r="Q168">
            <v>1920.69</v>
          </cell>
          <cell r="R168">
            <v>120.94</v>
          </cell>
          <cell r="S168">
            <v>9237.44</v>
          </cell>
          <cell r="T168">
            <v>1799.75</v>
          </cell>
        </row>
        <row r="169">
          <cell r="A169" t="str">
            <v>PLN   Złoty</v>
          </cell>
          <cell r="B169" t="str">
            <v>1000/1415       POLIWAP</v>
          </cell>
          <cell r="C169" t="str">
            <v>1000080    CN-KIELCE</v>
          </cell>
          <cell r="D169" t="str">
            <v>KB Sprzed. bezpośrednia</v>
          </cell>
          <cell r="E169">
            <v>52200</v>
          </cell>
          <cell r="F169">
            <v>72</v>
          </cell>
          <cell r="G169">
            <v>36162.959999999897</v>
          </cell>
          <cell r="H169">
            <v>2672.2399999999898</v>
          </cell>
          <cell r="I169">
            <v>3756.3899999999899</v>
          </cell>
          <cell r="J169">
            <v>5395.4399999999896</v>
          </cell>
          <cell r="K169">
            <v>0</v>
          </cell>
          <cell r="L169">
            <v>9151.8299999999908</v>
          </cell>
          <cell r="M169">
            <v>47987.029999999897</v>
          </cell>
          <cell r="N169">
            <v>4212.97</v>
          </cell>
          <cell r="O169">
            <v>0</v>
          </cell>
          <cell r="P169">
            <v>47987.029999999897</v>
          </cell>
          <cell r="Q169">
            <v>4212.97</v>
          </cell>
          <cell r="R169">
            <v>544.84</v>
          </cell>
          <cell r="S169">
            <v>48531.87</v>
          </cell>
          <cell r="T169">
            <v>3668.13</v>
          </cell>
        </row>
        <row r="170">
          <cell r="A170" t="str">
            <v>PLN   Złoty</v>
          </cell>
          <cell r="B170" t="str">
            <v>1000/1415       POLIWAP</v>
          </cell>
          <cell r="C170" t="str">
            <v>1000112    GS 'SCh'</v>
          </cell>
          <cell r="D170" t="str">
            <v>KB Sprzed. bezpośrednia</v>
          </cell>
          <cell r="E170">
            <v>24480</v>
          </cell>
          <cell r="F170">
            <v>36</v>
          </cell>
          <cell r="G170">
            <v>18081.48</v>
          </cell>
          <cell r="H170">
            <v>1253.2</v>
          </cell>
          <cell r="I170">
            <v>1878.19</v>
          </cell>
          <cell r="J170">
            <v>0</v>
          </cell>
          <cell r="K170">
            <v>0</v>
          </cell>
          <cell r="L170">
            <v>1878.19</v>
          </cell>
          <cell r="M170">
            <v>21212.869999999901</v>
          </cell>
          <cell r="N170">
            <v>3267.13</v>
          </cell>
          <cell r="O170">
            <v>0</v>
          </cell>
          <cell r="P170">
            <v>21212.869999999901</v>
          </cell>
          <cell r="Q170">
            <v>3267.13</v>
          </cell>
          <cell r="R170">
            <v>272.42</v>
          </cell>
          <cell r="S170">
            <v>21485.29</v>
          </cell>
          <cell r="T170">
            <v>2994.71</v>
          </cell>
        </row>
        <row r="171">
          <cell r="A171" t="str">
            <v>PLN   Złoty</v>
          </cell>
          <cell r="B171" t="str">
            <v>1000/1415       POLIWAP</v>
          </cell>
          <cell r="C171" t="str">
            <v>1000115    GS-BĘDZINO</v>
          </cell>
          <cell r="D171" t="str">
            <v>KB Sprzed. bezpośrednia</v>
          </cell>
          <cell r="E171">
            <v>34440</v>
          </cell>
          <cell r="F171">
            <v>48</v>
          </cell>
          <cell r="G171">
            <v>24108.639999999901</v>
          </cell>
          <cell r="H171">
            <v>1763.03</v>
          </cell>
          <cell r="I171">
            <v>2504.2600000000002</v>
          </cell>
          <cell r="J171">
            <v>1542.24</v>
          </cell>
          <cell r="K171">
            <v>0</v>
          </cell>
          <cell r="L171">
            <v>4046.5</v>
          </cell>
          <cell r="M171">
            <v>29918.1699999999</v>
          </cell>
          <cell r="N171">
            <v>4521.8299999999899</v>
          </cell>
          <cell r="O171">
            <v>0</v>
          </cell>
          <cell r="P171">
            <v>29918.1699999999</v>
          </cell>
          <cell r="Q171">
            <v>4521.8299999999899</v>
          </cell>
          <cell r="R171">
            <v>363.25</v>
          </cell>
          <cell r="S171">
            <v>30281.4199999999</v>
          </cell>
          <cell r="T171">
            <v>4158.5799999999899</v>
          </cell>
        </row>
        <row r="172">
          <cell r="A172" t="str">
            <v>PLN   Złoty</v>
          </cell>
          <cell r="B172" t="str">
            <v>1000/1415       POLIWAP</v>
          </cell>
          <cell r="C172" t="str">
            <v>1000141    SKR-Łaszczów</v>
          </cell>
          <cell r="D172" t="str">
            <v>KB Sprzed. bezpośrednia</v>
          </cell>
          <cell r="E172">
            <v>17400</v>
          </cell>
          <cell r="F172">
            <v>24</v>
          </cell>
          <cell r="G172">
            <v>12054.32</v>
          </cell>
          <cell r="H172">
            <v>890.74</v>
          </cell>
          <cell r="I172">
            <v>1252.1300000000001</v>
          </cell>
          <cell r="J172">
            <v>1992.72</v>
          </cell>
          <cell r="K172">
            <v>0</v>
          </cell>
          <cell r="L172">
            <v>3244.8499999999899</v>
          </cell>
          <cell r="M172">
            <v>16189.91</v>
          </cell>
          <cell r="N172">
            <v>1210.0899999999899</v>
          </cell>
          <cell r="O172">
            <v>0</v>
          </cell>
          <cell r="P172">
            <v>16189.91</v>
          </cell>
          <cell r="Q172">
            <v>1210.0899999999899</v>
          </cell>
          <cell r="R172">
            <v>181.62</v>
          </cell>
          <cell r="S172">
            <v>16371.53</v>
          </cell>
          <cell r="T172">
            <v>1028.47</v>
          </cell>
        </row>
        <row r="173">
          <cell r="A173" t="str">
            <v>PLN   Złoty</v>
          </cell>
          <cell r="B173" t="str">
            <v>1000/1415       POLIWAP</v>
          </cell>
          <cell r="C173" t="str">
            <v>1000248    DYMNY</v>
          </cell>
          <cell r="D173" t="str">
            <v>KB Sprzed. bezpośrednia</v>
          </cell>
          <cell r="E173">
            <v>16205.76</v>
          </cell>
          <cell r="F173">
            <v>24</v>
          </cell>
          <cell r="G173">
            <v>13042.53</v>
          </cell>
          <cell r="H173">
            <v>829.59</v>
          </cell>
          <cell r="I173">
            <v>1252.1300000000001</v>
          </cell>
          <cell r="J173">
            <v>0</v>
          </cell>
          <cell r="K173">
            <v>0</v>
          </cell>
          <cell r="L173">
            <v>1252.1300000000001</v>
          </cell>
          <cell r="M173">
            <v>15124.25</v>
          </cell>
          <cell r="N173">
            <v>1081.51</v>
          </cell>
          <cell r="O173">
            <v>0</v>
          </cell>
          <cell r="P173">
            <v>15124.25</v>
          </cell>
          <cell r="Q173">
            <v>1081.51</v>
          </cell>
          <cell r="R173">
            <v>196.5</v>
          </cell>
          <cell r="S173">
            <v>15320.75</v>
          </cell>
          <cell r="T173">
            <v>885.00999999999897</v>
          </cell>
        </row>
        <row r="174">
          <cell r="A174" t="str">
            <v>PLN   Złoty</v>
          </cell>
          <cell r="B174" t="str">
            <v>1000/1415       POLIWAP</v>
          </cell>
          <cell r="C174" t="str">
            <v>1000263    PRO-AGRO</v>
          </cell>
          <cell r="D174" t="str">
            <v>KB Sprzed. bezpośrednia</v>
          </cell>
          <cell r="E174">
            <v>17040</v>
          </cell>
          <cell r="F174">
            <v>24</v>
          </cell>
          <cell r="G174">
            <v>12054.45</v>
          </cell>
          <cell r="H174">
            <v>872.34</v>
          </cell>
          <cell r="I174">
            <v>1252.1300000000001</v>
          </cell>
          <cell r="J174">
            <v>2207.7600000000002</v>
          </cell>
          <cell r="K174">
            <v>0</v>
          </cell>
          <cell r="L174">
            <v>3459.8899999999899</v>
          </cell>
          <cell r="M174">
            <v>16386.68</v>
          </cell>
          <cell r="N174">
            <v>653.32000000000005</v>
          </cell>
          <cell r="O174">
            <v>0</v>
          </cell>
          <cell r="P174">
            <v>16386.68</v>
          </cell>
          <cell r="Q174">
            <v>653.32000000000005</v>
          </cell>
          <cell r="R174">
            <v>181.62</v>
          </cell>
          <cell r="S174">
            <v>16568.299999999901</v>
          </cell>
          <cell r="T174">
            <v>471.69999999999902</v>
          </cell>
        </row>
        <row r="175">
          <cell r="A175" t="str">
            <v>PLN   Złoty</v>
          </cell>
          <cell r="B175" t="str">
            <v>1000/1415       POLIWAP</v>
          </cell>
          <cell r="C175" t="str">
            <v>1000277    ATRANS</v>
          </cell>
          <cell r="D175" t="str">
            <v>KB Sprzed. bezpośrednia</v>
          </cell>
          <cell r="E175">
            <v>42420</v>
          </cell>
          <cell r="F175">
            <v>60</v>
          </cell>
          <cell r="G175">
            <v>30135.799999999901</v>
          </cell>
          <cell r="H175">
            <v>2171.59</v>
          </cell>
          <cell r="I175">
            <v>3130.32</v>
          </cell>
          <cell r="J175">
            <v>2671.1999999999898</v>
          </cell>
          <cell r="K175">
            <v>0</v>
          </cell>
          <cell r="L175">
            <v>5801.52</v>
          </cell>
          <cell r="M175">
            <v>38108.910000000003</v>
          </cell>
          <cell r="N175">
            <v>4311.09</v>
          </cell>
          <cell r="O175">
            <v>0</v>
          </cell>
          <cell r="P175">
            <v>38108.910000000003</v>
          </cell>
          <cell r="Q175">
            <v>4311.09</v>
          </cell>
          <cell r="R175">
            <v>454.05</v>
          </cell>
          <cell r="S175">
            <v>38562.959999999897</v>
          </cell>
          <cell r="T175">
            <v>3857.04</v>
          </cell>
        </row>
        <row r="176">
          <cell r="A176" t="str">
            <v>PLN   Złoty</v>
          </cell>
          <cell r="B176" t="str">
            <v>1000/1415       POLIWAP</v>
          </cell>
          <cell r="C176" t="str">
            <v>1000286    ZAPROL Sp. z o.o.</v>
          </cell>
          <cell r="D176" t="str">
            <v>KB Sprzed. bezpośrednia</v>
          </cell>
          <cell r="E176">
            <v>16205.76</v>
          </cell>
          <cell r="F176">
            <v>24</v>
          </cell>
          <cell r="G176">
            <v>13647.129999999899</v>
          </cell>
          <cell r="H176">
            <v>829.59</v>
          </cell>
          <cell r="I176">
            <v>1252.1300000000001</v>
          </cell>
          <cell r="J176">
            <v>0</v>
          </cell>
          <cell r="K176">
            <v>0</v>
          </cell>
          <cell r="L176">
            <v>1252.1300000000001</v>
          </cell>
          <cell r="M176">
            <v>15728.85</v>
          </cell>
          <cell r="N176">
            <v>476.91</v>
          </cell>
          <cell r="O176">
            <v>0</v>
          </cell>
          <cell r="P176">
            <v>15728.85</v>
          </cell>
          <cell r="Q176">
            <v>476.91</v>
          </cell>
          <cell r="R176">
            <v>205.63</v>
          </cell>
          <cell r="S176">
            <v>15934.48</v>
          </cell>
          <cell r="T176">
            <v>271.27999999999901</v>
          </cell>
        </row>
        <row r="177">
          <cell r="A177" t="str">
            <v>PLN   Złoty</v>
          </cell>
          <cell r="B177" t="str">
            <v>1000/1415       POLIWAP</v>
          </cell>
          <cell r="C177" t="str">
            <v>1000403    SOBIANEK</v>
          </cell>
          <cell r="D177" t="str">
            <v>KB Sprzed. bezpośrednia</v>
          </cell>
          <cell r="E177">
            <v>16920.72</v>
          </cell>
          <cell r="F177">
            <v>24</v>
          </cell>
          <cell r="G177">
            <v>13042.52</v>
          </cell>
          <cell r="H177">
            <v>866.2</v>
          </cell>
          <cell r="I177">
            <v>1252.1300000000001</v>
          </cell>
          <cell r="J177">
            <v>2119.1999999999898</v>
          </cell>
          <cell r="K177">
            <v>0</v>
          </cell>
          <cell r="L177">
            <v>3371.3299999999899</v>
          </cell>
          <cell r="M177">
            <v>17280.049999999901</v>
          </cell>
          <cell r="N177">
            <v>-359.32999999999902</v>
          </cell>
          <cell r="O177">
            <v>0</v>
          </cell>
          <cell r="P177">
            <v>17280.049999999901</v>
          </cell>
          <cell r="Q177">
            <v>-359.32999999999902</v>
          </cell>
          <cell r="R177">
            <v>196.5</v>
          </cell>
          <cell r="S177">
            <v>17476.549999999901</v>
          </cell>
          <cell r="T177">
            <v>-555.83000000000004</v>
          </cell>
        </row>
        <row r="178">
          <cell r="A178" t="str">
            <v>PLN   Złoty</v>
          </cell>
          <cell r="B178" t="str">
            <v>1000/1415       POLIWAP</v>
          </cell>
          <cell r="C178" t="str">
            <v>1000607    POGES</v>
          </cell>
          <cell r="D178" t="str">
            <v>KB Sprzed. bezpośrednia</v>
          </cell>
          <cell r="E178">
            <v>16262.879999999899</v>
          </cell>
          <cell r="F178">
            <v>24</v>
          </cell>
          <cell r="G178">
            <v>12054.32</v>
          </cell>
          <cell r="H178">
            <v>832.55999999999904</v>
          </cell>
          <cell r="I178">
            <v>1252.1300000000001</v>
          </cell>
          <cell r="J178">
            <v>0</v>
          </cell>
          <cell r="K178">
            <v>0</v>
          </cell>
          <cell r="L178">
            <v>1252.1300000000001</v>
          </cell>
          <cell r="M178">
            <v>14139.01</v>
          </cell>
          <cell r="N178">
            <v>2123.8699999999899</v>
          </cell>
          <cell r="O178">
            <v>0</v>
          </cell>
          <cell r="P178">
            <v>14139.01</v>
          </cell>
          <cell r="Q178">
            <v>2123.8699999999899</v>
          </cell>
          <cell r="R178">
            <v>181.62</v>
          </cell>
          <cell r="S178">
            <v>14320.629999999899</v>
          </cell>
          <cell r="T178">
            <v>1942.25</v>
          </cell>
        </row>
        <row r="179">
          <cell r="A179" t="str">
            <v>PLN   Złoty</v>
          </cell>
          <cell r="B179" t="str">
            <v>1000/1415       POLIWAP</v>
          </cell>
          <cell r="C179" t="str">
            <v>1000725    SGS-LUBLIN</v>
          </cell>
          <cell r="D179" t="str">
            <v>KB Sprzed. bezpośrednia</v>
          </cell>
          <cell r="E179">
            <v>8700</v>
          </cell>
          <cell r="F179">
            <v>12</v>
          </cell>
          <cell r="G179">
            <v>6027.1599999999899</v>
          </cell>
          <cell r="H179">
            <v>445.39999999999901</v>
          </cell>
          <cell r="I179">
            <v>626.05999999999904</v>
          </cell>
          <cell r="J179">
            <v>996.36</v>
          </cell>
          <cell r="K179">
            <v>0</v>
          </cell>
          <cell r="L179">
            <v>1622.42</v>
          </cell>
          <cell r="M179">
            <v>8094.9799999999896</v>
          </cell>
          <cell r="N179">
            <v>605.01999999999896</v>
          </cell>
          <cell r="O179">
            <v>0</v>
          </cell>
          <cell r="P179">
            <v>8094.9799999999896</v>
          </cell>
          <cell r="Q179">
            <v>605.01999999999896</v>
          </cell>
          <cell r="R179">
            <v>90.79</v>
          </cell>
          <cell r="S179">
            <v>8185.77</v>
          </cell>
          <cell r="T179">
            <v>514.23</v>
          </cell>
        </row>
        <row r="180">
          <cell r="A180" t="str">
            <v>PLN   Złoty</v>
          </cell>
          <cell r="B180" t="str">
            <v>1000/1415       POLIWAP</v>
          </cell>
          <cell r="C180" t="str">
            <v>1001024    TALAGA</v>
          </cell>
          <cell r="D180" t="str">
            <v>KB Sprzed. bezpośrednia</v>
          </cell>
          <cell r="E180">
            <v>32411.52</v>
          </cell>
          <cell r="F180">
            <v>48</v>
          </cell>
          <cell r="G180">
            <v>24108.639999999901</v>
          </cell>
          <cell r="H180">
            <v>1659.2</v>
          </cell>
          <cell r="I180">
            <v>2504.2600000000002</v>
          </cell>
          <cell r="J180">
            <v>0</v>
          </cell>
          <cell r="K180">
            <v>0</v>
          </cell>
          <cell r="L180">
            <v>2504.2600000000002</v>
          </cell>
          <cell r="M180">
            <v>28272.0999999999</v>
          </cell>
          <cell r="N180">
            <v>4139.42</v>
          </cell>
          <cell r="O180">
            <v>0</v>
          </cell>
          <cell r="P180">
            <v>28272.0999999999</v>
          </cell>
          <cell r="Q180">
            <v>4139.42</v>
          </cell>
          <cell r="R180">
            <v>363.25</v>
          </cell>
          <cell r="S180">
            <v>28635.3499999999</v>
          </cell>
          <cell r="T180">
            <v>3776.17</v>
          </cell>
        </row>
        <row r="181">
          <cell r="A181" t="str">
            <v>PLN   Złoty</v>
          </cell>
          <cell r="B181" t="str">
            <v>1000/1415       POLIWAP</v>
          </cell>
          <cell r="C181" t="str">
            <v>1001481    Hurt.Śr.Ochr.Roślin-</v>
          </cell>
          <cell r="D181" t="str">
            <v>KB Sprzed. bezpośrednia</v>
          </cell>
          <cell r="E181">
            <v>17400</v>
          </cell>
          <cell r="F181">
            <v>24</v>
          </cell>
          <cell r="G181">
            <v>12054.32</v>
          </cell>
          <cell r="H181">
            <v>890.74</v>
          </cell>
          <cell r="I181">
            <v>1252.1300000000001</v>
          </cell>
          <cell r="J181">
            <v>1992.72</v>
          </cell>
          <cell r="K181">
            <v>0</v>
          </cell>
          <cell r="L181">
            <v>3244.8499999999899</v>
          </cell>
          <cell r="M181">
            <v>16189.91</v>
          </cell>
          <cell r="N181">
            <v>1210.0899999999899</v>
          </cell>
          <cell r="O181">
            <v>0</v>
          </cell>
          <cell r="P181">
            <v>16189.91</v>
          </cell>
          <cell r="Q181">
            <v>1210.0899999999899</v>
          </cell>
          <cell r="R181">
            <v>181.62</v>
          </cell>
          <cell r="S181">
            <v>16371.53</v>
          </cell>
          <cell r="T181">
            <v>1028.47</v>
          </cell>
        </row>
        <row r="182">
          <cell r="A182" t="str">
            <v>PLN   Złoty</v>
          </cell>
          <cell r="B182" t="str">
            <v>1000/1415       POLIWAP</v>
          </cell>
          <cell r="C182" t="str">
            <v>1001522    AGRO-BIT</v>
          </cell>
          <cell r="D182" t="str">
            <v>KB Sprzed. bezpośrednia</v>
          </cell>
          <cell r="E182">
            <v>17400</v>
          </cell>
          <cell r="F182">
            <v>24</v>
          </cell>
          <cell r="G182">
            <v>12054.32</v>
          </cell>
          <cell r="H182">
            <v>890.74</v>
          </cell>
          <cell r="I182">
            <v>1252.1300000000001</v>
          </cell>
          <cell r="J182">
            <v>2207.7600000000002</v>
          </cell>
          <cell r="K182">
            <v>0</v>
          </cell>
          <cell r="L182">
            <v>3459.8899999999899</v>
          </cell>
          <cell r="M182">
            <v>16404.95</v>
          </cell>
          <cell r="N182">
            <v>995.04999999999905</v>
          </cell>
          <cell r="O182">
            <v>0</v>
          </cell>
          <cell r="P182">
            <v>16404.95</v>
          </cell>
          <cell r="Q182">
            <v>995.04999999999905</v>
          </cell>
          <cell r="R182">
            <v>181.62</v>
          </cell>
          <cell r="S182">
            <v>16586.57</v>
          </cell>
          <cell r="T182">
            <v>813.42999999999904</v>
          </cell>
        </row>
        <row r="183">
          <cell r="A183" t="str">
            <v>PLN   Złoty</v>
          </cell>
          <cell r="B183" t="str">
            <v>1000/1415       POLIWAP</v>
          </cell>
          <cell r="C183" t="str">
            <v>1002005    LAMCH-TOMI</v>
          </cell>
          <cell r="D183" t="str">
            <v>KB Sprzed. bezpośrednia</v>
          </cell>
          <cell r="E183">
            <v>15490.799999999899</v>
          </cell>
          <cell r="F183">
            <v>24</v>
          </cell>
          <cell r="G183">
            <v>12054.32</v>
          </cell>
          <cell r="H183">
            <v>793.00999999999897</v>
          </cell>
          <cell r="I183">
            <v>1252.1300000000001</v>
          </cell>
          <cell r="J183">
            <v>0</v>
          </cell>
          <cell r="K183">
            <v>0</v>
          </cell>
          <cell r="L183">
            <v>1252.1300000000001</v>
          </cell>
          <cell r="M183">
            <v>14099.459999999901</v>
          </cell>
          <cell r="N183">
            <v>1391.3399999999899</v>
          </cell>
          <cell r="O183">
            <v>0</v>
          </cell>
          <cell r="P183">
            <v>14099.459999999901</v>
          </cell>
          <cell r="Q183">
            <v>1391.3399999999899</v>
          </cell>
          <cell r="R183">
            <v>181.62</v>
          </cell>
          <cell r="S183">
            <v>14281.08</v>
          </cell>
          <cell r="T183">
            <v>1209.72</v>
          </cell>
        </row>
        <row r="184">
          <cell r="A184" t="str">
            <v>PLN   Złoty</v>
          </cell>
          <cell r="B184" t="str">
            <v>1000/1415       POLIWAP</v>
          </cell>
          <cell r="C184" t="str">
            <v>1002050    "SYLWEK"</v>
          </cell>
          <cell r="D184" t="str">
            <v>KB Sprzed. bezpośrednia</v>
          </cell>
          <cell r="E184">
            <v>8700</v>
          </cell>
          <cell r="F184">
            <v>12</v>
          </cell>
          <cell r="G184">
            <v>6027.1599999999899</v>
          </cell>
          <cell r="H184">
            <v>445.39999999999901</v>
          </cell>
          <cell r="I184">
            <v>626.05999999999904</v>
          </cell>
          <cell r="J184">
            <v>943.32</v>
          </cell>
          <cell r="K184">
            <v>0</v>
          </cell>
          <cell r="L184">
            <v>1569.38</v>
          </cell>
          <cell r="M184">
            <v>8041.9399999999896</v>
          </cell>
          <cell r="N184">
            <v>658.05999999999904</v>
          </cell>
          <cell r="O184">
            <v>0</v>
          </cell>
          <cell r="P184">
            <v>8041.9399999999896</v>
          </cell>
          <cell r="Q184">
            <v>658.05999999999904</v>
          </cell>
          <cell r="R184">
            <v>90.79</v>
          </cell>
          <cell r="S184">
            <v>8132.7299999999896</v>
          </cell>
          <cell r="T184">
            <v>567.26999999999896</v>
          </cell>
        </row>
        <row r="185">
          <cell r="A185" t="str">
            <v>PLN   Złoty</v>
          </cell>
          <cell r="B185" t="str">
            <v>1000/1415       POLIWAP</v>
          </cell>
          <cell r="C185" t="str">
            <v>1002956    MIROSŁAW ULENBERG "U</v>
          </cell>
          <cell r="D185" t="str">
            <v>KB Sprzed. bezpośrednia</v>
          </cell>
          <cell r="E185">
            <v>16320</v>
          </cell>
          <cell r="F185">
            <v>24</v>
          </cell>
          <cell r="G185">
            <v>12054.32</v>
          </cell>
          <cell r="H185">
            <v>835.48</v>
          </cell>
          <cell r="I185">
            <v>1252.1300000000001</v>
          </cell>
          <cell r="J185">
            <v>0</v>
          </cell>
          <cell r="K185">
            <v>0</v>
          </cell>
          <cell r="L185">
            <v>1252.1300000000001</v>
          </cell>
          <cell r="M185">
            <v>14141.93</v>
          </cell>
          <cell r="N185">
            <v>2178.0700000000002</v>
          </cell>
          <cell r="O185">
            <v>0</v>
          </cell>
          <cell r="P185">
            <v>14141.93</v>
          </cell>
          <cell r="Q185">
            <v>2178.0700000000002</v>
          </cell>
          <cell r="R185">
            <v>181.62</v>
          </cell>
          <cell r="S185">
            <v>14323.549999999899</v>
          </cell>
          <cell r="T185">
            <v>1996.45</v>
          </cell>
        </row>
        <row r="186">
          <cell r="A186" t="str">
            <v>PLN   Złoty</v>
          </cell>
          <cell r="B186" t="str">
            <v>1000/1415       POLIWAP</v>
          </cell>
          <cell r="C186" t="str">
            <v>1003056    LECHPOL SP. Z O.O.</v>
          </cell>
          <cell r="D186" t="str">
            <v>KB Sprzed. bezpośrednia</v>
          </cell>
          <cell r="E186">
            <v>16205.76</v>
          </cell>
          <cell r="F186">
            <v>24</v>
          </cell>
          <cell r="G186">
            <v>13042.53</v>
          </cell>
          <cell r="H186">
            <v>829.59</v>
          </cell>
          <cell r="I186">
            <v>1252.1300000000001</v>
          </cell>
          <cell r="J186">
            <v>0</v>
          </cell>
          <cell r="K186">
            <v>0</v>
          </cell>
          <cell r="L186">
            <v>1252.1300000000001</v>
          </cell>
          <cell r="M186">
            <v>15124.25</v>
          </cell>
          <cell r="N186">
            <v>1081.51</v>
          </cell>
          <cell r="O186">
            <v>0</v>
          </cell>
          <cell r="P186">
            <v>15124.25</v>
          </cell>
          <cell r="Q186">
            <v>1081.51</v>
          </cell>
          <cell r="R186">
            <v>196.5</v>
          </cell>
          <cell r="S186">
            <v>15320.75</v>
          </cell>
          <cell r="T186">
            <v>885.00999999999897</v>
          </cell>
        </row>
        <row r="187">
          <cell r="A187" t="str">
            <v>PLN   Złoty</v>
          </cell>
          <cell r="B187" t="str">
            <v>1000/1415       POLIWAP</v>
          </cell>
          <cell r="C187" t="str">
            <v>1003857    EDMAR</v>
          </cell>
          <cell r="D187" t="str">
            <v>KB Sprzed. bezpośrednia</v>
          </cell>
          <cell r="E187">
            <v>34678.32</v>
          </cell>
          <cell r="F187">
            <v>48</v>
          </cell>
          <cell r="G187">
            <v>24108.639999999901</v>
          </cell>
          <cell r="H187">
            <v>1775.25</v>
          </cell>
          <cell r="I187">
            <v>2504.2600000000002</v>
          </cell>
          <cell r="J187">
            <v>3953.04</v>
          </cell>
          <cell r="K187">
            <v>0</v>
          </cell>
          <cell r="L187">
            <v>6457.3</v>
          </cell>
          <cell r="M187">
            <v>32341.1899999999</v>
          </cell>
          <cell r="N187">
            <v>2337.13</v>
          </cell>
          <cell r="O187">
            <v>0</v>
          </cell>
          <cell r="P187">
            <v>32341.1899999999</v>
          </cell>
          <cell r="Q187">
            <v>2337.13</v>
          </cell>
          <cell r="R187">
            <v>363.25</v>
          </cell>
          <cell r="S187">
            <v>32704.4399999999</v>
          </cell>
          <cell r="T187">
            <v>1973.88</v>
          </cell>
        </row>
        <row r="188">
          <cell r="A188" t="str">
            <v>PLN   Złoty</v>
          </cell>
          <cell r="B188" t="str">
            <v>1000/1415       POLIWAP</v>
          </cell>
          <cell r="C188" t="str">
            <v>1004753    AMBROŻY SP. Z O.O.</v>
          </cell>
          <cell r="D188" t="str">
            <v>KB Sprzed. bezpośrednia</v>
          </cell>
          <cell r="E188">
            <v>16680</v>
          </cell>
          <cell r="F188">
            <v>24</v>
          </cell>
          <cell r="G188">
            <v>13647.139999999899</v>
          </cell>
          <cell r="H188">
            <v>853.89999999999895</v>
          </cell>
          <cell r="I188">
            <v>1252.1300000000001</v>
          </cell>
          <cell r="J188">
            <v>0</v>
          </cell>
          <cell r="K188">
            <v>0</v>
          </cell>
          <cell r="L188">
            <v>1252.1300000000001</v>
          </cell>
          <cell r="M188">
            <v>15753.17</v>
          </cell>
          <cell r="N188">
            <v>926.83</v>
          </cell>
          <cell r="O188">
            <v>0</v>
          </cell>
          <cell r="P188">
            <v>15753.17</v>
          </cell>
          <cell r="Q188">
            <v>926.83</v>
          </cell>
          <cell r="R188">
            <v>205.63</v>
          </cell>
          <cell r="S188">
            <v>15958.799999999899</v>
          </cell>
          <cell r="T188">
            <v>721.2</v>
          </cell>
        </row>
        <row r="189">
          <cell r="A189" t="str">
            <v>PLN   Złoty</v>
          </cell>
          <cell r="B189" t="str">
            <v>1000/1415       POLIWAP</v>
          </cell>
          <cell r="C189" t="str">
            <v>1004788    "ADAR" HANDEL NAWOZA</v>
          </cell>
          <cell r="D189" t="str">
            <v>KB Sprzed. bezpośrednia</v>
          </cell>
          <cell r="E189">
            <v>16563.36</v>
          </cell>
          <cell r="F189">
            <v>24</v>
          </cell>
          <cell r="G189">
            <v>12054.32</v>
          </cell>
          <cell r="H189">
            <v>847.94</v>
          </cell>
          <cell r="I189">
            <v>1252.1600000000001</v>
          </cell>
          <cell r="J189">
            <v>0</v>
          </cell>
          <cell r="K189">
            <v>0</v>
          </cell>
          <cell r="L189">
            <v>1252.1600000000001</v>
          </cell>
          <cell r="M189">
            <v>14154.42</v>
          </cell>
          <cell r="N189">
            <v>2408.94</v>
          </cell>
          <cell r="O189">
            <v>0</v>
          </cell>
          <cell r="P189">
            <v>14154.42</v>
          </cell>
          <cell r="Q189">
            <v>2408.94</v>
          </cell>
          <cell r="R189">
            <v>181.62</v>
          </cell>
          <cell r="S189">
            <v>14336.04</v>
          </cell>
          <cell r="T189">
            <v>2227.3200000000002</v>
          </cell>
        </row>
        <row r="190">
          <cell r="A190" t="str">
            <v>PLN   Złoty</v>
          </cell>
          <cell r="B190" t="str">
            <v>1000/1420       NP 18-46 POLIDAP</v>
          </cell>
          <cell r="C190" t="str">
            <v>1000117    SKIBA</v>
          </cell>
          <cell r="D190" t="str">
            <v>KB Sprzed. bezpośrednia</v>
          </cell>
          <cell r="E190">
            <v>27480</v>
          </cell>
          <cell r="F190">
            <v>24</v>
          </cell>
          <cell r="G190">
            <v>22511.8499999999</v>
          </cell>
          <cell r="H190">
            <v>1406.74</v>
          </cell>
          <cell r="I190">
            <v>999.55999999999904</v>
          </cell>
          <cell r="J190">
            <v>1780.8</v>
          </cell>
          <cell r="K190">
            <v>0</v>
          </cell>
          <cell r="L190">
            <v>2780.36</v>
          </cell>
          <cell r="M190">
            <v>26698.95</v>
          </cell>
          <cell r="N190">
            <v>781.04999999999905</v>
          </cell>
          <cell r="O190">
            <v>0</v>
          </cell>
          <cell r="P190">
            <v>26698.95</v>
          </cell>
          <cell r="Q190">
            <v>781.04999999999905</v>
          </cell>
          <cell r="R190">
            <v>339.18</v>
          </cell>
          <cell r="S190">
            <v>27038.13</v>
          </cell>
          <cell r="T190">
            <v>441.87</v>
          </cell>
        </row>
        <row r="191">
          <cell r="A191" t="str">
            <v>PLN   Złoty</v>
          </cell>
          <cell r="B191" t="str">
            <v>1000/1420       NP 18-46 POLIDAP</v>
          </cell>
          <cell r="C191" t="str">
            <v>1000182    AGRA NOWA</v>
          </cell>
          <cell r="D191" t="str">
            <v>KB Sprzed. bezpośrednia</v>
          </cell>
          <cell r="E191">
            <v>27287.7599999999</v>
          </cell>
          <cell r="F191">
            <v>24</v>
          </cell>
          <cell r="G191">
            <v>23544.889999999901</v>
          </cell>
          <cell r="H191">
            <v>1396.92</v>
          </cell>
          <cell r="I191">
            <v>999.55999999999904</v>
          </cell>
          <cell r="J191">
            <v>1456.8</v>
          </cell>
          <cell r="K191">
            <v>0</v>
          </cell>
          <cell r="L191">
            <v>2456.36</v>
          </cell>
          <cell r="M191">
            <v>27398.1699999999</v>
          </cell>
          <cell r="N191">
            <v>-110.41</v>
          </cell>
          <cell r="O191">
            <v>0</v>
          </cell>
          <cell r="P191">
            <v>27398.1699999999</v>
          </cell>
          <cell r="Q191">
            <v>-110.41</v>
          </cell>
          <cell r="R191">
            <v>354.73</v>
          </cell>
          <cell r="S191">
            <v>27752.9</v>
          </cell>
          <cell r="T191">
            <v>-465.13999999999902</v>
          </cell>
        </row>
        <row r="192">
          <cell r="A192" t="str">
            <v>PLN   Złoty</v>
          </cell>
          <cell r="B192" t="str">
            <v>1000/1420       NP 18-46 POLIDAP</v>
          </cell>
          <cell r="C192" t="str">
            <v>1000193    PUH 'WIEŻOWIEC' s.j.</v>
          </cell>
          <cell r="D192" t="str">
            <v>KB Sprzed. bezpośrednia</v>
          </cell>
          <cell r="E192">
            <v>26280</v>
          </cell>
          <cell r="F192">
            <v>24</v>
          </cell>
          <cell r="G192">
            <v>22511.8499999999</v>
          </cell>
          <cell r="H192">
            <v>1345.29</v>
          </cell>
          <cell r="I192">
            <v>999.55999999999904</v>
          </cell>
          <cell r="J192">
            <v>1365.8399999999899</v>
          </cell>
          <cell r="K192">
            <v>0</v>
          </cell>
          <cell r="L192">
            <v>2365.4</v>
          </cell>
          <cell r="M192">
            <v>26222.54</v>
          </cell>
          <cell r="N192">
            <v>57.46</v>
          </cell>
          <cell r="O192">
            <v>0</v>
          </cell>
          <cell r="P192">
            <v>26222.54</v>
          </cell>
          <cell r="Q192">
            <v>57.46</v>
          </cell>
          <cell r="R192">
            <v>339.18</v>
          </cell>
          <cell r="S192">
            <v>26561.72</v>
          </cell>
          <cell r="T192">
            <v>-281.72000000000003</v>
          </cell>
        </row>
        <row r="193">
          <cell r="A193" t="str">
            <v>PLN   Złoty</v>
          </cell>
          <cell r="B193" t="str">
            <v>1000/1420       NP 18-46 POLIDAP</v>
          </cell>
          <cell r="C193" t="str">
            <v>1000222    ROLPOL</v>
          </cell>
          <cell r="D193" t="str">
            <v>KB Sprzed. bezpośrednia</v>
          </cell>
          <cell r="E193">
            <v>26686.75</v>
          </cell>
          <cell r="F193">
            <v>25</v>
          </cell>
          <cell r="G193">
            <v>23449.84</v>
          </cell>
          <cell r="H193">
            <v>1366.1199999999899</v>
          </cell>
          <cell r="I193">
            <v>1041.21</v>
          </cell>
          <cell r="J193">
            <v>1810.49</v>
          </cell>
          <cell r="K193">
            <v>0</v>
          </cell>
          <cell r="L193">
            <v>2851.6999999999898</v>
          </cell>
          <cell r="M193">
            <v>27667.66</v>
          </cell>
          <cell r="N193">
            <v>-980.90999999999894</v>
          </cell>
          <cell r="O193">
            <v>0</v>
          </cell>
          <cell r="P193">
            <v>27667.66</v>
          </cell>
          <cell r="Q193">
            <v>-980.90999999999894</v>
          </cell>
          <cell r="R193">
            <v>353.31</v>
          </cell>
          <cell r="S193">
            <v>28020.97</v>
          </cell>
          <cell r="T193">
            <v>-1334.22</v>
          </cell>
        </row>
        <row r="194">
          <cell r="A194" t="str">
            <v>PLN   Złoty</v>
          </cell>
          <cell r="B194" t="str">
            <v>1000/1420       NP 18-46 POLIDAP</v>
          </cell>
          <cell r="C194" t="str">
            <v>1000248    DYMNY</v>
          </cell>
          <cell r="D194" t="str">
            <v>KB Sprzed. bezpośrednia</v>
          </cell>
          <cell r="E194">
            <v>38230.5</v>
          </cell>
          <cell r="F194">
            <v>35</v>
          </cell>
          <cell r="G194">
            <v>32829.779999999897</v>
          </cell>
          <cell r="H194">
            <v>1957.0999999999899</v>
          </cell>
          <cell r="I194">
            <v>1457.69</v>
          </cell>
          <cell r="J194">
            <v>0</v>
          </cell>
          <cell r="K194">
            <v>0</v>
          </cell>
          <cell r="L194">
            <v>1457.69</v>
          </cell>
          <cell r="M194">
            <v>36244.57</v>
          </cell>
          <cell r="N194">
            <v>1985.93</v>
          </cell>
          <cell r="O194">
            <v>0</v>
          </cell>
          <cell r="P194">
            <v>36244.57</v>
          </cell>
          <cell r="Q194">
            <v>1985.93</v>
          </cell>
          <cell r="R194">
            <v>494.62</v>
          </cell>
          <cell r="S194">
            <v>36739.19</v>
          </cell>
          <cell r="T194">
            <v>1491.3099999999899</v>
          </cell>
        </row>
        <row r="195">
          <cell r="A195" t="str">
            <v>PLN   Złoty</v>
          </cell>
          <cell r="B195" t="str">
            <v>1000/1420       NP 18-46 POLIDAP</v>
          </cell>
          <cell r="C195" t="str">
            <v>1000252    AGROSKŁAD</v>
          </cell>
          <cell r="D195" t="str">
            <v>KB Sprzed. bezpośrednia</v>
          </cell>
          <cell r="E195">
            <v>242372.16</v>
          </cell>
          <cell r="F195">
            <v>216</v>
          </cell>
          <cell r="G195">
            <v>202606.649999999</v>
          </cell>
          <cell r="H195">
            <v>12407.5</v>
          </cell>
          <cell r="I195">
            <v>8996.0300000000007</v>
          </cell>
          <cell r="J195">
            <v>10422.719999999899</v>
          </cell>
          <cell r="K195">
            <v>0</v>
          </cell>
          <cell r="L195">
            <v>19418.75</v>
          </cell>
          <cell r="M195">
            <v>234432.899999999</v>
          </cell>
          <cell r="N195">
            <v>7939.26</v>
          </cell>
          <cell r="O195">
            <v>0</v>
          </cell>
          <cell r="P195">
            <v>234432.899999999</v>
          </cell>
          <cell r="Q195">
            <v>7939.26</v>
          </cell>
          <cell r="R195">
            <v>3052.5999999999899</v>
          </cell>
          <cell r="S195">
            <v>237485.5</v>
          </cell>
          <cell r="T195">
            <v>4886.6599999999899</v>
          </cell>
        </row>
        <row r="196">
          <cell r="A196" t="str">
            <v>PLN   Złoty</v>
          </cell>
          <cell r="B196" t="str">
            <v>1000/1420       NP 18-46 POLIDAP</v>
          </cell>
          <cell r="C196" t="str">
            <v>1000273    HANDEL ARTYKUŁAMI K.</v>
          </cell>
          <cell r="D196" t="str">
            <v>KB Sprzed. bezpośrednia</v>
          </cell>
          <cell r="E196">
            <v>80790.720000000001</v>
          </cell>
          <cell r="F196">
            <v>72</v>
          </cell>
          <cell r="G196">
            <v>67535.55</v>
          </cell>
          <cell r="H196">
            <v>4135.8699999999899</v>
          </cell>
          <cell r="I196">
            <v>2998.6799999999898</v>
          </cell>
          <cell r="J196">
            <v>2557.44</v>
          </cell>
          <cell r="K196">
            <v>0</v>
          </cell>
          <cell r="L196">
            <v>5556.1199999999899</v>
          </cell>
          <cell r="M196">
            <v>77227.539999999906</v>
          </cell>
          <cell r="N196">
            <v>3563.1799999999898</v>
          </cell>
          <cell r="O196">
            <v>0</v>
          </cell>
          <cell r="P196">
            <v>77227.539999999906</v>
          </cell>
          <cell r="Q196">
            <v>3563.1799999999898</v>
          </cell>
          <cell r="R196">
            <v>1017.55</v>
          </cell>
          <cell r="S196">
            <v>78245.089999999895</v>
          </cell>
          <cell r="T196">
            <v>2545.63</v>
          </cell>
        </row>
        <row r="197">
          <cell r="A197" t="str">
            <v>PLN   Złoty</v>
          </cell>
          <cell r="B197" t="str">
            <v>1000/1420       NP 18-46 POLIDAP</v>
          </cell>
          <cell r="C197" t="str">
            <v>1000276    JAN GACH FIRMA HANDL</v>
          </cell>
          <cell r="D197" t="str">
            <v>KB Sprzed. bezpośrednia</v>
          </cell>
          <cell r="E197">
            <v>112407.48</v>
          </cell>
          <cell r="F197">
            <v>103.739999999999</v>
          </cell>
          <cell r="G197">
            <v>96800.589999999895</v>
          </cell>
          <cell r="H197">
            <v>5754.4099999999899</v>
          </cell>
          <cell r="I197">
            <v>4320.59</v>
          </cell>
          <cell r="J197">
            <v>1392.96</v>
          </cell>
          <cell r="K197">
            <v>0</v>
          </cell>
          <cell r="L197">
            <v>5713.55</v>
          </cell>
          <cell r="M197">
            <v>108268.55</v>
          </cell>
          <cell r="N197">
            <v>4138.93</v>
          </cell>
          <cell r="O197">
            <v>0</v>
          </cell>
          <cell r="P197">
            <v>108268.55</v>
          </cell>
          <cell r="Q197">
            <v>4138.93</v>
          </cell>
          <cell r="R197">
            <v>1458.43</v>
          </cell>
          <cell r="S197">
            <v>109726.98</v>
          </cell>
          <cell r="T197">
            <v>2680.5</v>
          </cell>
        </row>
        <row r="198">
          <cell r="A198" t="str">
            <v>PLN   Złoty</v>
          </cell>
          <cell r="B198" t="str">
            <v>1000/1420       NP 18-46 POLIDAP</v>
          </cell>
          <cell r="C198" t="str">
            <v>1000277    ATRANS</v>
          </cell>
          <cell r="D198" t="str">
            <v>KB Sprzed. bezpośrednia</v>
          </cell>
          <cell r="E198">
            <v>53880</v>
          </cell>
          <cell r="F198">
            <v>48</v>
          </cell>
          <cell r="G198">
            <v>45023.699999999903</v>
          </cell>
          <cell r="H198">
            <v>2758.21</v>
          </cell>
          <cell r="I198">
            <v>1999.1199999999899</v>
          </cell>
          <cell r="J198">
            <v>1780.8</v>
          </cell>
          <cell r="K198">
            <v>0</v>
          </cell>
          <cell r="L198">
            <v>3779.92</v>
          </cell>
          <cell r="M198">
            <v>51561.83</v>
          </cell>
          <cell r="N198">
            <v>2318.17</v>
          </cell>
          <cell r="O198">
            <v>0</v>
          </cell>
          <cell r="P198">
            <v>51561.83</v>
          </cell>
          <cell r="Q198">
            <v>2318.17</v>
          </cell>
          <cell r="R198">
            <v>678.37</v>
          </cell>
          <cell r="S198">
            <v>52240.199999999903</v>
          </cell>
          <cell r="T198">
            <v>1639.8</v>
          </cell>
        </row>
        <row r="199">
          <cell r="A199" t="str">
            <v>PLN   Złoty</v>
          </cell>
          <cell r="B199" t="str">
            <v>1000/1420       NP 18-46 POLIDAP</v>
          </cell>
          <cell r="C199" t="str">
            <v>1000289    PLON A.Dadrzyński</v>
          </cell>
          <cell r="D199" t="str">
            <v>KB Sprzed. bezpośrednia</v>
          </cell>
          <cell r="E199">
            <v>55605</v>
          </cell>
          <cell r="F199">
            <v>49</v>
          </cell>
          <cell r="G199">
            <v>45961.69</v>
          </cell>
          <cell r="H199">
            <v>2846.54</v>
          </cell>
          <cell r="I199">
            <v>2040.76</v>
          </cell>
          <cell r="J199">
            <v>3012.52</v>
          </cell>
          <cell r="K199">
            <v>0</v>
          </cell>
          <cell r="L199">
            <v>5053.2799999999897</v>
          </cell>
          <cell r="M199">
            <v>53861.51</v>
          </cell>
          <cell r="N199">
            <v>1743.49</v>
          </cell>
          <cell r="O199">
            <v>0</v>
          </cell>
          <cell r="P199">
            <v>53861.51</v>
          </cell>
          <cell r="Q199">
            <v>1743.49</v>
          </cell>
          <cell r="R199">
            <v>692.49</v>
          </cell>
          <cell r="S199">
            <v>54554</v>
          </cell>
          <cell r="T199">
            <v>1051</v>
          </cell>
        </row>
        <row r="200">
          <cell r="A200" t="str">
            <v>PLN   Złoty</v>
          </cell>
          <cell r="B200" t="str">
            <v>1000/1420       NP 18-46 POLIDAP</v>
          </cell>
          <cell r="C200" t="str">
            <v>1000403    SOBIANEK</v>
          </cell>
          <cell r="D200" t="str">
            <v>KB Sprzed. bezpośrednia</v>
          </cell>
          <cell r="E200">
            <v>105137.039999999</v>
          </cell>
          <cell r="F200">
            <v>96</v>
          </cell>
          <cell r="G200">
            <v>90047.399999999907</v>
          </cell>
          <cell r="H200">
            <v>5382.21</v>
          </cell>
          <cell r="I200">
            <v>3998.23</v>
          </cell>
          <cell r="J200">
            <v>8059.1999999999898</v>
          </cell>
          <cell r="K200">
            <v>0</v>
          </cell>
          <cell r="L200">
            <v>12057.43</v>
          </cell>
          <cell r="M200">
            <v>107487.039999999</v>
          </cell>
          <cell r="N200">
            <v>-2350</v>
          </cell>
          <cell r="O200">
            <v>0</v>
          </cell>
          <cell r="P200">
            <v>107487.039999999</v>
          </cell>
          <cell r="Q200">
            <v>-2350</v>
          </cell>
          <cell r="R200">
            <v>1356.72</v>
          </cell>
          <cell r="S200">
            <v>108843.75999999901</v>
          </cell>
          <cell r="T200">
            <v>-3706.7199999999898</v>
          </cell>
        </row>
        <row r="201">
          <cell r="A201" t="str">
            <v>PLN   Złoty</v>
          </cell>
          <cell r="B201" t="str">
            <v>1000/1420       NP 18-46 POLIDAP</v>
          </cell>
          <cell r="C201" t="str">
            <v>1000506    AUREPIO SP. Z O.O.</v>
          </cell>
          <cell r="D201" t="str">
            <v>KB Sprzed. bezpośrednia</v>
          </cell>
          <cell r="E201">
            <v>119466.07</v>
          </cell>
          <cell r="F201">
            <v>107.9</v>
          </cell>
          <cell r="G201">
            <v>99125.77</v>
          </cell>
          <cell r="H201">
            <v>6115.76</v>
          </cell>
          <cell r="I201">
            <v>4493.8500000000004</v>
          </cell>
          <cell r="J201">
            <v>6947.68</v>
          </cell>
          <cell r="K201">
            <v>0</v>
          </cell>
          <cell r="L201">
            <v>11441.53</v>
          </cell>
          <cell r="M201">
            <v>116683.06</v>
          </cell>
          <cell r="N201">
            <v>2783.01</v>
          </cell>
          <cell r="O201">
            <v>0</v>
          </cell>
          <cell r="P201">
            <v>116683.06</v>
          </cell>
          <cell r="Q201">
            <v>2783.01</v>
          </cell>
          <cell r="R201">
            <v>1493.49</v>
          </cell>
          <cell r="S201">
            <v>118176.55</v>
          </cell>
          <cell r="T201">
            <v>1289.52</v>
          </cell>
        </row>
        <row r="202">
          <cell r="A202" t="str">
            <v>PLN   Złoty</v>
          </cell>
          <cell r="B202" t="str">
            <v>1000/1420       NP 18-46 POLIDAP</v>
          </cell>
          <cell r="C202" t="str">
            <v>1000524    "CHEMIROL" SP. Z O.O</v>
          </cell>
          <cell r="D202" t="str">
            <v>KB Sprzed. bezpośrednia</v>
          </cell>
          <cell r="E202">
            <v>641368.95999999903</v>
          </cell>
          <cell r="F202">
            <v>578.89999999999895</v>
          </cell>
          <cell r="G202">
            <v>553848.53</v>
          </cell>
          <cell r="H202">
            <v>32833.040000000001</v>
          </cell>
          <cell r="I202">
            <v>24110.1699999999</v>
          </cell>
          <cell r="J202">
            <v>12453.84</v>
          </cell>
          <cell r="K202">
            <v>0</v>
          </cell>
          <cell r="L202">
            <v>36564.01</v>
          </cell>
          <cell r="M202">
            <v>623245.57999999903</v>
          </cell>
          <cell r="N202">
            <v>18123.38</v>
          </cell>
          <cell r="O202">
            <v>0</v>
          </cell>
          <cell r="P202">
            <v>623245.57999999903</v>
          </cell>
          <cell r="Q202">
            <v>18123.38</v>
          </cell>
          <cell r="R202">
            <v>8344.6</v>
          </cell>
          <cell r="S202">
            <v>631590.18000000005</v>
          </cell>
          <cell r="T202">
            <v>9778.7800000000007</v>
          </cell>
        </row>
        <row r="203">
          <cell r="A203" t="str">
            <v>PLN   Złoty</v>
          </cell>
          <cell r="B203" t="str">
            <v>1000/1420       NP 18-46 POLIDAP</v>
          </cell>
          <cell r="C203" t="str">
            <v>1000525    MAX-PLON</v>
          </cell>
          <cell r="D203" t="str">
            <v>KB Sprzed. bezpośrednia</v>
          </cell>
          <cell r="E203">
            <v>26875</v>
          </cell>
          <cell r="F203">
            <v>25</v>
          </cell>
          <cell r="G203">
            <v>23449.84</v>
          </cell>
          <cell r="H203">
            <v>1375.8099999999899</v>
          </cell>
          <cell r="I203">
            <v>1041.21</v>
          </cell>
          <cell r="J203">
            <v>2280.36</v>
          </cell>
          <cell r="K203">
            <v>0</v>
          </cell>
          <cell r="L203">
            <v>3321.57</v>
          </cell>
          <cell r="M203">
            <v>28147.22</v>
          </cell>
          <cell r="N203">
            <v>-1272.22</v>
          </cell>
          <cell r="O203">
            <v>0</v>
          </cell>
          <cell r="P203">
            <v>28147.22</v>
          </cell>
          <cell r="Q203">
            <v>-1272.22</v>
          </cell>
          <cell r="R203">
            <v>353.31</v>
          </cell>
          <cell r="S203">
            <v>28500.529999999901</v>
          </cell>
          <cell r="T203">
            <v>-1625.53</v>
          </cell>
        </row>
        <row r="204">
          <cell r="A204" t="str">
            <v>PLN   Złoty</v>
          </cell>
          <cell r="B204" t="str">
            <v>1000/1420       NP 18-46 POLIDAP</v>
          </cell>
          <cell r="C204" t="str">
            <v>1000592    NOŻYŃSKI</v>
          </cell>
          <cell r="D204" t="str">
            <v>KB Sprzed. bezpośrednia</v>
          </cell>
          <cell r="E204">
            <v>26280</v>
          </cell>
          <cell r="F204">
            <v>24</v>
          </cell>
          <cell r="G204">
            <v>22511.8499999999</v>
          </cell>
          <cell r="H204">
            <v>1345.29</v>
          </cell>
          <cell r="I204">
            <v>999.55999999999904</v>
          </cell>
          <cell r="J204">
            <v>2119.1999999999898</v>
          </cell>
          <cell r="K204">
            <v>0</v>
          </cell>
          <cell r="L204">
            <v>3118.76</v>
          </cell>
          <cell r="M204">
            <v>26975.9</v>
          </cell>
          <cell r="N204">
            <v>-695.89999999999895</v>
          </cell>
          <cell r="O204">
            <v>0</v>
          </cell>
          <cell r="P204">
            <v>26975.9</v>
          </cell>
          <cell r="Q204">
            <v>-695.89999999999895</v>
          </cell>
          <cell r="R204">
            <v>339.18</v>
          </cell>
          <cell r="S204">
            <v>27315.08</v>
          </cell>
          <cell r="T204">
            <v>-1035.0799999999899</v>
          </cell>
        </row>
        <row r="205">
          <cell r="A205" t="str">
            <v>PLN   Złoty</v>
          </cell>
          <cell r="B205" t="str">
            <v>1000/1420       NP 18-46 POLIDAP</v>
          </cell>
          <cell r="C205" t="str">
            <v>1000662    "AGRO-HANDLOWIEC" K</v>
          </cell>
          <cell r="D205" t="str">
            <v>KB Sprzed. bezpośrednia</v>
          </cell>
          <cell r="E205">
            <v>103936.95</v>
          </cell>
          <cell r="F205">
            <v>94.5</v>
          </cell>
          <cell r="G205">
            <v>88640.399999999907</v>
          </cell>
          <cell r="H205">
            <v>5320.72</v>
          </cell>
          <cell r="I205">
            <v>3935.76</v>
          </cell>
          <cell r="J205">
            <v>4365.1499999999896</v>
          </cell>
          <cell r="K205">
            <v>0</v>
          </cell>
          <cell r="L205">
            <v>8300.9099999999908</v>
          </cell>
          <cell r="M205">
            <v>102262.03</v>
          </cell>
          <cell r="N205">
            <v>1674.92</v>
          </cell>
          <cell r="O205">
            <v>0</v>
          </cell>
          <cell r="P205">
            <v>102262.03</v>
          </cell>
          <cell r="Q205">
            <v>1674.92</v>
          </cell>
          <cell r="R205">
            <v>1335.51</v>
          </cell>
          <cell r="S205">
            <v>103597.539999999</v>
          </cell>
          <cell r="T205">
            <v>339.41</v>
          </cell>
        </row>
        <row r="206">
          <cell r="A206" t="str">
            <v>PLN   Złoty</v>
          </cell>
          <cell r="B206" t="str">
            <v>1000/1420       NP 18-46 POLIDAP</v>
          </cell>
          <cell r="C206" t="str">
            <v>1000675    Zaopatrz.Roln. Andrz</v>
          </cell>
          <cell r="D206" t="str">
            <v>KB Sprzed. bezpośrednia</v>
          </cell>
          <cell r="E206">
            <v>154533.95000000001</v>
          </cell>
          <cell r="F206">
            <v>143.759999999999</v>
          </cell>
          <cell r="G206">
            <v>132533.20000000001</v>
          </cell>
          <cell r="H206">
            <v>7910.92</v>
          </cell>
          <cell r="I206">
            <v>5987.3599999999897</v>
          </cell>
          <cell r="J206">
            <v>1322.52</v>
          </cell>
          <cell r="K206">
            <v>0</v>
          </cell>
          <cell r="L206">
            <v>7309.88</v>
          </cell>
          <cell r="M206">
            <v>147754</v>
          </cell>
          <cell r="N206">
            <v>6779.9499999999898</v>
          </cell>
          <cell r="O206">
            <v>0</v>
          </cell>
          <cell r="P206">
            <v>147754</v>
          </cell>
          <cell r="Q206">
            <v>6779.9499999999898</v>
          </cell>
          <cell r="R206">
            <v>1996.8199999999899</v>
          </cell>
          <cell r="S206">
            <v>149750.82</v>
          </cell>
          <cell r="T206">
            <v>4783.13</v>
          </cell>
        </row>
        <row r="207">
          <cell r="A207" t="str">
            <v>PLN   Złoty</v>
          </cell>
          <cell r="B207" t="str">
            <v>1000/1420       NP 18-46 POLIDAP</v>
          </cell>
          <cell r="C207" t="str">
            <v>1000680    Giełda Rolna ZOLA Sp</v>
          </cell>
          <cell r="D207" t="str">
            <v>KB Sprzed. bezpośrednia</v>
          </cell>
          <cell r="E207">
            <v>26215.200000000001</v>
          </cell>
          <cell r="F207">
            <v>24</v>
          </cell>
          <cell r="G207">
            <v>22511.8499999999</v>
          </cell>
          <cell r="H207">
            <v>1342</v>
          </cell>
          <cell r="I207">
            <v>999.55999999999904</v>
          </cell>
          <cell r="J207">
            <v>0</v>
          </cell>
          <cell r="K207">
            <v>0</v>
          </cell>
          <cell r="L207">
            <v>999.55999999999904</v>
          </cell>
          <cell r="M207">
            <v>24853.41</v>
          </cell>
          <cell r="N207">
            <v>1361.79</v>
          </cell>
          <cell r="O207">
            <v>0</v>
          </cell>
          <cell r="P207">
            <v>24853.41</v>
          </cell>
          <cell r="Q207">
            <v>1361.79</v>
          </cell>
          <cell r="R207">
            <v>339.18</v>
          </cell>
          <cell r="S207">
            <v>25192.59</v>
          </cell>
          <cell r="T207">
            <v>1022.61</v>
          </cell>
        </row>
        <row r="208">
          <cell r="A208" t="str">
            <v>PLN   Złoty</v>
          </cell>
          <cell r="B208" t="str">
            <v>1000/1420       NP 18-46 POLIDAP</v>
          </cell>
          <cell r="C208" t="str">
            <v>1000808    TERRA Sp. z o.o.</v>
          </cell>
          <cell r="D208" t="str">
            <v>KB Sprzed. bezpośrednia</v>
          </cell>
          <cell r="E208">
            <v>26215.200000000001</v>
          </cell>
          <cell r="F208">
            <v>24</v>
          </cell>
          <cell r="G208">
            <v>22511.8499999999</v>
          </cell>
          <cell r="H208">
            <v>1342</v>
          </cell>
          <cell r="I208">
            <v>999.55999999999904</v>
          </cell>
          <cell r="J208">
            <v>0</v>
          </cell>
          <cell r="K208">
            <v>0</v>
          </cell>
          <cell r="L208">
            <v>999.55999999999904</v>
          </cell>
          <cell r="M208">
            <v>24853.41</v>
          </cell>
          <cell r="N208">
            <v>1361.79</v>
          </cell>
          <cell r="O208">
            <v>0</v>
          </cell>
          <cell r="P208">
            <v>24853.41</v>
          </cell>
          <cell r="Q208">
            <v>1361.79</v>
          </cell>
          <cell r="R208">
            <v>339.18</v>
          </cell>
          <cell r="S208">
            <v>25192.59</v>
          </cell>
          <cell r="T208">
            <v>1022.61</v>
          </cell>
        </row>
        <row r="209">
          <cell r="A209" t="str">
            <v>PLN   Złoty</v>
          </cell>
          <cell r="B209" t="str">
            <v>1000/1420       NP 18-46 POLIDAP</v>
          </cell>
          <cell r="C209" t="str">
            <v>1001024    TALAGA</v>
          </cell>
          <cell r="D209" t="str">
            <v>KB Sprzed. bezpośrednia</v>
          </cell>
          <cell r="E209">
            <v>52073.04</v>
          </cell>
          <cell r="F209">
            <v>48</v>
          </cell>
          <cell r="G209">
            <v>45023.699999999903</v>
          </cell>
          <cell r="H209">
            <v>2665.75</v>
          </cell>
          <cell r="I209">
            <v>1999.1199999999899</v>
          </cell>
          <cell r="J209">
            <v>1248</v>
          </cell>
          <cell r="K209">
            <v>0</v>
          </cell>
          <cell r="L209">
            <v>3247.1199999999899</v>
          </cell>
          <cell r="M209">
            <v>50936.57</v>
          </cell>
          <cell r="N209">
            <v>1136.47</v>
          </cell>
          <cell r="O209">
            <v>0</v>
          </cell>
          <cell r="P209">
            <v>50936.57</v>
          </cell>
          <cell r="Q209">
            <v>1136.47</v>
          </cell>
          <cell r="R209">
            <v>678.37</v>
          </cell>
          <cell r="S209">
            <v>51614.94</v>
          </cell>
          <cell r="T209">
            <v>458.1</v>
          </cell>
        </row>
        <row r="210">
          <cell r="A210" t="str">
            <v>PLN   Złoty</v>
          </cell>
          <cell r="B210" t="str">
            <v>1000/1420       NP 18-46 POLIDAP</v>
          </cell>
          <cell r="C210" t="str">
            <v>1001253    ROL-MECH SP. Z O.O.</v>
          </cell>
          <cell r="D210" t="str">
            <v>KB Sprzed. bezpośrednia</v>
          </cell>
          <cell r="E210">
            <v>-219.84</v>
          </cell>
          <cell r="F210">
            <v>0</v>
          </cell>
          <cell r="G210">
            <v>0</v>
          </cell>
          <cell r="H210">
            <v>-11.24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-11.24</v>
          </cell>
          <cell r="N210">
            <v>-208.599999999999</v>
          </cell>
          <cell r="O210">
            <v>0</v>
          </cell>
          <cell r="P210">
            <v>-11.24</v>
          </cell>
          <cell r="Q210">
            <v>-208.599999999999</v>
          </cell>
          <cell r="R210">
            <v>0</v>
          </cell>
          <cell r="S210">
            <v>-11.24</v>
          </cell>
          <cell r="T210">
            <v>-208.599999999999</v>
          </cell>
        </row>
        <row r="211">
          <cell r="A211" t="str">
            <v>PLN   Złoty</v>
          </cell>
          <cell r="B211" t="str">
            <v>1000/1420       NP 18-46 POLIDAP</v>
          </cell>
          <cell r="C211" t="str">
            <v>1001481    Hurt.Śr.Ochr.Roślin-</v>
          </cell>
          <cell r="D211" t="str">
            <v>KB Sprzed. bezpośrednia</v>
          </cell>
          <cell r="E211">
            <v>54960</v>
          </cell>
          <cell r="F211">
            <v>48</v>
          </cell>
          <cell r="G211">
            <v>45023.699999999903</v>
          </cell>
          <cell r="H211">
            <v>2813.53</v>
          </cell>
          <cell r="I211">
            <v>1999.1199999999899</v>
          </cell>
          <cell r="J211">
            <v>4415.5200000000004</v>
          </cell>
          <cell r="K211">
            <v>0</v>
          </cell>
          <cell r="L211">
            <v>6414.64</v>
          </cell>
          <cell r="M211">
            <v>54251.87</v>
          </cell>
          <cell r="N211">
            <v>708.13</v>
          </cell>
          <cell r="O211">
            <v>0</v>
          </cell>
          <cell r="P211">
            <v>54251.87</v>
          </cell>
          <cell r="Q211">
            <v>708.13</v>
          </cell>
          <cell r="R211">
            <v>678.37</v>
          </cell>
          <cell r="S211">
            <v>54930.239999999903</v>
          </cell>
          <cell r="T211">
            <v>29.76</v>
          </cell>
        </row>
        <row r="212">
          <cell r="A212" t="str">
            <v>PLN   Złoty</v>
          </cell>
          <cell r="B212" t="str">
            <v>1000/1420       NP 18-46 POLIDAP</v>
          </cell>
          <cell r="C212" t="str">
            <v>1001494    AGROLOK Sp. z o.o.</v>
          </cell>
          <cell r="D212" t="str">
            <v>KB Sprzed. bezpośrednia</v>
          </cell>
          <cell r="E212">
            <v>38295.480000000003</v>
          </cell>
          <cell r="F212">
            <v>36</v>
          </cell>
          <cell r="G212">
            <v>33784.730000000003</v>
          </cell>
          <cell r="H212">
            <v>1960.3699999999899</v>
          </cell>
          <cell r="I212">
            <v>1499.3299999999899</v>
          </cell>
          <cell r="J212">
            <v>2325.36</v>
          </cell>
          <cell r="K212">
            <v>0</v>
          </cell>
          <cell r="L212">
            <v>3824.69</v>
          </cell>
          <cell r="M212">
            <v>39569.79</v>
          </cell>
          <cell r="N212">
            <v>-1274.3099999999899</v>
          </cell>
          <cell r="O212">
            <v>0</v>
          </cell>
          <cell r="P212">
            <v>39569.79</v>
          </cell>
          <cell r="Q212">
            <v>-1274.3099999999899</v>
          </cell>
          <cell r="R212">
            <v>509.01999999999902</v>
          </cell>
          <cell r="S212">
            <v>40078.809999999903</v>
          </cell>
          <cell r="T212">
            <v>-1783.3299999999899</v>
          </cell>
        </row>
        <row r="213">
          <cell r="A213" t="str">
            <v>PLN   Złoty</v>
          </cell>
          <cell r="B213" t="str">
            <v>1000/1420       NP 18-46 POLIDAP</v>
          </cell>
          <cell r="C213" t="str">
            <v>1001522    AGRO-BIT</v>
          </cell>
          <cell r="D213" t="str">
            <v>KB Sprzed. bezpośrednia</v>
          </cell>
          <cell r="E213">
            <v>53750</v>
          </cell>
          <cell r="F213">
            <v>50</v>
          </cell>
          <cell r="G213">
            <v>46899.68</v>
          </cell>
          <cell r="H213">
            <v>2751.5999999999899</v>
          </cell>
          <cell r="I213">
            <v>2082.4099999999899</v>
          </cell>
          <cell r="J213">
            <v>4457.3199999999897</v>
          </cell>
          <cell r="K213">
            <v>0</v>
          </cell>
          <cell r="L213">
            <v>6539.7299999999896</v>
          </cell>
          <cell r="M213">
            <v>56191.01</v>
          </cell>
          <cell r="N213">
            <v>-2441.0100000000002</v>
          </cell>
          <cell r="O213">
            <v>0</v>
          </cell>
          <cell r="P213">
            <v>56191.01</v>
          </cell>
          <cell r="Q213">
            <v>-2441.0100000000002</v>
          </cell>
          <cell r="R213">
            <v>706.63</v>
          </cell>
          <cell r="S213">
            <v>56897.639999999898</v>
          </cell>
          <cell r="T213">
            <v>-3147.6399999999899</v>
          </cell>
        </row>
        <row r="214">
          <cell r="A214" t="str">
            <v>PLN   Złoty</v>
          </cell>
          <cell r="B214" t="str">
            <v>1000/1420       NP 18-46 POLIDAP</v>
          </cell>
          <cell r="C214" t="str">
            <v>1001662    AMPOL-MEROL Sp. z o.</v>
          </cell>
          <cell r="D214" t="str">
            <v>KB Sprzed. bezpośrednia</v>
          </cell>
          <cell r="E214">
            <v>1216946.3899999899</v>
          </cell>
          <cell r="F214">
            <v>1098.5</v>
          </cell>
          <cell r="G214">
            <v>1020338.61</v>
          </cell>
          <cell r="H214">
            <v>62298</v>
          </cell>
          <cell r="I214">
            <v>45750.62</v>
          </cell>
          <cell r="J214">
            <v>43573.04</v>
          </cell>
          <cell r="K214">
            <v>0</v>
          </cell>
          <cell r="L214">
            <v>89323.66</v>
          </cell>
          <cell r="M214">
            <v>1171960.27</v>
          </cell>
          <cell r="N214">
            <v>44986.12</v>
          </cell>
          <cell r="O214">
            <v>0</v>
          </cell>
          <cell r="P214">
            <v>1171960.27</v>
          </cell>
          <cell r="Q214">
            <v>44986.12</v>
          </cell>
          <cell r="R214">
            <v>15373.01</v>
          </cell>
          <cell r="S214">
            <v>1187333.28</v>
          </cell>
          <cell r="T214">
            <v>29613.11</v>
          </cell>
        </row>
        <row r="215">
          <cell r="A215" t="str">
            <v>PLN   Złoty</v>
          </cell>
          <cell r="B215" t="str">
            <v>1000/1420       NP 18-46 POLIDAP</v>
          </cell>
          <cell r="C215" t="str">
            <v>1001705    AGROSTART</v>
          </cell>
          <cell r="D215" t="str">
            <v>KB Sprzed. bezpośrednia</v>
          </cell>
          <cell r="E215">
            <v>27928</v>
          </cell>
          <cell r="F215">
            <v>25</v>
          </cell>
          <cell r="G215">
            <v>23449.84</v>
          </cell>
          <cell r="H215">
            <v>1429.65</v>
          </cell>
          <cell r="I215">
            <v>1041.21</v>
          </cell>
          <cell r="J215">
            <v>1685.8099999999899</v>
          </cell>
          <cell r="K215">
            <v>0</v>
          </cell>
          <cell r="L215">
            <v>2727.02</v>
          </cell>
          <cell r="M215">
            <v>27606.5099999999</v>
          </cell>
          <cell r="N215">
            <v>321.49</v>
          </cell>
          <cell r="O215">
            <v>0</v>
          </cell>
          <cell r="P215">
            <v>27606.5099999999</v>
          </cell>
          <cell r="Q215">
            <v>321.49</v>
          </cell>
          <cell r="R215">
            <v>353.31</v>
          </cell>
          <cell r="S215">
            <v>27959.82</v>
          </cell>
          <cell r="T215">
            <v>-31.82</v>
          </cell>
        </row>
        <row r="216">
          <cell r="A216" t="str">
            <v>PLN   Złoty</v>
          </cell>
          <cell r="B216" t="str">
            <v>1000/1420       NP 18-46 POLIDAP</v>
          </cell>
          <cell r="C216" t="str">
            <v>1001983    FAZOT</v>
          </cell>
          <cell r="D216" t="str">
            <v>KB Sprzed. bezpośrednia</v>
          </cell>
          <cell r="E216">
            <v>10923</v>
          </cell>
          <cell r="F216">
            <v>10</v>
          </cell>
          <cell r="G216">
            <v>9810.3700000000008</v>
          </cell>
          <cell r="H216">
            <v>559.14999999999895</v>
          </cell>
          <cell r="I216">
            <v>416.48</v>
          </cell>
          <cell r="J216">
            <v>0</v>
          </cell>
          <cell r="K216">
            <v>0</v>
          </cell>
          <cell r="L216">
            <v>416.48</v>
          </cell>
          <cell r="M216">
            <v>10786</v>
          </cell>
          <cell r="N216">
            <v>137</v>
          </cell>
          <cell r="O216">
            <v>0</v>
          </cell>
          <cell r="P216">
            <v>10786</v>
          </cell>
          <cell r="Q216">
            <v>137</v>
          </cell>
          <cell r="R216">
            <v>147.81</v>
          </cell>
          <cell r="S216">
            <v>10933.809999999899</v>
          </cell>
          <cell r="T216">
            <v>-10.81</v>
          </cell>
        </row>
        <row r="217">
          <cell r="A217" t="str">
            <v>PLN   Złoty</v>
          </cell>
          <cell r="B217" t="str">
            <v>1000/1420       NP 18-46 POLIDAP</v>
          </cell>
          <cell r="C217" t="str">
            <v>1001988    ROLNIK-KOŚCIAN</v>
          </cell>
          <cell r="D217" t="str">
            <v>KB Sprzed. bezpośrednia</v>
          </cell>
          <cell r="E217">
            <v>672419.63</v>
          </cell>
          <cell r="F217">
            <v>586.72</v>
          </cell>
          <cell r="G217">
            <v>555974.78</v>
          </cell>
          <cell r="H217">
            <v>34422.58</v>
          </cell>
          <cell r="I217">
            <v>24435.86</v>
          </cell>
          <cell r="J217">
            <v>9203.52</v>
          </cell>
          <cell r="K217">
            <v>0</v>
          </cell>
          <cell r="L217">
            <v>33639.379999999903</v>
          </cell>
          <cell r="M217">
            <v>624036.73999999894</v>
          </cell>
          <cell r="N217">
            <v>48382.889999999898</v>
          </cell>
          <cell r="O217">
            <v>0</v>
          </cell>
          <cell r="P217">
            <v>624036.73999999894</v>
          </cell>
          <cell r="Q217">
            <v>48382.889999999898</v>
          </cell>
          <cell r="R217">
            <v>8376.6299999999901</v>
          </cell>
          <cell r="S217">
            <v>632413.37</v>
          </cell>
          <cell r="T217">
            <v>40006.26</v>
          </cell>
        </row>
        <row r="218">
          <cell r="A218" t="str">
            <v>PLN   Złoty</v>
          </cell>
          <cell r="B218" t="str">
            <v>1000/1420       NP 18-46 POLIDAP</v>
          </cell>
          <cell r="C218" t="str">
            <v>1001991    WAMEX</v>
          </cell>
          <cell r="D218" t="str">
            <v>KB Sprzed. bezpośrednia</v>
          </cell>
          <cell r="E218">
            <v>-2559.5999999999899</v>
          </cell>
          <cell r="F218">
            <v>0</v>
          </cell>
          <cell r="G218">
            <v>0</v>
          </cell>
          <cell r="H218">
            <v>-131.039999999999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-131.039999999999</v>
          </cell>
          <cell r="N218">
            <v>-2428.5599999999899</v>
          </cell>
          <cell r="O218">
            <v>0</v>
          </cell>
          <cell r="P218">
            <v>-131.039999999999</v>
          </cell>
          <cell r="Q218">
            <v>-2428.5599999999899</v>
          </cell>
          <cell r="R218">
            <v>0</v>
          </cell>
          <cell r="S218">
            <v>-131.039999999999</v>
          </cell>
          <cell r="T218">
            <v>-2428.5599999999899</v>
          </cell>
        </row>
        <row r="219">
          <cell r="A219" t="str">
            <v>PLN   Złoty</v>
          </cell>
          <cell r="B219" t="str">
            <v>1000/1420       NP 18-46 POLIDAP</v>
          </cell>
          <cell r="C219" t="str">
            <v>1001992    PLON Pastuszka Kazał</v>
          </cell>
          <cell r="D219" t="str">
            <v>KB Sprzed. bezpośrednia</v>
          </cell>
          <cell r="E219">
            <v>27480</v>
          </cell>
          <cell r="F219">
            <v>24</v>
          </cell>
          <cell r="G219">
            <v>22511.84</v>
          </cell>
          <cell r="H219">
            <v>1406.74</v>
          </cell>
          <cell r="I219">
            <v>999.55999999999904</v>
          </cell>
          <cell r="J219">
            <v>1749.1199999999899</v>
          </cell>
          <cell r="K219">
            <v>0</v>
          </cell>
          <cell r="L219">
            <v>2748.6799999999898</v>
          </cell>
          <cell r="M219">
            <v>26667.2599999999</v>
          </cell>
          <cell r="N219">
            <v>812.74</v>
          </cell>
          <cell r="O219">
            <v>0</v>
          </cell>
          <cell r="P219">
            <v>26667.2599999999</v>
          </cell>
          <cell r="Q219">
            <v>812.74</v>
          </cell>
          <cell r="R219">
            <v>339.18</v>
          </cell>
          <cell r="S219">
            <v>27006.4399999999</v>
          </cell>
          <cell r="T219">
            <v>473.56</v>
          </cell>
        </row>
        <row r="220">
          <cell r="A220" t="str">
            <v>PLN   Złoty</v>
          </cell>
          <cell r="B220" t="str">
            <v>1000/1420       NP 18-46 POLIDAP</v>
          </cell>
          <cell r="C220" t="str">
            <v>1001994    SKR-STRZELCE</v>
          </cell>
          <cell r="D220" t="str">
            <v>KB Sprzed. bezpośrednia</v>
          </cell>
          <cell r="E220">
            <v>34953.599999999897</v>
          </cell>
          <cell r="F220">
            <v>32</v>
          </cell>
          <cell r="G220">
            <v>30015.799999999901</v>
          </cell>
          <cell r="H220">
            <v>1789.3399999999899</v>
          </cell>
          <cell r="I220">
            <v>1332.75</v>
          </cell>
          <cell r="J220">
            <v>0</v>
          </cell>
          <cell r="K220">
            <v>0</v>
          </cell>
          <cell r="L220">
            <v>1332.75</v>
          </cell>
          <cell r="M220">
            <v>33137.889999999898</v>
          </cell>
          <cell r="N220">
            <v>1815.71</v>
          </cell>
          <cell r="O220">
            <v>0</v>
          </cell>
          <cell r="P220">
            <v>33137.889999999898</v>
          </cell>
          <cell r="Q220">
            <v>1815.71</v>
          </cell>
          <cell r="R220">
            <v>452.25999999999902</v>
          </cell>
          <cell r="S220">
            <v>33590.15</v>
          </cell>
          <cell r="T220">
            <v>1363.45</v>
          </cell>
        </row>
        <row r="221">
          <cell r="A221" t="str">
            <v>PLN   Złoty</v>
          </cell>
          <cell r="B221" t="str">
            <v>1000/1420       NP 18-46 POLIDAP</v>
          </cell>
          <cell r="C221" t="str">
            <v>1002004    AZOT</v>
          </cell>
          <cell r="D221" t="str">
            <v>KB Sprzed. bezpośrednia</v>
          </cell>
          <cell r="E221">
            <v>145598.799999999</v>
          </cell>
          <cell r="F221">
            <v>128</v>
          </cell>
          <cell r="G221">
            <v>120063.2</v>
          </cell>
          <cell r="H221">
            <v>7453.47</v>
          </cell>
          <cell r="I221">
            <v>5330.97</v>
          </cell>
          <cell r="J221">
            <v>8241.92</v>
          </cell>
          <cell r="K221">
            <v>0</v>
          </cell>
          <cell r="L221">
            <v>13572.889999999899</v>
          </cell>
          <cell r="M221">
            <v>141089.56</v>
          </cell>
          <cell r="N221">
            <v>4509.2399999999898</v>
          </cell>
          <cell r="O221">
            <v>0</v>
          </cell>
          <cell r="P221">
            <v>141089.56</v>
          </cell>
          <cell r="Q221">
            <v>4509.2399999999898</v>
          </cell>
          <cell r="R221">
            <v>1808.93</v>
          </cell>
          <cell r="S221">
            <v>142898.489999999</v>
          </cell>
          <cell r="T221">
            <v>2700.3099999999899</v>
          </cell>
        </row>
        <row r="222">
          <cell r="A222" t="str">
            <v>PLN   Złoty</v>
          </cell>
          <cell r="B222" t="str">
            <v>1000/1420       NP 18-46 POLIDAP</v>
          </cell>
          <cell r="C222" t="str">
            <v>1002005    LAMCH-TOMI</v>
          </cell>
          <cell r="D222" t="str">
            <v>KB Sprzed. bezpośrednia</v>
          </cell>
          <cell r="E222">
            <v>8738.3999999999905</v>
          </cell>
          <cell r="F222">
            <v>8</v>
          </cell>
          <cell r="G222">
            <v>7503.9499999999898</v>
          </cell>
          <cell r="H222">
            <v>447.33999999999901</v>
          </cell>
          <cell r="I222">
            <v>333.18</v>
          </cell>
          <cell r="J222">
            <v>0</v>
          </cell>
          <cell r="K222">
            <v>0</v>
          </cell>
          <cell r="L222">
            <v>333.18</v>
          </cell>
          <cell r="M222">
            <v>8284.4699999999903</v>
          </cell>
          <cell r="N222">
            <v>453.93</v>
          </cell>
          <cell r="O222">
            <v>0</v>
          </cell>
          <cell r="P222">
            <v>8284.4699999999903</v>
          </cell>
          <cell r="Q222">
            <v>453.93</v>
          </cell>
          <cell r="R222">
            <v>113.05</v>
          </cell>
          <cell r="S222">
            <v>8397.52</v>
          </cell>
          <cell r="T222">
            <v>340.88</v>
          </cell>
        </row>
        <row r="223">
          <cell r="A223" t="str">
            <v>PLN   Złoty</v>
          </cell>
          <cell r="B223" t="str">
            <v>1000/1420       NP 18-46 POLIDAP</v>
          </cell>
          <cell r="C223" t="str">
            <v>1002007    STAMPOL</v>
          </cell>
          <cell r="D223" t="str">
            <v>KB Sprzed. bezpośrednia</v>
          </cell>
          <cell r="E223">
            <v>26280</v>
          </cell>
          <cell r="F223">
            <v>24</v>
          </cell>
          <cell r="G223">
            <v>22511.84</v>
          </cell>
          <cell r="H223">
            <v>1345.29</v>
          </cell>
          <cell r="I223">
            <v>999.55999999999904</v>
          </cell>
          <cell r="J223">
            <v>2163.36</v>
          </cell>
          <cell r="K223">
            <v>0</v>
          </cell>
          <cell r="L223">
            <v>3162.92</v>
          </cell>
          <cell r="M223">
            <v>27020.049999999901</v>
          </cell>
          <cell r="N223">
            <v>-740.04999999999905</v>
          </cell>
          <cell r="O223">
            <v>0</v>
          </cell>
          <cell r="P223">
            <v>27020.049999999901</v>
          </cell>
          <cell r="Q223">
            <v>-740.04999999999905</v>
          </cell>
          <cell r="R223">
            <v>339.18</v>
          </cell>
          <cell r="S223">
            <v>27359.23</v>
          </cell>
          <cell r="T223">
            <v>-1079.23</v>
          </cell>
        </row>
        <row r="224">
          <cell r="A224" t="str">
            <v>PLN   Złoty</v>
          </cell>
          <cell r="B224" t="str">
            <v>1000/1420       NP 18-46 POLIDAP</v>
          </cell>
          <cell r="C224" t="str">
            <v>1002010    BOGUSZ</v>
          </cell>
          <cell r="D224" t="str">
            <v>KB Sprzed. bezpośrednia</v>
          </cell>
          <cell r="E224">
            <v>27480</v>
          </cell>
          <cell r="F224">
            <v>24</v>
          </cell>
          <cell r="G224">
            <v>22511.8499999999</v>
          </cell>
          <cell r="H224">
            <v>1406.74</v>
          </cell>
          <cell r="I224">
            <v>999.55999999999904</v>
          </cell>
          <cell r="J224">
            <v>1886.64</v>
          </cell>
          <cell r="K224">
            <v>0</v>
          </cell>
          <cell r="L224">
            <v>2886.1999999999898</v>
          </cell>
          <cell r="M224">
            <v>26804.79</v>
          </cell>
          <cell r="N224">
            <v>675.21</v>
          </cell>
          <cell r="O224">
            <v>0</v>
          </cell>
          <cell r="P224">
            <v>26804.79</v>
          </cell>
          <cell r="Q224">
            <v>675.21</v>
          </cell>
          <cell r="R224">
            <v>339.18</v>
          </cell>
          <cell r="S224">
            <v>27143.97</v>
          </cell>
          <cell r="T224">
            <v>336.02999999999901</v>
          </cell>
        </row>
        <row r="225">
          <cell r="A225" t="str">
            <v>PLN   Złoty</v>
          </cell>
          <cell r="B225" t="str">
            <v>1000/1420       NP 18-46 POLIDAP</v>
          </cell>
          <cell r="C225" t="str">
            <v>1002058    GS-Gardeja</v>
          </cell>
          <cell r="D225" t="str">
            <v>KB Sprzed. bezpośrednia</v>
          </cell>
          <cell r="E225">
            <v>34350</v>
          </cell>
          <cell r="F225">
            <v>30</v>
          </cell>
          <cell r="G225">
            <v>28139.81</v>
          </cell>
          <cell r="H225">
            <v>1758.43</v>
          </cell>
          <cell r="I225">
            <v>1249.46</v>
          </cell>
          <cell r="J225">
            <v>1515.5999999999899</v>
          </cell>
          <cell r="K225">
            <v>0</v>
          </cell>
          <cell r="L225">
            <v>2765.0599999999899</v>
          </cell>
          <cell r="M225">
            <v>32663.299999999901</v>
          </cell>
          <cell r="N225">
            <v>1686.7</v>
          </cell>
          <cell r="O225">
            <v>0</v>
          </cell>
          <cell r="P225">
            <v>32663.299999999901</v>
          </cell>
          <cell r="Q225">
            <v>1686.7</v>
          </cell>
          <cell r="R225">
            <v>423.98</v>
          </cell>
          <cell r="S225">
            <v>33087.279999999897</v>
          </cell>
          <cell r="T225">
            <v>1262.72</v>
          </cell>
        </row>
        <row r="226">
          <cell r="A226" t="str">
            <v>PLN   Złoty</v>
          </cell>
          <cell r="B226" t="str">
            <v>1000/1420       NP 18-46 POLIDAP</v>
          </cell>
          <cell r="C226" t="str">
            <v>1002407    ROLBUD</v>
          </cell>
          <cell r="D226" t="str">
            <v>KB Sprzed. bezpośrednia</v>
          </cell>
          <cell r="E226">
            <v>100491.6</v>
          </cell>
          <cell r="F226">
            <v>92</v>
          </cell>
          <cell r="G226">
            <v>86329.33</v>
          </cell>
          <cell r="H226">
            <v>5144.3599999999897</v>
          </cell>
          <cell r="I226">
            <v>3831.63</v>
          </cell>
          <cell r="J226">
            <v>0</v>
          </cell>
          <cell r="K226">
            <v>0</v>
          </cell>
          <cell r="L226">
            <v>3831.63</v>
          </cell>
          <cell r="M226">
            <v>95305.32</v>
          </cell>
          <cell r="N226">
            <v>5186.2799999999897</v>
          </cell>
          <cell r="O226">
            <v>0</v>
          </cell>
          <cell r="P226">
            <v>95305.32</v>
          </cell>
          <cell r="Q226">
            <v>5186.2799999999897</v>
          </cell>
          <cell r="R226">
            <v>1300.67</v>
          </cell>
          <cell r="S226">
            <v>96605.99</v>
          </cell>
          <cell r="T226">
            <v>3885.61</v>
          </cell>
        </row>
        <row r="227">
          <cell r="A227" t="str">
            <v>PLN   Złoty</v>
          </cell>
          <cell r="B227" t="str">
            <v>1000/1420       NP 18-46 POLIDAP</v>
          </cell>
          <cell r="C227" t="str">
            <v>1002643    "MINERAL" SP. Z O.O.</v>
          </cell>
          <cell r="D227" t="str">
            <v>KB Sprzed. bezpośrednia</v>
          </cell>
          <cell r="E227">
            <v>10923</v>
          </cell>
          <cell r="F227">
            <v>10</v>
          </cell>
          <cell r="G227">
            <v>9379.94</v>
          </cell>
          <cell r="H227">
            <v>559.14999999999895</v>
          </cell>
          <cell r="I227">
            <v>416.48</v>
          </cell>
          <cell r="J227">
            <v>0</v>
          </cell>
          <cell r="K227">
            <v>0</v>
          </cell>
          <cell r="L227">
            <v>416.48</v>
          </cell>
          <cell r="M227">
            <v>10355.57</v>
          </cell>
          <cell r="N227">
            <v>567.42999999999904</v>
          </cell>
          <cell r="O227">
            <v>0</v>
          </cell>
          <cell r="P227">
            <v>10355.57</v>
          </cell>
          <cell r="Q227">
            <v>567.42999999999904</v>
          </cell>
          <cell r="R227">
            <v>141.34</v>
          </cell>
          <cell r="S227">
            <v>10496.91</v>
          </cell>
          <cell r="T227">
            <v>426.08999999999901</v>
          </cell>
        </row>
        <row r="228">
          <cell r="A228" t="str">
            <v>PLN   Złoty</v>
          </cell>
          <cell r="B228" t="str">
            <v>1000/1420       NP 18-46 POLIDAP</v>
          </cell>
          <cell r="C228" t="str">
            <v>1002657    "AGROFIRMA"-TOMASZ W</v>
          </cell>
          <cell r="D228" t="str">
            <v>KB Sprzed. bezpośrednia</v>
          </cell>
          <cell r="E228">
            <v>95515.199999999895</v>
          </cell>
          <cell r="F228">
            <v>87</v>
          </cell>
          <cell r="G228">
            <v>85350.229999999894</v>
          </cell>
          <cell r="H228">
            <v>4889.6400000000003</v>
          </cell>
          <cell r="I228">
            <v>3623.4</v>
          </cell>
          <cell r="J228">
            <v>0</v>
          </cell>
          <cell r="K228">
            <v>0</v>
          </cell>
          <cell r="L228">
            <v>3623.4</v>
          </cell>
          <cell r="M228">
            <v>93863.27</v>
          </cell>
          <cell r="N228">
            <v>1651.93</v>
          </cell>
          <cell r="O228">
            <v>0</v>
          </cell>
          <cell r="P228">
            <v>93863.27</v>
          </cell>
          <cell r="Q228">
            <v>1651.93</v>
          </cell>
          <cell r="R228">
            <v>1285.92</v>
          </cell>
          <cell r="S228">
            <v>95149.19</v>
          </cell>
          <cell r="T228">
            <v>366.00999999999902</v>
          </cell>
        </row>
        <row r="229">
          <cell r="A229" t="str">
            <v>PLN   Złoty</v>
          </cell>
          <cell r="B229" t="str">
            <v>1000/1420       NP 18-46 POLIDAP</v>
          </cell>
          <cell r="C229" t="str">
            <v>1002790    AGRO-SKŁAD SZYMON NO</v>
          </cell>
          <cell r="D229" t="str">
            <v>KB Sprzed. bezpośrednia</v>
          </cell>
          <cell r="E229">
            <v>53309.209999999897</v>
          </cell>
          <cell r="F229">
            <v>49.5</v>
          </cell>
          <cell r="G229">
            <v>45938.239999999903</v>
          </cell>
          <cell r="H229">
            <v>2729.02</v>
          </cell>
          <cell r="I229">
            <v>2061.59</v>
          </cell>
          <cell r="J229">
            <v>0</v>
          </cell>
          <cell r="K229">
            <v>0</v>
          </cell>
          <cell r="L229">
            <v>2061.59</v>
          </cell>
          <cell r="M229">
            <v>50728.849999999897</v>
          </cell>
          <cell r="N229">
            <v>2580.36</v>
          </cell>
          <cell r="O229">
            <v>0</v>
          </cell>
          <cell r="P229">
            <v>50728.849999999897</v>
          </cell>
          <cell r="Q229">
            <v>2580.36</v>
          </cell>
          <cell r="R229">
            <v>692.13</v>
          </cell>
          <cell r="S229">
            <v>51420.98</v>
          </cell>
          <cell r="T229">
            <v>1888.23</v>
          </cell>
        </row>
        <row r="230">
          <cell r="A230" t="str">
            <v>PLN   Złoty</v>
          </cell>
          <cell r="B230" t="str">
            <v>1000/1420       NP 18-46 POLIDAP</v>
          </cell>
          <cell r="C230" t="str">
            <v>1002956    MIROSŁAW ULENBERG "U</v>
          </cell>
          <cell r="D230" t="str">
            <v>KB Sprzed. bezpośrednia</v>
          </cell>
          <cell r="E230">
            <v>26400</v>
          </cell>
          <cell r="F230">
            <v>24</v>
          </cell>
          <cell r="G230">
            <v>23544.889999999901</v>
          </cell>
          <cell r="H230">
            <v>1351.49</v>
          </cell>
          <cell r="I230">
            <v>999.55999999999904</v>
          </cell>
          <cell r="J230">
            <v>0</v>
          </cell>
          <cell r="K230">
            <v>0</v>
          </cell>
          <cell r="L230">
            <v>999.55999999999904</v>
          </cell>
          <cell r="M230">
            <v>25895.9399999999</v>
          </cell>
          <cell r="N230">
            <v>504.06</v>
          </cell>
          <cell r="O230">
            <v>0</v>
          </cell>
          <cell r="P230">
            <v>25895.9399999999</v>
          </cell>
          <cell r="Q230">
            <v>504.06</v>
          </cell>
          <cell r="R230">
            <v>354.73</v>
          </cell>
          <cell r="S230">
            <v>26250.6699999999</v>
          </cell>
          <cell r="T230">
            <v>149.33000000000001</v>
          </cell>
        </row>
        <row r="231">
          <cell r="A231" t="str">
            <v>PLN   Złoty</v>
          </cell>
          <cell r="B231" t="str">
            <v>1000/1420       NP 18-46 POLIDAP</v>
          </cell>
          <cell r="C231" t="str">
            <v>1002959    "AGROMAX"</v>
          </cell>
          <cell r="D231" t="str">
            <v>KB Sprzed. bezpośrednia</v>
          </cell>
          <cell r="E231">
            <v>27928</v>
          </cell>
          <cell r="F231">
            <v>25</v>
          </cell>
          <cell r="G231">
            <v>23449.84</v>
          </cell>
          <cell r="H231">
            <v>1429.65</v>
          </cell>
          <cell r="I231">
            <v>1041.21</v>
          </cell>
          <cell r="J231">
            <v>1261.4000000000001</v>
          </cell>
          <cell r="K231">
            <v>0</v>
          </cell>
          <cell r="L231">
            <v>2302.61</v>
          </cell>
          <cell r="M231">
            <v>27182.0999999999</v>
          </cell>
          <cell r="N231">
            <v>745.89999999999895</v>
          </cell>
          <cell r="O231">
            <v>0</v>
          </cell>
          <cell r="P231">
            <v>27182.0999999999</v>
          </cell>
          <cell r="Q231">
            <v>745.89999999999895</v>
          </cell>
          <cell r="R231">
            <v>353.31</v>
          </cell>
          <cell r="S231">
            <v>27535.41</v>
          </cell>
          <cell r="T231">
            <v>392.58999999999901</v>
          </cell>
        </row>
        <row r="232">
          <cell r="A232" t="str">
            <v>PLN   Złoty</v>
          </cell>
          <cell r="B232" t="str">
            <v>1000/1420       NP 18-46 POLIDAP</v>
          </cell>
          <cell r="C232" t="str">
            <v>1003056    LECHPOL SP. Z O.O.</v>
          </cell>
          <cell r="D232" t="str">
            <v>KB Sprzed. bezpośrednia</v>
          </cell>
          <cell r="E232">
            <v>108195.77</v>
          </cell>
          <cell r="F232">
            <v>100.02</v>
          </cell>
          <cell r="G232">
            <v>93296.33</v>
          </cell>
          <cell r="H232">
            <v>5538.79</v>
          </cell>
          <cell r="I232">
            <v>4165.67</v>
          </cell>
          <cell r="J232">
            <v>2063.2199999999898</v>
          </cell>
          <cell r="K232">
            <v>0</v>
          </cell>
          <cell r="L232">
            <v>6228.89</v>
          </cell>
          <cell r="M232">
            <v>105064.00999999901</v>
          </cell>
          <cell r="N232">
            <v>3131.76</v>
          </cell>
          <cell r="O232">
            <v>0</v>
          </cell>
          <cell r="P232">
            <v>105064.00999999901</v>
          </cell>
          <cell r="Q232">
            <v>3131.76</v>
          </cell>
          <cell r="R232">
            <v>1405.64</v>
          </cell>
          <cell r="S232">
            <v>106469.649999999</v>
          </cell>
          <cell r="T232">
            <v>1726.1199999999899</v>
          </cell>
        </row>
        <row r="233">
          <cell r="A233" t="str">
            <v>PLN   Złoty</v>
          </cell>
          <cell r="B233" t="str">
            <v>1000/1420       NP 18-46 POLIDAP</v>
          </cell>
          <cell r="C233" t="str">
            <v>1003315    ZAKŁAD OBROTU ROLNEG</v>
          </cell>
          <cell r="D233" t="str">
            <v>KB Sprzed. bezpośrednia</v>
          </cell>
          <cell r="E233">
            <v>27287.7599999999</v>
          </cell>
          <cell r="F233">
            <v>24</v>
          </cell>
          <cell r="G233">
            <v>22511.8499999999</v>
          </cell>
          <cell r="H233">
            <v>1396.92</v>
          </cell>
          <cell r="I233">
            <v>999.55999999999904</v>
          </cell>
          <cell r="J233">
            <v>1833.8399999999899</v>
          </cell>
          <cell r="K233">
            <v>0</v>
          </cell>
          <cell r="L233">
            <v>2833.4</v>
          </cell>
          <cell r="M233">
            <v>26742.1699999999</v>
          </cell>
          <cell r="N233">
            <v>545.59</v>
          </cell>
          <cell r="O233">
            <v>0</v>
          </cell>
          <cell r="P233">
            <v>26742.1699999999</v>
          </cell>
          <cell r="Q233">
            <v>545.59</v>
          </cell>
          <cell r="R233">
            <v>339.18</v>
          </cell>
          <cell r="S233">
            <v>27081.3499999999</v>
          </cell>
          <cell r="T233">
            <v>206.41</v>
          </cell>
        </row>
        <row r="234">
          <cell r="A234" t="str">
            <v>PLN   Złoty</v>
          </cell>
          <cell r="B234" t="str">
            <v>1000/1420       NP 18-46 POLIDAP</v>
          </cell>
          <cell r="C234" t="str">
            <v>1003605    "AGROMUND"</v>
          </cell>
          <cell r="D234" t="str">
            <v>KB Sprzed. bezpośrednia</v>
          </cell>
          <cell r="E234">
            <v>26096.16</v>
          </cell>
          <cell r="F234">
            <v>24</v>
          </cell>
          <cell r="G234">
            <v>22511.8499999999</v>
          </cell>
          <cell r="H234">
            <v>1335.9</v>
          </cell>
          <cell r="I234">
            <v>999.55999999999904</v>
          </cell>
          <cell r="J234">
            <v>1344.96</v>
          </cell>
          <cell r="K234">
            <v>0</v>
          </cell>
          <cell r="L234">
            <v>2344.52</v>
          </cell>
          <cell r="M234">
            <v>26192.27</v>
          </cell>
          <cell r="N234">
            <v>-96.1099999999999</v>
          </cell>
          <cell r="O234">
            <v>0</v>
          </cell>
          <cell r="P234">
            <v>26192.27</v>
          </cell>
          <cell r="Q234">
            <v>-96.1099999999999</v>
          </cell>
          <cell r="R234">
            <v>339.18</v>
          </cell>
          <cell r="S234">
            <v>26531.45</v>
          </cell>
          <cell r="T234">
            <v>-435.29</v>
          </cell>
        </row>
        <row r="235">
          <cell r="A235" t="str">
            <v>PLN   Złoty</v>
          </cell>
          <cell r="B235" t="str">
            <v>1000/1420       NP 18-46 POLIDAP</v>
          </cell>
          <cell r="C235" t="str">
            <v>1003827    STAL-BUD</v>
          </cell>
          <cell r="D235" t="str">
            <v>KB Sprzed. bezpośrednia</v>
          </cell>
          <cell r="E235">
            <v>95507.16</v>
          </cell>
          <cell r="F235">
            <v>84</v>
          </cell>
          <cell r="G235">
            <v>78791.47</v>
          </cell>
          <cell r="H235">
            <v>4889.1499999999896</v>
          </cell>
          <cell r="I235">
            <v>3498.46</v>
          </cell>
          <cell r="J235">
            <v>7068.3599999999897</v>
          </cell>
          <cell r="K235">
            <v>0</v>
          </cell>
          <cell r="L235">
            <v>10566.82</v>
          </cell>
          <cell r="M235">
            <v>94247.44</v>
          </cell>
          <cell r="N235">
            <v>1259.72</v>
          </cell>
          <cell r="O235">
            <v>0</v>
          </cell>
          <cell r="P235">
            <v>94247.44</v>
          </cell>
          <cell r="Q235">
            <v>1259.72</v>
          </cell>
          <cell r="R235">
            <v>1187.1300000000001</v>
          </cell>
          <cell r="S235">
            <v>95434.57</v>
          </cell>
          <cell r="T235">
            <v>72.59</v>
          </cell>
        </row>
        <row r="236">
          <cell r="A236" t="str">
            <v>PLN   Złoty</v>
          </cell>
          <cell r="B236" t="str">
            <v>1000/1420       NP 18-46 POLIDAP</v>
          </cell>
          <cell r="C236" t="str">
            <v>1003857    EDMAR</v>
          </cell>
          <cell r="D236" t="str">
            <v>KB Sprzed. bezpośrednia</v>
          </cell>
          <cell r="E236">
            <v>69413.919999999896</v>
          </cell>
          <cell r="F236">
            <v>62</v>
          </cell>
          <cell r="G236">
            <v>58155.61</v>
          </cell>
          <cell r="H236">
            <v>3553.4499999999898</v>
          </cell>
          <cell r="I236">
            <v>2582.1799999999898</v>
          </cell>
          <cell r="J236">
            <v>4653.1999999999898</v>
          </cell>
          <cell r="K236">
            <v>0</v>
          </cell>
          <cell r="L236">
            <v>7235.38</v>
          </cell>
          <cell r="M236">
            <v>68944.44</v>
          </cell>
          <cell r="N236">
            <v>469.48</v>
          </cell>
          <cell r="O236">
            <v>0</v>
          </cell>
          <cell r="P236">
            <v>68944.44</v>
          </cell>
          <cell r="Q236">
            <v>469.48</v>
          </cell>
          <cell r="R236">
            <v>876.2</v>
          </cell>
          <cell r="S236">
            <v>69820.639999999898</v>
          </cell>
          <cell r="T236">
            <v>-406.72</v>
          </cell>
        </row>
        <row r="237">
          <cell r="A237" t="str">
            <v>PLN   Złoty</v>
          </cell>
          <cell r="B237" t="str">
            <v>1000/1420       NP 18-46 POLIDAP</v>
          </cell>
          <cell r="C237" t="str">
            <v>1003981    GRUPA POLSKIE SKŁADY</v>
          </cell>
          <cell r="D237" t="str">
            <v>KB Sprzed. bezpośrednia</v>
          </cell>
          <cell r="E237">
            <v>26215.200000000001</v>
          </cell>
          <cell r="F237">
            <v>24</v>
          </cell>
          <cell r="G237">
            <v>22511.8499999999</v>
          </cell>
          <cell r="H237">
            <v>1342</v>
          </cell>
          <cell r="I237">
            <v>999.55999999999904</v>
          </cell>
          <cell r="J237">
            <v>0</v>
          </cell>
          <cell r="K237">
            <v>0</v>
          </cell>
          <cell r="L237">
            <v>999.55999999999904</v>
          </cell>
          <cell r="M237">
            <v>24853.41</v>
          </cell>
          <cell r="N237">
            <v>1361.79</v>
          </cell>
          <cell r="O237">
            <v>0</v>
          </cell>
          <cell r="P237">
            <v>24853.41</v>
          </cell>
          <cell r="Q237">
            <v>1361.79</v>
          </cell>
          <cell r="R237">
            <v>339.18</v>
          </cell>
          <cell r="S237">
            <v>25192.59</v>
          </cell>
          <cell r="T237">
            <v>1022.61</v>
          </cell>
        </row>
        <row r="238">
          <cell r="A238" t="str">
            <v>PLN   Złoty</v>
          </cell>
          <cell r="B238" t="str">
            <v>1000/1420       NP 18-46 POLIDAP</v>
          </cell>
          <cell r="C238" t="str">
            <v>1003988    BLENDING Sp.z o.o.</v>
          </cell>
          <cell r="D238" t="str">
            <v>KB Sprzed. bezpośrednia</v>
          </cell>
          <cell r="E238">
            <v>83962.699999999895</v>
          </cell>
          <cell r="F238">
            <v>74.98</v>
          </cell>
          <cell r="G238">
            <v>69809.729999999894</v>
          </cell>
          <cell r="H238">
            <v>4298.22</v>
          </cell>
          <cell r="I238">
            <v>3122.78</v>
          </cell>
          <cell r="J238">
            <v>2388.4099999999899</v>
          </cell>
          <cell r="K238">
            <v>0</v>
          </cell>
          <cell r="L238">
            <v>5511.1899999999896</v>
          </cell>
          <cell r="M238">
            <v>79619.139999999898</v>
          </cell>
          <cell r="N238">
            <v>4343.5600000000004</v>
          </cell>
          <cell r="O238">
            <v>0</v>
          </cell>
          <cell r="P238">
            <v>79619.139999999898</v>
          </cell>
          <cell r="Q238">
            <v>4343.5600000000004</v>
          </cell>
          <cell r="R238">
            <v>1051.8199999999899</v>
          </cell>
          <cell r="S238">
            <v>80670.960000000006</v>
          </cell>
          <cell r="T238">
            <v>3291.7399999999898</v>
          </cell>
        </row>
        <row r="239">
          <cell r="A239" t="str">
            <v>PLN   Złoty</v>
          </cell>
          <cell r="B239" t="str">
            <v>1000/1420       NP 18-46 POLIDAP</v>
          </cell>
          <cell r="C239" t="str">
            <v>1004168    "OSADKOWSKI" SPÓŁKA</v>
          </cell>
          <cell r="D239" t="str">
            <v>KB Sprzed. bezpośrednia</v>
          </cell>
          <cell r="E239">
            <v>653003.63</v>
          </cell>
          <cell r="F239">
            <v>612.41999999999905</v>
          </cell>
          <cell r="G239">
            <v>563082.65</v>
          </cell>
          <cell r="H239">
            <v>33428.639999999898</v>
          </cell>
          <cell r="I239">
            <v>25506.23</v>
          </cell>
          <cell r="J239">
            <v>1620.69</v>
          </cell>
          <cell r="K239">
            <v>0</v>
          </cell>
          <cell r="L239">
            <v>27126.9199999999</v>
          </cell>
          <cell r="M239">
            <v>623638.20999999903</v>
          </cell>
          <cell r="N239">
            <v>29365.4199999999</v>
          </cell>
          <cell r="O239">
            <v>0</v>
          </cell>
          <cell r="P239">
            <v>623638.20999999903</v>
          </cell>
          <cell r="Q239">
            <v>29365.4199999999</v>
          </cell>
          <cell r="R239">
            <v>8483.77</v>
          </cell>
          <cell r="S239">
            <v>632121.97999999905</v>
          </cell>
          <cell r="T239">
            <v>20881.650000000001</v>
          </cell>
        </row>
        <row r="240">
          <cell r="A240" t="str">
            <v>PLN   Złoty</v>
          </cell>
          <cell r="B240" t="str">
            <v>1000/1420       NP 18-46 POLIDAP</v>
          </cell>
          <cell r="C240" t="str">
            <v>1004340    "AGRO-TECH"</v>
          </cell>
          <cell r="D240" t="str">
            <v>KB Sprzed. bezpośrednia</v>
          </cell>
          <cell r="E240">
            <v>26096.16</v>
          </cell>
          <cell r="F240">
            <v>24</v>
          </cell>
          <cell r="G240">
            <v>22511.8499999999</v>
          </cell>
          <cell r="H240">
            <v>1335.9</v>
          </cell>
          <cell r="I240">
            <v>999.55999999999904</v>
          </cell>
          <cell r="J240">
            <v>2163.36</v>
          </cell>
          <cell r="K240">
            <v>0</v>
          </cell>
          <cell r="L240">
            <v>3162.92</v>
          </cell>
          <cell r="M240">
            <v>27010.6699999999</v>
          </cell>
          <cell r="N240">
            <v>-914.50999999999897</v>
          </cell>
          <cell r="O240">
            <v>0</v>
          </cell>
          <cell r="P240">
            <v>27010.6699999999</v>
          </cell>
          <cell r="Q240">
            <v>-914.50999999999897</v>
          </cell>
          <cell r="R240">
            <v>339.18</v>
          </cell>
          <cell r="S240">
            <v>27349.8499999999</v>
          </cell>
          <cell r="T240">
            <v>-1253.69</v>
          </cell>
        </row>
        <row r="241">
          <cell r="A241" t="str">
            <v>PLN   Złoty</v>
          </cell>
          <cell r="B241" t="str">
            <v>1000/1420       NP 18-46 POLIDAP</v>
          </cell>
          <cell r="C241" t="str">
            <v>1004534    FIRMA HANDLOWA "ROLB</v>
          </cell>
          <cell r="D241" t="str">
            <v>KB Sprzed. bezpośrednia</v>
          </cell>
          <cell r="E241">
            <v>27480</v>
          </cell>
          <cell r="F241">
            <v>24</v>
          </cell>
          <cell r="G241">
            <v>22511.8499999999</v>
          </cell>
          <cell r="H241">
            <v>1406.74</v>
          </cell>
          <cell r="I241">
            <v>999.55999999999904</v>
          </cell>
          <cell r="J241">
            <v>1727.76</v>
          </cell>
          <cell r="K241">
            <v>0</v>
          </cell>
          <cell r="L241">
            <v>2727.32</v>
          </cell>
          <cell r="M241">
            <v>26645.91</v>
          </cell>
          <cell r="N241">
            <v>834.09</v>
          </cell>
          <cell r="O241">
            <v>0</v>
          </cell>
          <cell r="P241">
            <v>26645.91</v>
          </cell>
          <cell r="Q241">
            <v>834.09</v>
          </cell>
          <cell r="R241">
            <v>339.18</v>
          </cell>
          <cell r="S241">
            <v>26985.09</v>
          </cell>
          <cell r="T241">
            <v>494.91</v>
          </cell>
        </row>
        <row r="242">
          <cell r="A242" t="str">
            <v>PLN   Złoty</v>
          </cell>
          <cell r="B242" t="str">
            <v>1000/1420       NP 18-46 POLIDAP</v>
          </cell>
          <cell r="C242" t="str">
            <v>1004710    "AGRICOLA-LUBLIN" SP</v>
          </cell>
          <cell r="D242" t="str">
            <v>KB Sprzed. bezpośrednia</v>
          </cell>
          <cell r="E242">
            <v>53304.959999999897</v>
          </cell>
          <cell r="F242">
            <v>48</v>
          </cell>
          <cell r="G242">
            <v>47089.779999999897</v>
          </cell>
          <cell r="H242">
            <v>2728.78</v>
          </cell>
          <cell r="I242">
            <v>1999.1199999999899</v>
          </cell>
          <cell r="J242">
            <v>4238.3999999999896</v>
          </cell>
          <cell r="K242">
            <v>0</v>
          </cell>
          <cell r="L242">
            <v>6237.52</v>
          </cell>
          <cell r="M242">
            <v>56056.08</v>
          </cell>
          <cell r="N242">
            <v>-2751.1199999999899</v>
          </cell>
          <cell r="O242">
            <v>0</v>
          </cell>
          <cell r="P242">
            <v>56056.08</v>
          </cell>
          <cell r="Q242">
            <v>-2751.1199999999899</v>
          </cell>
          <cell r="R242">
            <v>709.49</v>
          </cell>
          <cell r="S242">
            <v>56765.57</v>
          </cell>
          <cell r="T242">
            <v>-3460.61</v>
          </cell>
        </row>
        <row r="243">
          <cell r="A243" t="str">
            <v>PLN   Złoty</v>
          </cell>
          <cell r="B243" t="str">
            <v>1000/1420       NP 18-46 POLIDAP</v>
          </cell>
          <cell r="C243" t="str">
            <v>1004753    AMBROŻY SP. Z O.O.</v>
          </cell>
          <cell r="D243" t="str">
            <v>KB Sprzed. bezpośrednia</v>
          </cell>
          <cell r="E243">
            <v>52800</v>
          </cell>
          <cell r="F243">
            <v>48</v>
          </cell>
          <cell r="G243">
            <v>45091.519999999902</v>
          </cell>
          <cell r="H243">
            <v>2702.9499999999898</v>
          </cell>
          <cell r="I243">
            <v>1999.1199999999899</v>
          </cell>
          <cell r="J243">
            <v>0</v>
          </cell>
          <cell r="K243">
            <v>0</v>
          </cell>
          <cell r="L243">
            <v>1999.1199999999899</v>
          </cell>
          <cell r="M243">
            <v>49793.589999999902</v>
          </cell>
          <cell r="N243">
            <v>3006.4099999999899</v>
          </cell>
          <cell r="O243">
            <v>0</v>
          </cell>
          <cell r="P243">
            <v>49793.589999999902</v>
          </cell>
          <cell r="Q243">
            <v>3006.4099999999899</v>
          </cell>
          <cell r="R243">
            <v>679.38</v>
          </cell>
          <cell r="S243">
            <v>50472.97</v>
          </cell>
          <cell r="T243">
            <v>2327.0300000000002</v>
          </cell>
        </row>
        <row r="244">
          <cell r="A244" t="str">
            <v>PLN   Złoty</v>
          </cell>
          <cell r="B244" t="str">
            <v>1000/1420       NP 18-46 POLIDAP</v>
          </cell>
          <cell r="C244" t="str">
            <v>1004807    "STAN-ROL" BOGUSŁAW</v>
          </cell>
          <cell r="D244" t="str">
            <v>KB Sprzed. bezpośrednia</v>
          </cell>
          <cell r="E244">
            <v>27287.7599999999</v>
          </cell>
          <cell r="F244">
            <v>24</v>
          </cell>
          <cell r="G244">
            <v>22511.8499999999</v>
          </cell>
          <cell r="H244">
            <v>1396.92</v>
          </cell>
          <cell r="I244">
            <v>999.63999999999896</v>
          </cell>
          <cell r="J244">
            <v>1980.72</v>
          </cell>
          <cell r="K244">
            <v>0</v>
          </cell>
          <cell r="L244">
            <v>2980.36</v>
          </cell>
          <cell r="M244">
            <v>26889.13</v>
          </cell>
          <cell r="N244">
            <v>398.63</v>
          </cell>
          <cell r="O244">
            <v>0</v>
          </cell>
          <cell r="P244">
            <v>26889.13</v>
          </cell>
          <cell r="Q244">
            <v>398.63</v>
          </cell>
          <cell r="R244">
            <v>339.18</v>
          </cell>
          <cell r="S244">
            <v>27228.31</v>
          </cell>
          <cell r="T244">
            <v>59.45</v>
          </cell>
        </row>
        <row r="245">
          <cell r="A245" t="str">
            <v>PLN   Złoty</v>
          </cell>
          <cell r="B245" t="str">
            <v>1000/1425       NPK 13-13-21</v>
          </cell>
          <cell r="C245" t="str">
            <v>1003056    LECHPOL SP. Z O.O.</v>
          </cell>
          <cell r="D245" t="str">
            <v>KB Sprzed. bezpośrednia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5.98</v>
          </cell>
          <cell r="J245">
            <v>0</v>
          </cell>
          <cell r="K245">
            <v>0</v>
          </cell>
          <cell r="L245">
            <v>5.98</v>
          </cell>
          <cell r="M245">
            <v>5.98</v>
          </cell>
          <cell r="N245">
            <v>-5.98</v>
          </cell>
          <cell r="O245">
            <v>0</v>
          </cell>
          <cell r="P245">
            <v>5.98</v>
          </cell>
          <cell r="Q245">
            <v>-5.98</v>
          </cell>
          <cell r="R245">
            <v>0</v>
          </cell>
          <cell r="S245">
            <v>5.98</v>
          </cell>
          <cell r="T245">
            <v>-5.98</v>
          </cell>
        </row>
        <row r="246">
          <cell r="A246" t="str">
            <v>PLN   Złoty</v>
          </cell>
          <cell r="B246" t="str">
            <v>1000/1428       NPK 11-8-20</v>
          </cell>
          <cell r="C246" t="str">
            <v>1000150    GS-GRODZIS</v>
          </cell>
          <cell r="D246" t="str">
            <v>KB Sprzed. bezpośrednia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142.06</v>
          </cell>
          <cell r="J246">
            <v>0</v>
          </cell>
          <cell r="K246">
            <v>0</v>
          </cell>
          <cell r="L246">
            <v>142.06</v>
          </cell>
          <cell r="M246">
            <v>142.06</v>
          </cell>
          <cell r="N246">
            <v>-142.06</v>
          </cell>
          <cell r="O246">
            <v>0</v>
          </cell>
          <cell r="P246">
            <v>142.06</v>
          </cell>
          <cell r="Q246">
            <v>-142.06</v>
          </cell>
          <cell r="R246">
            <v>0</v>
          </cell>
          <cell r="S246">
            <v>142.06</v>
          </cell>
          <cell r="T246">
            <v>-142.06</v>
          </cell>
        </row>
        <row r="247">
          <cell r="A247" t="str">
            <v>PLN   Złoty</v>
          </cell>
          <cell r="B247" t="str">
            <v>1000/1428       NPK 11-8-20</v>
          </cell>
          <cell r="C247" t="str">
            <v>1000210    ROLTEX Sp. z o.o.</v>
          </cell>
          <cell r="D247" t="str">
            <v>KB Sprzed. bezpośrednia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142.06</v>
          </cell>
          <cell r="J247">
            <v>0</v>
          </cell>
          <cell r="K247">
            <v>0</v>
          </cell>
          <cell r="L247">
            <v>142.06</v>
          </cell>
          <cell r="M247">
            <v>142.06</v>
          </cell>
          <cell r="N247">
            <v>-142.06</v>
          </cell>
          <cell r="O247">
            <v>0</v>
          </cell>
          <cell r="P247">
            <v>142.06</v>
          </cell>
          <cell r="Q247">
            <v>-142.06</v>
          </cell>
          <cell r="R247">
            <v>0</v>
          </cell>
          <cell r="S247">
            <v>142.06</v>
          </cell>
          <cell r="T247">
            <v>-142.06</v>
          </cell>
        </row>
        <row r="248">
          <cell r="A248" t="str">
            <v>PLN   Złoty</v>
          </cell>
          <cell r="B248" t="str">
            <v>1000/1428       NPK 11-8-20</v>
          </cell>
          <cell r="C248" t="str">
            <v>1000252    AGROSKŁAD</v>
          </cell>
          <cell r="D248" t="str">
            <v>KB Sprzed. bezpośrednia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142.06</v>
          </cell>
          <cell r="J248">
            <v>0</v>
          </cell>
          <cell r="K248">
            <v>0</v>
          </cell>
          <cell r="L248">
            <v>142.06</v>
          </cell>
          <cell r="M248">
            <v>142.06</v>
          </cell>
          <cell r="N248">
            <v>-142.06</v>
          </cell>
          <cell r="O248">
            <v>0</v>
          </cell>
          <cell r="P248">
            <v>142.06</v>
          </cell>
          <cell r="Q248">
            <v>-142.06</v>
          </cell>
          <cell r="R248">
            <v>0</v>
          </cell>
          <cell r="S248">
            <v>142.06</v>
          </cell>
          <cell r="T248">
            <v>-142.06</v>
          </cell>
        </row>
        <row r="249">
          <cell r="A249" t="str">
            <v>PLN   Złoty</v>
          </cell>
          <cell r="B249" t="str">
            <v>1000/1428       NPK 11-8-20</v>
          </cell>
          <cell r="C249" t="str">
            <v>1000273    HANDEL ARTYKUŁAMI K.</v>
          </cell>
          <cell r="D249" t="str">
            <v>KB Sprzed. bezpośrednia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142.06</v>
          </cell>
          <cell r="J249">
            <v>0</v>
          </cell>
          <cell r="K249">
            <v>0</v>
          </cell>
          <cell r="L249">
            <v>142.06</v>
          </cell>
          <cell r="M249">
            <v>142.06</v>
          </cell>
          <cell r="N249">
            <v>-142.06</v>
          </cell>
          <cell r="O249">
            <v>0</v>
          </cell>
          <cell r="P249">
            <v>142.06</v>
          </cell>
          <cell r="Q249">
            <v>-142.06</v>
          </cell>
          <cell r="R249">
            <v>0</v>
          </cell>
          <cell r="S249">
            <v>142.06</v>
          </cell>
          <cell r="T249">
            <v>-142.06</v>
          </cell>
        </row>
        <row r="250">
          <cell r="A250" t="str">
            <v>PLN   Złoty</v>
          </cell>
          <cell r="B250" t="str">
            <v>1000/1428       NPK 11-8-20</v>
          </cell>
          <cell r="C250" t="str">
            <v>1000289    PLON A.Dadrzyński</v>
          </cell>
          <cell r="D250" t="str">
            <v>KB Sprzed. bezpośrednia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142.06</v>
          </cell>
          <cell r="J250">
            <v>0</v>
          </cell>
          <cell r="K250">
            <v>0</v>
          </cell>
          <cell r="L250">
            <v>142.06</v>
          </cell>
          <cell r="M250">
            <v>142.06</v>
          </cell>
          <cell r="N250">
            <v>-142.06</v>
          </cell>
          <cell r="O250">
            <v>0</v>
          </cell>
          <cell r="P250">
            <v>142.06</v>
          </cell>
          <cell r="Q250">
            <v>-142.06</v>
          </cell>
          <cell r="R250">
            <v>0</v>
          </cell>
          <cell r="S250">
            <v>142.06</v>
          </cell>
          <cell r="T250">
            <v>-142.06</v>
          </cell>
        </row>
        <row r="251">
          <cell r="A251" t="str">
            <v>PLN   Złoty</v>
          </cell>
          <cell r="B251" t="str">
            <v>1000/1428       NPK 11-8-20</v>
          </cell>
          <cell r="C251" t="str">
            <v>1000592    NOŻYŃSKI</v>
          </cell>
          <cell r="D251" t="str">
            <v>KB Sprzed. bezpośrednia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71.03</v>
          </cell>
          <cell r="J251">
            <v>0</v>
          </cell>
          <cell r="K251">
            <v>0</v>
          </cell>
          <cell r="L251">
            <v>71.03</v>
          </cell>
          <cell r="M251">
            <v>71.03</v>
          </cell>
          <cell r="N251">
            <v>-71.03</v>
          </cell>
          <cell r="O251">
            <v>0</v>
          </cell>
          <cell r="P251">
            <v>71.03</v>
          </cell>
          <cell r="Q251">
            <v>-71.03</v>
          </cell>
          <cell r="R251">
            <v>0</v>
          </cell>
          <cell r="S251">
            <v>71.03</v>
          </cell>
          <cell r="T251">
            <v>-71.03</v>
          </cell>
        </row>
        <row r="252">
          <cell r="A252" t="str">
            <v>PLN   Złoty</v>
          </cell>
          <cell r="B252" t="str">
            <v>1000/1428       NPK 11-8-20</v>
          </cell>
          <cell r="C252" t="str">
            <v>1000675    Zaopatrz.Roln. Andrz</v>
          </cell>
          <cell r="D252" t="str">
            <v>KB Sprzed. bezpośrednia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142.06</v>
          </cell>
          <cell r="J252">
            <v>0</v>
          </cell>
          <cell r="K252">
            <v>0</v>
          </cell>
          <cell r="L252">
            <v>142.06</v>
          </cell>
          <cell r="M252">
            <v>142.06</v>
          </cell>
          <cell r="N252">
            <v>-142.06</v>
          </cell>
          <cell r="O252">
            <v>0</v>
          </cell>
          <cell r="P252">
            <v>142.06</v>
          </cell>
          <cell r="Q252">
            <v>-142.06</v>
          </cell>
          <cell r="R252">
            <v>0</v>
          </cell>
          <cell r="S252">
            <v>142.06</v>
          </cell>
          <cell r="T252">
            <v>-142.06</v>
          </cell>
        </row>
        <row r="253">
          <cell r="A253" t="str">
            <v>PLN   Złoty</v>
          </cell>
          <cell r="B253" t="str">
            <v>1000/1428       NPK 11-8-20</v>
          </cell>
          <cell r="C253" t="str">
            <v>1001994    SKR-STRZELCE</v>
          </cell>
          <cell r="D253" t="str">
            <v>KB Sprzed. bezpośrednia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142.06</v>
          </cell>
          <cell r="J253">
            <v>0</v>
          </cell>
          <cell r="K253">
            <v>0</v>
          </cell>
          <cell r="L253">
            <v>142.06</v>
          </cell>
          <cell r="M253">
            <v>142.06</v>
          </cell>
          <cell r="N253">
            <v>-142.06</v>
          </cell>
          <cell r="O253">
            <v>0</v>
          </cell>
          <cell r="P253">
            <v>142.06</v>
          </cell>
          <cell r="Q253">
            <v>-142.06</v>
          </cell>
          <cell r="R253">
            <v>0</v>
          </cell>
          <cell r="S253">
            <v>142.06</v>
          </cell>
          <cell r="T253">
            <v>-142.06</v>
          </cell>
        </row>
        <row r="254">
          <cell r="A254" t="str">
            <v>PLN   Złoty</v>
          </cell>
          <cell r="B254" t="str">
            <v>1000/1428       NPK 11-8-20</v>
          </cell>
          <cell r="C254" t="str">
            <v>1002151    "AGRO-HANDEL"</v>
          </cell>
          <cell r="D254" t="str">
            <v>KB Sprzed. bezpośrednia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147.97</v>
          </cell>
          <cell r="J254">
            <v>0</v>
          </cell>
          <cell r="K254">
            <v>0</v>
          </cell>
          <cell r="L254">
            <v>147.97</v>
          </cell>
          <cell r="M254">
            <v>147.97</v>
          </cell>
          <cell r="N254">
            <v>-147.97</v>
          </cell>
          <cell r="O254">
            <v>0</v>
          </cell>
          <cell r="P254">
            <v>147.97</v>
          </cell>
          <cell r="Q254">
            <v>-147.97</v>
          </cell>
          <cell r="R254">
            <v>0</v>
          </cell>
          <cell r="S254">
            <v>147.97</v>
          </cell>
          <cell r="T254">
            <v>-147.97</v>
          </cell>
        </row>
        <row r="255">
          <cell r="A255" t="str">
            <v>PLN   Złoty</v>
          </cell>
          <cell r="B255" t="str">
            <v>1000/1428       NPK 11-8-20</v>
          </cell>
          <cell r="C255" t="str">
            <v>1002959    "AGROMAX"</v>
          </cell>
          <cell r="D255" t="str">
            <v>KB Sprzed. bezpośrednia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284.11</v>
          </cell>
          <cell r="J255">
            <v>0</v>
          </cell>
          <cell r="K255">
            <v>0</v>
          </cell>
          <cell r="L255">
            <v>284.11</v>
          </cell>
          <cell r="M255">
            <v>284.11</v>
          </cell>
          <cell r="N255">
            <v>-284.11</v>
          </cell>
          <cell r="O255">
            <v>0</v>
          </cell>
          <cell r="P255">
            <v>284.11</v>
          </cell>
          <cell r="Q255">
            <v>-284.11</v>
          </cell>
          <cell r="R255">
            <v>0</v>
          </cell>
          <cell r="S255">
            <v>284.11</v>
          </cell>
          <cell r="T255">
            <v>-284.11</v>
          </cell>
        </row>
        <row r="256">
          <cell r="A256" t="str">
            <v>PLN   Złoty</v>
          </cell>
          <cell r="B256" t="str">
            <v>1000/1428       NPK 11-8-20</v>
          </cell>
          <cell r="C256" t="str">
            <v>1003056    LECHPOL SP. Z O.O.</v>
          </cell>
          <cell r="D256" t="str">
            <v>KB Sprzed. bezpośrednia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266.31999999999903</v>
          </cell>
          <cell r="J256">
            <v>0</v>
          </cell>
          <cell r="K256">
            <v>0</v>
          </cell>
          <cell r="L256">
            <v>266.31999999999903</v>
          </cell>
          <cell r="M256">
            <v>266.31999999999903</v>
          </cell>
          <cell r="N256">
            <v>-266.31999999999903</v>
          </cell>
          <cell r="O256">
            <v>0</v>
          </cell>
          <cell r="P256">
            <v>266.31999999999903</v>
          </cell>
          <cell r="Q256">
            <v>-266.31999999999903</v>
          </cell>
          <cell r="R256">
            <v>0</v>
          </cell>
          <cell r="S256">
            <v>266.31999999999903</v>
          </cell>
          <cell r="T256">
            <v>-266.31999999999903</v>
          </cell>
        </row>
        <row r="257">
          <cell r="A257" t="str">
            <v>PLN   Złoty</v>
          </cell>
          <cell r="B257" t="str">
            <v>1000/1429       POLIMAG 405</v>
          </cell>
          <cell r="C257" t="str">
            <v>1000112    GS 'SCh'</v>
          </cell>
          <cell r="D257" t="str">
            <v>KB Sprzed. bezpośrednia</v>
          </cell>
          <cell r="E257">
            <v>35280</v>
          </cell>
          <cell r="F257">
            <v>48</v>
          </cell>
          <cell r="G257">
            <v>24307.200000000001</v>
          </cell>
          <cell r="H257">
            <v>1806.03</v>
          </cell>
          <cell r="I257">
            <v>1242.04</v>
          </cell>
          <cell r="J257">
            <v>0</v>
          </cell>
          <cell r="K257">
            <v>0</v>
          </cell>
          <cell r="L257">
            <v>1242.04</v>
          </cell>
          <cell r="M257">
            <v>27355.27</v>
          </cell>
          <cell r="N257">
            <v>7924.7299999999896</v>
          </cell>
          <cell r="O257">
            <v>0</v>
          </cell>
          <cell r="P257">
            <v>27355.27</v>
          </cell>
          <cell r="Q257">
            <v>7924.7299999999896</v>
          </cell>
          <cell r="R257">
            <v>366.24</v>
          </cell>
          <cell r="S257">
            <v>27721.5099999999</v>
          </cell>
          <cell r="T257">
            <v>7558.4899999999898</v>
          </cell>
        </row>
        <row r="258">
          <cell r="A258" t="str">
            <v>PLN   Złoty</v>
          </cell>
          <cell r="B258" t="str">
            <v>1000/1429       POLIMAG 405</v>
          </cell>
          <cell r="C258" t="str">
            <v>1000205    SKŁODOWSKI</v>
          </cell>
          <cell r="D258" t="str">
            <v>KB Sprzed. bezpośrednia</v>
          </cell>
          <cell r="E258">
            <v>37177.919999999896</v>
          </cell>
          <cell r="F258">
            <v>48</v>
          </cell>
          <cell r="G258">
            <v>24307.16</v>
          </cell>
          <cell r="H258">
            <v>1903.24</v>
          </cell>
          <cell r="I258">
            <v>1242.04</v>
          </cell>
          <cell r="J258">
            <v>4650.72</v>
          </cell>
          <cell r="K258">
            <v>0</v>
          </cell>
          <cell r="L258">
            <v>5892.76</v>
          </cell>
          <cell r="M258">
            <v>32103.16</v>
          </cell>
          <cell r="N258">
            <v>5074.76</v>
          </cell>
          <cell r="O258">
            <v>0</v>
          </cell>
          <cell r="P258">
            <v>32103.16</v>
          </cell>
          <cell r="Q258">
            <v>5074.76</v>
          </cell>
          <cell r="R258">
            <v>366.23</v>
          </cell>
          <cell r="S258">
            <v>32469.389999999901</v>
          </cell>
          <cell r="T258">
            <v>4708.5299999999897</v>
          </cell>
        </row>
        <row r="259">
          <cell r="A259" t="str">
            <v>PLN   Złoty</v>
          </cell>
          <cell r="B259" t="str">
            <v>1000/1429       POLIMAG 405</v>
          </cell>
          <cell r="C259" t="str">
            <v>1000248    DYMNY</v>
          </cell>
          <cell r="D259" t="str">
            <v>KB Sprzed. bezpośrednia</v>
          </cell>
          <cell r="E259">
            <v>17516.639999999901</v>
          </cell>
          <cell r="F259">
            <v>24</v>
          </cell>
          <cell r="G259">
            <v>12153.58</v>
          </cell>
          <cell r="H259">
            <v>896.71</v>
          </cell>
          <cell r="I259">
            <v>621.00999999999897</v>
          </cell>
          <cell r="J259">
            <v>0</v>
          </cell>
          <cell r="K259">
            <v>0</v>
          </cell>
          <cell r="L259">
            <v>621.00999999999897</v>
          </cell>
          <cell r="M259">
            <v>13671.299999999899</v>
          </cell>
          <cell r="N259">
            <v>3845.34</v>
          </cell>
          <cell r="O259">
            <v>0</v>
          </cell>
          <cell r="P259">
            <v>13671.299999999899</v>
          </cell>
          <cell r="Q259">
            <v>3845.34</v>
          </cell>
          <cell r="R259">
            <v>183.12</v>
          </cell>
          <cell r="S259">
            <v>13854.42</v>
          </cell>
          <cell r="T259">
            <v>3662.2199999999898</v>
          </cell>
        </row>
        <row r="260">
          <cell r="A260" t="str">
            <v>PLN   Złoty</v>
          </cell>
          <cell r="B260" t="str">
            <v>1000/1429       POLIMAG 405</v>
          </cell>
          <cell r="C260" t="str">
            <v>1000263    PRO-AGRO</v>
          </cell>
          <cell r="D260" t="str">
            <v>KB Sprzed. bezpośrednia</v>
          </cell>
          <cell r="E260">
            <v>18720</v>
          </cell>
          <cell r="F260">
            <v>24</v>
          </cell>
          <cell r="G260">
            <v>12153.58</v>
          </cell>
          <cell r="H260">
            <v>958.32</v>
          </cell>
          <cell r="I260">
            <v>621.00999999999897</v>
          </cell>
          <cell r="J260">
            <v>1992.72</v>
          </cell>
          <cell r="K260">
            <v>0</v>
          </cell>
          <cell r="L260">
            <v>2613.73</v>
          </cell>
          <cell r="M260">
            <v>15725.629999999899</v>
          </cell>
          <cell r="N260">
            <v>2994.3699999999899</v>
          </cell>
          <cell r="O260">
            <v>0</v>
          </cell>
          <cell r="P260">
            <v>15725.629999999899</v>
          </cell>
          <cell r="Q260">
            <v>2994.3699999999899</v>
          </cell>
          <cell r="R260">
            <v>183.12</v>
          </cell>
          <cell r="S260">
            <v>15908.75</v>
          </cell>
          <cell r="T260">
            <v>2811.25</v>
          </cell>
        </row>
        <row r="261">
          <cell r="A261" t="str">
            <v>PLN   Złoty</v>
          </cell>
          <cell r="B261" t="str">
            <v>1000/1429       POLIMAG 405</v>
          </cell>
          <cell r="C261" t="str">
            <v>1000307    P.TRANSBUD</v>
          </cell>
          <cell r="D261" t="str">
            <v>KB Sprzed. bezpośrednia</v>
          </cell>
          <cell r="E261">
            <v>18720</v>
          </cell>
          <cell r="F261">
            <v>24</v>
          </cell>
          <cell r="G261">
            <v>12153.58</v>
          </cell>
          <cell r="H261">
            <v>958.32</v>
          </cell>
          <cell r="I261">
            <v>621.00999999999897</v>
          </cell>
          <cell r="J261">
            <v>2325.36</v>
          </cell>
          <cell r="K261">
            <v>0</v>
          </cell>
          <cell r="L261">
            <v>2946.3699999999899</v>
          </cell>
          <cell r="M261">
            <v>16058.27</v>
          </cell>
          <cell r="N261">
            <v>2661.73</v>
          </cell>
          <cell r="O261">
            <v>0</v>
          </cell>
          <cell r="P261">
            <v>16058.27</v>
          </cell>
          <cell r="Q261">
            <v>2661.73</v>
          </cell>
          <cell r="R261">
            <v>183.12</v>
          </cell>
          <cell r="S261">
            <v>16241.389999999899</v>
          </cell>
          <cell r="T261">
            <v>2478.61</v>
          </cell>
        </row>
        <row r="262">
          <cell r="A262" t="str">
            <v>PLN   Złoty</v>
          </cell>
          <cell r="B262" t="str">
            <v>1000/1429       POLIMAG 405</v>
          </cell>
          <cell r="C262" t="str">
            <v>1000592    NOŻYŃSKI</v>
          </cell>
          <cell r="D262" t="str">
            <v>KB Sprzed. bezpośrednia</v>
          </cell>
          <cell r="E262">
            <v>18720</v>
          </cell>
          <cell r="F262">
            <v>24</v>
          </cell>
          <cell r="G262">
            <v>12153.58</v>
          </cell>
          <cell r="H262">
            <v>958.32</v>
          </cell>
          <cell r="I262">
            <v>621.00999999999897</v>
          </cell>
          <cell r="J262">
            <v>2207.7600000000002</v>
          </cell>
          <cell r="K262">
            <v>0</v>
          </cell>
          <cell r="L262">
            <v>2828.77</v>
          </cell>
          <cell r="M262">
            <v>15940.67</v>
          </cell>
          <cell r="N262">
            <v>2779.3299999999899</v>
          </cell>
          <cell r="O262">
            <v>0</v>
          </cell>
          <cell r="P262">
            <v>15940.67</v>
          </cell>
          <cell r="Q262">
            <v>2779.3299999999899</v>
          </cell>
          <cell r="R262">
            <v>183.12</v>
          </cell>
          <cell r="S262">
            <v>16123.79</v>
          </cell>
          <cell r="T262">
            <v>2596.21</v>
          </cell>
        </row>
        <row r="263">
          <cell r="A263" t="str">
            <v>PLN   Złoty</v>
          </cell>
          <cell r="B263" t="str">
            <v>1000/1429       POLIMAG 405</v>
          </cell>
          <cell r="C263" t="str">
            <v>1000725    SGS-LUBLIN</v>
          </cell>
          <cell r="D263" t="str">
            <v>KB Sprzed. bezpośrednia</v>
          </cell>
          <cell r="E263">
            <v>9360</v>
          </cell>
          <cell r="F263">
            <v>12</v>
          </cell>
          <cell r="G263">
            <v>6076.79</v>
          </cell>
          <cell r="H263">
            <v>479.14999999999901</v>
          </cell>
          <cell r="I263">
            <v>310.50999999999902</v>
          </cell>
          <cell r="J263">
            <v>1016.88</v>
          </cell>
          <cell r="K263">
            <v>0</v>
          </cell>
          <cell r="L263">
            <v>1327.39</v>
          </cell>
          <cell r="M263">
            <v>7883.3299999999899</v>
          </cell>
          <cell r="N263">
            <v>1476.67</v>
          </cell>
          <cell r="O263">
            <v>0</v>
          </cell>
          <cell r="P263">
            <v>7883.3299999999899</v>
          </cell>
          <cell r="Q263">
            <v>1476.67</v>
          </cell>
          <cell r="R263">
            <v>91.54</v>
          </cell>
          <cell r="S263">
            <v>7974.8699999999899</v>
          </cell>
          <cell r="T263">
            <v>1385.13</v>
          </cell>
        </row>
        <row r="264">
          <cell r="A264" t="str">
            <v>PLN   Złoty</v>
          </cell>
          <cell r="B264" t="str">
            <v>1000/1429       POLIMAG 405</v>
          </cell>
          <cell r="C264" t="str">
            <v>1000982    TORAL Elżbieta Krupa</v>
          </cell>
          <cell r="D264" t="str">
            <v>KB Sprzed. bezpośrednia</v>
          </cell>
          <cell r="E264">
            <v>19000</v>
          </cell>
          <cell r="F264">
            <v>25</v>
          </cell>
          <cell r="G264">
            <v>12659.98</v>
          </cell>
          <cell r="H264">
            <v>972.62</v>
          </cell>
          <cell r="I264">
            <v>646.89999999999895</v>
          </cell>
          <cell r="J264">
            <v>1094.0799999999899</v>
          </cell>
          <cell r="K264">
            <v>0</v>
          </cell>
          <cell r="L264">
            <v>1740.98</v>
          </cell>
          <cell r="M264">
            <v>15373.58</v>
          </cell>
          <cell r="N264">
            <v>3626.42</v>
          </cell>
          <cell r="O264">
            <v>0</v>
          </cell>
          <cell r="P264">
            <v>15373.58</v>
          </cell>
          <cell r="Q264">
            <v>3626.42</v>
          </cell>
          <cell r="R264">
            <v>190.74</v>
          </cell>
          <cell r="S264">
            <v>15564.32</v>
          </cell>
          <cell r="T264">
            <v>3435.6799999999898</v>
          </cell>
        </row>
        <row r="265">
          <cell r="A265" t="str">
            <v>PLN   Złoty</v>
          </cell>
          <cell r="B265" t="str">
            <v>1000/1429       POLIMAG 405</v>
          </cell>
          <cell r="C265" t="str">
            <v>1001662    AMPOL-MEROL Sp. z o.</v>
          </cell>
          <cell r="D265" t="str">
            <v>KB Sprzed. bezpośrednia</v>
          </cell>
          <cell r="E265">
            <v>17640</v>
          </cell>
          <cell r="F265">
            <v>24</v>
          </cell>
          <cell r="G265">
            <v>12153.58</v>
          </cell>
          <cell r="H265">
            <v>903.05999999999904</v>
          </cell>
          <cell r="I265">
            <v>621.00999999999897</v>
          </cell>
          <cell r="J265">
            <v>0</v>
          </cell>
          <cell r="K265">
            <v>0</v>
          </cell>
          <cell r="L265">
            <v>621.00999999999897</v>
          </cell>
          <cell r="M265">
            <v>13677.65</v>
          </cell>
          <cell r="N265">
            <v>3962.3499999999899</v>
          </cell>
          <cell r="O265">
            <v>0</v>
          </cell>
          <cell r="P265">
            <v>13677.65</v>
          </cell>
          <cell r="Q265">
            <v>3962.3499999999899</v>
          </cell>
          <cell r="R265">
            <v>183.12</v>
          </cell>
          <cell r="S265">
            <v>13860.77</v>
          </cell>
          <cell r="T265">
            <v>3779.23</v>
          </cell>
        </row>
        <row r="266">
          <cell r="A266" t="str">
            <v>PLN   Złoty</v>
          </cell>
          <cell r="B266" t="str">
            <v>1000/1429       POLIMAG 405</v>
          </cell>
          <cell r="C266" t="str">
            <v>1001988    ROLNIK-KOŚCIAN</v>
          </cell>
          <cell r="D266" t="str">
            <v>KB Sprzed. bezpośrednia</v>
          </cell>
          <cell r="E266">
            <v>109787.52</v>
          </cell>
          <cell r="F266">
            <v>144</v>
          </cell>
          <cell r="G266">
            <v>76214.960000000006</v>
          </cell>
          <cell r="H266">
            <v>5620.21</v>
          </cell>
          <cell r="I266">
            <v>3726.0999999999899</v>
          </cell>
          <cell r="J266">
            <v>1545.3599999999899</v>
          </cell>
          <cell r="K266">
            <v>0</v>
          </cell>
          <cell r="L266">
            <v>5271.46</v>
          </cell>
          <cell r="M266">
            <v>87106.63</v>
          </cell>
          <cell r="N266">
            <v>22680.889999999901</v>
          </cell>
          <cell r="O266">
            <v>0</v>
          </cell>
          <cell r="P266">
            <v>87106.63</v>
          </cell>
          <cell r="Q266">
            <v>22680.889999999901</v>
          </cell>
          <cell r="R266">
            <v>1148.29</v>
          </cell>
          <cell r="S266">
            <v>88254.919999999896</v>
          </cell>
          <cell r="T266">
            <v>21532.5999999999</v>
          </cell>
        </row>
        <row r="267">
          <cell r="A267" t="str">
            <v>PLN   Złoty</v>
          </cell>
          <cell r="B267" t="str">
            <v>1000/1429       POLIMAG 405</v>
          </cell>
          <cell r="C267" t="str">
            <v>1002005    LAMCH-TOMI</v>
          </cell>
          <cell r="D267" t="str">
            <v>KB Sprzed. bezpośrednia</v>
          </cell>
          <cell r="E267">
            <v>10277.549999999899</v>
          </cell>
          <cell r="F267">
            <v>15</v>
          </cell>
          <cell r="G267">
            <v>8234.3099999999904</v>
          </cell>
          <cell r="H267">
            <v>526.13</v>
          </cell>
          <cell r="I267">
            <v>388.13999999999902</v>
          </cell>
          <cell r="J267">
            <v>0</v>
          </cell>
          <cell r="K267">
            <v>0</v>
          </cell>
          <cell r="L267">
            <v>388.13999999999902</v>
          </cell>
          <cell r="M267">
            <v>9148.5799999999908</v>
          </cell>
          <cell r="N267">
            <v>1128.97</v>
          </cell>
          <cell r="O267">
            <v>0</v>
          </cell>
          <cell r="P267">
            <v>9148.5799999999908</v>
          </cell>
          <cell r="Q267">
            <v>1128.97</v>
          </cell>
          <cell r="R267">
            <v>124.069999999999</v>
          </cell>
          <cell r="S267">
            <v>9272.6499999999905</v>
          </cell>
          <cell r="T267">
            <v>1004.9</v>
          </cell>
        </row>
        <row r="268">
          <cell r="A268" t="str">
            <v>PLN   Złoty</v>
          </cell>
          <cell r="B268" t="str">
            <v>1000/1429       POLIMAG 405</v>
          </cell>
          <cell r="C268" t="str">
            <v>1002007    STAMPOL</v>
          </cell>
          <cell r="D268" t="str">
            <v>KB Sprzed. bezpośrednia</v>
          </cell>
          <cell r="E268">
            <v>18588.959999999901</v>
          </cell>
          <cell r="F268">
            <v>24</v>
          </cell>
          <cell r="G268">
            <v>12153.58</v>
          </cell>
          <cell r="H268">
            <v>951.64999999999895</v>
          </cell>
          <cell r="I268">
            <v>621.00999999999897</v>
          </cell>
          <cell r="J268">
            <v>1992.72</v>
          </cell>
          <cell r="K268">
            <v>0</v>
          </cell>
          <cell r="L268">
            <v>2613.73</v>
          </cell>
          <cell r="M268">
            <v>15718.959999999901</v>
          </cell>
          <cell r="N268">
            <v>2870</v>
          </cell>
          <cell r="O268">
            <v>0</v>
          </cell>
          <cell r="P268">
            <v>15718.959999999901</v>
          </cell>
          <cell r="Q268">
            <v>2870</v>
          </cell>
          <cell r="R268">
            <v>183.12</v>
          </cell>
          <cell r="S268">
            <v>15902.08</v>
          </cell>
          <cell r="T268">
            <v>2686.88</v>
          </cell>
        </row>
        <row r="269">
          <cell r="A269" t="str">
            <v>PLN   Złoty</v>
          </cell>
          <cell r="B269" t="str">
            <v>1000/1429       POLIMAG 405</v>
          </cell>
          <cell r="C269" t="str">
            <v>1002056    GS-Koronowo</v>
          </cell>
          <cell r="D269" t="str">
            <v>KB Sprzed. bezpośrednia</v>
          </cell>
          <cell r="E269">
            <v>65520</v>
          </cell>
          <cell r="F269">
            <v>84</v>
          </cell>
          <cell r="G269">
            <v>42537.529999999897</v>
          </cell>
          <cell r="H269">
            <v>3354.13</v>
          </cell>
          <cell r="I269">
            <v>2173.5599999999899</v>
          </cell>
          <cell r="J269">
            <v>3234.48</v>
          </cell>
          <cell r="K269">
            <v>0</v>
          </cell>
          <cell r="L269">
            <v>5408.04</v>
          </cell>
          <cell r="M269">
            <v>51299.699999999903</v>
          </cell>
          <cell r="N269">
            <v>14220.299999999899</v>
          </cell>
          <cell r="O269">
            <v>0</v>
          </cell>
          <cell r="P269">
            <v>51299.699999999903</v>
          </cell>
          <cell r="Q269">
            <v>14220.299999999899</v>
          </cell>
          <cell r="R269">
            <v>640.89999999999895</v>
          </cell>
          <cell r="S269">
            <v>51940.599999999897</v>
          </cell>
          <cell r="T269">
            <v>13579.4</v>
          </cell>
        </row>
        <row r="270">
          <cell r="A270" t="str">
            <v>PLN   Złoty</v>
          </cell>
          <cell r="B270" t="str">
            <v>1000/1429       POLIMAG 405</v>
          </cell>
          <cell r="C270" t="str">
            <v>1002151    "AGRO-HANDEL"</v>
          </cell>
          <cell r="D270" t="str">
            <v>KB Sprzed. bezpośrednia</v>
          </cell>
          <cell r="E270">
            <v>-200</v>
          </cell>
          <cell r="F270">
            <v>0</v>
          </cell>
          <cell r="G270">
            <v>0</v>
          </cell>
          <cell r="H270">
            <v>-10.1999999999999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-10.1999999999999</v>
          </cell>
          <cell r="N270">
            <v>-189.8</v>
          </cell>
          <cell r="O270">
            <v>0</v>
          </cell>
          <cell r="P270">
            <v>-10.1999999999999</v>
          </cell>
          <cell r="Q270">
            <v>-189.8</v>
          </cell>
          <cell r="R270">
            <v>0</v>
          </cell>
          <cell r="S270">
            <v>-10.1999999999999</v>
          </cell>
          <cell r="T270">
            <v>-189.8</v>
          </cell>
        </row>
        <row r="271">
          <cell r="A271" t="str">
            <v>PLN   Złoty</v>
          </cell>
          <cell r="B271" t="str">
            <v>1000/1429       POLIMAG 405</v>
          </cell>
          <cell r="C271" t="str">
            <v>1002643    "MINERAL" SP. Z O.O.</v>
          </cell>
          <cell r="D271" t="str">
            <v>KB Sprzed. bezpośrednia</v>
          </cell>
          <cell r="E271">
            <v>11171.25</v>
          </cell>
          <cell r="F271">
            <v>15</v>
          </cell>
          <cell r="G271">
            <v>8736.8099999999904</v>
          </cell>
          <cell r="H271">
            <v>571.85</v>
          </cell>
          <cell r="I271">
            <v>388.13999999999902</v>
          </cell>
          <cell r="J271">
            <v>0</v>
          </cell>
          <cell r="K271">
            <v>0</v>
          </cell>
          <cell r="L271">
            <v>388.13999999999902</v>
          </cell>
          <cell r="M271">
            <v>9696.7999999999902</v>
          </cell>
          <cell r="N271">
            <v>1474.45</v>
          </cell>
          <cell r="O271">
            <v>0</v>
          </cell>
          <cell r="P271">
            <v>9696.7999999999902</v>
          </cell>
          <cell r="Q271">
            <v>1474.45</v>
          </cell>
          <cell r="R271">
            <v>131.62</v>
          </cell>
          <cell r="S271">
            <v>9828.42</v>
          </cell>
          <cell r="T271">
            <v>1342.8299999999899</v>
          </cell>
        </row>
        <row r="272">
          <cell r="A272" t="str">
            <v>PLN   Złoty</v>
          </cell>
          <cell r="B272" t="str">
            <v>1000/1429       POLIMAG 405</v>
          </cell>
          <cell r="C272" t="str">
            <v>1003056    LECHPOL SP. Z O.O.</v>
          </cell>
          <cell r="D272" t="str">
            <v>KB Sprzed. bezpośrednia</v>
          </cell>
          <cell r="E272">
            <v>37455.959999999897</v>
          </cell>
          <cell r="F272">
            <v>49</v>
          </cell>
          <cell r="G272">
            <v>24813.56</v>
          </cell>
          <cell r="H272">
            <v>1917.45</v>
          </cell>
          <cell r="I272">
            <v>1267.9000000000001</v>
          </cell>
          <cell r="J272">
            <v>4388.5799999999899</v>
          </cell>
          <cell r="K272">
            <v>0</v>
          </cell>
          <cell r="L272">
            <v>5656.4799999999896</v>
          </cell>
          <cell r="M272">
            <v>32387.49</v>
          </cell>
          <cell r="N272">
            <v>5068.47</v>
          </cell>
          <cell r="O272">
            <v>0</v>
          </cell>
          <cell r="P272">
            <v>32387.49</v>
          </cell>
          <cell r="Q272">
            <v>5068.47</v>
          </cell>
          <cell r="R272">
            <v>373.83999999999901</v>
          </cell>
          <cell r="S272">
            <v>32761.33</v>
          </cell>
          <cell r="T272">
            <v>4694.63</v>
          </cell>
        </row>
        <row r="273">
          <cell r="A273" t="str">
            <v>PLN   Złoty</v>
          </cell>
          <cell r="B273" t="str">
            <v>1000/1429       POLIMAG 405</v>
          </cell>
          <cell r="C273" t="str">
            <v>1003315    ZAKŁAD OBROTU ROLNEG</v>
          </cell>
          <cell r="D273" t="str">
            <v>KB Sprzed. bezpośrednia</v>
          </cell>
          <cell r="E273">
            <v>17874</v>
          </cell>
          <cell r="F273">
            <v>24</v>
          </cell>
          <cell r="G273">
            <v>12153.58</v>
          </cell>
          <cell r="H273">
            <v>915.05999999999904</v>
          </cell>
          <cell r="I273">
            <v>621.00999999999897</v>
          </cell>
          <cell r="J273">
            <v>0</v>
          </cell>
          <cell r="K273">
            <v>0</v>
          </cell>
          <cell r="L273">
            <v>621.00999999999897</v>
          </cell>
          <cell r="M273">
            <v>13689.65</v>
          </cell>
          <cell r="N273">
            <v>4184.3500000000004</v>
          </cell>
          <cell r="O273">
            <v>0</v>
          </cell>
          <cell r="P273">
            <v>13689.65</v>
          </cell>
          <cell r="Q273">
            <v>4184.3500000000004</v>
          </cell>
          <cell r="R273">
            <v>183.12</v>
          </cell>
          <cell r="S273">
            <v>13872.77</v>
          </cell>
          <cell r="T273">
            <v>4001.23</v>
          </cell>
        </row>
        <row r="274">
          <cell r="A274" t="str">
            <v>PLN   Złoty</v>
          </cell>
          <cell r="B274" t="str">
            <v>1000/1429       POLIMAG 405</v>
          </cell>
          <cell r="C274" t="str">
            <v>1003365    "EUROL"</v>
          </cell>
          <cell r="D274" t="str">
            <v>KB Sprzed. bezpośrednia</v>
          </cell>
          <cell r="E274">
            <v>17159.04</v>
          </cell>
          <cell r="F274">
            <v>24</v>
          </cell>
          <cell r="G274">
            <v>12153.58</v>
          </cell>
          <cell r="H274">
            <v>878.42999999999904</v>
          </cell>
          <cell r="I274">
            <v>621.00999999999897</v>
          </cell>
          <cell r="J274">
            <v>0</v>
          </cell>
          <cell r="K274">
            <v>0</v>
          </cell>
          <cell r="L274">
            <v>621.00999999999897</v>
          </cell>
          <cell r="M274">
            <v>13653.02</v>
          </cell>
          <cell r="N274">
            <v>3506.02</v>
          </cell>
          <cell r="O274">
            <v>0</v>
          </cell>
          <cell r="P274">
            <v>13653.02</v>
          </cell>
          <cell r="Q274">
            <v>3506.02</v>
          </cell>
          <cell r="R274">
            <v>183.12</v>
          </cell>
          <cell r="S274">
            <v>13836.139999999899</v>
          </cell>
          <cell r="T274">
            <v>3322.9</v>
          </cell>
        </row>
        <row r="275">
          <cell r="A275" t="str">
            <v>PLN   Złoty</v>
          </cell>
          <cell r="B275" t="str">
            <v>1000/1429       POLIMAG 405</v>
          </cell>
          <cell r="C275" t="str">
            <v>1003827    STAL-BUD</v>
          </cell>
          <cell r="D275" t="str">
            <v>KB Sprzed. bezpośrednia</v>
          </cell>
          <cell r="E275">
            <v>46472.4</v>
          </cell>
          <cell r="F275">
            <v>60</v>
          </cell>
          <cell r="G275">
            <v>30383.95</v>
          </cell>
          <cell r="H275">
            <v>2379.0100000000002</v>
          </cell>
          <cell r="I275">
            <v>1552.55</v>
          </cell>
          <cell r="J275">
            <v>5065.4399999999896</v>
          </cell>
          <cell r="K275">
            <v>0</v>
          </cell>
          <cell r="L275">
            <v>6617.9899999999898</v>
          </cell>
          <cell r="M275">
            <v>39380.949999999903</v>
          </cell>
          <cell r="N275">
            <v>7091.4499999999898</v>
          </cell>
          <cell r="O275">
            <v>0</v>
          </cell>
          <cell r="P275">
            <v>39380.949999999903</v>
          </cell>
          <cell r="Q275">
            <v>7091.4499999999898</v>
          </cell>
          <cell r="R275">
            <v>457.79</v>
          </cell>
          <cell r="S275">
            <v>39838.739999999903</v>
          </cell>
          <cell r="T275">
            <v>6633.6599999999899</v>
          </cell>
        </row>
        <row r="276">
          <cell r="A276" t="str">
            <v>PLN   Złoty</v>
          </cell>
          <cell r="B276" t="str">
            <v>1000/1429       POLIMAG 405</v>
          </cell>
          <cell r="C276" t="str">
            <v>1003857    EDMAR</v>
          </cell>
          <cell r="D276" t="str">
            <v>KB Sprzed. bezpośrednia</v>
          </cell>
          <cell r="E276">
            <v>37440</v>
          </cell>
          <cell r="F276">
            <v>48</v>
          </cell>
          <cell r="G276">
            <v>24307.16</v>
          </cell>
          <cell r="H276">
            <v>1916.5999999999899</v>
          </cell>
          <cell r="I276">
            <v>1242.04</v>
          </cell>
          <cell r="J276">
            <v>3667.6799999999898</v>
          </cell>
          <cell r="K276">
            <v>0</v>
          </cell>
          <cell r="L276">
            <v>4909.72</v>
          </cell>
          <cell r="M276">
            <v>31133.48</v>
          </cell>
          <cell r="N276">
            <v>6306.52</v>
          </cell>
          <cell r="O276">
            <v>0</v>
          </cell>
          <cell r="P276">
            <v>31133.48</v>
          </cell>
          <cell r="Q276">
            <v>6306.52</v>
          </cell>
          <cell r="R276">
            <v>366.23</v>
          </cell>
          <cell r="S276">
            <v>31499.709999999901</v>
          </cell>
          <cell r="T276">
            <v>5940.29</v>
          </cell>
        </row>
        <row r="277">
          <cell r="A277" t="str">
            <v>PLN   Złoty</v>
          </cell>
          <cell r="B277" t="str">
            <v>1000/1429       POLIMAG 405</v>
          </cell>
          <cell r="C277" t="str">
            <v>1004710    "AGRICOLA-LUBLIN" SP</v>
          </cell>
          <cell r="D277" t="str">
            <v>KB Sprzed. bezpośrednia</v>
          </cell>
          <cell r="E277">
            <v>5958</v>
          </cell>
          <cell r="F277">
            <v>8</v>
          </cell>
          <cell r="G277">
            <v>4051.1999999999898</v>
          </cell>
          <cell r="H277">
            <v>305.06999999999903</v>
          </cell>
          <cell r="I277">
            <v>207</v>
          </cell>
          <cell r="J277">
            <v>0</v>
          </cell>
          <cell r="K277">
            <v>0</v>
          </cell>
          <cell r="L277">
            <v>207</v>
          </cell>
          <cell r="M277">
            <v>4563.2700000000004</v>
          </cell>
          <cell r="N277">
            <v>1394.73</v>
          </cell>
          <cell r="O277">
            <v>0</v>
          </cell>
          <cell r="P277">
            <v>4563.2700000000004</v>
          </cell>
          <cell r="Q277">
            <v>1394.73</v>
          </cell>
          <cell r="R277">
            <v>61.0399999999999</v>
          </cell>
          <cell r="S277">
            <v>4624.3100000000004</v>
          </cell>
          <cell r="T277">
            <v>1333.69</v>
          </cell>
        </row>
        <row r="278">
          <cell r="A278" t="str">
            <v>PLN   Złoty</v>
          </cell>
          <cell r="B278" t="str">
            <v>1000/1429       POLIMAG 405</v>
          </cell>
          <cell r="C278" t="str">
            <v>1004788    "ADAR" HANDEL NAWOZA</v>
          </cell>
          <cell r="D278" t="str">
            <v>KB Sprzed. bezpośrednia</v>
          </cell>
          <cell r="E278">
            <v>17874</v>
          </cell>
          <cell r="F278">
            <v>24</v>
          </cell>
          <cell r="G278">
            <v>12153.58</v>
          </cell>
          <cell r="H278">
            <v>915.05999999999904</v>
          </cell>
          <cell r="I278">
            <v>621.12</v>
          </cell>
          <cell r="J278">
            <v>0</v>
          </cell>
          <cell r="K278">
            <v>0</v>
          </cell>
          <cell r="L278">
            <v>621.12</v>
          </cell>
          <cell r="M278">
            <v>13689.76</v>
          </cell>
          <cell r="N278">
            <v>4184.2399999999898</v>
          </cell>
          <cell r="O278">
            <v>0</v>
          </cell>
          <cell r="P278">
            <v>13689.76</v>
          </cell>
          <cell r="Q278">
            <v>4184.2399999999898</v>
          </cell>
          <cell r="R278">
            <v>183.12</v>
          </cell>
          <cell r="S278">
            <v>13872.879999999899</v>
          </cell>
          <cell r="T278">
            <v>4001.1199999999899</v>
          </cell>
        </row>
        <row r="279">
          <cell r="A279" t="str">
            <v>PLN   Złoty</v>
          </cell>
          <cell r="B279" t="str">
            <v>1000/1430       POLIMAG S 5101</v>
          </cell>
          <cell r="C279" t="str">
            <v>1000112    GS 'SCh'</v>
          </cell>
          <cell r="D279" t="str">
            <v>KB Sprzed. bezpośrednia</v>
          </cell>
          <cell r="E279">
            <v>25381.200000000001</v>
          </cell>
          <cell r="F279">
            <v>24</v>
          </cell>
          <cell r="G279">
            <v>19675.830000000002</v>
          </cell>
          <cell r="H279">
            <v>1299.3399999999899</v>
          </cell>
          <cell r="I279">
            <v>515.97</v>
          </cell>
          <cell r="J279">
            <v>1183.2</v>
          </cell>
          <cell r="K279">
            <v>0</v>
          </cell>
          <cell r="L279">
            <v>1699.17</v>
          </cell>
          <cell r="M279">
            <v>22674.34</v>
          </cell>
          <cell r="N279">
            <v>2706.86</v>
          </cell>
          <cell r="O279">
            <v>0</v>
          </cell>
          <cell r="P279">
            <v>22674.34</v>
          </cell>
          <cell r="Q279">
            <v>2706.86</v>
          </cell>
          <cell r="R279">
            <v>296.41000000000003</v>
          </cell>
          <cell r="S279">
            <v>22970.75</v>
          </cell>
          <cell r="T279">
            <v>2410.4499999999898</v>
          </cell>
        </row>
        <row r="280">
          <cell r="A280" t="str">
            <v>PLN   Złoty</v>
          </cell>
          <cell r="B280" t="str">
            <v>1000/1430       POLIMAG S 5101</v>
          </cell>
          <cell r="C280" t="str">
            <v>1000117    SKIBA</v>
          </cell>
          <cell r="D280" t="str">
            <v>KB Sprzed. bezpośrednia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PLN   Złoty</v>
          </cell>
          <cell r="B281" t="str">
            <v>1000/1430       POLIMAG S 5101</v>
          </cell>
          <cell r="C281" t="str">
            <v>1000120    GS-PABIANICE</v>
          </cell>
          <cell r="D281" t="str">
            <v>KB Sprzed. bezpośrednia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PLN   Złoty</v>
          </cell>
          <cell r="B282" t="str">
            <v>1000/1430       POLIMAG S 5101</v>
          </cell>
          <cell r="C282" t="str">
            <v>1000129    GS-WRZEŚNI</v>
          </cell>
          <cell r="D282" t="str">
            <v>KB Sprzed. bezpośrednia</v>
          </cell>
          <cell r="E282">
            <v>25920</v>
          </cell>
          <cell r="F282">
            <v>24</v>
          </cell>
          <cell r="G282">
            <v>19675.830000000002</v>
          </cell>
          <cell r="H282">
            <v>1326.89</v>
          </cell>
          <cell r="I282">
            <v>515.97</v>
          </cell>
          <cell r="J282">
            <v>1006.5599999999901</v>
          </cell>
          <cell r="K282">
            <v>0</v>
          </cell>
          <cell r="L282">
            <v>1522.53</v>
          </cell>
          <cell r="M282">
            <v>22525.25</v>
          </cell>
          <cell r="N282">
            <v>3394.75</v>
          </cell>
          <cell r="O282">
            <v>0</v>
          </cell>
          <cell r="P282">
            <v>22525.25</v>
          </cell>
          <cell r="Q282">
            <v>3394.75</v>
          </cell>
          <cell r="R282">
            <v>296.41000000000003</v>
          </cell>
          <cell r="S282">
            <v>22821.66</v>
          </cell>
          <cell r="T282">
            <v>3098.34</v>
          </cell>
        </row>
        <row r="283">
          <cell r="A283" t="str">
            <v>PLN   Złoty</v>
          </cell>
          <cell r="B283" t="str">
            <v>1000/1430       POLIMAG S 5101</v>
          </cell>
          <cell r="C283" t="str">
            <v>1000142    ZSHP-ZŁOTOW</v>
          </cell>
          <cell r="D283" t="str">
            <v>KB Sprzed. bezpośrednia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PLN   Złoty</v>
          </cell>
          <cell r="B284" t="str">
            <v>1000/1430       POLIMAG S 5101</v>
          </cell>
          <cell r="C284" t="str">
            <v>1000150    GS-GRODZIS</v>
          </cell>
          <cell r="D284" t="str">
            <v>KB Sprzed. bezpośrednia</v>
          </cell>
          <cell r="E284">
            <v>25227.84</v>
          </cell>
          <cell r="F284">
            <v>24</v>
          </cell>
          <cell r="G284">
            <v>19675.830000000002</v>
          </cell>
          <cell r="H284">
            <v>1291.43</v>
          </cell>
          <cell r="I284">
            <v>515.97</v>
          </cell>
          <cell r="J284">
            <v>2163.36</v>
          </cell>
          <cell r="K284">
            <v>0</v>
          </cell>
          <cell r="L284">
            <v>2679.3299999999899</v>
          </cell>
          <cell r="M284">
            <v>23646.59</v>
          </cell>
          <cell r="N284">
            <v>1581.25</v>
          </cell>
          <cell r="O284">
            <v>0</v>
          </cell>
          <cell r="P284">
            <v>23646.59</v>
          </cell>
          <cell r="Q284">
            <v>1581.25</v>
          </cell>
          <cell r="R284">
            <v>296.41000000000003</v>
          </cell>
          <cell r="S284">
            <v>23943</v>
          </cell>
          <cell r="T284">
            <v>1284.8399999999899</v>
          </cell>
        </row>
        <row r="285">
          <cell r="A285" t="str">
            <v>PLN   Złoty</v>
          </cell>
          <cell r="B285" t="str">
            <v>1000/1430       POLIMAG S 5101</v>
          </cell>
          <cell r="C285" t="str">
            <v>1000182    AGRA NOWA</v>
          </cell>
          <cell r="D285" t="str">
            <v>KB Sprzed. bezpośrednia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PLN   Złoty</v>
          </cell>
          <cell r="B286" t="str">
            <v>1000/1430       POLIMAG S 5101</v>
          </cell>
          <cell r="C286" t="str">
            <v>1000203    BISO S.C.</v>
          </cell>
          <cell r="D286" t="str">
            <v>KB Sprzed. bezpośrednia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PLN   Złoty</v>
          </cell>
          <cell r="B287" t="str">
            <v>1000/1430       POLIMAG S 5101</v>
          </cell>
          <cell r="C287" t="str">
            <v>1000205    SKŁODOWSKI</v>
          </cell>
          <cell r="D287" t="str">
            <v>KB Sprzed. bezpośrednia</v>
          </cell>
          <cell r="E287">
            <v>59147.76</v>
          </cell>
          <cell r="F287">
            <v>57</v>
          </cell>
          <cell r="G287">
            <v>46730.099999999897</v>
          </cell>
          <cell r="H287">
            <v>3027.9499999999898</v>
          </cell>
          <cell r="I287">
            <v>1225.4100000000001</v>
          </cell>
          <cell r="J287">
            <v>3955.29</v>
          </cell>
          <cell r="K287">
            <v>0</v>
          </cell>
          <cell r="L287">
            <v>5180.6999999999898</v>
          </cell>
          <cell r="M287">
            <v>54938.75</v>
          </cell>
          <cell r="N287">
            <v>4209.01</v>
          </cell>
          <cell r="O287">
            <v>0</v>
          </cell>
          <cell r="P287">
            <v>54938.75</v>
          </cell>
          <cell r="Q287">
            <v>4209.01</v>
          </cell>
          <cell r="R287">
            <v>704.07</v>
          </cell>
          <cell r="S287">
            <v>55642.82</v>
          </cell>
          <cell r="T287">
            <v>3504.94</v>
          </cell>
        </row>
        <row r="288">
          <cell r="A288" t="str">
            <v>PLN   Złoty</v>
          </cell>
          <cell r="B288" t="str">
            <v>1000/1430       POLIMAG S 5101</v>
          </cell>
          <cell r="C288" t="str">
            <v>1000210    ROLTEX Sp. z o.o.</v>
          </cell>
          <cell r="D288" t="str">
            <v>KB Sprzed. bezpośrednia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PLN   Złoty</v>
          </cell>
          <cell r="B289" t="str">
            <v>1000/1430       POLIMAG S 5101</v>
          </cell>
          <cell r="C289" t="str">
            <v>1000213    KUDASZEWIC</v>
          </cell>
          <cell r="D289" t="str">
            <v>KB Sprzed. bezpośrednia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PLN   Złoty</v>
          </cell>
          <cell r="B290" t="str">
            <v>1000/1430       POLIMAG S 5101</v>
          </cell>
          <cell r="C290" t="str">
            <v>1000219    BUTOR</v>
          </cell>
          <cell r="D290" t="str">
            <v>KB Sprzed. bezpośrednia</v>
          </cell>
          <cell r="E290">
            <v>25920</v>
          </cell>
          <cell r="F290">
            <v>24</v>
          </cell>
          <cell r="G290">
            <v>19675.84</v>
          </cell>
          <cell r="H290">
            <v>1326.89</v>
          </cell>
          <cell r="I290">
            <v>515.97</v>
          </cell>
          <cell r="J290">
            <v>1752.72</v>
          </cell>
          <cell r="K290">
            <v>0</v>
          </cell>
          <cell r="L290">
            <v>2268.69</v>
          </cell>
          <cell r="M290">
            <v>23271.4199999999</v>
          </cell>
          <cell r="N290">
            <v>2648.5799999999899</v>
          </cell>
          <cell r="O290">
            <v>0</v>
          </cell>
          <cell r="P290">
            <v>23271.4199999999</v>
          </cell>
          <cell r="Q290">
            <v>2648.5799999999899</v>
          </cell>
          <cell r="R290">
            <v>296.41000000000003</v>
          </cell>
          <cell r="S290">
            <v>23567.83</v>
          </cell>
          <cell r="T290">
            <v>2352.17</v>
          </cell>
        </row>
        <row r="291">
          <cell r="A291" t="str">
            <v>PLN   Złoty</v>
          </cell>
          <cell r="B291" t="str">
            <v>1000/1430       POLIMAG S 5101</v>
          </cell>
          <cell r="C291" t="str">
            <v>1000222    ROLPOL</v>
          </cell>
          <cell r="D291" t="str">
            <v>KB Sprzed. bezpośrednia</v>
          </cell>
          <cell r="E291">
            <v>51323.199999999903</v>
          </cell>
          <cell r="F291">
            <v>49</v>
          </cell>
          <cell r="G291">
            <v>40171.489999999903</v>
          </cell>
          <cell r="H291">
            <v>2627.32</v>
          </cell>
          <cell r="I291">
            <v>1053.42</v>
          </cell>
          <cell r="J291">
            <v>3481.98</v>
          </cell>
          <cell r="K291">
            <v>0</v>
          </cell>
          <cell r="L291">
            <v>4535.3999999999896</v>
          </cell>
          <cell r="M291">
            <v>47334.209999999897</v>
          </cell>
          <cell r="N291">
            <v>3988.9899999999898</v>
          </cell>
          <cell r="O291">
            <v>0</v>
          </cell>
          <cell r="P291">
            <v>47334.209999999897</v>
          </cell>
          <cell r="Q291">
            <v>3988.9899999999898</v>
          </cell>
          <cell r="R291">
            <v>605.25999999999897</v>
          </cell>
          <cell r="S291">
            <v>47939.47</v>
          </cell>
          <cell r="T291">
            <v>3383.73</v>
          </cell>
        </row>
        <row r="292">
          <cell r="A292" t="str">
            <v>PLN   Złoty</v>
          </cell>
          <cell r="B292" t="str">
            <v>1000/1430       POLIMAG S 5101</v>
          </cell>
          <cell r="C292" t="str">
            <v>1000226    MAŁECCY</v>
          </cell>
          <cell r="D292" t="str">
            <v>KB Sprzed. bezpośrednia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A293" t="str">
            <v>PLN   Złoty</v>
          </cell>
          <cell r="B293" t="str">
            <v>1000/1430       POLIMAG S 5101</v>
          </cell>
          <cell r="C293" t="str">
            <v>1000235    SPÓŁDZIELNIA PRACY "</v>
          </cell>
          <cell r="D293" t="str">
            <v>KB Sprzed. bezpośrednia</v>
          </cell>
          <cell r="E293">
            <v>25738.560000000001</v>
          </cell>
          <cell r="F293">
            <v>24</v>
          </cell>
          <cell r="G293">
            <v>19675.830000000002</v>
          </cell>
          <cell r="H293">
            <v>1317.5999999999899</v>
          </cell>
          <cell r="I293">
            <v>515.97</v>
          </cell>
          <cell r="J293">
            <v>1344.96</v>
          </cell>
          <cell r="K293">
            <v>0</v>
          </cell>
          <cell r="L293">
            <v>1860.93</v>
          </cell>
          <cell r="M293">
            <v>22854.36</v>
          </cell>
          <cell r="N293">
            <v>2884.1999999999898</v>
          </cell>
          <cell r="O293">
            <v>0</v>
          </cell>
          <cell r="P293">
            <v>22854.36</v>
          </cell>
          <cell r="Q293">
            <v>2884.1999999999898</v>
          </cell>
          <cell r="R293">
            <v>296.41000000000003</v>
          </cell>
          <cell r="S293">
            <v>23150.77</v>
          </cell>
          <cell r="T293">
            <v>2587.79</v>
          </cell>
        </row>
        <row r="294">
          <cell r="A294" t="str">
            <v>PLN   Złoty</v>
          </cell>
          <cell r="B294" t="str">
            <v>1000/1430       POLIMAG S 5101</v>
          </cell>
          <cell r="C294" t="str">
            <v>1000248    DYMNY</v>
          </cell>
          <cell r="D294" t="str">
            <v>KB Sprzed. bezpośrednia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</row>
        <row r="295">
          <cell r="A295" t="str">
            <v>PLN   Złoty</v>
          </cell>
          <cell r="B295" t="str">
            <v>1000/1430       POLIMAG S 5101</v>
          </cell>
          <cell r="C295" t="str">
            <v>1000252    AGROSKŁAD</v>
          </cell>
          <cell r="D295" t="str">
            <v>KB Sprzed. bezpośrednia</v>
          </cell>
          <cell r="E295">
            <v>25738.560000000001</v>
          </cell>
          <cell r="F295">
            <v>24</v>
          </cell>
          <cell r="G295">
            <v>19675.830000000002</v>
          </cell>
          <cell r="H295">
            <v>1317.5999999999899</v>
          </cell>
          <cell r="I295">
            <v>515.97</v>
          </cell>
          <cell r="J295">
            <v>1992.72</v>
          </cell>
          <cell r="K295">
            <v>0</v>
          </cell>
          <cell r="L295">
            <v>2508.69</v>
          </cell>
          <cell r="M295">
            <v>23502.119999999901</v>
          </cell>
          <cell r="N295">
            <v>2236.44</v>
          </cell>
          <cell r="O295">
            <v>0</v>
          </cell>
          <cell r="P295">
            <v>23502.119999999901</v>
          </cell>
          <cell r="Q295">
            <v>2236.44</v>
          </cell>
          <cell r="R295">
            <v>296.41000000000003</v>
          </cell>
          <cell r="S295">
            <v>23798.529999999901</v>
          </cell>
          <cell r="T295">
            <v>1940.03</v>
          </cell>
        </row>
        <row r="296">
          <cell r="A296" t="str">
            <v>PLN   Złoty</v>
          </cell>
          <cell r="B296" t="str">
            <v>1000/1430       POLIMAG S 5101</v>
          </cell>
          <cell r="C296" t="str">
            <v>1000257    MAGROL</v>
          </cell>
          <cell r="D296" t="str">
            <v>KB Sprzed. bezpośrednia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A297" t="str">
            <v>PLN   Złoty</v>
          </cell>
          <cell r="B297" t="str">
            <v>1000/1430       POLIMAG S 5101</v>
          </cell>
          <cell r="C297" t="str">
            <v>1000263    PRO-AGRO</v>
          </cell>
          <cell r="D297" t="str">
            <v>KB Sprzed. bezpośrednia</v>
          </cell>
          <cell r="E297">
            <v>50762.400000000001</v>
          </cell>
          <cell r="F297">
            <v>48</v>
          </cell>
          <cell r="G297">
            <v>39351.660000000003</v>
          </cell>
          <cell r="H297">
            <v>2598.6199999999899</v>
          </cell>
          <cell r="I297">
            <v>1031.92</v>
          </cell>
          <cell r="J297">
            <v>3985.44</v>
          </cell>
          <cell r="K297">
            <v>0</v>
          </cell>
          <cell r="L297">
            <v>5017.3599999999897</v>
          </cell>
          <cell r="M297">
            <v>46967.639999999898</v>
          </cell>
          <cell r="N297">
            <v>3794.76</v>
          </cell>
          <cell r="O297">
            <v>0</v>
          </cell>
          <cell r="P297">
            <v>46967.639999999898</v>
          </cell>
          <cell r="Q297">
            <v>3794.76</v>
          </cell>
          <cell r="R297">
            <v>592.91999999999905</v>
          </cell>
          <cell r="S297">
            <v>47560.559999999903</v>
          </cell>
          <cell r="T297">
            <v>3201.84</v>
          </cell>
        </row>
        <row r="298">
          <cell r="A298" t="str">
            <v>PLN   Złoty</v>
          </cell>
          <cell r="B298" t="str">
            <v>1000/1430       POLIMAG S 5101</v>
          </cell>
          <cell r="C298" t="str">
            <v>1000273    HANDEL ARTYKUŁAMI K.</v>
          </cell>
          <cell r="D298" t="str">
            <v>KB Sprzed. bezpośrednia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A299" t="str">
            <v>PLN   Złoty</v>
          </cell>
          <cell r="B299" t="str">
            <v>1000/1430       POLIMAG S 5101</v>
          </cell>
          <cell r="C299" t="str">
            <v>1000276    JAN GACH FIRMA HANDL</v>
          </cell>
          <cell r="D299" t="str">
            <v>KB Sprzed. bezpośrednia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A300" t="str">
            <v>PLN   Złoty</v>
          </cell>
          <cell r="B300" t="str">
            <v>1000/1430       POLIMAG S 5101</v>
          </cell>
          <cell r="C300" t="str">
            <v>1000277    ATRANS</v>
          </cell>
          <cell r="D300" t="str">
            <v>KB Sprzed. bezpośrednia</v>
          </cell>
          <cell r="E300">
            <v>38880</v>
          </cell>
          <cell r="F300">
            <v>36</v>
          </cell>
          <cell r="G300">
            <v>29513.75</v>
          </cell>
          <cell r="H300">
            <v>1990.4</v>
          </cell>
          <cell r="I300">
            <v>773.95</v>
          </cell>
          <cell r="J300">
            <v>2671.1999999999898</v>
          </cell>
          <cell r="K300">
            <v>0</v>
          </cell>
          <cell r="L300">
            <v>3445.15</v>
          </cell>
          <cell r="M300">
            <v>34949.300000000003</v>
          </cell>
          <cell r="N300">
            <v>3930.6999999999898</v>
          </cell>
          <cell r="O300">
            <v>0</v>
          </cell>
          <cell r="P300">
            <v>34949.300000000003</v>
          </cell>
          <cell r="Q300">
            <v>3930.6999999999898</v>
          </cell>
          <cell r="R300">
            <v>444.68</v>
          </cell>
          <cell r="S300">
            <v>35393.980000000003</v>
          </cell>
          <cell r="T300">
            <v>3486.02</v>
          </cell>
        </row>
        <row r="301">
          <cell r="A301" t="str">
            <v>PLN   Złoty</v>
          </cell>
          <cell r="B301" t="str">
            <v>1000/1430       POLIMAG S 5101</v>
          </cell>
          <cell r="C301" t="str">
            <v>1000289    PLON A.Dadrzyński</v>
          </cell>
          <cell r="D301" t="str">
            <v>KB Sprzed. bezpośrednia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PLN   Złoty</v>
          </cell>
          <cell r="B302" t="str">
            <v>1000/1430       POLIMAG S 5101</v>
          </cell>
          <cell r="C302" t="str">
            <v>1000291    "AGRO-BIZNES" SP.J.</v>
          </cell>
          <cell r="D302" t="str">
            <v>KB Sprzed. bezpośrednia</v>
          </cell>
          <cell r="E302">
            <v>73998.720000000001</v>
          </cell>
          <cell r="F302">
            <v>72</v>
          </cell>
          <cell r="G302">
            <v>59027.5</v>
          </cell>
          <cell r="H302">
            <v>3788.1599999999899</v>
          </cell>
          <cell r="I302">
            <v>1547.88</v>
          </cell>
          <cell r="J302">
            <v>0</v>
          </cell>
          <cell r="K302">
            <v>0</v>
          </cell>
          <cell r="L302">
            <v>1547.88</v>
          </cell>
          <cell r="M302">
            <v>64363.54</v>
          </cell>
          <cell r="N302">
            <v>9635.18</v>
          </cell>
          <cell r="O302">
            <v>0</v>
          </cell>
          <cell r="P302">
            <v>64363.54</v>
          </cell>
          <cell r="Q302">
            <v>9635.18</v>
          </cell>
          <cell r="R302">
            <v>889.32</v>
          </cell>
          <cell r="S302">
            <v>65252.86</v>
          </cell>
          <cell r="T302">
            <v>8745.86</v>
          </cell>
        </row>
        <row r="303">
          <cell r="A303" t="str">
            <v>PLN   Złoty</v>
          </cell>
          <cell r="B303" t="str">
            <v>1000/1430       POLIMAG S 5101</v>
          </cell>
          <cell r="C303" t="str">
            <v>1000293    PHM CHEMAT  M.Richte</v>
          </cell>
          <cell r="D303" t="str">
            <v>KB Sprzed. bezpośrednia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PLN   Złoty</v>
          </cell>
          <cell r="B304" t="str">
            <v>1000/1430       POLIMAG S 5101</v>
          </cell>
          <cell r="C304" t="str">
            <v>1000403    SOBIANEK</v>
          </cell>
          <cell r="D304" t="str">
            <v>KB Sprzed. bezpośrednia</v>
          </cell>
          <cell r="E304">
            <v>25738.560000000001</v>
          </cell>
          <cell r="F304">
            <v>24</v>
          </cell>
          <cell r="G304">
            <v>19675.830000000002</v>
          </cell>
          <cell r="H304">
            <v>1317.5999999999899</v>
          </cell>
          <cell r="I304">
            <v>515.97</v>
          </cell>
          <cell r="J304">
            <v>2207.7600000000002</v>
          </cell>
          <cell r="K304">
            <v>0</v>
          </cell>
          <cell r="L304">
            <v>2723.73</v>
          </cell>
          <cell r="M304">
            <v>23717.16</v>
          </cell>
          <cell r="N304">
            <v>2021.4</v>
          </cell>
          <cell r="O304">
            <v>0</v>
          </cell>
          <cell r="P304">
            <v>23717.16</v>
          </cell>
          <cell r="Q304">
            <v>2021.4</v>
          </cell>
          <cell r="R304">
            <v>296.41000000000003</v>
          </cell>
          <cell r="S304">
            <v>24013.57</v>
          </cell>
          <cell r="T304">
            <v>1724.99</v>
          </cell>
        </row>
        <row r="305">
          <cell r="A305" t="str">
            <v>PLN   Złoty</v>
          </cell>
          <cell r="B305" t="str">
            <v>1000/1430       POLIMAG S 5101</v>
          </cell>
          <cell r="C305" t="str">
            <v>1000415    GÓRKA</v>
          </cell>
          <cell r="D305" t="str">
            <v>KB Sprzed. bezpośrednia</v>
          </cell>
          <cell r="E305">
            <v>51477.120000000003</v>
          </cell>
          <cell r="F305">
            <v>48</v>
          </cell>
          <cell r="G305">
            <v>39351.660000000003</v>
          </cell>
          <cell r="H305">
            <v>2635.23</v>
          </cell>
          <cell r="I305">
            <v>1031.92</v>
          </cell>
          <cell r="J305">
            <v>3325.92</v>
          </cell>
          <cell r="K305">
            <v>0</v>
          </cell>
          <cell r="L305">
            <v>4357.84</v>
          </cell>
          <cell r="M305">
            <v>46344.73</v>
          </cell>
          <cell r="N305">
            <v>5132.3900000000003</v>
          </cell>
          <cell r="O305">
            <v>0</v>
          </cell>
          <cell r="P305">
            <v>46344.73</v>
          </cell>
          <cell r="Q305">
            <v>5132.3900000000003</v>
          </cell>
          <cell r="R305">
            <v>592.91999999999905</v>
          </cell>
          <cell r="S305">
            <v>46937.65</v>
          </cell>
          <cell r="T305">
            <v>4539.47</v>
          </cell>
        </row>
        <row r="306">
          <cell r="A306" t="str">
            <v>PLN   Złoty</v>
          </cell>
          <cell r="B306" t="str">
            <v>1000/1430       POLIMAG S 5101</v>
          </cell>
          <cell r="C306" t="str">
            <v>1000524    "CHEMIROL" SP. Z O.O</v>
          </cell>
          <cell r="D306" t="str">
            <v>KB Sprzed. bezpośrednia</v>
          </cell>
          <cell r="E306">
            <v>198402.239999999</v>
          </cell>
          <cell r="F306">
            <v>192</v>
          </cell>
          <cell r="G306">
            <v>157406.64000000001</v>
          </cell>
          <cell r="H306">
            <v>10156.559999999899</v>
          </cell>
          <cell r="I306">
            <v>4127.6899999999896</v>
          </cell>
          <cell r="J306">
            <v>1495.44</v>
          </cell>
          <cell r="K306">
            <v>0</v>
          </cell>
          <cell r="L306">
            <v>5623.13</v>
          </cell>
          <cell r="M306">
            <v>173186.329999999</v>
          </cell>
          <cell r="N306">
            <v>25215.91</v>
          </cell>
          <cell r="O306">
            <v>0</v>
          </cell>
          <cell r="P306">
            <v>173186.329999999</v>
          </cell>
          <cell r="Q306">
            <v>25215.91</v>
          </cell>
          <cell r="R306">
            <v>2371.5700000000002</v>
          </cell>
          <cell r="S306">
            <v>175557.899999999</v>
          </cell>
          <cell r="T306">
            <v>22844.34</v>
          </cell>
        </row>
        <row r="307">
          <cell r="A307" t="str">
            <v>PLN   Złoty</v>
          </cell>
          <cell r="B307" t="str">
            <v>1000/1430       POLIMAG S 5101</v>
          </cell>
          <cell r="C307" t="str">
            <v>1000592    NOŻYŃSKI</v>
          </cell>
          <cell r="D307" t="str">
            <v>KB Sprzed. bezpośrednia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PLN   Złoty</v>
          </cell>
          <cell r="B308" t="str">
            <v>1000/1430       POLIMAG S 5101</v>
          </cell>
          <cell r="C308" t="str">
            <v>1000607    POGES</v>
          </cell>
          <cell r="D308" t="str">
            <v>KB Sprzed. bezpośrednia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PLN   Złoty</v>
          </cell>
          <cell r="B309" t="str">
            <v>1000/1430       POLIMAG S 5101</v>
          </cell>
          <cell r="C309" t="str">
            <v>1000662    "AGRO-HANDLOWIEC" K</v>
          </cell>
          <cell r="D309" t="str">
            <v>KB Sprzed. bezpośrednia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PLN   Złoty</v>
          </cell>
          <cell r="B310" t="str">
            <v>1000/1430       POLIMAG S 5101</v>
          </cell>
          <cell r="C310" t="str">
            <v>1000675    Zaopatrz.Roln. Andrz</v>
          </cell>
          <cell r="D310" t="str">
            <v>KB Sprzed. bezpośrednia</v>
          </cell>
          <cell r="E310">
            <v>25381.200000000001</v>
          </cell>
          <cell r="F310">
            <v>24</v>
          </cell>
          <cell r="G310">
            <v>19675.830000000002</v>
          </cell>
          <cell r="H310">
            <v>1299.3399999999899</v>
          </cell>
          <cell r="I310">
            <v>515.97</v>
          </cell>
          <cell r="J310">
            <v>1242.24</v>
          </cell>
          <cell r="K310">
            <v>0</v>
          </cell>
          <cell r="L310">
            <v>1758.21</v>
          </cell>
          <cell r="M310">
            <v>22733.38</v>
          </cell>
          <cell r="N310">
            <v>2647.82</v>
          </cell>
          <cell r="O310">
            <v>0</v>
          </cell>
          <cell r="P310">
            <v>22733.38</v>
          </cell>
          <cell r="Q310">
            <v>2647.82</v>
          </cell>
          <cell r="R310">
            <v>296.41000000000003</v>
          </cell>
          <cell r="S310">
            <v>23029.79</v>
          </cell>
          <cell r="T310">
            <v>2351.4099999999899</v>
          </cell>
        </row>
        <row r="311">
          <cell r="A311" t="str">
            <v>PLN   Złoty</v>
          </cell>
          <cell r="B311" t="str">
            <v>1000/1430       POLIMAG S 5101</v>
          </cell>
          <cell r="C311" t="str">
            <v>1000680    Giełda Rolna ZOLA Sp</v>
          </cell>
          <cell r="D311" t="str">
            <v>KB Sprzed. bezpośrednia</v>
          </cell>
          <cell r="E311">
            <v>25942</v>
          </cell>
          <cell r="F311">
            <v>25</v>
          </cell>
          <cell r="G311">
            <v>20495.66</v>
          </cell>
          <cell r="H311">
            <v>1328.04</v>
          </cell>
          <cell r="I311">
            <v>537.46</v>
          </cell>
          <cell r="J311">
            <v>1341.43</v>
          </cell>
          <cell r="K311">
            <v>0</v>
          </cell>
          <cell r="L311">
            <v>1878.89</v>
          </cell>
          <cell r="M311">
            <v>23702.59</v>
          </cell>
          <cell r="N311">
            <v>2239.4099999999899</v>
          </cell>
          <cell r="O311">
            <v>0</v>
          </cell>
          <cell r="P311">
            <v>23702.59</v>
          </cell>
          <cell r="Q311">
            <v>2239.4099999999899</v>
          </cell>
          <cell r="R311">
            <v>308.77999999999901</v>
          </cell>
          <cell r="S311">
            <v>24011.369999999901</v>
          </cell>
          <cell r="T311">
            <v>1930.63</v>
          </cell>
        </row>
        <row r="312">
          <cell r="A312" t="str">
            <v>PLN   Złoty</v>
          </cell>
          <cell r="B312" t="str">
            <v>1000/1430       POLIMAG S 5101</v>
          </cell>
          <cell r="C312" t="str">
            <v>1000725    SGS-LUBLIN</v>
          </cell>
          <cell r="D312" t="str">
            <v>KB Sprzed. bezpośrednia</v>
          </cell>
          <cell r="E312">
            <v>64800</v>
          </cell>
          <cell r="F312">
            <v>60</v>
          </cell>
          <cell r="G312">
            <v>49189.58</v>
          </cell>
          <cell r="H312">
            <v>3317.26</v>
          </cell>
          <cell r="I312">
            <v>1289.9000000000001</v>
          </cell>
          <cell r="J312">
            <v>5169.84</v>
          </cell>
          <cell r="K312">
            <v>0</v>
          </cell>
          <cell r="L312">
            <v>6459.7399999999898</v>
          </cell>
          <cell r="M312">
            <v>58966.58</v>
          </cell>
          <cell r="N312">
            <v>5833.42</v>
          </cell>
          <cell r="O312">
            <v>0</v>
          </cell>
          <cell r="P312">
            <v>58966.58</v>
          </cell>
          <cell r="Q312">
            <v>5833.42</v>
          </cell>
          <cell r="R312">
            <v>741.08</v>
          </cell>
          <cell r="S312">
            <v>59707.66</v>
          </cell>
          <cell r="T312">
            <v>5092.34</v>
          </cell>
        </row>
        <row r="313">
          <cell r="A313" t="str">
            <v>PLN   Złoty</v>
          </cell>
          <cell r="B313" t="str">
            <v>1000/1430       POLIMAG S 5101</v>
          </cell>
          <cell r="C313" t="str">
            <v>1000808    TERRA Sp. z o.o.</v>
          </cell>
          <cell r="D313" t="str">
            <v>KB Sprzed. bezpośrednia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PLN   Złoty</v>
          </cell>
          <cell r="B314" t="str">
            <v>1000/1430       POLIMAG S 5101</v>
          </cell>
          <cell r="C314" t="str">
            <v>1000858    BEISELEN - ATR Sp. z</v>
          </cell>
          <cell r="D314" t="str">
            <v>KB Sprzed. bezpośrednia</v>
          </cell>
          <cell r="E314">
            <v>24666.240000000002</v>
          </cell>
          <cell r="F314">
            <v>24</v>
          </cell>
          <cell r="G314">
            <v>19675.830000000002</v>
          </cell>
          <cell r="H314">
            <v>1262.74</v>
          </cell>
          <cell r="I314">
            <v>515.97</v>
          </cell>
          <cell r="J314">
            <v>0</v>
          </cell>
          <cell r="K314">
            <v>0</v>
          </cell>
          <cell r="L314">
            <v>515.97</v>
          </cell>
          <cell r="M314">
            <v>21454.54</v>
          </cell>
          <cell r="N314">
            <v>3211.6999999999898</v>
          </cell>
          <cell r="O314">
            <v>0</v>
          </cell>
          <cell r="P314">
            <v>21454.54</v>
          </cell>
          <cell r="Q314">
            <v>3211.6999999999898</v>
          </cell>
          <cell r="R314">
            <v>296.41000000000003</v>
          </cell>
          <cell r="S314">
            <v>21750.95</v>
          </cell>
          <cell r="T314">
            <v>2915.29</v>
          </cell>
        </row>
        <row r="315">
          <cell r="A315" t="str">
            <v>PLN   Złoty</v>
          </cell>
          <cell r="B315" t="str">
            <v>1000/1430       POLIMAG S 5101</v>
          </cell>
          <cell r="C315" t="str">
            <v>1000982    TORAL Elżbieta Krupa</v>
          </cell>
          <cell r="D315" t="str">
            <v>KB Sprzed. bezpośrednia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PLN   Złoty</v>
          </cell>
          <cell r="B316" t="str">
            <v>1000/1430       POLIMAG S 5101</v>
          </cell>
          <cell r="C316" t="str">
            <v>1001253    ROL-MECH SP. Z O.O.</v>
          </cell>
          <cell r="D316" t="str">
            <v>KB Sprzed. bezpośrednia</v>
          </cell>
          <cell r="E316">
            <v>25920</v>
          </cell>
          <cell r="F316">
            <v>24</v>
          </cell>
          <cell r="G316">
            <v>19675.830000000002</v>
          </cell>
          <cell r="H316">
            <v>1326.89</v>
          </cell>
          <cell r="I316">
            <v>515.97</v>
          </cell>
          <cell r="J316">
            <v>2207.7600000000002</v>
          </cell>
          <cell r="K316">
            <v>0</v>
          </cell>
          <cell r="L316">
            <v>2723.73</v>
          </cell>
          <cell r="M316">
            <v>23726.45</v>
          </cell>
          <cell r="N316">
            <v>2193.5500000000002</v>
          </cell>
          <cell r="O316">
            <v>0</v>
          </cell>
          <cell r="P316">
            <v>23726.45</v>
          </cell>
          <cell r="Q316">
            <v>2193.5500000000002</v>
          </cell>
          <cell r="R316">
            <v>296.41000000000003</v>
          </cell>
          <cell r="S316">
            <v>24022.86</v>
          </cell>
          <cell r="T316">
            <v>1897.14</v>
          </cell>
        </row>
        <row r="317">
          <cell r="A317" t="str">
            <v>PLN   Złoty</v>
          </cell>
          <cell r="B317" t="str">
            <v>1000/1430       POLIMAG S 5101</v>
          </cell>
          <cell r="C317" t="str">
            <v>1001481    Hurt.Śr.Ochr.Roślin-</v>
          </cell>
          <cell r="D317" t="str">
            <v>KB Sprzed. bezpośrednia</v>
          </cell>
          <cell r="E317">
            <v>77760</v>
          </cell>
          <cell r="F317">
            <v>72</v>
          </cell>
          <cell r="G317">
            <v>59027.489999999903</v>
          </cell>
          <cell r="H317">
            <v>3980.65</v>
          </cell>
          <cell r="I317">
            <v>1547.88</v>
          </cell>
          <cell r="J317">
            <v>6193.1999999999898</v>
          </cell>
          <cell r="K317">
            <v>0</v>
          </cell>
          <cell r="L317">
            <v>7741.0799999999899</v>
          </cell>
          <cell r="M317">
            <v>70749.22</v>
          </cell>
          <cell r="N317">
            <v>7010.7799999999897</v>
          </cell>
          <cell r="O317">
            <v>0</v>
          </cell>
          <cell r="P317">
            <v>70749.22</v>
          </cell>
          <cell r="Q317">
            <v>7010.7799999999897</v>
          </cell>
          <cell r="R317">
            <v>889.32</v>
          </cell>
          <cell r="S317">
            <v>71638.539999999906</v>
          </cell>
          <cell r="T317">
            <v>6121.46</v>
          </cell>
        </row>
        <row r="318">
          <cell r="A318" t="str">
            <v>PLN   Złoty</v>
          </cell>
          <cell r="B318" t="str">
            <v>1000/1430       POLIMAG S 5101</v>
          </cell>
          <cell r="C318" t="str">
            <v>1001519    "ARGOL" LESZEK KALIS</v>
          </cell>
          <cell r="D318" t="str">
            <v>KB Sprzed. bezpośrednia</v>
          </cell>
          <cell r="E318">
            <v>5250</v>
          </cell>
          <cell r="F318">
            <v>5</v>
          </cell>
          <cell r="G318">
            <v>4426.2299999999896</v>
          </cell>
          <cell r="H318">
            <v>268.72000000000003</v>
          </cell>
          <cell r="I318">
            <v>107.489999999999</v>
          </cell>
          <cell r="J318">
            <v>0</v>
          </cell>
          <cell r="K318">
            <v>0</v>
          </cell>
          <cell r="L318">
            <v>107.489999999999</v>
          </cell>
          <cell r="M318">
            <v>4802.4399999999896</v>
          </cell>
          <cell r="N318">
            <v>447.56</v>
          </cell>
          <cell r="O318">
            <v>0</v>
          </cell>
          <cell r="P318">
            <v>4802.4399999999896</v>
          </cell>
          <cell r="Q318">
            <v>447.56</v>
          </cell>
          <cell r="R318">
            <v>66.680000000000007</v>
          </cell>
          <cell r="S318">
            <v>4869.1199999999899</v>
          </cell>
          <cell r="T318">
            <v>380.88</v>
          </cell>
        </row>
        <row r="319">
          <cell r="A319" t="str">
            <v>PLN   Złoty</v>
          </cell>
          <cell r="B319" t="str">
            <v>1000/1430       POLIMAG S 5101</v>
          </cell>
          <cell r="C319" t="str">
            <v>1001522    AGRO-BIT</v>
          </cell>
          <cell r="D319" t="str">
            <v>KB Sprzed. bezpośrednia</v>
          </cell>
          <cell r="E319">
            <v>25381.200000000001</v>
          </cell>
          <cell r="F319">
            <v>24</v>
          </cell>
          <cell r="G319">
            <v>19675.830000000002</v>
          </cell>
          <cell r="H319">
            <v>1299.3399999999899</v>
          </cell>
          <cell r="I319">
            <v>515.97</v>
          </cell>
          <cell r="J319">
            <v>2207.7600000000002</v>
          </cell>
          <cell r="K319">
            <v>0</v>
          </cell>
          <cell r="L319">
            <v>2723.73</v>
          </cell>
          <cell r="M319">
            <v>23698.9</v>
          </cell>
          <cell r="N319">
            <v>1682.3</v>
          </cell>
          <cell r="O319">
            <v>0</v>
          </cell>
          <cell r="P319">
            <v>23698.9</v>
          </cell>
          <cell r="Q319">
            <v>1682.3</v>
          </cell>
          <cell r="R319">
            <v>296.41000000000003</v>
          </cell>
          <cell r="S319">
            <v>23995.31</v>
          </cell>
          <cell r="T319">
            <v>1385.89</v>
          </cell>
        </row>
        <row r="320">
          <cell r="A320" t="str">
            <v>PLN   Złoty</v>
          </cell>
          <cell r="B320" t="str">
            <v>1000/1430       POLIMAG S 5101</v>
          </cell>
          <cell r="C320" t="str">
            <v>1001662    AMPOL-MEROL Sp. z o.</v>
          </cell>
          <cell r="D320" t="str">
            <v>KB Sprzed. bezpośrednia</v>
          </cell>
          <cell r="E320">
            <v>25.1999999999999</v>
          </cell>
          <cell r="F320">
            <v>0</v>
          </cell>
          <cell r="G320">
            <v>0</v>
          </cell>
          <cell r="H320">
            <v>1.26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1.26</v>
          </cell>
          <cell r="N320">
            <v>23.94</v>
          </cell>
          <cell r="O320">
            <v>0</v>
          </cell>
          <cell r="P320">
            <v>1.26</v>
          </cell>
          <cell r="Q320">
            <v>23.94</v>
          </cell>
          <cell r="R320">
            <v>0</v>
          </cell>
          <cell r="S320">
            <v>1.26</v>
          </cell>
          <cell r="T320">
            <v>23.94</v>
          </cell>
        </row>
        <row r="321">
          <cell r="A321" t="str">
            <v>PLN   Złoty</v>
          </cell>
          <cell r="B321" t="str">
            <v>1000/1430       POLIMAG S 5101</v>
          </cell>
          <cell r="C321" t="str">
            <v>1001701    INTRAT-BRZ</v>
          </cell>
          <cell r="D321" t="str">
            <v>KB Sprzed. bezpośrednia</v>
          </cell>
          <cell r="E321">
            <v>12420</v>
          </cell>
          <cell r="F321">
            <v>12</v>
          </cell>
          <cell r="G321">
            <v>9837.92</v>
          </cell>
          <cell r="H321">
            <v>635.84</v>
          </cell>
          <cell r="I321">
            <v>257.98</v>
          </cell>
          <cell r="J321">
            <v>0</v>
          </cell>
          <cell r="K321">
            <v>0</v>
          </cell>
          <cell r="L321">
            <v>257.98</v>
          </cell>
          <cell r="M321">
            <v>10731.74</v>
          </cell>
          <cell r="N321">
            <v>1688.26</v>
          </cell>
          <cell r="O321">
            <v>0</v>
          </cell>
          <cell r="P321">
            <v>10731.74</v>
          </cell>
          <cell r="Q321">
            <v>1688.26</v>
          </cell>
          <cell r="R321">
            <v>148.24</v>
          </cell>
          <cell r="S321">
            <v>10879.98</v>
          </cell>
          <cell r="T321">
            <v>1540.02</v>
          </cell>
        </row>
        <row r="322">
          <cell r="A322" t="str">
            <v>PLN   Złoty</v>
          </cell>
          <cell r="B322" t="str">
            <v>1000/1430       POLIMAG S 5101</v>
          </cell>
          <cell r="C322" t="str">
            <v>1001983    FAZOT</v>
          </cell>
          <cell r="D322" t="str">
            <v>KB Sprzed. bezpośrednia</v>
          </cell>
          <cell r="E322">
            <v>24666.240000000002</v>
          </cell>
          <cell r="F322">
            <v>24</v>
          </cell>
          <cell r="G322">
            <v>19675.830000000002</v>
          </cell>
          <cell r="H322">
            <v>1262.74</v>
          </cell>
          <cell r="I322">
            <v>515.97</v>
          </cell>
          <cell r="J322">
            <v>0</v>
          </cell>
          <cell r="K322">
            <v>0</v>
          </cell>
          <cell r="L322">
            <v>515.97</v>
          </cell>
          <cell r="M322">
            <v>21454.54</v>
          </cell>
          <cell r="N322">
            <v>3211.6999999999898</v>
          </cell>
          <cell r="O322">
            <v>0</v>
          </cell>
          <cell r="P322">
            <v>21454.54</v>
          </cell>
          <cell r="Q322">
            <v>3211.6999999999898</v>
          </cell>
          <cell r="R322">
            <v>296.41000000000003</v>
          </cell>
          <cell r="S322">
            <v>21750.95</v>
          </cell>
          <cell r="T322">
            <v>2915.29</v>
          </cell>
        </row>
        <row r="323">
          <cell r="A323" t="str">
            <v>PLN   Złoty</v>
          </cell>
          <cell r="B323" t="str">
            <v>1000/1430       POLIMAG S 5101</v>
          </cell>
          <cell r="C323" t="str">
            <v>1001988    ROLNIK-KOŚCIAN</v>
          </cell>
          <cell r="D323" t="str">
            <v>KB Sprzed. bezpośrednia</v>
          </cell>
          <cell r="E323">
            <v>20093.2599999999</v>
          </cell>
          <cell r="F323">
            <v>19</v>
          </cell>
          <cell r="G323">
            <v>15576.7</v>
          </cell>
          <cell r="H323">
            <v>1028.5899999999899</v>
          </cell>
          <cell r="I323">
            <v>408.47</v>
          </cell>
          <cell r="J323">
            <v>0</v>
          </cell>
          <cell r="K323">
            <v>0</v>
          </cell>
          <cell r="L323">
            <v>408.47</v>
          </cell>
          <cell r="M323">
            <v>17013.7599999999</v>
          </cell>
          <cell r="N323">
            <v>3079.5</v>
          </cell>
          <cell r="O323">
            <v>0</v>
          </cell>
          <cell r="P323">
            <v>17013.7599999999</v>
          </cell>
          <cell r="Q323">
            <v>3079.5</v>
          </cell>
          <cell r="R323">
            <v>234.66</v>
          </cell>
          <cell r="S323">
            <v>17248.4199999999</v>
          </cell>
          <cell r="T323">
            <v>2844.84</v>
          </cell>
        </row>
        <row r="324">
          <cell r="A324" t="str">
            <v>PLN   Złoty</v>
          </cell>
          <cell r="B324" t="str">
            <v>1000/1430       POLIMAG S 5101</v>
          </cell>
          <cell r="C324" t="str">
            <v>1001991    WAMEX</v>
          </cell>
          <cell r="D324" t="str">
            <v>KB Sprzed. bezpośrednia</v>
          </cell>
          <cell r="E324">
            <v>24666.240000000002</v>
          </cell>
          <cell r="F324">
            <v>24</v>
          </cell>
          <cell r="G324">
            <v>19675.830000000002</v>
          </cell>
          <cell r="H324">
            <v>1262.74</v>
          </cell>
          <cell r="I324">
            <v>515.97</v>
          </cell>
          <cell r="J324">
            <v>0</v>
          </cell>
          <cell r="K324">
            <v>0</v>
          </cell>
          <cell r="L324">
            <v>515.97</v>
          </cell>
          <cell r="M324">
            <v>21454.54</v>
          </cell>
          <cell r="N324">
            <v>3211.6999999999898</v>
          </cell>
          <cell r="O324">
            <v>0</v>
          </cell>
          <cell r="P324">
            <v>21454.54</v>
          </cell>
          <cell r="Q324">
            <v>3211.6999999999898</v>
          </cell>
          <cell r="R324">
            <v>296.41000000000003</v>
          </cell>
          <cell r="S324">
            <v>21750.95</v>
          </cell>
          <cell r="T324">
            <v>2915.29</v>
          </cell>
        </row>
        <row r="325">
          <cell r="A325" t="str">
            <v>PLN   Złoty</v>
          </cell>
          <cell r="B325" t="str">
            <v>1000/1430       POLIMAG S 5101</v>
          </cell>
          <cell r="C325" t="str">
            <v>1001994    SKR-STRZELCE</v>
          </cell>
          <cell r="D325" t="str">
            <v>KB Sprzed. bezpośrednia</v>
          </cell>
          <cell r="E325">
            <v>99379.919999999896</v>
          </cell>
          <cell r="F325">
            <v>96</v>
          </cell>
          <cell r="G325">
            <v>78800.240000000005</v>
          </cell>
          <cell r="H325">
            <v>5087.4899999999898</v>
          </cell>
          <cell r="I325">
            <v>2063.84</v>
          </cell>
          <cell r="J325">
            <v>1692.48</v>
          </cell>
          <cell r="K325">
            <v>0</v>
          </cell>
          <cell r="L325">
            <v>3756.32</v>
          </cell>
          <cell r="M325">
            <v>87644.05</v>
          </cell>
          <cell r="N325">
            <v>11735.87</v>
          </cell>
          <cell r="O325">
            <v>0</v>
          </cell>
          <cell r="P325">
            <v>87644.05</v>
          </cell>
          <cell r="Q325">
            <v>11735.87</v>
          </cell>
          <cell r="R325">
            <v>1187.25</v>
          </cell>
          <cell r="S325">
            <v>88831.3</v>
          </cell>
          <cell r="T325">
            <v>10548.62</v>
          </cell>
        </row>
        <row r="326">
          <cell r="A326" t="str">
            <v>PLN   Złoty</v>
          </cell>
          <cell r="B326" t="str">
            <v>1000/1430       POLIMAG S 5101</v>
          </cell>
          <cell r="C326" t="str">
            <v>1002007    STAMPOL</v>
          </cell>
          <cell r="D326" t="str">
            <v>KB Sprzed. bezpośrednia</v>
          </cell>
          <cell r="E326">
            <v>25381.200000000001</v>
          </cell>
          <cell r="F326">
            <v>24</v>
          </cell>
          <cell r="G326">
            <v>19675.830000000002</v>
          </cell>
          <cell r="H326">
            <v>1299.3399999999899</v>
          </cell>
          <cell r="I326">
            <v>515.97</v>
          </cell>
          <cell r="J326">
            <v>1992.72</v>
          </cell>
          <cell r="K326">
            <v>0</v>
          </cell>
          <cell r="L326">
            <v>2508.69</v>
          </cell>
          <cell r="M326">
            <v>23483.86</v>
          </cell>
          <cell r="N326">
            <v>1897.3399999999899</v>
          </cell>
          <cell r="O326">
            <v>0</v>
          </cell>
          <cell r="P326">
            <v>23483.86</v>
          </cell>
          <cell r="Q326">
            <v>1897.3399999999899</v>
          </cell>
          <cell r="R326">
            <v>296.41000000000003</v>
          </cell>
          <cell r="S326">
            <v>23780.27</v>
          </cell>
          <cell r="T326">
            <v>1600.93</v>
          </cell>
        </row>
        <row r="327">
          <cell r="A327" t="str">
            <v>PLN   Złoty</v>
          </cell>
          <cell r="B327" t="str">
            <v>1000/1430       POLIMAG S 5101</v>
          </cell>
          <cell r="C327" t="str">
            <v>1002009    AGROTECHNI</v>
          </cell>
          <cell r="D327" t="str">
            <v>KB Sprzed. bezpośrednia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PLN   Złoty</v>
          </cell>
          <cell r="B328" t="str">
            <v>1000/1430       POLIMAG S 5101</v>
          </cell>
          <cell r="C328" t="str">
            <v>1002012    SKR-CZAPLI</v>
          </cell>
          <cell r="D328" t="str">
            <v>KB Sprzed. bezpośrednia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PLN   Złoty</v>
          </cell>
          <cell r="B329" t="str">
            <v>1000/1430       POLIMAG S 5101</v>
          </cell>
          <cell r="C329" t="str">
            <v>1002056    GS-Koronowo</v>
          </cell>
          <cell r="D329" t="str">
            <v>KB Sprzed. bezpośrednia</v>
          </cell>
          <cell r="E329">
            <v>25920</v>
          </cell>
          <cell r="F329">
            <v>24</v>
          </cell>
          <cell r="G329">
            <v>19675.830000000002</v>
          </cell>
          <cell r="H329">
            <v>1326.89</v>
          </cell>
          <cell r="I329">
            <v>515.97</v>
          </cell>
          <cell r="J329">
            <v>918.24</v>
          </cell>
          <cell r="K329">
            <v>0</v>
          </cell>
          <cell r="L329">
            <v>1434.21</v>
          </cell>
          <cell r="M329">
            <v>22436.93</v>
          </cell>
          <cell r="N329">
            <v>3483.07</v>
          </cell>
          <cell r="O329">
            <v>0</v>
          </cell>
          <cell r="P329">
            <v>22436.93</v>
          </cell>
          <cell r="Q329">
            <v>3483.07</v>
          </cell>
          <cell r="R329">
            <v>296.41000000000003</v>
          </cell>
          <cell r="S329">
            <v>22733.34</v>
          </cell>
          <cell r="T329">
            <v>3186.6599999999899</v>
          </cell>
        </row>
        <row r="330">
          <cell r="A330" t="str">
            <v>PLN   Złoty</v>
          </cell>
          <cell r="B330" t="str">
            <v>1000/1430       POLIMAG S 5101</v>
          </cell>
          <cell r="C330" t="str">
            <v>1002151    "AGRO-HANDEL"</v>
          </cell>
          <cell r="D330" t="str">
            <v>KB Sprzed. bezpośrednia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PLN   Złoty</v>
          </cell>
          <cell r="B331" t="str">
            <v>1000/1430       POLIMAG S 5101</v>
          </cell>
          <cell r="C331" t="str">
            <v>1002643    "MINERAL" SP. Z O.O.</v>
          </cell>
          <cell r="D331" t="str">
            <v>KB Sprzed. bezpośrednia</v>
          </cell>
          <cell r="E331">
            <v>14388.639999999899</v>
          </cell>
          <cell r="F331">
            <v>14</v>
          </cell>
          <cell r="G331">
            <v>11477.57</v>
          </cell>
          <cell r="H331">
            <v>736.62</v>
          </cell>
          <cell r="I331">
            <v>300.98</v>
          </cell>
          <cell r="J331">
            <v>0</v>
          </cell>
          <cell r="K331">
            <v>0</v>
          </cell>
          <cell r="L331">
            <v>300.98</v>
          </cell>
          <cell r="M331">
            <v>12515.17</v>
          </cell>
          <cell r="N331">
            <v>1873.47</v>
          </cell>
          <cell r="O331">
            <v>0</v>
          </cell>
          <cell r="P331">
            <v>12515.17</v>
          </cell>
          <cell r="Q331">
            <v>1873.47</v>
          </cell>
          <cell r="R331">
            <v>172.93</v>
          </cell>
          <cell r="S331">
            <v>12688.1</v>
          </cell>
          <cell r="T331">
            <v>1700.54</v>
          </cell>
        </row>
        <row r="332">
          <cell r="A332" t="str">
            <v>PLN   Złoty</v>
          </cell>
          <cell r="B332" t="str">
            <v>1000/1430       POLIMAG S 5101</v>
          </cell>
          <cell r="C332" t="str">
            <v>1002657    "AGROFIRMA"-TOMASZ W</v>
          </cell>
          <cell r="D332" t="str">
            <v>KB Sprzed. bezpośrednia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PLN   Złoty</v>
          </cell>
          <cell r="B333" t="str">
            <v>1000/1430       POLIMAG S 5101</v>
          </cell>
          <cell r="C333" t="str">
            <v>1002790    AGRO-SKŁAD SZYMON NO</v>
          </cell>
          <cell r="D333" t="str">
            <v>KB Sprzed. bezpośrednia</v>
          </cell>
          <cell r="E333">
            <v>24666.240000000002</v>
          </cell>
          <cell r="F333">
            <v>24</v>
          </cell>
          <cell r="G333">
            <v>19675.830000000002</v>
          </cell>
          <cell r="H333">
            <v>1262.74</v>
          </cell>
          <cell r="I333">
            <v>515.97</v>
          </cell>
          <cell r="J333">
            <v>0</v>
          </cell>
          <cell r="K333">
            <v>0</v>
          </cell>
          <cell r="L333">
            <v>515.97</v>
          </cell>
          <cell r="M333">
            <v>21454.54</v>
          </cell>
          <cell r="N333">
            <v>3211.6999999999898</v>
          </cell>
          <cell r="O333">
            <v>0</v>
          </cell>
          <cell r="P333">
            <v>21454.54</v>
          </cell>
          <cell r="Q333">
            <v>3211.6999999999898</v>
          </cell>
          <cell r="R333">
            <v>296.41000000000003</v>
          </cell>
          <cell r="S333">
            <v>21750.95</v>
          </cell>
          <cell r="T333">
            <v>2915.29</v>
          </cell>
        </row>
        <row r="334">
          <cell r="A334" t="str">
            <v>PLN   Złoty</v>
          </cell>
          <cell r="B334" t="str">
            <v>1000/1430       POLIMAG S 5101</v>
          </cell>
          <cell r="C334" t="str">
            <v>1002912    "SOMIR" SP. Z O.O.</v>
          </cell>
          <cell r="D334" t="str">
            <v>KB Sprzed. bezpośrednia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PLN   Złoty</v>
          </cell>
          <cell r="B335" t="str">
            <v>1000/1430       POLIMAG S 5101</v>
          </cell>
          <cell r="C335" t="str">
            <v>1003056    LECHPOL SP. Z O.O.</v>
          </cell>
          <cell r="D335" t="str">
            <v>KB Sprzed. bezpośrednia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PLN   Złoty</v>
          </cell>
          <cell r="B336" t="str">
            <v>1000/1430       POLIMAG S 5101</v>
          </cell>
          <cell r="C336" t="str">
            <v>1003315    ZAKŁAD OBROTU ROLNEG</v>
          </cell>
          <cell r="D336" t="str">
            <v>KB Sprzed. bezpośrednia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PLN   Złoty</v>
          </cell>
          <cell r="B337" t="str">
            <v>1000/1430       POLIMAG S 5101</v>
          </cell>
          <cell r="C337" t="str">
            <v>1003605    "AGROMUND"</v>
          </cell>
          <cell r="D337" t="str">
            <v>KB Sprzed. bezpośrednia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PLN   Złoty</v>
          </cell>
          <cell r="B338" t="str">
            <v>1000/1430       POLIMAG S 5101</v>
          </cell>
          <cell r="C338" t="str">
            <v>1003773    "NIRO"</v>
          </cell>
          <cell r="D338" t="str">
            <v>KB Sprzed. bezpośrednia</v>
          </cell>
          <cell r="E338">
            <v>12333.12</v>
          </cell>
          <cell r="F338">
            <v>12</v>
          </cell>
          <cell r="G338">
            <v>9837.92</v>
          </cell>
          <cell r="H338">
            <v>631.37</v>
          </cell>
          <cell r="I338">
            <v>257.98</v>
          </cell>
          <cell r="J338">
            <v>0</v>
          </cell>
          <cell r="K338">
            <v>0</v>
          </cell>
          <cell r="L338">
            <v>257.98</v>
          </cell>
          <cell r="M338">
            <v>10727.27</v>
          </cell>
          <cell r="N338">
            <v>1605.8499999999899</v>
          </cell>
          <cell r="O338">
            <v>0</v>
          </cell>
          <cell r="P338">
            <v>10727.27</v>
          </cell>
          <cell r="Q338">
            <v>1605.8499999999899</v>
          </cell>
          <cell r="R338">
            <v>148.24</v>
          </cell>
          <cell r="S338">
            <v>10875.51</v>
          </cell>
          <cell r="T338">
            <v>1457.6099999999899</v>
          </cell>
        </row>
        <row r="339">
          <cell r="A339" t="str">
            <v>PLN   Złoty</v>
          </cell>
          <cell r="B339" t="str">
            <v>1000/1430       POLIMAG S 5101</v>
          </cell>
          <cell r="C339" t="str">
            <v>1003827    STAL-BUD</v>
          </cell>
          <cell r="D339" t="str">
            <v>KB Sprzed. bezpośrednia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PLN   Złoty</v>
          </cell>
          <cell r="B340" t="str">
            <v>1000/1430       POLIMAG S 5101</v>
          </cell>
          <cell r="C340" t="str">
            <v>1003857    EDMAR</v>
          </cell>
          <cell r="D340" t="str">
            <v>KB Sprzed. bezpośrednia</v>
          </cell>
          <cell r="E340">
            <v>51840</v>
          </cell>
          <cell r="F340">
            <v>48</v>
          </cell>
          <cell r="G340">
            <v>39351.660000000003</v>
          </cell>
          <cell r="H340">
            <v>2653.8099999999899</v>
          </cell>
          <cell r="I340">
            <v>1031.92</v>
          </cell>
          <cell r="J340">
            <v>3773.28</v>
          </cell>
          <cell r="K340">
            <v>0</v>
          </cell>
          <cell r="L340">
            <v>4805.1999999999898</v>
          </cell>
          <cell r="M340">
            <v>46810.669999999896</v>
          </cell>
          <cell r="N340">
            <v>5029.3299999999899</v>
          </cell>
          <cell r="O340">
            <v>0</v>
          </cell>
          <cell r="P340">
            <v>46810.669999999896</v>
          </cell>
          <cell r="Q340">
            <v>5029.3299999999899</v>
          </cell>
          <cell r="R340">
            <v>592.91999999999905</v>
          </cell>
          <cell r="S340">
            <v>47403.589999999902</v>
          </cell>
          <cell r="T340">
            <v>4436.4099999999899</v>
          </cell>
        </row>
        <row r="341">
          <cell r="A341" t="str">
            <v>PLN   Złoty</v>
          </cell>
          <cell r="B341" t="str">
            <v>1000/1430       POLIMAG S 5101</v>
          </cell>
          <cell r="C341" t="str">
            <v>1003904    "AGROCHEMIK"</v>
          </cell>
          <cell r="D341" t="str">
            <v>KB Sprzed. bezpośrednia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PLN   Złoty</v>
          </cell>
          <cell r="B342" t="str">
            <v>1000/1430       POLIMAG S 5101</v>
          </cell>
          <cell r="C342" t="str">
            <v>1003981    GRUPA POLSKIE SKŁADY</v>
          </cell>
          <cell r="D342" t="str">
            <v>KB Sprzed. bezpośrednia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PLN   Złoty</v>
          </cell>
          <cell r="B343" t="str">
            <v>1000/1430       POLIMAG S 5101</v>
          </cell>
          <cell r="C343" t="str">
            <v>1003988    BLENDING Sp.z o.o.</v>
          </cell>
          <cell r="D343" t="str">
            <v>KB Sprzed. bezpośrednia</v>
          </cell>
          <cell r="E343">
            <v>9315</v>
          </cell>
          <cell r="F343">
            <v>9</v>
          </cell>
          <cell r="G343">
            <v>7378.4399999999896</v>
          </cell>
          <cell r="H343">
            <v>476.85</v>
          </cell>
          <cell r="I343">
            <v>193.479999999999</v>
          </cell>
          <cell r="J343">
            <v>0</v>
          </cell>
          <cell r="K343">
            <v>0</v>
          </cell>
          <cell r="L343">
            <v>193.479999999999</v>
          </cell>
          <cell r="M343">
            <v>8048.77</v>
          </cell>
          <cell r="N343">
            <v>1266.23</v>
          </cell>
          <cell r="O343">
            <v>0</v>
          </cell>
          <cell r="P343">
            <v>8048.77</v>
          </cell>
          <cell r="Q343">
            <v>1266.23</v>
          </cell>
          <cell r="R343">
            <v>111.17</v>
          </cell>
          <cell r="S343">
            <v>8159.9399999999896</v>
          </cell>
          <cell r="T343">
            <v>1155.0599999999899</v>
          </cell>
        </row>
        <row r="344">
          <cell r="A344" t="str">
            <v>PLN   Złoty</v>
          </cell>
          <cell r="B344" t="str">
            <v>1000/1430       POLIMAG S 5101</v>
          </cell>
          <cell r="C344" t="str">
            <v>1004168    "OSADKOWSKI" SPÓŁKA</v>
          </cell>
          <cell r="D344" t="str">
            <v>KB Sprzed. bezpośrednia</v>
          </cell>
          <cell r="E344">
            <v>49680</v>
          </cell>
          <cell r="F344">
            <v>48</v>
          </cell>
          <cell r="G344">
            <v>39351.660000000003</v>
          </cell>
          <cell r="H344">
            <v>2543.2600000000002</v>
          </cell>
          <cell r="I344">
            <v>1031.92</v>
          </cell>
          <cell r="J344">
            <v>0</v>
          </cell>
          <cell r="K344">
            <v>0</v>
          </cell>
          <cell r="L344">
            <v>1031.92</v>
          </cell>
          <cell r="M344">
            <v>42926.839999999902</v>
          </cell>
          <cell r="N344">
            <v>6753.1599999999899</v>
          </cell>
          <cell r="O344">
            <v>0</v>
          </cell>
          <cell r="P344">
            <v>42926.839999999902</v>
          </cell>
          <cell r="Q344">
            <v>6753.1599999999899</v>
          </cell>
          <cell r="R344">
            <v>592.91999999999905</v>
          </cell>
          <cell r="S344">
            <v>43519.76</v>
          </cell>
          <cell r="T344">
            <v>6160.2399999999898</v>
          </cell>
        </row>
        <row r="345">
          <cell r="A345" t="str">
            <v>PLN   Złoty</v>
          </cell>
          <cell r="B345" t="str">
            <v>1000/1430       POLIMAG S 5101</v>
          </cell>
          <cell r="C345" t="str">
            <v>1004208    Morawski-Sprzed.Art.</v>
          </cell>
          <cell r="D345" t="str">
            <v>KB Sprzed. bezpośrednia</v>
          </cell>
          <cell r="E345">
            <v>102778.32</v>
          </cell>
          <cell r="F345">
            <v>96</v>
          </cell>
          <cell r="G345">
            <v>78703.320000000007</v>
          </cell>
          <cell r="H345">
            <v>5261.42</v>
          </cell>
          <cell r="I345">
            <v>2063.8499999999899</v>
          </cell>
          <cell r="J345">
            <v>6651.84</v>
          </cell>
          <cell r="K345">
            <v>0</v>
          </cell>
          <cell r="L345">
            <v>8715.69</v>
          </cell>
          <cell r="M345">
            <v>92680.429999999906</v>
          </cell>
          <cell r="N345">
            <v>10097.889999999899</v>
          </cell>
          <cell r="O345">
            <v>0</v>
          </cell>
          <cell r="P345">
            <v>92680.429999999906</v>
          </cell>
          <cell r="Q345">
            <v>10097.889999999899</v>
          </cell>
          <cell r="R345">
            <v>1185.78</v>
          </cell>
          <cell r="S345">
            <v>93866.21</v>
          </cell>
          <cell r="T345">
            <v>8912.11</v>
          </cell>
        </row>
        <row r="346">
          <cell r="A346" t="str">
            <v>PLN   Złoty</v>
          </cell>
          <cell r="B346" t="str">
            <v>1000/1430       POLIMAG S 5101</v>
          </cell>
          <cell r="C346" t="str">
            <v>1004710    "AGRICOLA-LUBLIN" SP</v>
          </cell>
          <cell r="D346" t="str">
            <v>KB Sprzed. bezpośrednia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PLN   Złoty</v>
          </cell>
          <cell r="B347" t="str">
            <v>1000/1430       POLIMAG S 5101</v>
          </cell>
          <cell r="C347" t="str">
            <v>1004713    AGRI TRADING SP. Z O</v>
          </cell>
          <cell r="D347" t="str">
            <v>KB Sprzed. bezpośrednia</v>
          </cell>
          <cell r="E347">
            <v>32888.32</v>
          </cell>
          <cell r="F347">
            <v>32</v>
          </cell>
          <cell r="G347">
            <v>26234.45</v>
          </cell>
          <cell r="H347">
            <v>1683.6099999999899</v>
          </cell>
          <cell r="I347">
            <v>687.96</v>
          </cell>
          <cell r="J347">
            <v>0</v>
          </cell>
          <cell r="K347">
            <v>0</v>
          </cell>
          <cell r="L347">
            <v>687.96</v>
          </cell>
          <cell r="M347">
            <v>28606.02</v>
          </cell>
          <cell r="N347">
            <v>4282.3</v>
          </cell>
          <cell r="O347">
            <v>0</v>
          </cell>
          <cell r="P347">
            <v>28606.02</v>
          </cell>
          <cell r="Q347">
            <v>4282.3</v>
          </cell>
          <cell r="R347">
            <v>395.25999999999902</v>
          </cell>
          <cell r="S347">
            <v>29001.279999999901</v>
          </cell>
          <cell r="T347">
            <v>3887.04</v>
          </cell>
        </row>
        <row r="348">
          <cell r="A348" t="str">
            <v>PLN   Złoty</v>
          </cell>
          <cell r="B348" t="str">
            <v>1000/1431       NPK 8-11-24-3</v>
          </cell>
          <cell r="C348" t="str">
            <v>1000248    DYMNY</v>
          </cell>
          <cell r="D348" t="str">
            <v>KB Sprzed. bezpośrednia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522.58000000000004</v>
          </cell>
          <cell r="J348">
            <v>0</v>
          </cell>
          <cell r="K348">
            <v>0</v>
          </cell>
          <cell r="L348">
            <v>522.58000000000004</v>
          </cell>
          <cell r="M348">
            <v>522.58000000000004</v>
          </cell>
          <cell r="N348">
            <v>-522.58000000000004</v>
          </cell>
          <cell r="O348">
            <v>0</v>
          </cell>
          <cell r="P348">
            <v>522.58000000000004</v>
          </cell>
          <cell r="Q348">
            <v>-522.58000000000004</v>
          </cell>
          <cell r="R348">
            <v>0</v>
          </cell>
          <cell r="S348">
            <v>522.58000000000004</v>
          </cell>
          <cell r="T348">
            <v>-522.58000000000004</v>
          </cell>
        </row>
        <row r="349">
          <cell r="A349" t="str">
            <v>PLN   Złoty</v>
          </cell>
          <cell r="B349" t="str">
            <v>1000/1431       NPK 8-11-24-3</v>
          </cell>
          <cell r="C349" t="str">
            <v>1000263    PRO-AGRO</v>
          </cell>
          <cell r="D349" t="str">
            <v>KB Sprzed. bezpośrednia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407.87</v>
          </cell>
          <cell r="J349">
            <v>0</v>
          </cell>
          <cell r="K349">
            <v>0</v>
          </cell>
          <cell r="L349">
            <v>407.87</v>
          </cell>
          <cell r="M349">
            <v>407.87</v>
          </cell>
          <cell r="N349">
            <v>-407.87</v>
          </cell>
          <cell r="O349">
            <v>0</v>
          </cell>
          <cell r="P349">
            <v>407.87</v>
          </cell>
          <cell r="Q349">
            <v>-407.87</v>
          </cell>
          <cell r="R349">
            <v>0</v>
          </cell>
          <cell r="S349">
            <v>407.87</v>
          </cell>
          <cell r="T349">
            <v>-407.87</v>
          </cell>
        </row>
        <row r="350">
          <cell r="A350" t="str">
            <v>PLN   Złoty</v>
          </cell>
          <cell r="B350" t="str">
            <v>1000/1431       NPK 8-11-24-3</v>
          </cell>
          <cell r="C350" t="str">
            <v>1001994    SKR-STRZELCE</v>
          </cell>
          <cell r="D350" t="str">
            <v>KB Sprzed. bezpośrednia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203.94</v>
          </cell>
          <cell r="J350">
            <v>0</v>
          </cell>
          <cell r="K350">
            <v>0</v>
          </cell>
          <cell r="L350">
            <v>203.94</v>
          </cell>
          <cell r="M350">
            <v>203.94</v>
          </cell>
          <cell r="N350">
            <v>-203.94</v>
          </cell>
          <cell r="O350">
            <v>0</v>
          </cell>
          <cell r="P350">
            <v>203.94</v>
          </cell>
          <cell r="Q350">
            <v>-203.94</v>
          </cell>
          <cell r="R350">
            <v>0</v>
          </cell>
          <cell r="S350">
            <v>203.94</v>
          </cell>
          <cell r="T350">
            <v>-203.94</v>
          </cell>
        </row>
        <row r="351">
          <cell r="A351" t="str">
            <v>PLN   Złoty</v>
          </cell>
          <cell r="B351" t="str">
            <v>1000/1431       NPK 8-11-24-3</v>
          </cell>
          <cell r="C351" t="str">
            <v>1003605    "AGROMUND"</v>
          </cell>
          <cell r="D351" t="str">
            <v>KB Sprzed. bezpośrednia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212.43</v>
          </cell>
          <cell r="J351">
            <v>0</v>
          </cell>
          <cell r="K351">
            <v>0</v>
          </cell>
          <cell r="L351">
            <v>212.43</v>
          </cell>
          <cell r="M351">
            <v>212.43</v>
          </cell>
          <cell r="N351">
            <v>-212.43</v>
          </cell>
          <cell r="O351">
            <v>0</v>
          </cell>
          <cell r="P351">
            <v>212.43</v>
          </cell>
          <cell r="Q351">
            <v>-212.43</v>
          </cell>
          <cell r="R351">
            <v>0</v>
          </cell>
          <cell r="S351">
            <v>212.43</v>
          </cell>
          <cell r="T351">
            <v>-212.43</v>
          </cell>
        </row>
        <row r="352">
          <cell r="A352" t="str">
            <v>PLN   Złoty</v>
          </cell>
          <cell r="B352" t="str">
            <v>1000/1431       NPK 8-11-24-3</v>
          </cell>
          <cell r="C352" t="str">
            <v>1004340    "AGRO-TECH"</v>
          </cell>
          <cell r="D352" t="str">
            <v>KB Sprzed. bezpośrednia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212.43</v>
          </cell>
          <cell r="J352">
            <v>0</v>
          </cell>
          <cell r="K352">
            <v>0</v>
          </cell>
          <cell r="L352">
            <v>212.43</v>
          </cell>
          <cell r="M352">
            <v>212.43</v>
          </cell>
          <cell r="N352">
            <v>-212.43</v>
          </cell>
          <cell r="O352">
            <v>0</v>
          </cell>
          <cell r="P352">
            <v>212.43</v>
          </cell>
          <cell r="Q352">
            <v>-212.43</v>
          </cell>
          <cell r="R352">
            <v>0</v>
          </cell>
          <cell r="S352">
            <v>212.43</v>
          </cell>
          <cell r="T352">
            <v>-212.43</v>
          </cell>
        </row>
        <row r="353">
          <cell r="A353" t="str">
            <v>PLN   Złoty</v>
          </cell>
          <cell r="B353" t="str">
            <v>1000/1449       NPK 10-20-20</v>
          </cell>
          <cell r="C353" t="str">
            <v>1003056    LECHPOL SP. Z O.O.</v>
          </cell>
          <cell r="D353" t="str">
            <v>KB Sprzed. bezpośrednia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32.49</v>
          </cell>
          <cell r="J353">
            <v>0</v>
          </cell>
          <cell r="K353">
            <v>0</v>
          </cell>
          <cell r="L353">
            <v>32.49</v>
          </cell>
          <cell r="M353">
            <v>32.49</v>
          </cell>
          <cell r="N353">
            <v>-32.49</v>
          </cell>
          <cell r="O353">
            <v>0</v>
          </cell>
          <cell r="P353">
            <v>32.49</v>
          </cell>
          <cell r="Q353">
            <v>-32.49</v>
          </cell>
          <cell r="R353">
            <v>0</v>
          </cell>
          <cell r="S353">
            <v>32.49</v>
          </cell>
          <cell r="T353">
            <v>-32.49</v>
          </cell>
        </row>
        <row r="354">
          <cell r="A354" t="str">
            <v>PLN   Złoty</v>
          </cell>
          <cell r="B354" t="str">
            <v>1000/1457       NPK 5-10-30Petroplon</v>
          </cell>
          <cell r="C354" t="str">
            <v>1000524    "CHEMIROL" SP. Z O.O</v>
          </cell>
          <cell r="D354" t="str">
            <v>KB Sprzed. bezpośrednia</v>
          </cell>
          <cell r="E354">
            <v>20614.799999999901</v>
          </cell>
          <cell r="F354">
            <v>24</v>
          </cell>
          <cell r="G354">
            <v>14551.24</v>
          </cell>
          <cell r="H354">
            <v>1055.3599999999899</v>
          </cell>
          <cell r="I354">
            <v>562.92999999999904</v>
          </cell>
          <cell r="J354">
            <v>1344.96</v>
          </cell>
          <cell r="K354">
            <v>0</v>
          </cell>
          <cell r="L354">
            <v>1907.89</v>
          </cell>
          <cell r="M354">
            <v>17514.490000000002</v>
          </cell>
          <cell r="N354">
            <v>3100.3099999999899</v>
          </cell>
          <cell r="O354">
            <v>0</v>
          </cell>
          <cell r="P354">
            <v>17514.490000000002</v>
          </cell>
          <cell r="Q354">
            <v>3100.3099999999899</v>
          </cell>
          <cell r="R354">
            <v>219.24</v>
          </cell>
          <cell r="S354">
            <v>17733.73</v>
          </cell>
          <cell r="T354">
            <v>2881.07</v>
          </cell>
        </row>
        <row r="355">
          <cell r="A355" t="str">
            <v>PLN   Złoty</v>
          </cell>
          <cell r="B355" t="str">
            <v>1000/1457       NPK 5-10-30Petroplon</v>
          </cell>
          <cell r="C355" t="str">
            <v>1001983    FAZOT</v>
          </cell>
          <cell r="D355" t="str">
            <v>KB Sprzed. bezpośrednia</v>
          </cell>
          <cell r="E355">
            <v>20552.400000000001</v>
          </cell>
          <cell r="F355">
            <v>24</v>
          </cell>
          <cell r="G355">
            <v>14551.219999999899</v>
          </cell>
          <cell r="H355">
            <v>1052.1099999999899</v>
          </cell>
          <cell r="I355">
            <v>562.92999999999904</v>
          </cell>
          <cell r="J355">
            <v>1212.48</v>
          </cell>
          <cell r="K355">
            <v>0</v>
          </cell>
          <cell r="L355">
            <v>1775.41</v>
          </cell>
          <cell r="M355">
            <v>17378.740000000002</v>
          </cell>
          <cell r="N355">
            <v>3173.6599999999899</v>
          </cell>
          <cell r="O355">
            <v>0</v>
          </cell>
          <cell r="P355">
            <v>17378.740000000002</v>
          </cell>
          <cell r="Q355">
            <v>3173.6599999999899</v>
          </cell>
          <cell r="R355">
            <v>219.24</v>
          </cell>
          <cell r="S355">
            <v>17597.98</v>
          </cell>
          <cell r="T355">
            <v>2954.42</v>
          </cell>
        </row>
        <row r="356">
          <cell r="A356" t="str">
            <v>PLN   Złoty</v>
          </cell>
          <cell r="B356" t="str">
            <v>1000/1457       NPK 5-10-30Petroplon</v>
          </cell>
          <cell r="C356" t="str">
            <v>1002956    MIROSŁAW ULENBERG "U</v>
          </cell>
          <cell r="D356" t="str">
            <v>KB Sprzed. bezpośrednia</v>
          </cell>
          <cell r="E356">
            <v>21120</v>
          </cell>
          <cell r="F356">
            <v>24</v>
          </cell>
          <cell r="G356">
            <v>15392.92</v>
          </cell>
          <cell r="H356">
            <v>1081.1500000000001</v>
          </cell>
          <cell r="I356">
            <v>562.92999999999904</v>
          </cell>
          <cell r="J356">
            <v>894.72</v>
          </cell>
          <cell r="K356">
            <v>0</v>
          </cell>
          <cell r="L356">
            <v>1457.65</v>
          </cell>
          <cell r="M356">
            <v>17931.72</v>
          </cell>
          <cell r="N356">
            <v>3188.28</v>
          </cell>
          <cell r="O356">
            <v>0</v>
          </cell>
          <cell r="P356">
            <v>17931.72</v>
          </cell>
          <cell r="Q356">
            <v>3188.28</v>
          </cell>
          <cell r="R356">
            <v>231.88999999999899</v>
          </cell>
          <cell r="S356">
            <v>18163.61</v>
          </cell>
          <cell r="T356">
            <v>2956.3899999999899</v>
          </cell>
        </row>
        <row r="357">
          <cell r="A357" t="str">
            <v>PLN   Złoty</v>
          </cell>
          <cell r="B357" t="str">
            <v>1000/1457       NPK 5-10-30Petroplon</v>
          </cell>
          <cell r="C357" t="str">
            <v>1003056    LECHPOL SP. Z O.O.</v>
          </cell>
          <cell r="D357" t="str">
            <v>KB Sprzed. bezpośrednia</v>
          </cell>
          <cell r="E357">
            <v>136951.56</v>
          </cell>
          <cell r="F357">
            <v>165</v>
          </cell>
          <cell r="G357">
            <v>104984.64</v>
          </cell>
          <cell r="H357">
            <v>7010.79</v>
          </cell>
          <cell r="I357">
            <v>3870.1399999999899</v>
          </cell>
          <cell r="J357">
            <v>0</v>
          </cell>
          <cell r="K357">
            <v>0</v>
          </cell>
          <cell r="L357">
            <v>3870.1399999999899</v>
          </cell>
          <cell r="M357">
            <v>115865.57</v>
          </cell>
          <cell r="N357">
            <v>21085.99</v>
          </cell>
          <cell r="O357">
            <v>0</v>
          </cell>
          <cell r="P357">
            <v>115865.57</v>
          </cell>
          <cell r="Q357">
            <v>21085.99</v>
          </cell>
          <cell r="R357">
            <v>1581.78</v>
          </cell>
          <cell r="S357">
            <v>117447.35</v>
          </cell>
          <cell r="T357">
            <v>19504.209999999901</v>
          </cell>
        </row>
        <row r="358">
          <cell r="A358" t="str">
            <v>PLN   Złoty</v>
          </cell>
          <cell r="B358" t="str">
            <v>1000/1457       NPK 5-10-30Petroplon</v>
          </cell>
          <cell r="C358" t="str">
            <v>1003857    EDMAR</v>
          </cell>
          <cell r="D358" t="str">
            <v>KB Sprzed. bezpośrednia</v>
          </cell>
          <cell r="E358">
            <v>20614.799999999901</v>
          </cell>
          <cell r="F358">
            <v>24</v>
          </cell>
          <cell r="G358">
            <v>14551.219999999899</v>
          </cell>
          <cell r="H358">
            <v>1055.3599999999899</v>
          </cell>
          <cell r="I358">
            <v>562.92999999999904</v>
          </cell>
          <cell r="J358">
            <v>1833.8399999999899</v>
          </cell>
          <cell r="K358">
            <v>0</v>
          </cell>
          <cell r="L358">
            <v>2396.77</v>
          </cell>
          <cell r="M358">
            <v>18003.3499999999</v>
          </cell>
          <cell r="N358">
            <v>2611.4499999999898</v>
          </cell>
          <cell r="O358">
            <v>0</v>
          </cell>
          <cell r="P358">
            <v>18003.3499999999</v>
          </cell>
          <cell r="Q358">
            <v>2611.4499999999898</v>
          </cell>
          <cell r="R358">
            <v>219.24</v>
          </cell>
          <cell r="S358">
            <v>18222.59</v>
          </cell>
          <cell r="T358">
            <v>2392.21</v>
          </cell>
        </row>
        <row r="359">
          <cell r="A359" t="str">
            <v>PLN   Złoty</v>
          </cell>
          <cell r="B359" t="str">
            <v>1000/1457       NPK 5-10-30Petroplon</v>
          </cell>
          <cell r="C359" t="str">
            <v>1004765    "ROLA" SP. Z O.O.</v>
          </cell>
          <cell r="D359" t="str">
            <v>KB Sprzed. bezpośrednia</v>
          </cell>
          <cell r="E359">
            <v>20972.16</v>
          </cell>
          <cell r="F359">
            <v>24</v>
          </cell>
          <cell r="G359">
            <v>15392.92</v>
          </cell>
          <cell r="H359">
            <v>1073.6600000000001</v>
          </cell>
          <cell r="I359">
            <v>562.96</v>
          </cell>
          <cell r="J359">
            <v>894.72</v>
          </cell>
          <cell r="K359">
            <v>0</v>
          </cell>
          <cell r="L359">
            <v>1457.68</v>
          </cell>
          <cell r="M359">
            <v>17924.2599999999</v>
          </cell>
          <cell r="N359">
            <v>3047.9</v>
          </cell>
          <cell r="O359">
            <v>0</v>
          </cell>
          <cell r="P359">
            <v>17924.2599999999</v>
          </cell>
          <cell r="Q359">
            <v>3047.9</v>
          </cell>
          <cell r="R359">
            <v>231.88999999999899</v>
          </cell>
          <cell r="S359">
            <v>18156.150000000001</v>
          </cell>
          <cell r="T359">
            <v>2816.01</v>
          </cell>
        </row>
        <row r="360">
          <cell r="A360" t="str">
            <v>PLN   Złoty</v>
          </cell>
          <cell r="B360" t="str">
            <v>1000/1700       Mocznik</v>
          </cell>
          <cell r="C360" t="str">
            <v>1000060    CIECH S.A.</v>
          </cell>
          <cell r="D360" t="str">
            <v>KB Sprzed. bezpośrednia</v>
          </cell>
          <cell r="E360">
            <v>89679.360000000001</v>
          </cell>
          <cell r="F360">
            <v>96</v>
          </cell>
          <cell r="G360">
            <v>69633.899999999907</v>
          </cell>
          <cell r="H360">
            <v>4590.92</v>
          </cell>
          <cell r="I360">
            <v>633.01999999999896</v>
          </cell>
          <cell r="J360">
            <v>2395.92</v>
          </cell>
          <cell r="K360">
            <v>0</v>
          </cell>
          <cell r="L360">
            <v>3028.94</v>
          </cell>
          <cell r="M360">
            <v>77253.759999999893</v>
          </cell>
          <cell r="N360">
            <v>12425.6</v>
          </cell>
          <cell r="O360">
            <v>0</v>
          </cell>
          <cell r="P360">
            <v>77253.759999999893</v>
          </cell>
          <cell r="Q360">
            <v>12425.6</v>
          </cell>
          <cell r="R360">
            <v>375.68</v>
          </cell>
          <cell r="S360">
            <v>77629.440000000002</v>
          </cell>
          <cell r="T360">
            <v>12049.92</v>
          </cell>
        </row>
        <row r="361">
          <cell r="A361" t="str">
            <v>PLN   Złoty</v>
          </cell>
          <cell r="B361" t="str">
            <v>1000/1700       Mocznik</v>
          </cell>
          <cell r="C361" t="str">
            <v>1000080    CN-KIELCE</v>
          </cell>
          <cell r="D361" t="str">
            <v>KB Sprzed. bezpośrednia</v>
          </cell>
          <cell r="E361">
            <v>93070</v>
          </cell>
          <cell r="F361">
            <v>98</v>
          </cell>
          <cell r="G361">
            <v>71084.960000000006</v>
          </cell>
          <cell r="H361">
            <v>4764.4499999999898</v>
          </cell>
          <cell r="I361">
            <v>646.22</v>
          </cell>
          <cell r="J361">
            <v>7143.5799999999899</v>
          </cell>
          <cell r="K361">
            <v>0</v>
          </cell>
          <cell r="L361">
            <v>7789.8</v>
          </cell>
          <cell r="M361">
            <v>83639.210000000006</v>
          </cell>
          <cell r="N361">
            <v>9430.7900000000009</v>
          </cell>
          <cell r="O361">
            <v>0</v>
          </cell>
          <cell r="P361">
            <v>83639.210000000006</v>
          </cell>
          <cell r="Q361">
            <v>9430.7900000000009</v>
          </cell>
          <cell r="R361">
            <v>383.50999999999902</v>
          </cell>
          <cell r="S361">
            <v>84022.720000000001</v>
          </cell>
          <cell r="T361">
            <v>9047.2800000000007</v>
          </cell>
        </row>
        <row r="362">
          <cell r="A362" t="str">
            <v>PLN   Złoty</v>
          </cell>
          <cell r="B362" t="str">
            <v>1000/1700       Mocznik</v>
          </cell>
          <cell r="C362" t="str">
            <v>1000117    SKIBA</v>
          </cell>
          <cell r="D362" t="str">
            <v>KB Sprzed. bezpośrednia</v>
          </cell>
          <cell r="E362">
            <v>45996</v>
          </cell>
          <cell r="F362">
            <v>48</v>
          </cell>
          <cell r="G362">
            <v>35210.279999999897</v>
          </cell>
          <cell r="H362">
            <v>2354.63</v>
          </cell>
          <cell r="I362">
            <v>316.50999999999902</v>
          </cell>
          <cell r="J362">
            <v>3902.88</v>
          </cell>
          <cell r="K362">
            <v>0</v>
          </cell>
          <cell r="L362">
            <v>4219.3900000000003</v>
          </cell>
          <cell r="M362">
            <v>41784.300000000003</v>
          </cell>
          <cell r="N362">
            <v>4211.6999999999898</v>
          </cell>
          <cell r="O362">
            <v>0</v>
          </cell>
          <cell r="P362">
            <v>41784.300000000003</v>
          </cell>
          <cell r="Q362">
            <v>4211.6999999999898</v>
          </cell>
          <cell r="R362">
            <v>189.97</v>
          </cell>
          <cell r="S362">
            <v>41974.269999999902</v>
          </cell>
          <cell r="T362">
            <v>4021.73</v>
          </cell>
        </row>
        <row r="363">
          <cell r="A363" t="str">
            <v>PLN   Złoty</v>
          </cell>
          <cell r="B363" t="str">
            <v>1000/1700       Mocznik</v>
          </cell>
          <cell r="C363" t="str">
            <v>1000129    GS-WRZEŚNI</v>
          </cell>
          <cell r="D363" t="str">
            <v>KB Sprzed. bezpośrednia</v>
          </cell>
          <cell r="E363">
            <v>23160</v>
          </cell>
          <cell r="F363">
            <v>24</v>
          </cell>
          <cell r="G363">
            <v>17408.560000000001</v>
          </cell>
          <cell r="H363">
            <v>1185.6199999999899</v>
          </cell>
          <cell r="I363">
            <v>158.259999999999</v>
          </cell>
          <cell r="J363">
            <v>1006.5599999999901</v>
          </cell>
          <cell r="K363">
            <v>0</v>
          </cell>
          <cell r="L363">
            <v>1164.8199999999899</v>
          </cell>
          <cell r="M363">
            <v>19759</v>
          </cell>
          <cell r="N363">
            <v>3401</v>
          </cell>
          <cell r="O363">
            <v>0</v>
          </cell>
          <cell r="P363">
            <v>19759</v>
          </cell>
          <cell r="Q363">
            <v>3401</v>
          </cell>
          <cell r="R363">
            <v>93.92</v>
          </cell>
          <cell r="S363">
            <v>19852.9199999999</v>
          </cell>
          <cell r="T363">
            <v>3307.0799999999899</v>
          </cell>
        </row>
        <row r="364">
          <cell r="A364" t="str">
            <v>PLN   Złoty</v>
          </cell>
          <cell r="B364" t="str">
            <v>1000/1700       Mocznik</v>
          </cell>
          <cell r="C364" t="str">
            <v>1000141    SKR-Łaszczów</v>
          </cell>
          <cell r="D364" t="str">
            <v>KB Sprzed. bezpośrednia</v>
          </cell>
          <cell r="E364">
            <v>23160</v>
          </cell>
          <cell r="F364">
            <v>24</v>
          </cell>
          <cell r="G364">
            <v>17408.560000000001</v>
          </cell>
          <cell r="H364">
            <v>1185.6199999999899</v>
          </cell>
          <cell r="I364">
            <v>158.259999999999</v>
          </cell>
          <cell r="J364">
            <v>2325.36</v>
          </cell>
          <cell r="K364">
            <v>0</v>
          </cell>
          <cell r="L364">
            <v>2483.6199999999899</v>
          </cell>
          <cell r="M364">
            <v>21077.799999999901</v>
          </cell>
          <cell r="N364">
            <v>2082.1999999999898</v>
          </cell>
          <cell r="O364">
            <v>0</v>
          </cell>
          <cell r="P364">
            <v>21077.799999999901</v>
          </cell>
          <cell r="Q364">
            <v>2082.1999999999898</v>
          </cell>
          <cell r="R364">
            <v>93.92</v>
          </cell>
          <cell r="S364">
            <v>21171.72</v>
          </cell>
          <cell r="T364">
            <v>1988.28</v>
          </cell>
        </row>
        <row r="365">
          <cell r="A365" t="str">
            <v>PLN   Złoty</v>
          </cell>
          <cell r="B365" t="str">
            <v>1000/1700       Mocznik</v>
          </cell>
          <cell r="C365" t="str">
            <v>1000150    GS-GRODZIS</v>
          </cell>
          <cell r="D365" t="str">
            <v>KB Sprzed. bezpośrednia</v>
          </cell>
          <cell r="E365">
            <v>23160</v>
          </cell>
          <cell r="F365">
            <v>24</v>
          </cell>
          <cell r="G365">
            <v>17408.560000000001</v>
          </cell>
          <cell r="H365">
            <v>1185.6199999999899</v>
          </cell>
          <cell r="I365">
            <v>158.259999999999</v>
          </cell>
          <cell r="J365">
            <v>2163.36</v>
          </cell>
          <cell r="K365">
            <v>0</v>
          </cell>
          <cell r="L365">
            <v>2321.6199999999899</v>
          </cell>
          <cell r="M365">
            <v>20915.799999999901</v>
          </cell>
          <cell r="N365">
            <v>2244.1999999999898</v>
          </cell>
          <cell r="O365">
            <v>0</v>
          </cell>
          <cell r="P365">
            <v>20915.799999999901</v>
          </cell>
          <cell r="Q365">
            <v>2244.1999999999898</v>
          </cell>
          <cell r="R365">
            <v>93.92</v>
          </cell>
          <cell r="S365">
            <v>21009.72</v>
          </cell>
          <cell r="T365">
            <v>2150.2800000000002</v>
          </cell>
        </row>
        <row r="366">
          <cell r="A366" t="str">
            <v>PLN   Złoty</v>
          </cell>
          <cell r="B366" t="str">
            <v>1000/1700       Mocznik</v>
          </cell>
          <cell r="C366" t="str">
            <v>1000192    ROLBUD</v>
          </cell>
          <cell r="D366" t="str">
            <v>KB Sprzed. bezpośrednia</v>
          </cell>
          <cell r="E366">
            <v>46373</v>
          </cell>
          <cell r="F366">
            <v>49</v>
          </cell>
          <cell r="G366">
            <v>35739.059999999903</v>
          </cell>
          <cell r="H366">
            <v>2373.86</v>
          </cell>
          <cell r="I366">
            <v>323.11</v>
          </cell>
          <cell r="J366">
            <v>3460.5</v>
          </cell>
          <cell r="K366">
            <v>0</v>
          </cell>
          <cell r="L366">
            <v>3783.61</v>
          </cell>
          <cell r="M366">
            <v>41896.529999999897</v>
          </cell>
          <cell r="N366">
            <v>4476.47</v>
          </cell>
          <cell r="O366">
            <v>0</v>
          </cell>
          <cell r="P366">
            <v>41896.529999999897</v>
          </cell>
          <cell r="Q366">
            <v>4476.47</v>
          </cell>
          <cell r="R366">
            <v>192.81</v>
          </cell>
          <cell r="S366">
            <v>42089.339999999902</v>
          </cell>
          <cell r="T366">
            <v>4283.6599999999899</v>
          </cell>
        </row>
        <row r="367">
          <cell r="A367" t="str">
            <v>PLN   Złoty</v>
          </cell>
          <cell r="B367" t="str">
            <v>1000/1700       Mocznik</v>
          </cell>
          <cell r="C367" t="str">
            <v>1000203    BISO S.C.</v>
          </cell>
          <cell r="D367" t="str">
            <v>KB Sprzed. bezpośrednia</v>
          </cell>
          <cell r="E367">
            <v>22080</v>
          </cell>
          <cell r="F367">
            <v>24</v>
          </cell>
          <cell r="G367">
            <v>17408.560000000001</v>
          </cell>
          <cell r="H367">
            <v>1130.3099999999899</v>
          </cell>
          <cell r="I367">
            <v>158.259999999999</v>
          </cell>
          <cell r="J367">
            <v>0</v>
          </cell>
          <cell r="K367">
            <v>0</v>
          </cell>
          <cell r="L367">
            <v>158.259999999999</v>
          </cell>
          <cell r="M367">
            <v>18697.13</v>
          </cell>
          <cell r="N367">
            <v>3382.8699999999899</v>
          </cell>
          <cell r="O367">
            <v>0</v>
          </cell>
          <cell r="P367">
            <v>18697.13</v>
          </cell>
          <cell r="Q367">
            <v>3382.8699999999899</v>
          </cell>
          <cell r="R367">
            <v>93.92</v>
          </cell>
          <cell r="S367">
            <v>18791.049999999901</v>
          </cell>
          <cell r="T367">
            <v>3288.9499999999898</v>
          </cell>
        </row>
        <row r="368">
          <cell r="A368" t="str">
            <v>PLN   Złoty</v>
          </cell>
          <cell r="B368" t="str">
            <v>1000/1700       Mocznik</v>
          </cell>
          <cell r="C368" t="str">
            <v>1000204    FLORA Sp. z o.o. PRA</v>
          </cell>
          <cell r="D368" t="str">
            <v>KB Sprzed. bezpośrednia</v>
          </cell>
          <cell r="E368">
            <v>45000</v>
          </cell>
          <cell r="F368">
            <v>48</v>
          </cell>
          <cell r="G368">
            <v>35210.279999999897</v>
          </cell>
          <cell r="H368">
            <v>2303.5999999999899</v>
          </cell>
          <cell r="I368">
            <v>316.50999999999902</v>
          </cell>
          <cell r="J368">
            <v>1456.8</v>
          </cell>
          <cell r="K368">
            <v>0</v>
          </cell>
          <cell r="L368">
            <v>1773.3099999999899</v>
          </cell>
          <cell r="M368">
            <v>39287.19</v>
          </cell>
          <cell r="N368">
            <v>5712.81</v>
          </cell>
          <cell r="O368">
            <v>0</v>
          </cell>
          <cell r="P368">
            <v>39287.19</v>
          </cell>
          <cell r="Q368">
            <v>5712.81</v>
          </cell>
          <cell r="R368">
            <v>189.97</v>
          </cell>
          <cell r="S368">
            <v>39477.160000000003</v>
          </cell>
          <cell r="T368">
            <v>5522.84</v>
          </cell>
        </row>
        <row r="369">
          <cell r="A369" t="str">
            <v>PLN   Złoty</v>
          </cell>
          <cell r="B369" t="str">
            <v>1000/1700       Mocznik</v>
          </cell>
          <cell r="C369" t="str">
            <v>1000205    SKŁODOWSKI</v>
          </cell>
          <cell r="D369" t="str">
            <v>KB Sprzed. bezpośrednia</v>
          </cell>
          <cell r="E369">
            <v>2047278.72</v>
          </cell>
          <cell r="F369">
            <v>2192</v>
          </cell>
          <cell r="G369">
            <v>1592711.32</v>
          </cell>
          <cell r="H369">
            <v>104804.45</v>
          </cell>
          <cell r="I369">
            <v>13821.059999999899</v>
          </cell>
          <cell r="J369">
            <v>140368.72</v>
          </cell>
          <cell r="K369">
            <v>0</v>
          </cell>
          <cell r="L369">
            <v>154189.78</v>
          </cell>
          <cell r="M369">
            <v>1851705.55</v>
          </cell>
          <cell r="N369">
            <v>195573.17</v>
          </cell>
          <cell r="O369">
            <v>0</v>
          </cell>
          <cell r="P369">
            <v>1851705.55</v>
          </cell>
          <cell r="Q369">
            <v>195573.17</v>
          </cell>
          <cell r="R369">
            <v>8204.43</v>
          </cell>
          <cell r="S369">
            <v>1859909.98</v>
          </cell>
          <cell r="T369">
            <v>187368.739999999</v>
          </cell>
        </row>
        <row r="370">
          <cell r="A370" t="str">
            <v>PLN   Złoty</v>
          </cell>
          <cell r="B370" t="str">
            <v>1000/1700       Mocznik</v>
          </cell>
          <cell r="C370" t="str">
            <v>1000219    BUTOR</v>
          </cell>
          <cell r="D370" t="str">
            <v>KB Sprzed. bezpośrednia</v>
          </cell>
          <cell r="E370">
            <v>65399.4</v>
          </cell>
          <cell r="F370">
            <v>71.459999999999894</v>
          </cell>
          <cell r="G370">
            <v>50720.54</v>
          </cell>
          <cell r="H370">
            <v>3347.96</v>
          </cell>
          <cell r="I370">
            <v>471.22</v>
          </cell>
          <cell r="J370">
            <v>1589.52</v>
          </cell>
          <cell r="K370">
            <v>0</v>
          </cell>
          <cell r="L370">
            <v>2060.7399999999898</v>
          </cell>
          <cell r="M370">
            <v>56129.239999999903</v>
          </cell>
          <cell r="N370">
            <v>9270.1599999999908</v>
          </cell>
          <cell r="O370">
            <v>0</v>
          </cell>
          <cell r="P370">
            <v>56129.239999999903</v>
          </cell>
          <cell r="Q370">
            <v>9270.1599999999908</v>
          </cell>
          <cell r="R370">
            <v>273.63999999999902</v>
          </cell>
          <cell r="S370">
            <v>56402.879999999903</v>
          </cell>
          <cell r="T370">
            <v>8996.52</v>
          </cell>
        </row>
        <row r="371">
          <cell r="A371" t="str">
            <v>PLN   Złoty</v>
          </cell>
          <cell r="B371" t="str">
            <v>1000/1700       Mocznik</v>
          </cell>
          <cell r="C371" t="str">
            <v>1000222    ROLPOL</v>
          </cell>
          <cell r="D371" t="str">
            <v>KB Sprzed. bezpośrednia</v>
          </cell>
          <cell r="E371">
            <v>301217.71999999898</v>
          </cell>
          <cell r="F371">
            <v>320</v>
          </cell>
          <cell r="G371">
            <v>232114.149999999</v>
          </cell>
          <cell r="H371">
            <v>15419.99</v>
          </cell>
          <cell r="I371">
            <v>2110.09</v>
          </cell>
          <cell r="J371">
            <v>24121.08</v>
          </cell>
          <cell r="K371">
            <v>0</v>
          </cell>
          <cell r="L371">
            <v>26231.1699999999</v>
          </cell>
          <cell r="M371">
            <v>273765.31</v>
          </cell>
          <cell r="N371">
            <v>27452.41</v>
          </cell>
          <cell r="O371">
            <v>0</v>
          </cell>
          <cell r="P371">
            <v>273765.31</v>
          </cell>
          <cell r="Q371">
            <v>27452.41</v>
          </cell>
          <cell r="R371">
            <v>1252.26</v>
          </cell>
          <cell r="S371">
            <v>275017.57</v>
          </cell>
          <cell r="T371">
            <v>26200.15</v>
          </cell>
        </row>
        <row r="372">
          <cell r="A372" t="str">
            <v>PLN   Złoty</v>
          </cell>
          <cell r="B372" t="str">
            <v>1000/1700       Mocznik</v>
          </cell>
          <cell r="C372" t="str">
            <v>1000226    MAŁECCY</v>
          </cell>
          <cell r="D372" t="str">
            <v>KB Sprzed. bezpośrednia</v>
          </cell>
          <cell r="E372">
            <v>31280</v>
          </cell>
          <cell r="F372">
            <v>34</v>
          </cell>
          <cell r="G372">
            <v>24662.13</v>
          </cell>
          <cell r="H372">
            <v>1601.3199999999899</v>
          </cell>
          <cell r="I372">
            <v>224.19999999999899</v>
          </cell>
          <cell r="J372">
            <v>0</v>
          </cell>
          <cell r="K372">
            <v>0</v>
          </cell>
          <cell r="L372">
            <v>224.19999999999899</v>
          </cell>
          <cell r="M372">
            <v>26487.65</v>
          </cell>
          <cell r="N372">
            <v>4792.3500000000004</v>
          </cell>
          <cell r="O372">
            <v>0</v>
          </cell>
          <cell r="P372">
            <v>26487.65</v>
          </cell>
          <cell r="Q372">
            <v>4792.3500000000004</v>
          </cell>
          <cell r="R372">
            <v>133.05000000000001</v>
          </cell>
          <cell r="S372">
            <v>26620.7</v>
          </cell>
          <cell r="T372">
            <v>4659.3</v>
          </cell>
        </row>
        <row r="373">
          <cell r="A373" t="str">
            <v>PLN   Złoty</v>
          </cell>
          <cell r="B373" t="str">
            <v>1000/1700       Mocznik</v>
          </cell>
          <cell r="C373" t="str">
            <v>1000235    SPÓŁDZIELNIA PRACY "</v>
          </cell>
          <cell r="D373" t="str">
            <v>KB Sprzed. bezpośrednia</v>
          </cell>
          <cell r="E373">
            <v>22998</v>
          </cell>
          <cell r="F373">
            <v>24</v>
          </cell>
          <cell r="G373">
            <v>17408.560000000001</v>
          </cell>
          <cell r="H373">
            <v>1177.29</v>
          </cell>
          <cell r="I373">
            <v>158.259999999999</v>
          </cell>
          <cell r="J373">
            <v>1344.96</v>
          </cell>
          <cell r="K373">
            <v>0</v>
          </cell>
          <cell r="L373">
            <v>1503.22</v>
          </cell>
          <cell r="M373">
            <v>20089.07</v>
          </cell>
          <cell r="N373">
            <v>2908.9299999999898</v>
          </cell>
          <cell r="O373">
            <v>0</v>
          </cell>
          <cell r="P373">
            <v>20089.07</v>
          </cell>
          <cell r="Q373">
            <v>2908.9299999999898</v>
          </cell>
          <cell r="R373">
            <v>93.92</v>
          </cell>
          <cell r="S373">
            <v>20182.990000000002</v>
          </cell>
          <cell r="T373">
            <v>2815.01</v>
          </cell>
        </row>
        <row r="374">
          <cell r="A374" t="str">
            <v>PLN   Złoty</v>
          </cell>
          <cell r="B374" t="str">
            <v>1000/1700       Mocznik</v>
          </cell>
          <cell r="C374" t="str">
            <v>1000248    DYMNY</v>
          </cell>
          <cell r="D374" t="str">
            <v>KB Sprzed. bezpośrednia</v>
          </cell>
          <cell r="E374">
            <v>247734.829999999</v>
          </cell>
          <cell r="F374">
            <v>277.07999999999902</v>
          </cell>
          <cell r="G374">
            <v>196930.149999999</v>
          </cell>
          <cell r="H374">
            <v>12682.049999999899</v>
          </cell>
          <cell r="I374">
            <v>1827.0799999999899</v>
          </cell>
          <cell r="J374">
            <v>0</v>
          </cell>
          <cell r="K374">
            <v>0</v>
          </cell>
          <cell r="L374">
            <v>1827.0799999999899</v>
          </cell>
          <cell r="M374">
            <v>211439.28</v>
          </cell>
          <cell r="N374">
            <v>36295.550000000003</v>
          </cell>
          <cell r="O374">
            <v>0</v>
          </cell>
          <cell r="P374">
            <v>211439.28</v>
          </cell>
          <cell r="Q374">
            <v>36295.550000000003</v>
          </cell>
          <cell r="R374">
            <v>1062.47</v>
          </cell>
          <cell r="S374">
            <v>212501.75</v>
          </cell>
          <cell r="T374">
            <v>35233.08</v>
          </cell>
        </row>
        <row r="375">
          <cell r="A375" t="str">
            <v>PLN   Złoty</v>
          </cell>
          <cell r="B375" t="str">
            <v>1000/1700       Mocznik</v>
          </cell>
          <cell r="C375" t="str">
            <v>1000252    AGROSKŁAD</v>
          </cell>
          <cell r="D375" t="str">
            <v>KB Sprzed. bezpośrednia</v>
          </cell>
          <cell r="E375">
            <v>545744.20999999903</v>
          </cell>
          <cell r="F375">
            <v>584</v>
          </cell>
          <cell r="G375">
            <v>423608.31</v>
          </cell>
          <cell r="H375">
            <v>27937.79</v>
          </cell>
          <cell r="I375">
            <v>3850.9099999999899</v>
          </cell>
          <cell r="J375">
            <v>23698</v>
          </cell>
          <cell r="K375">
            <v>0</v>
          </cell>
          <cell r="L375">
            <v>27548.91</v>
          </cell>
          <cell r="M375">
            <v>479095.01</v>
          </cell>
          <cell r="N375">
            <v>66649.199999999895</v>
          </cell>
          <cell r="O375">
            <v>0</v>
          </cell>
          <cell r="P375">
            <v>479095.01</v>
          </cell>
          <cell r="Q375">
            <v>66649.199999999895</v>
          </cell>
          <cell r="R375">
            <v>2285.38</v>
          </cell>
          <cell r="S375">
            <v>481380.39</v>
          </cell>
          <cell r="T375">
            <v>64363.82</v>
          </cell>
        </row>
        <row r="376">
          <cell r="A376" t="str">
            <v>PLN   Złoty</v>
          </cell>
          <cell r="B376" t="str">
            <v>1000/1700       Mocznik</v>
          </cell>
          <cell r="C376" t="str">
            <v>1000256    TYMIŃSKA</v>
          </cell>
          <cell r="D376" t="str">
            <v>KB Sprzed. bezpośrednia</v>
          </cell>
          <cell r="E376">
            <v>90681.119999999893</v>
          </cell>
          <cell r="F376">
            <v>96</v>
          </cell>
          <cell r="G376">
            <v>69634.240000000005</v>
          </cell>
          <cell r="H376">
            <v>4642.1499999999896</v>
          </cell>
          <cell r="I376">
            <v>633.01999999999896</v>
          </cell>
          <cell r="J376">
            <v>4258.5600000000004</v>
          </cell>
          <cell r="K376">
            <v>0</v>
          </cell>
          <cell r="L376">
            <v>4891.5799999999899</v>
          </cell>
          <cell r="M376">
            <v>79167.97</v>
          </cell>
          <cell r="N376">
            <v>11513.15</v>
          </cell>
          <cell r="O376">
            <v>0</v>
          </cell>
          <cell r="P376">
            <v>79167.97</v>
          </cell>
          <cell r="Q376">
            <v>11513.15</v>
          </cell>
          <cell r="R376">
            <v>375.68</v>
          </cell>
          <cell r="S376">
            <v>79543.649999999907</v>
          </cell>
          <cell r="T376">
            <v>11137.469999999899</v>
          </cell>
        </row>
        <row r="377">
          <cell r="A377" t="str">
            <v>PLN   Złoty</v>
          </cell>
          <cell r="B377" t="str">
            <v>1000/1700       Mocznik</v>
          </cell>
          <cell r="C377" t="str">
            <v>1000257    MAGROL</v>
          </cell>
          <cell r="D377" t="str">
            <v>KB Sprzed. bezpośrednia</v>
          </cell>
          <cell r="E377">
            <v>67921.440000000002</v>
          </cell>
          <cell r="F377">
            <v>72</v>
          </cell>
          <cell r="G377">
            <v>52422.26</v>
          </cell>
          <cell r="H377">
            <v>3477.02</v>
          </cell>
          <cell r="I377">
            <v>474.76999999999902</v>
          </cell>
          <cell r="J377">
            <v>2648.88</v>
          </cell>
          <cell r="K377">
            <v>0</v>
          </cell>
          <cell r="L377">
            <v>3123.65</v>
          </cell>
          <cell r="M377">
            <v>59022.93</v>
          </cell>
          <cell r="N377">
            <v>8898.51</v>
          </cell>
          <cell r="O377">
            <v>0</v>
          </cell>
          <cell r="P377">
            <v>59022.93</v>
          </cell>
          <cell r="Q377">
            <v>8898.51</v>
          </cell>
          <cell r="R377">
            <v>282.83999999999901</v>
          </cell>
          <cell r="S377">
            <v>59305.769999999902</v>
          </cell>
          <cell r="T377">
            <v>8615.67</v>
          </cell>
        </row>
        <row r="378">
          <cell r="A378" t="str">
            <v>PLN   Złoty</v>
          </cell>
          <cell r="B378" t="str">
            <v>1000/1700       Mocznik</v>
          </cell>
          <cell r="C378" t="str">
            <v>1000263    PRO-AGRO</v>
          </cell>
          <cell r="D378" t="str">
            <v>KB Sprzed. bezpośrednia</v>
          </cell>
          <cell r="E378">
            <v>45996</v>
          </cell>
          <cell r="F378">
            <v>48</v>
          </cell>
          <cell r="G378">
            <v>34817.120000000003</v>
          </cell>
          <cell r="H378">
            <v>2354.63</v>
          </cell>
          <cell r="I378">
            <v>316.50999999999902</v>
          </cell>
          <cell r="J378">
            <v>4115.5200000000004</v>
          </cell>
          <cell r="K378">
            <v>0</v>
          </cell>
          <cell r="L378">
            <v>4432.0299999999897</v>
          </cell>
          <cell r="M378">
            <v>41603.779999999897</v>
          </cell>
          <cell r="N378">
            <v>4392.22</v>
          </cell>
          <cell r="O378">
            <v>0</v>
          </cell>
          <cell r="P378">
            <v>41603.779999999897</v>
          </cell>
          <cell r="Q378">
            <v>4392.22</v>
          </cell>
          <cell r="R378">
            <v>187.849999999999</v>
          </cell>
          <cell r="S378">
            <v>41791.629999999903</v>
          </cell>
          <cell r="T378">
            <v>4204.3699999999899</v>
          </cell>
        </row>
        <row r="379">
          <cell r="A379" t="str">
            <v>PLN   Złoty</v>
          </cell>
          <cell r="B379" t="str">
            <v>1000/1700       Mocznik</v>
          </cell>
          <cell r="C379" t="str">
            <v>1000273    HANDEL ARTYKUŁAMI K.</v>
          </cell>
          <cell r="D379" t="str">
            <v>KB Sprzed. bezpośrednia</v>
          </cell>
          <cell r="E379">
            <v>44923.44</v>
          </cell>
          <cell r="F379">
            <v>48</v>
          </cell>
          <cell r="G379">
            <v>34817.120000000003</v>
          </cell>
          <cell r="H379">
            <v>2299.73</v>
          </cell>
          <cell r="I379">
            <v>316.50999999999902</v>
          </cell>
          <cell r="J379">
            <v>1344.96</v>
          </cell>
          <cell r="K379">
            <v>0</v>
          </cell>
          <cell r="L379">
            <v>1661.47</v>
          </cell>
          <cell r="M379">
            <v>38778.32</v>
          </cell>
          <cell r="N379">
            <v>6145.1199999999899</v>
          </cell>
          <cell r="O379">
            <v>0</v>
          </cell>
          <cell r="P379">
            <v>38778.32</v>
          </cell>
          <cell r="Q379">
            <v>6145.1199999999899</v>
          </cell>
          <cell r="R379">
            <v>187.849999999999</v>
          </cell>
          <cell r="S379">
            <v>38966.169999999896</v>
          </cell>
          <cell r="T379">
            <v>5957.27</v>
          </cell>
        </row>
        <row r="380">
          <cell r="A380" t="str">
            <v>PLN   Złoty</v>
          </cell>
          <cell r="B380" t="str">
            <v>1000/1700       Mocznik</v>
          </cell>
          <cell r="C380" t="str">
            <v>1000276    JAN GACH FIRMA HANDL</v>
          </cell>
          <cell r="D380" t="str">
            <v>KB Sprzed. bezpośrednia</v>
          </cell>
          <cell r="E380">
            <v>112963.8</v>
          </cell>
          <cell r="F380">
            <v>120.94</v>
          </cell>
          <cell r="G380">
            <v>87501.029999999897</v>
          </cell>
          <cell r="H380">
            <v>5782.8</v>
          </cell>
          <cell r="I380">
            <v>797.48</v>
          </cell>
          <cell r="J380">
            <v>3942.27</v>
          </cell>
          <cell r="K380">
            <v>0</v>
          </cell>
          <cell r="L380">
            <v>4739.75</v>
          </cell>
          <cell r="M380">
            <v>98023.58</v>
          </cell>
          <cell r="N380">
            <v>14940.219999999899</v>
          </cell>
          <cell r="O380">
            <v>0</v>
          </cell>
          <cell r="P380">
            <v>98023.58</v>
          </cell>
          <cell r="Q380">
            <v>14940.219999999899</v>
          </cell>
          <cell r="R380">
            <v>472.06</v>
          </cell>
          <cell r="S380">
            <v>98495.639999999898</v>
          </cell>
          <cell r="T380">
            <v>14468.16</v>
          </cell>
        </row>
        <row r="381">
          <cell r="A381" t="str">
            <v>PLN   Złoty</v>
          </cell>
          <cell r="B381" t="str">
            <v>1000/1700       Mocznik</v>
          </cell>
          <cell r="C381" t="str">
            <v>1000277    ATRANS</v>
          </cell>
          <cell r="D381" t="str">
            <v>KB Sprzed. bezpośrednia</v>
          </cell>
          <cell r="E381">
            <v>89245.440000000002</v>
          </cell>
          <cell r="F381">
            <v>96</v>
          </cell>
          <cell r="G381">
            <v>69634.240000000005</v>
          </cell>
          <cell r="H381">
            <v>4568.67</v>
          </cell>
          <cell r="I381">
            <v>633.01999999999896</v>
          </cell>
          <cell r="J381">
            <v>1833.8399999999899</v>
          </cell>
          <cell r="K381">
            <v>0</v>
          </cell>
          <cell r="L381">
            <v>2466.86</v>
          </cell>
          <cell r="M381">
            <v>76669.77</v>
          </cell>
          <cell r="N381">
            <v>12575.67</v>
          </cell>
          <cell r="O381">
            <v>0</v>
          </cell>
          <cell r="P381">
            <v>76669.77</v>
          </cell>
          <cell r="Q381">
            <v>12575.67</v>
          </cell>
          <cell r="R381">
            <v>375.68</v>
          </cell>
          <cell r="S381">
            <v>77045.449999999895</v>
          </cell>
          <cell r="T381">
            <v>12199.99</v>
          </cell>
        </row>
        <row r="382">
          <cell r="A382" t="str">
            <v>PLN   Złoty</v>
          </cell>
          <cell r="B382" t="str">
            <v>1000/1700       Mocznik</v>
          </cell>
          <cell r="C382" t="str">
            <v>1000289    PLON A.Dadrzyński</v>
          </cell>
          <cell r="D382" t="str">
            <v>KB Sprzed. bezpośrednia</v>
          </cell>
          <cell r="E382">
            <v>114823</v>
          </cell>
          <cell r="F382">
            <v>122</v>
          </cell>
          <cell r="G382">
            <v>88886.679999999906</v>
          </cell>
          <cell r="H382">
            <v>5877.9899999999898</v>
          </cell>
          <cell r="I382">
            <v>804.47</v>
          </cell>
          <cell r="J382">
            <v>5854.04</v>
          </cell>
          <cell r="K382">
            <v>0</v>
          </cell>
          <cell r="L382">
            <v>6658.51</v>
          </cell>
          <cell r="M382">
            <v>101423.179999999</v>
          </cell>
          <cell r="N382">
            <v>13399.82</v>
          </cell>
          <cell r="O382">
            <v>0</v>
          </cell>
          <cell r="P382">
            <v>101423.179999999</v>
          </cell>
          <cell r="Q382">
            <v>13399.82</v>
          </cell>
          <cell r="R382">
            <v>479.54</v>
          </cell>
          <cell r="S382">
            <v>101902.72</v>
          </cell>
          <cell r="T382">
            <v>12920.28</v>
          </cell>
        </row>
        <row r="383">
          <cell r="A383" t="str">
            <v>PLN   Złoty</v>
          </cell>
          <cell r="B383" t="str">
            <v>1000/1700       Mocznik</v>
          </cell>
          <cell r="C383" t="str">
            <v>1000291    "AGRO-BIZNES" SP.J.</v>
          </cell>
          <cell r="D383" t="str">
            <v>KB Sprzed. bezpośrednia</v>
          </cell>
          <cell r="E383">
            <v>43850.879999999903</v>
          </cell>
          <cell r="F383">
            <v>48</v>
          </cell>
          <cell r="G383">
            <v>35210.279999999897</v>
          </cell>
          <cell r="H383">
            <v>2244.8200000000002</v>
          </cell>
          <cell r="I383">
            <v>316.50999999999902</v>
          </cell>
          <cell r="J383">
            <v>0</v>
          </cell>
          <cell r="K383">
            <v>0</v>
          </cell>
          <cell r="L383">
            <v>316.50999999999902</v>
          </cell>
          <cell r="M383">
            <v>37771.61</v>
          </cell>
          <cell r="N383">
            <v>6079.27</v>
          </cell>
          <cell r="O383">
            <v>0</v>
          </cell>
          <cell r="P383">
            <v>37771.61</v>
          </cell>
          <cell r="Q383">
            <v>6079.27</v>
          </cell>
          <cell r="R383">
            <v>189.97</v>
          </cell>
          <cell r="S383">
            <v>37961.58</v>
          </cell>
          <cell r="T383">
            <v>5889.3</v>
          </cell>
        </row>
        <row r="384">
          <cell r="A384" t="str">
            <v>PLN   Złoty</v>
          </cell>
          <cell r="B384" t="str">
            <v>1000/1700       Mocznik</v>
          </cell>
          <cell r="C384" t="str">
            <v>1000293    PHM CHEMAT  M.Richte</v>
          </cell>
          <cell r="D384" t="str">
            <v>KB Sprzed. bezpośrednia</v>
          </cell>
          <cell r="E384">
            <v>43850.879999999903</v>
          </cell>
          <cell r="F384">
            <v>48</v>
          </cell>
          <cell r="G384">
            <v>34817.120000000003</v>
          </cell>
          <cell r="H384">
            <v>2244.8200000000002</v>
          </cell>
          <cell r="I384">
            <v>316.50999999999902</v>
          </cell>
          <cell r="J384">
            <v>0</v>
          </cell>
          <cell r="K384">
            <v>0</v>
          </cell>
          <cell r="L384">
            <v>316.50999999999902</v>
          </cell>
          <cell r="M384">
            <v>37378.449999999903</v>
          </cell>
          <cell r="N384">
            <v>6472.43</v>
          </cell>
          <cell r="O384">
            <v>0</v>
          </cell>
          <cell r="P384">
            <v>37378.449999999903</v>
          </cell>
          <cell r="Q384">
            <v>6472.43</v>
          </cell>
          <cell r="R384">
            <v>187.849999999999</v>
          </cell>
          <cell r="S384">
            <v>37566.300000000003</v>
          </cell>
          <cell r="T384">
            <v>6284.5799999999899</v>
          </cell>
        </row>
        <row r="385">
          <cell r="A385" t="str">
            <v>PLN   Złoty</v>
          </cell>
          <cell r="B385" t="str">
            <v>1000/1700       Mocznik</v>
          </cell>
          <cell r="C385" t="str">
            <v>1000322    ZZUIP-KOPL</v>
          </cell>
          <cell r="D385" t="str">
            <v>KB Sprzed. bezpośrednia</v>
          </cell>
          <cell r="E385">
            <v>22920</v>
          </cell>
          <cell r="F385">
            <v>24</v>
          </cell>
          <cell r="G385">
            <v>17408.560000000001</v>
          </cell>
          <cell r="H385">
            <v>1173.3199999999899</v>
          </cell>
          <cell r="I385">
            <v>158.259999999999</v>
          </cell>
          <cell r="J385">
            <v>2063.2800000000002</v>
          </cell>
          <cell r="K385">
            <v>0</v>
          </cell>
          <cell r="L385">
            <v>2221.54</v>
          </cell>
          <cell r="M385">
            <v>20803.4199999999</v>
          </cell>
          <cell r="N385">
            <v>2116.5799999999899</v>
          </cell>
          <cell r="O385">
            <v>0</v>
          </cell>
          <cell r="P385">
            <v>20803.4199999999</v>
          </cell>
          <cell r="Q385">
            <v>2116.5799999999899</v>
          </cell>
          <cell r="R385">
            <v>93.92</v>
          </cell>
          <cell r="S385">
            <v>20897.34</v>
          </cell>
          <cell r="T385">
            <v>2022.66</v>
          </cell>
        </row>
        <row r="386">
          <cell r="A386" t="str">
            <v>PLN   Złoty</v>
          </cell>
          <cell r="B386" t="str">
            <v>1000/1700       Mocznik</v>
          </cell>
          <cell r="C386" t="str">
            <v>1000403    SOBIANEK</v>
          </cell>
          <cell r="D386" t="str">
            <v>KB Sprzed. bezpośrednia</v>
          </cell>
          <cell r="E386">
            <v>846434.82999999903</v>
          </cell>
          <cell r="F386">
            <v>889</v>
          </cell>
          <cell r="G386">
            <v>646410.80000000005</v>
          </cell>
          <cell r="H386">
            <v>43330.769999999902</v>
          </cell>
          <cell r="I386">
            <v>5862.0799999999899</v>
          </cell>
          <cell r="J386">
            <v>69847.69</v>
          </cell>
          <cell r="K386">
            <v>0</v>
          </cell>
          <cell r="L386">
            <v>75709.77</v>
          </cell>
          <cell r="M386">
            <v>765451.33999999904</v>
          </cell>
          <cell r="N386">
            <v>80983.490000000005</v>
          </cell>
          <cell r="O386">
            <v>0</v>
          </cell>
          <cell r="P386">
            <v>765451.33999999904</v>
          </cell>
          <cell r="Q386">
            <v>80983.490000000005</v>
          </cell>
          <cell r="R386">
            <v>3487.3899999999899</v>
          </cell>
          <cell r="S386">
            <v>768938.72999999905</v>
          </cell>
          <cell r="T386">
            <v>77496.100000000006</v>
          </cell>
        </row>
        <row r="387">
          <cell r="A387" t="str">
            <v>PLN   Złoty</v>
          </cell>
          <cell r="B387" t="str">
            <v>1000/1700       Mocznik</v>
          </cell>
          <cell r="C387" t="str">
            <v>1000415    GÓRKA</v>
          </cell>
          <cell r="D387" t="str">
            <v>KB Sprzed. bezpośrednia</v>
          </cell>
          <cell r="E387">
            <v>22759.68</v>
          </cell>
          <cell r="F387">
            <v>24</v>
          </cell>
          <cell r="G387">
            <v>17408.560000000001</v>
          </cell>
          <cell r="H387">
            <v>1165.1199999999899</v>
          </cell>
          <cell r="I387">
            <v>158.259999999999</v>
          </cell>
          <cell r="J387">
            <v>1662.96</v>
          </cell>
          <cell r="K387">
            <v>0</v>
          </cell>
          <cell r="L387">
            <v>1821.22</v>
          </cell>
          <cell r="M387">
            <v>20394.900000000001</v>
          </cell>
          <cell r="N387">
            <v>2364.7800000000002</v>
          </cell>
          <cell r="O387">
            <v>0</v>
          </cell>
          <cell r="P387">
            <v>20394.900000000001</v>
          </cell>
          <cell r="Q387">
            <v>2364.7800000000002</v>
          </cell>
          <cell r="R387">
            <v>93.92</v>
          </cell>
          <cell r="S387">
            <v>20488.82</v>
          </cell>
          <cell r="T387">
            <v>2270.86</v>
          </cell>
        </row>
        <row r="388">
          <cell r="A388" t="str">
            <v>PLN   Złoty</v>
          </cell>
          <cell r="B388" t="str">
            <v>1000/1700       Mocznik</v>
          </cell>
          <cell r="C388" t="str">
            <v>1000506    AUREPIO SP. Z O.O.</v>
          </cell>
          <cell r="D388" t="str">
            <v>KB Sprzed. bezpośrednia</v>
          </cell>
          <cell r="E388">
            <v>21925.4399999999</v>
          </cell>
          <cell r="F388">
            <v>24</v>
          </cell>
          <cell r="G388">
            <v>17408.560000000001</v>
          </cell>
          <cell r="H388">
            <v>1122.4000000000001</v>
          </cell>
          <cell r="I388">
            <v>158.259999999999</v>
          </cell>
          <cell r="J388">
            <v>0</v>
          </cell>
          <cell r="K388">
            <v>0</v>
          </cell>
          <cell r="L388">
            <v>158.259999999999</v>
          </cell>
          <cell r="M388">
            <v>18689.22</v>
          </cell>
          <cell r="N388">
            <v>3236.2199999999898</v>
          </cell>
          <cell r="O388">
            <v>0</v>
          </cell>
          <cell r="P388">
            <v>18689.22</v>
          </cell>
          <cell r="Q388">
            <v>3236.2199999999898</v>
          </cell>
          <cell r="R388">
            <v>93.92</v>
          </cell>
          <cell r="S388">
            <v>18783.139999999901</v>
          </cell>
          <cell r="T388">
            <v>3142.3</v>
          </cell>
        </row>
        <row r="389">
          <cell r="A389" t="str">
            <v>PLN   Złoty</v>
          </cell>
          <cell r="B389" t="str">
            <v>1000/1700       Mocznik</v>
          </cell>
          <cell r="C389" t="str">
            <v>1000524    "CHEMIROL" SP. Z O.O</v>
          </cell>
          <cell r="D389" t="str">
            <v>KB Sprzed. bezpośrednia</v>
          </cell>
          <cell r="E389">
            <v>197328.959999999</v>
          </cell>
          <cell r="F389">
            <v>216</v>
          </cell>
          <cell r="G389">
            <v>156873.62</v>
          </cell>
          <cell r="H389">
            <v>10101.709999999901</v>
          </cell>
          <cell r="I389">
            <v>1424.3099999999899</v>
          </cell>
          <cell r="J389">
            <v>0</v>
          </cell>
          <cell r="K389">
            <v>0</v>
          </cell>
          <cell r="L389">
            <v>1424.3099999999899</v>
          </cell>
          <cell r="M389">
            <v>168399.64</v>
          </cell>
          <cell r="N389">
            <v>28929.32</v>
          </cell>
          <cell r="O389">
            <v>0</v>
          </cell>
          <cell r="P389">
            <v>168399.64</v>
          </cell>
          <cell r="Q389">
            <v>28929.32</v>
          </cell>
          <cell r="R389">
            <v>846.34</v>
          </cell>
          <cell r="S389">
            <v>169245.98</v>
          </cell>
          <cell r="T389">
            <v>28082.98</v>
          </cell>
        </row>
        <row r="390">
          <cell r="A390" t="str">
            <v>PLN   Złoty</v>
          </cell>
          <cell r="B390" t="str">
            <v>1000/1700       Mocznik</v>
          </cell>
          <cell r="C390" t="str">
            <v>1000525    MAX-PLON</v>
          </cell>
          <cell r="D390" t="str">
            <v>KB Sprzed. bezpośrednia</v>
          </cell>
          <cell r="E390">
            <v>23375</v>
          </cell>
          <cell r="F390">
            <v>25</v>
          </cell>
          <cell r="G390">
            <v>18133.9199999999</v>
          </cell>
          <cell r="H390">
            <v>1196.5699999999899</v>
          </cell>
          <cell r="I390">
            <v>164.849999999999</v>
          </cell>
          <cell r="J390">
            <v>2280.36</v>
          </cell>
          <cell r="K390">
            <v>0</v>
          </cell>
          <cell r="L390">
            <v>2445.21</v>
          </cell>
          <cell r="M390">
            <v>21775.7</v>
          </cell>
          <cell r="N390">
            <v>1599.3</v>
          </cell>
          <cell r="O390">
            <v>0</v>
          </cell>
          <cell r="P390">
            <v>21775.7</v>
          </cell>
          <cell r="Q390">
            <v>1599.3</v>
          </cell>
          <cell r="R390">
            <v>97.819999999999894</v>
          </cell>
          <cell r="S390">
            <v>21873.52</v>
          </cell>
          <cell r="T390">
            <v>1501.48</v>
          </cell>
        </row>
        <row r="391">
          <cell r="A391" t="str">
            <v>PLN   Złoty</v>
          </cell>
          <cell r="B391" t="str">
            <v>1000/1700       Mocznik</v>
          </cell>
          <cell r="C391" t="str">
            <v>1000592    NOŻYŃSKI</v>
          </cell>
          <cell r="D391" t="str">
            <v>KB Sprzed. bezpośrednia</v>
          </cell>
          <cell r="E391">
            <v>46080</v>
          </cell>
          <cell r="F391">
            <v>48</v>
          </cell>
          <cell r="G391">
            <v>34817.120000000003</v>
          </cell>
          <cell r="H391">
            <v>2358.9099999999899</v>
          </cell>
          <cell r="I391">
            <v>316.50999999999902</v>
          </cell>
          <cell r="J391">
            <v>3773.28</v>
          </cell>
          <cell r="K391">
            <v>0</v>
          </cell>
          <cell r="L391">
            <v>4089.79</v>
          </cell>
          <cell r="M391">
            <v>41265.82</v>
          </cell>
          <cell r="N391">
            <v>4814.18</v>
          </cell>
          <cell r="O391">
            <v>0</v>
          </cell>
          <cell r="P391">
            <v>41265.82</v>
          </cell>
          <cell r="Q391">
            <v>4814.18</v>
          </cell>
          <cell r="R391">
            <v>187.849999999999</v>
          </cell>
          <cell r="S391">
            <v>41453.669999999896</v>
          </cell>
          <cell r="T391">
            <v>4626.3299999999899</v>
          </cell>
        </row>
        <row r="392">
          <cell r="A392" t="str">
            <v>PLN   Złoty</v>
          </cell>
          <cell r="B392" t="str">
            <v>1000/1700       Mocznik</v>
          </cell>
          <cell r="C392" t="str">
            <v>1000607    POGES</v>
          </cell>
          <cell r="D392" t="str">
            <v>KB Sprzed. bezpośrednia</v>
          </cell>
          <cell r="E392">
            <v>21925.4399999999</v>
          </cell>
          <cell r="F392">
            <v>24</v>
          </cell>
          <cell r="G392">
            <v>17408.560000000001</v>
          </cell>
          <cell r="H392">
            <v>1122.4000000000001</v>
          </cell>
          <cell r="I392">
            <v>158.259999999999</v>
          </cell>
          <cell r="J392">
            <v>0</v>
          </cell>
          <cell r="K392">
            <v>0</v>
          </cell>
          <cell r="L392">
            <v>158.259999999999</v>
          </cell>
          <cell r="M392">
            <v>18689.22</v>
          </cell>
          <cell r="N392">
            <v>3236.2199999999898</v>
          </cell>
          <cell r="O392">
            <v>0</v>
          </cell>
          <cell r="P392">
            <v>18689.22</v>
          </cell>
          <cell r="Q392">
            <v>3236.2199999999898</v>
          </cell>
          <cell r="R392">
            <v>93.92</v>
          </cell>
          <cell r="S392">
            <v>18783.139999999901</v>
          </cell>
          <cell r="T392">
            <v>3142.3</v>
          </cell>
        </row>
        <row r="393">
          <cell r="A393" t="str">
            <v>PLN   Złoty</v>
          </cell>
          <cell r="B393" t="str">
            <v>1000/1700       Mocznik</v>
          </cell>
          <cell r="C393" t="str">
            <v>1000662    "AGRO-HANDLOWIEC" K</v>
          </cell>
          <cell r="D393" t="str">
            <v>KB Sprzed. bezpośrednia</v>
          </cell>
          <cell r="E393">
            <v>605371.25</v>
          </cell>
          <cell r="F393">
            <v>637.5</v>
          </cell>
          <cell r="G393">
            <v>463004.62</v>
          </cell>
          <cell r="H393">
            <v>30990.25</v>
          </cell>
          <cell r="I393">
            <v>4203.6899999999896</v>
          </cell>
          <cell r="J393">
            <v>32080.77</v>
          </cell>
          <cell r="K393">
            <v>0</v>
          </cell>
          <cell r="L393">
            <v>36284.459999999897</v>
          </cell>
          <cell r="M393">
            <v>530279.32999999903</v>
          </cell>
          <cell r="N393">
            <v>75091.919999999896</v>
          </cell>
          <cell r="O393">
            <v>0</v>
          </cell>
          <cell r="P393">
            <v>530279.32999999903</v>
          </cell>
          <cell r="Q393">
            <v>75091.919999999896</v>
          </cell>
          <cell r="R393">
            <v>2497.9299999999898</v>
          </cell>
          <cell r="S393">
            <v>532777.26</v>
          </cell>
          <cell r="T393">
            <v>72593.990000000005</v>
          </cell>
        </row>
        <row r="394">
          <cell r="A394" t="str">
            <v>PLN   Złoty</v>
          </cell>
          <cell r="B394" t="str">
            <v>1000/1700       Mocznik</v>
          </cell>
          <cell r="C394" t="str">
            <v>1000675    Zaopatrz.Roln. Andrz</v>
          </cell>
          <cell r="D394" t="str">
            <v>KB Sprzed. bezpośrednia</v>
          </cell>
          <cell r="E394">
            <v>319131.679999999</v>
          </cell>
          <cell r="F394">
            <v>340</v>
          </cell>
          <cell r="G394">
            <v>247096.329999999</v>
          </cell>
          <cell r="H394">
            <v>16336.98</v>
          </cell>
          <cell r="I394">
            <v>2241.96</v>
          </cell>
          <cell r="J394">
            <v>14637.28</v>
          </cell>
          <cell r="K394">
            <v>0</v>
          </cell>
          <cell r="L394">
            <v>16879.240000000002</v>
          </cell>
          <cell r="M394">
            <v>280312.549999999</v>
          </cell>
          <cell r="N394">
            <v>38819.129999999903</v>
          </cell>
          <cell r="O394">
            <v>0</v>
          </cell>
          <cell r="P394">
            <v>280312.549999999</v>
          </cell>
          <cell r="Q394">
            <v>38819.129999999903</v>
          </cell>
          <cell r="R394">
            <v>1333.0899999999899</v>
          </cell>
          <cell r="S394">
            <v>281645.64</v>
          </cell>
          <cell r="T394">
            <v>37486.04</v>
          </cell>
        </row>
        <row r="395">
          <cell r="A395" t="str">
            <v>PLN   Złoty</v>
          </cell>
          <cell r="B395" t="str">
            <v>1000/1700       Mocznik</v>
          </cell>
          <cell r="C395" t="str">
            <v>1000680    Giełda Rolna ZOLA Sp</v>
          </cell>
          <cell r="D395" t="str">
            <v>KB Sprzed. bezpośrednia</v>
          </cell>
          <cell r="E395">
            <v>21925.4399999999</v>
          </cell>
          <cell r="F395">
            <v>24</v>
          </cell>
          <cell r="G395">
            <v>17408.560000000001</v>
          </cell>
          <cell r="H395">
            <v>1122.4000000000001</v>
          </cell>
          <cell r="I395">
            <v>158.259999999999</v>
          </cell>
          <cell r="J395">
            <v>0</v>
          </cell>
          <cell r="K395">
            <v>0</v>
          </cell>
          <cell r="L395">
            <v>158.259999999999</v>
          </cell>
          <cell r="M395">
            <v>18689.22</v>
          </cell>
          <cell r="N395">
            <v>3236.2199999999898</v>
          </cell>
          <cell r="O395">
            <v>0</v>
          </cell>
          <cell r="P395">
            <v>18689.22</v>
          </cell>
          <cell r="Q395">
            <v>3236.2199999999898</v>
          </cell>
          <cell r="R395">
            <v>93.92</v>
          </cell>
          <cell r="S395">
            <v>18783.139999999901</v>
          </cell>
          <cell r="T395">
            <v>3142.3</v>
          </cell>
        </row>
        <row r="396">
          <cell r="A396" t="str">
            <v>PLN   Złoty</v>
          </cell>
          <cell r="B396" t="str">
            <v>1000/1700       Mocznik</v>
          </cell>
          <cell r="C396" t="str">
            <v>1000808    TERRA Sp. z o.o.</v>
          </cell>
          <cell r="D396" t="str">
            <v>KB Sprzed. bezpośrednia</v>
          </cell>
          <cell r="E396">
            <v>43850.879999999903</v>
          </cell>
          <cell r="F396">
            <v>48</v>
          </cell>
          <cell r="G396">
            <v>35013.699999999903</v>
          </cell>
          <cell r="H396">
            <v>2244.8000000000002</v>
          </cell>
          <cell r="I396">
            <v>316.51999999999902</v>
          </cell>
          <cell r="J396">
            <v>0</v>
          </cell>
          <cell r="K396">
            <v>0</v>
          </cell>
          <cell r="L396">
            <v>316.51999999999902</v>
          </cell>
          <cell r="M396">
            <v>37575.019999999902</v>
          </cell>
          <cell r="N396">
            <v>6275.8599999999897</v>
          </cell>
          <cell r="O396">
            <v>0</v>
          </cell>
          <cell r="P396">
            <v>37575.019999999902</v>
          </cell>
          <cell r="Q396">
            <v>6275.8599999999897</v>
          </cell>
          <cell r="R396">
            <v>188.91</v>
          </cell>
          <cell r="S396">
            <v>37763.93</v>
          </cell>
          <cell r="T396">
            <v>6086.9499999999898</v>
          </cell>
        </row>
        <row r="397">
          <cell r="A397" t="str">
            <v>PLN   Złoty</v>
          </cell>
          <cell r="B397" t="str">
            <v>1000/1700       Mocznik</v>
          </cell>
          <cell r="C397" t="str">
            <v>1000858    BEISELEN - ATR Sp. z</v>
          </cell>
          <cell r="D397" t="str">
            <v>KB Sprzed. bezpośrednia</v>
          </cell>
          <cell r="E397">
            <v>109627.2</v>
          </cell>
          <cell r="F397">
            <v>120</v>
          </cell>
          <cell r="G397">
            <v>87829.119999999893</v>
          </cell>
          <cell r="H397">
            <v>5612.02</v>
          </cell>
          <cell r="I397">
            <v>791.27999999999895</v>
          </cell>
          <cell r="J397">
            <v>0</v>
          </cell>
          <cell r="K397">
            <v>0</v>
          </cell>
          <cell r="L397">
            <v>791.27999999999895</v>
          </cell>
          <cell r="M397">
            <v>94232.419999999896</v>
          </cell>
          <cell r="N397">
            <v>15394.78</v>
          </cell>
          <cell r="O397">
            <v>0</v>
          </cell>
          <cell r="P397">
            <v>94232.419999999896</v>
          </cell>
          <cell r="Q397">
            <v>15394.78</v>
          </cell>
          <cell r="R397">
            <v>473.83999999999901</v>
          </cell>
          <cell r="S397">
            <v>94706.259999999893</v>
          </cell>
          <cell r="T397">
            <v>14920.94</v>
          </cell>
        </row>
        <row r="398">
          <cell r="A398" t="str">
            <v>PLN   Złoty</v>
          </cell>
          <cell r="B398" t="str">
            <v>1000/1700       Mocznik</v>
          </cell>
          <cell r="C398" t="str">
            <v>1000982    TORAL Elżbieta Krupa</v>
          </cell>
          <cell r="D398" t="str">
            <v>KB Sprzed. bezpośrednia</v>
          </cell>
          <cell r="E398">
            <v>69080</v>
          </cell>
          <cell r="F398">
            <v>74</v>
          </cell>
          <cell r="G398">
            <v>53676.4</v>
          </cell>
          <cell r="H398">
            <v>3536.29</v>
          </cell>
          <cell r="I398">
            <v>487.95999999999901</v>
          </cell>
          <cell r="J398">
            <v>2022.5899999999899</v>
          </cell>
          <cell r="K398">
            <v>0</v>
          </cell>
          <cell r="L398">
            <v>2510.5500000000002</v>
          </cell>
          <cell r="M398">
            <v>59723.239999999903</v>
          </cell>
          <cell r="N398">
            <v>9356.76</v>
          </cell>
          <cell r="O398">
            <v>0</v>
          </cell>
          <cell r="P398">
            <v>59723.239999999903</v>
          </cell>
          <cell r="Q398">
            <v>9356.76</v>
          </cell>
          <cell r="R398">
            <v>289.56999999999903</v>
          </cell>
          <cell r="S398">
            <v>60012.809999999903</v>
          </cell>
          <cell r="T398">
            <v>9067.19</v>
          </cell>
        </row>
        <row r="399">
          <cell r="A399" t="str">
            <v>PLN   Złoty</v>
          </cell>
          <cell r="B399" t="str">
            <v>1000/1700       Mocznik</v>
          </cell>
          <cell r="C399" t="str">
            <v>1001007    "KRONOPOL" SP. Z O.O</v>
          </cell>
          <cell r="D399" t="str">
            <v>KB Sprzed. bezpośrednia</v>
          </cell>
          <cell r="E399">
            <v>4017983.5</v>
          </cell>
          <cell r="F399">
            <v>4185.6999999999898</v>
          </cell>
          <cell r="G399">
            <v>2959344.1899999902</v>
          </cell>
          <cell r="H399">
            <v>205689.019999999</v>
          </cell>
          <cell r="I399">
            <v>27600.59</v>
          </cell>
          <cell r="J399">
            <v>0</v>
          </cell>
          <cell r="K399">
            <v>0</v>
          </cell>
          <cell r="L399">
            <v>27600.59</v>
          </cell>
          <cell r="M399">
            <v>3192633.79999999</v>
          </cell>
          <cell r="N399">
            <v>825349.69999999902</v>
          </cell>
          <cell r="O399">
            <v>0</v>
          </cell>
          <cell r="P399">
            <v>3192633.79999999</v>
          </cell>
          <cell r="Q399">
            <v>825349.69999999902</v>
          </cell>
          <cell r="R399">
            <v>15965.719999999899</v>
          </cell>
          <cell r="S399">
            <v>3208599.52</v>
          </cell>
          <cell r="T399">
            <v>809383.97999999905</v>
          </cell>
        </row>
        <row r="400">
          <cell r="A400" t="str">
            <v>PLN   Złoty</v>
          </cell>
          <cell r="B400" t="str">
            <v>1000/1700       Mocznik</v>
          </cell>
          <cell r="C400" t="str">
            <v>1001024    TALAGA</v>
          </cell>
          <cell r="D400" t="str">
            <v>KB Sprzed. bezpośrednia</v>
          </cell>
          <cell r="E400">
            <v>43850.879999999903</v>
          </cell>
          <cell r="F400">
            <v>48</v>
          </cell>
          <cell r="G400">
            <v>34817.120000000003</v>
          </cell>
          <cell r="H400">
            <v>2244.8200000000002</v>
          </cell>
          <cell r="I400">
            <v>316.50999999999902</v>
          </cell>
          <cell r="J400">
            <v>0</v>
          </cell>
          <cell r="K400">
            <v>0</v>
          </cell>
          <cell r="L400">
            <v>316.50999999999902</v>
          </cell>
          <cell r="M400">
            <v>37378.449999999903</v>
          </cell>
          <cell r="N400">
            <v>6472.43</v>
          </cell>
          <cell r="O400">
            <v>0</v>
          </cell>
          <cell r="P400">
            <v>37378.449999999903</v>
          </cell>
          <cell r="Q400">
            <v>6472.43</v>
          </cell>
          <cell r="R400">
            <v>187.849999999999</v>
          </cell>
          <cell r="S400">
            <v>37566.300000000003</v>
          </cell>
          <cell r="T400">
            <v>6284.5799999999899</v>
          </cell>
        </row>
        <row r="401">
          <cell r="A401" t="str">
            <v>PLN   Złoty</v>
          </cell>
          <cell r="B401" t="str">
            <v>1000/1700       Mocznik</v>
          </cell>
          <cell r="C401" t="str">
            <v>1001206    KRONO-CHEM Sp. z o.o</v>
          </cell>
          <cell r="D401" t="str">
            <v>KB Sprzed. bezpośrednia</v>
          </cell>
          <cell r="E401">
            <v>5395717.5999999903</v>
          </cell>
          <cell r="F401">
            <v>5929.3599999999897</v>
          </cell>
          <cell r="G401">
            <v>4161794.3399999901</v>
          </cell>
          <cell r="H401">
            <v>276218.09000000003</v>
          </cell>
          <cell r="I401">
            <v>39098.300000000003</v>
          </cell>
          <cell r="J401">
            <v>0</v>
          </cell>
          <cell r="K401">
            <v>0</v>
          </cell>
          <cell r="L401">
            <v>39098.300000000003</v>
          </cell>
          <cell r="M401">
            <v>4477110.7300000004</v>
          </cell>
          <cell r="N401">
            <v>918606.87</v>
          </cell>
          <cell r="O401">
            <v>0</v>
          </cell>
          <cell r="P401">
            <v>4477110.7300000004</v>
          </cell>
          <cell r="Q401">
            <v>918606.87</v>
          </cell>
          <cell r="R401">
            <v>22452.97</v>
          </cell>
          <cell r="S401">
            <v>4499563.7</v>
          </cell>
          <cell r="T401">
            <v>896153.9</v>
          </cell>
        </row>
        <row r="402">
          <cell r="A402" t="str">
            <v>PLN   Złoty</v>
          </cell>
          <cell r="B402" t="str">
            <v>1000/1700       Mocznik</v>
          </cell>
          <cell r="C402" t="str">
            <v>1001253    ROL-MECH SP. Z O.O.</v>
          </cell>
          <cell r="D402" t="str">
            <v>KB Sprzed. bezpośrednia</v>
          </cell>
          <cell r="E402">
            <v>46320</v>
          </cell>
          <cell r="F402">
            <v>48</v>
          </cell>
          <cell r="G402">
            <v>35013.699999999903</v>
          </cell>
          <cell r="H402">
            <v>2371.2399999999898</v>
          </cell>
          <cell r="I402">
            <v>316.51999999999902</v>
          </cell>
          <cell r="J402">
            <v>4650.72</v>
          </cell>
          <cell r="K402">
            <v>0</v>
          </cell>
          <cell r="L402">
            <v>4967.2399999999898</v>
          </cell>
          <cell r="M402">
            <v>42352.18</v>
          </cell>
          <cell r="N402">
            <v>3967.82</v>
          </cell>
          <cell r="O402">
            <v>0</v>
          </cell>
          <cell r="P402">
            <v>42352.18</v>
          </cell>
          <cell r="Q402">
            <v>3967.82</v>
          </cell>
          <cell r="R402">
            <v>188.91</v>
          </cell>
          <cell r="S402">
            <v>42541.089999999902</v>
          </cell>
          <cell r="T402">
            <v>3778.9099999999899</v>
          </cell>
        </row>
        <row r="403">
          <cell r="A403" t="str">
            <v>PLN   Złoty</v>
          </cell>
          <cell r="B403" t="str">
            <v>1000/1700       Mocznik</v>
          </cell>
          <cell r="C403" t="str">
            <v>1001481    Hurt.Śr.Ochr.Roślin-</v>
          </cell>
          <cell r="D403" t="str">
            <v>KB Sprzed. bezpośrednia</v>
          </cell>
          <cell r="E403">
            <v>23160</v>
          </cell>
          <cell r="F403">
            <v>24</v>
          </cell>
          <cell r="G403">
            <v>17408.560000000001</v>
          </cell>
          <cell r="H403">
            <v>1185.6199999999899</v>
          </cell>
          <cell r="I403">
            <v>158.259999999999</v>
          </cell>
          <cell r="J403">
            <v>1992.72</v>
          </cell>
          <cell r="K403">
            <v>0</v>
          </cell>
          <cell r="L403">
            <v>2150.98</v>
          </cell>
          <cell r="M403">
            <v>20745.16</v>
          </cell>
          <cell r="N403">
            <v>2414.84</v>
          </cell>
          <cell r="O403">
            <v>0</v>
          </cell>
          <cell r="P403">
            <v>20745.16</v>
          </cell>
          <cell r="Q403">
            <v>2414.84</v>
          </cell>
          <cell r="R403">
            <v>93.92</v>
          </cell>
          <cell r="S403">
            <v>20839.080000000002</v>
          </cell>
          <cell r="T403">
            <v>2320.92</v>
          </cell>
        </row>
        <row r="404">
          <cell r="A404" t="str">
            <v>PLN   Złoty</v>
          </cell>
          <cell r="B404" t="str">
            <v>1000/1700       Mocznik</v>
          </cell>
          <cell r="C404" t="str">
            <v>1001494    AGROLOK Sp. z o.o.</v>
          </cell>
          <cell r="D404" t="str">
            <v>KB Sprzed. bezpośrednia</v>
          </cell>
          <cell r="E404">
            <v>45000</v>
          </cell>
          <cell r="F404">
            <v>48</v>
          </cell>
          <cell r="G404">
            <v>34817.120000000003</v>
          </cell>
          <cell r="H404">
            <v>2303.5999999999899</v>
          </cell>
          <cell r="I404">
            <v>316.50999999999902</v>
          </cell>
          <cell r="J404">
            <v>1286.1600000000001</v>
          </cell>
          <cell r="K404">
            <v>0</v>
          </cell>
          <cell r="L404">
            <v>1602.67</v>
          </cell>
          <cell r="M404">
            <v>38723.389999999898</v>
          </cell>
          <cell r="N404">
            <v>6276.6099999999897</v>
          </cell>
          <cell r="O404">
            <v>0</v>
          </cell>
          <cell r="P404">
            <v>38723.389999999898</v>
          </cell>
          <cell r="Q404">
            <v>6276.6099999999897</v>
          </cell>
          <cell r="R404">
            <v>187.849999999999</v>
          </cell>
          <cell r="S404">
            <v>38911.239999999903</v>
          </cell>
          <cell r="T404">
            <v>6088.76</v>
          </cell>
        </row>
        <row r="405">
          <cell r="A405" t="str">
            <v>PLN   Złoty</v>
          </cell>
          <cell r="B405" t="str">
            <v>1000/1700       Mocznik</v>
          </cell>
          <cell r="C405" t="str">
            <v>1001519    "ARGOL" LESZEK KALIS</v>
          </cell>
          <cell r="D405" t="str">
            <v>KB Sprzed. bezpośrednia</v>
          </cell>
          <cell r="E405">
            <v>23160</v>
          </cell>
          <cell r="F405">
            <v>24</v>
          </cell>
          <cell r="G405">
            <v>17408.560000000001</v>
          </cell>
          <cell r="H405">
            <v>1185.6199999999899</v>
          </cell>
          <cell r="I405">
            <v>158.259999999999</v>
          </cell>
          <cell r="J405">
            <v>1780.8</v>
          </cell>
          <cell r="K405">
            <v>0</v>
          </cell>
          <cell r="L405">
            <v>1939.0599999999899</v>
          </cell>
          <cell r="M405">
            <v>20533.240000000002</v>
          </cell>
          <cell r="N405">
            <v>2626.76</v>
          </cell>
          <cell r="O405">
            <v>0</v>
          </cell>
          <cell r="P405">
            <v>20533.240000000002</v>
          </cell>
          <cell r="Q405">
            <v>2626.76</v>
          </cell>
          <cell r="R405">
            <v>93.92</v>
          </cell>
          <cell r="S405">
            <v>20627.16</v>
          </cell>
          <cell r="T405">
            <v>2532.84</v>
          </cell>
        </row>
        <row r="406">
          <cell r="A406" t="str">
            <v>PLN   Złoty</v>
          </cell>
          <cell r="B406" t="str">
            <v>1000/1700       Mocznik</v>
          </cell>
          <cell r="C406" t="str">
            <v>1001522    AGRO-BIT</v>
          </cell>
          <cell r="D406" t="str">
            <v>KB Sprzed. bezpośrednia</v>
          </cell>
          <cell r="E406">
            <v>116730</v>
          </cell>
          <cell r="F406">
            <v>122</v>
          </cell>
          <cell r="G406">
            <v>88493.52</v>
          </cell>
          <cell r="H406">
            <v>5975.71</v>
          </cell>
          <cell r="I406">
            <v>804.47</v>
          </cell>
          <cell r="J406">
            <v>9665.6399999999903</v>
          </cell>
          <cell r="K406">
            <v>0</v>
          </cell>
          <cell r="L406">
            <v>10470.11</v>
          </cell>
          <cell r="M406">
            <v>104939.34</v>
          </cell>
          <cell r="N406">
            <v>11790.66</v>
          </cell>
          <cell r="O406">
            <v>0</v>
          </cell>
          <cell r="P406">
            <v>104939.34</v>
          </cell>
          <cell r="Q406">
            <v>11790.66</v>
          </cell>
          <cell r="R406">
            <v>477.44</v>
          </cell>
          <cell r="S406">
            <v>105416.78</v>
          </cell>
          <cell r="T406">
            <v>11313.219999999899</v>
          </cell>
        </row>
        <row r="407">
          <cell r="A407" t="str">
            <v>PLN   Złoty</v>
          </cell>
          <cell r="B407" t="str">
            <v>1000/1700       Mocznik</v>
          </cell>
          <cell r="C407" t="str">
            <v>1001662    AMPOL-MEROL Sp. z o.</v>
          </cell>
          <cell r="D407" t="str">
            <v>KB Sprzed. bezpośrednia</v>
          </cell>
          <cell r="E407">
            <v>848124.04</v>
          </cell>
          <cell r="F407">
            <v>901.48</v>
          </cell>
          <cell r="G407">
            <v>653385.70999999903</v>
          </cell>
          <cell r="H407">
            <v>43417.199999999903</v>
          </cell>
          <cell r="I407">
            <v>5944.3699999999899</v>
          </cell>
          <cell r="J407">
            <v>33322.22</v>
          </cell>
          <cell r="K407">
            <v>0</v>
          </cell>
          <cell r="L407">
            <v>39266.589999999902</v>
          </cell>
          <cell r="M407">
            <v>736069.5</v>
          </cell>
          <cell r="N407">
            <v>112054.539999999</v>
          </cell>
          <cell r="O407">
            <v>0</v>
          </cell>
          <cell r="P407">
            <v>736069.5</v>
          </cell>
          <cell r="Q407">
            <v>112054.539999999</v>
          </cell>
          <cell r="R407">
            <v>3525.04</v>
          </cell>
          <cell r="S407">
            <v>739594.54</v>
          </cell>
          <cell r="T407">
            <v>108529.5</v>
          </cell>
        </row>
        <row r="408">
          <cell r="A408" t="str">
            <v>PLN   Złoty</v>
          </cell>
          <cell r="B408" t="str">
            <v>1000/1700       Mocznik</v>
          </cell>
          <cell r="C408" t="str">
            <v>1001701    INTRAT-BRZ</v>
          </cell>
          <cell r="D408" t="str">
            <v>KB Sprzed. bezpośrednia</v>
          </cell>
          <cell r="E408">
            <v>91992</v>
          </cell>
          <cell r="F408">
            <v>96</v>
          </cell>
          <cell r="G408">
            <v>69634.240000000005</v>
          </cell>
          <cell r="H408">
            <v>4709.2299999999896</v>
          </cell>
          <cell r="I408">
            <v>633.01999999999896</v>
          </cell>
          <cell r="J408">
            <v>5029.92</v>
          </cell>
          <cell r="K408">
            <v>0</v>
          </cell>
          <cell r="L408">
            <v>5662.9399999999896</v>
          </cell>
          <cell r="M408">
            <v>80006.41</v>
          </cell>
          <cell r="N408">
            <v>11985.59</v>
          </cell>
          <cell r="O408">
            <v>0</v>
          </cell>
          <cell r="P408">
            <v>80006.41</v>
          </cell>
          <cell r="Q408">
            <v>11985.59</v>
          </cell>
          <cell r="R408">
            <v>375.68</v>
          </cell>
          <cell r="S408">
            <v>80382.089999999895</v>
          </cell>
          <cell r="T408">
            <v>11609.91</v>
          </cell>
        </row>
        <row r="409">
          <cell r="A409" t="str">
            <v>PLN   Złoty</v>
          </cell>
          <cell r="B409" t="str">
            <v>1000/1700       Mocznik</v>
          </cell>
          <cell r="C409" t="str">
            <v>1001871    ROLPOL SPÓŁKA JAWNA</v>
          </cell>
          <cell r="D409" t="str">
            <v>KB Sprzed. bezpośrednia</v>
          </cell>
          <cell r="E409">
            <v>22080</v>
          </cell>
          <cell r="F409">
            <v>24</v>
          </cell>
          <cell r="G409">
            <v>17408.560000000001</v>
          </cell>
          <cell r="H409">
            <v>1130.3099999999899</v>
          </cell>
          <cell r="I409">
            <v>158.259999999999</v>
          </cell>
          <cell r="J409">
            <v>0</v>
          </cell>
          <cell r="K409">
            <v>0</v>
          </cell>
          <cell r="L409">
            <v>158.259999999999</v>
          </cell>
          <cell r="M409">
            <v>18697.13</v>
          </cell>
          <cell r="N409">
            <v>3382.8699999999899</v>
          </cell>
          <cell r="O409">
            <v>0</v>
          </cell>
          <cell r="P409">
            <v>18697.13</v>
          </cell>
          <cell r="Q409">
            <v>3382.8699999999899</v>
          </cell>
          <cell r="R409">
            <v>93.92</v>
          </cell>
          <cell r="S409">
            <v>18791.049999999901</v>
          </cell>
          <cell r="T409">
            <v>3288.9499999999898</v>
          </cell>
        </row>
        <row r="410">
          <cell r="A410" t="str">
            <v>PLN   Złoty</v>
          </cell>
          <cell r="B410" t="str">
            <v>1000/1700       Mocznik</v>
          </cell>
          <cell r="C410" t="str">
            <v>1001983    FAZOT</v>
          </cell>
          <cell r="D410" t="str">
            <v>KB Sprzed. bezpośrednia</v>
          </cell>
          <cell r="E410">
            <v>125185.66</v>
          </cell>
          <cell r="F410">
            <v>135</v>
          </cell>
          <cell r="G410">
            <v>98234.399999999907</v>
          </cell>
          <cell r="H410">
            <v>6408.54</v>
          </cell>
          <cell r="I410">
            <v>890.2</v>
          </cell>
          <cell r="J410">
            <v>3192.51</v>
          </cell>
          <cell r="K410">
            <v>0</v>
          </cell>
          <cell r="L410">
            <v>4082.71</v>
          </cell>
          <cell r="M410">
            <v>108725.649999999</v>
          </cell>
          <cell r="N410">
            <v>16460.0099999999</v>
          </cell>
          <cell r="O410">
            <v>0</v>
          </cell>
          <cell r="P410">
            <v>108725.649999999</v>
          </cell>
          <cell r="Q410">
            <v>16460.0099999999</v>
          </cell>
          <cell r="R410">
            <v>529.98</v>
          </cell>
          <cell r="S410">
            <v>109255.63</v>
          </cell>
          <cell r="T410">
            <v>15930.03</v>
          </cell>
        </row>
        <row r="411">
          <cell r="A411" t="str">
            <v>PLN   Złoty</v>
          </cell>
          <cell r="B411" t="str">
            <v>1000/1700       Mocznik</v>
          </cell>
          <cell r="C411" t="str">
            <v>1001985    GS-BANIE</v>
          </cell>
          <cell r="D411" t="str">
            <v>KB Sprzed. bezpośrednia</v>
          </cell>
          <cell r="E411">
            <v>35725.440000000002</v>
          </cell>
          <cell r="F411">
            <v>39</v>
          </cell>
          <cell r="G411">
            <v>28288.91</v>
          </cell>
          <cell r="H411">
            <v>1828.8599999999899</v>
          </cell>
          <cell r="I411">
            <v>257.16000000000003</v>
          </cell>
          <cell r="J411">
            <v>0</v>
          </cell>
          <cell r="K411">
            <v>0</v>
          </cell>
          <cell r="L411">
            <v>257.16000000000003</v>
          </cell>
          <cell r="M411">
            <v>30374.93</v>
          </cell>
          <cell r="N411">
            <v>5350.51</v>
          </cell>
          <cell r="O411">
            <v>0</v>
          </cell>
          <cell r="P411">
            <v>30374.93</v>
          </cell>
          <cell r="Q411">
            <v>5350.51</v>
          </cell>
          <cell r="R411">
            <v>152.61000000000001</v>
          </cell>
          <cell r="S411">
            <v>30527.54</v>
          </cell>
          <cell r="T411">
            <v>5197.8999999999896</v>
          </cell>
        </row>
        <row r="412">
          <cell r="A412" t="str">
            <v>PLN   Złoty</v>
          </cell>
          <cell r="B412" t="str">
            <v>1000/1700       Mocznik</v>
          </cell>
          <cell r="C412" t="str">
            <v>1001988    ROLNIK-KOŚCIAN</v>
          </cell>
          <cell r="D412" t="str">
            <v>KB Sprzed. bezpośrednia</v>
          </cell>
          <cell r="E412">
            <v>733288.38</v>
          </cell>
          <cell r="F412">
            <v>790.5</v>
          </cell>
          <cell r="G412">
            <v>575347.95999999903</v>
          </cell>
          <cell r="H412">
            <v>37538.58</v>
          </cell>
          <cell r="I412">
            <v>5212.5699999999897</v>
          </cell>
          <cell r="J412">
            <v>12205.08</v>
          </cell>
          <cell r="K412">
            <v>0</v>
          </cell>
          <cell r="L412">
            <v>17417.650000000001</v>
          </cell>
          <cell r="M412">
            <v>630304.18999999901</v>
          </cell>
          <cell r="N412">
            <v>102984.19</v>
          </cell>
          <cell r="O412">
            <v>0</v>
          </cell>
          <cell r="P412">
            <v>630304.18999999901</v>
          </cell>
          <cell r="Q412">
            <v>102984.19</v>
          </cell>
          <cell r="R412">
            <v>3104.02</v>
          </cell>
          <cell r="S412">
            <v>633408.20999999903</v>
          </cell>
          <cell r="T412">
            <v>99880.169999999896</v>
          </cell>
        </row>
        <row r="413">
          <cell r="A413" t="str">
            <v>PLN   Złoty</v>
          </cell>
          <cell r="B413" t="str">
            <v>1000/1700       Mocznik</v>
          </cell>
          <cell r="C413" t="str">
            <v>1001991    WAMEX</v>
          </cell>
          <cell r="D413" t="str">
            <v>KB Sprzed. bezpośrednia</v>
          </cell>
          <cell r="E413">
            <v>506938.88</v>
          </cell>
          <cell r="F413">
            <v>538</v>
          </cell>
          <cell r="G413">
            <v>390241.91999999899</v>
          </cell>
          <cell r="H413">
            <v>25951.25</v>
          </cell>
          <cell r="I413">
            <v>3547.5799999999899</v>
          </cell>
          <cell r="J413">
            <v>37561.18</v>
          </cell>
          <cell r="K413">
            <v>0</v>
          </cell>
          <cell r="L413">
            <v>41108.76</v>
          </cell>
          <cell r="M413">
            <v>457301.929999999</v>
          </cell>
          <cell r="N413">
            <v>49636.949999999903</v>
          </cell>
          <cell r="O413">
            <v>0</v>
          </cell>
          <cell r="P413">
            <v>457301.929999999</v>
          </cell>
          <cell r="Q413">
            <v>49636.949999999903</v>
          </cell>
          <cell r="R413">
            <v>2105.3499999999899</v>
          </cell>
          <cell r="S413">
            <v>459407.28</v>
          </cell>
          <cell r="T413">
            <v>47531.599999999897</v>
          </cell>
        </row>
        <row r="414">
          <cell r="A414" t="str">
            <v>PLN   Złoty</v>
          </cell>
          <cell r="B414" t="str">
            <v>1000/1700       Mocznik</v>
          </cell>
          <cell r="C414" t="str">
            <v>1001994    SKR-STRZELCE</v>
          </cell>
          <cell r="D414" t="str">
            <v>KB Sprzed. bezpośrednia</v>
          </cell>
          <cell r="E414">
            <v>328881.59999999899</v>
          </cell>
          <cell r="F414">
            <v>360</v>
          </cell>
          <cell r="G414">
            <v>262893.7</v>
          </cell>
          <cell r="H414">
            <v>16836.119999999901</v>
          </cell>
          <cell r="I414">
            <v>2373.8499999999899</v>
          </cell>
          <cell r="J414">
            <v>0</v>
          </cell>
          <cell r="K414">
            <v>0</v>
          </cell>
          <cell r="L414">
            <v>2373.8499999999899</v>
          </cell>
          <cell r="M414">
            <v>282103.66999999899</v>
          </cell>
          <cell r="N414">
            <v>46777.93</v>
          </cell>
          <cell r="O414">
            <v>0</v>
          </cell>
          <cell r="P414">
            <v>282103.66999999899</v>
          </cell>
          <cell r="Q414">
            <v>46777.93</v>
          </cell>
          <cell r="R414">
            <v>1418.3</v>
          </cell>
          <cell r="S414">
            <v>283521.96999999898</v>
          </cell>
          <cell r="T414">
            <v>45359.629999999903</v>
          </cell>
        </row>
        <row r="415">
          <cell r="A415" t="str">
            <v>PLN   Złoty</v>
          </cell>
          <cell r="B415" t="str">
            <v>1000/1700       Mocznik</v>
          </cell>
          <cell r="C415" t="str">
            <v>1002004    AZOT</v>
          </cell>
          <cell r="D415" t="str">
            <v>KB Sprzed. bezpośrednia</v>
          </cell>
          <cell r="E415">
            <v>22998</v>
          </cell>
          <cell r="F415">
            <v>24</v>
          </cell>
          <cell r="G415">
            <v>17408.560000000001</v>
          </cell>
          <cell r="H415">
            <v>1177.29</v>
          </cell>
          <cell r="I415">
            <v>158.259999999999</v>
          </cell>
          <cell r="J415">
            <v>1545.3599999999899</v>
          </cell>
          <cell r="K415">
            <v>0</v>
          </cell>
          <cell r="L415">
            <v>1703.6199999999899</v>
          </cell>
          <cell r="M415">
            <v>20289.47</v>
          </cell>
          <cell r="N415">
            <v>2708.53</v>
          </cell>
          <cell r="O415">
            <v>0</v>
          </cell>
          <cell r="P415">
            <v>20289.47</v>
          </cell>
          <cell r="Q415">
            <v>2708.53</v>
          </cell>
          <cell r="R415">
            <v>93.92</v>
          </cell>
          <cell r="S415">
            <v>20383.389999999901</v>
          </cell>
          <cell r="T415">
            <v>2614.61</v>
          </cell>
        </row>
        <row r="416">
          <cell r="A416" t="str">
            <v>PLN   Złoty</v>
          </cell>
          <cell r="B416" t="str">
            <v>1000/1700       Mocznik</v>
          </cell>
          <cell r="C416" t="str">
            <v>1002005    LAMCH-TOMI</v>
          </cell>
          <cell r="D416" t="str">
            <v>KB Sprzed. bezpośrednia</v>
          </cell>
          <cell r="E416">
            <v>36504.169999999896</v>
          </cell>
          <cell r="F416">
            <v>40</v>
          </cell>
          <cell r="G416">
            <v>29014.27</v>
          </cell>
          <cell r="H416">
            <v>1868.76</v>
          </cell>
          <cell r="I416">
            <v>263.75999999999902</v>
          </cell>
          <cell r="J416">
            <v>0</v>
          </cell>
          <cell r="K416">
            <v>0</v>
          </cell>
          <cell r="L416">
            <v>263.75999999999902</v>
          </cell>
          <cell r="M416">
            <v>31146.79</v>
          </cell>
          <cell r="N416">
            <v>5357.38</v>
          </cell>
          <cell r="O416">
            <v>0</v>
          </cell>
          <cell r="P416">
            <v>31146.79</v>
          </cell>
          <cell r="Q416">
            <v>5357.38</v>
          </cell>
          <cell r="R416">
            <v>156.53</v>
          </cell>
          <cell r="S416">
            <v>31303.32</v>
          </cell>
          <cell r="T416">
            <v>5200.8500000000004</v>
          </cell>
        </row>
        <row r="417">
          <cell r="A417" t="str">
            <v>PLN   Złoty</v>
          </cell>
          <cell r="B417" t="str">
            <v>1000/1700       Mocznik</v>
          </cell>
          <cell r="C417" t="str">
            <v>1002009    AGROTECHNI</v>
          </cell>
          <cell r="D417" t="str">
            <v>KB Sprzed. bezpośrednia</v>
          </cell>
          <cell r="E417">
            <v>46750</v>
          </cell>
          <cell r="F417">
            <v>50</v>
          </cell>
          <cell r="G417">
            <v>36267.839999999902</v>
          </cell>
          <cell r="H417">
            <v>2393.25</v>
          </cell>
          <cell r="I417">
            <v>329.70999999999901</v>
          </cell>
          <cell r="J417">
            <v>4024.5999999999899</v>
          </cell>
          <cell r="K417">
            <v>0</v>
          </cell>
          <cell r="L417">
            <v>4354.3100000000004</v>
          </cell>
          <cell r="M417">
            <v>43015.4</v>
          </cell>
          <cell r="N417">
            <v>3734.5999999999899</v>
          </cell>
          <cell r="O417">
            <v>0</v>
          </cell>
          <cell r="P417">
            <v>43015.4</v>
          </cell>
          <cell r="Q417">
            <v>3734.5999999999899</v>
          </cell>
          <cell r="R417">
            <v>195.66</v>
          </cell>
          <cell r="S417">
            <v>43211.059999999903</v>
          </cell>
          <cell r="T417">
            <v>3538.94</v>
          </cell>
        </row>
        <row r="418">
          <cell r="A418" t="str">
            <v>PLN   Złoty</v>
          </cell>
          <cell r="B418" t="str">
            <v>1000/1700       Mocznik</v>
          </cell>
          <cell r="C418" t="str">
            <v>1002010    BOGUSZ</v>
          </cell>
          <cell r="D418" t="str">
            <v>KB Sprzed. bezpośrednia</v>
          </cell>
          <cell r="E418">
            <v>44923.44</v>
          </cell>
          <cell r="F418">
            <v>48</v>
          </cell>
          <cell r="G418">
            <v>34817.120000000003</v>
          </cell>
          <cell r="H418">
            <v>2299.73</v>
          </cell>
          <cell r="I418">
            <v>316.50999999999902</v>
          </cell>
          <cell r="J418">
            <v>1780.8</v>
          </cell>
          <cell r="K418">
            <v>0</v>
          </cell>
          <cell r="L418">
            <v>2097.3099999999899</v>
          </cell>
          <cell r="M418">
            <v>39214.160000000003</v>
          </cell>
          <cell r="N418">
            <v>5709.2799999999897</v>
          </cell>
          <cell r="O418">
            <v>0</v>
          </cell>
          <cell r="P418">
            <v>39214.160000000003</v>
          </cell>
          <cell r="Q418">
            <v>5709.2799999999897</v>
          </cell>
          <cell r="R418">
            <v>187.849999999999</v>
          </cell>
          <cell r="S418">
            <v>39402.01</v>
          </cell>
          <cell r="T418">
            <v>5521.43</v>
          </cell>
        </row>
        <row r="419">
          <cell r="A419" t="str">
            <v>PLN   Złoty</v>
          </cell>
          <cell r="B419" t="str">
            <v>1000/1700       Mocznik</v>
          </cell>
          <cell r="C419" t="str">
            <v>1002056    GS-Koronowo</v>
          </cell>
          <cell r="D419" t="str">
            <v>KB Sprzed. bezpośrednia</v>
          </cell>
          <cell r="E419">
            <v>70625</v>
          </cell>
          <cell r="F419">
            <v>75</v>
          </cell>
          <cell r="G419">
            <v>54401.760000000002</v>
          </cell>
          <cell r="H419">
            <v>3615.46</v>
          </cell>
          <cell r="I419">
            <v>494.55</v>
          </cell>
          <cell r="J419">
            <v>3356.78</v>
          </cell>
          <cell r="K419">
            <v>0</v>
          </cell>
          <cell r="L419">
            <v>3851.3299999999899</v>
          </cell>
          <cell r="M419">
            <v>61868.55</v>
          </cell>
          <cell r="N419">
            <v>8756.4500000000007</v>
          </cell>
          <cell r="O419">
            <v>0</v>
          </cell>
          <cell r="P419">
            <v>61868.55</v>
          </cell>
          <cell r="Q419">
            <v>8756.4500000000007</v>
          </cell>
          <cell r="R419">
            <v>293.5</v>
          </cell>
          <cell r="S419">
            <v>62162.05</v>
          </cell>
          <cell r="T419">
            <v>8462.9500000000007</v>
          </cell>
        </row>
        <row r="420">
          <cell r="A420" t="str">
            <v>PLN   Złoty</v>
          </cell>
          <cell r="B420" t="str">
            <v>1000/1700       Mocznik</v>
          </cell>
          <cell r="C420" t="str">
            <v>1002058    GS-Gardeja</v>
          </cell>
          <cell r="D420" t="str">
            <v>KB Sprzed. bezpośrednia</v>
          </cell>
          <cell r="E420">
            <v>-590</v>
          </cell>
          <cell r="F420">
            <v>0</v>
          </cell>
          <cell r="G420">
            <v>0</v>
          </cell>
          <cell r="H420">
            <v>-30.18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-30.18</v>
          </cell>
          <cell r="N420">
            <v>-559.82000000000005</v>
          </cell>
          <cell r="O420">
            <v>0</v>
          </cell>
          <cell r="P420">
            <v>-30.18</v>
          </cell>
          <cell r="Q420">
            <v>-559.82000000000005</v>
          </cell>
          <cell r="R420">
            <v>0</v>
          </cell>
          <cell r="S420">
            <v>-30.18</v>
          </cell>
          <cell r="T420">
            <v>-559.82000000000005</v>
          </cell>
        </row>
        <row r="421">
          <cell r="A421" t="str">
            <v>PLN   Złoty</v>
          </cell>
          <cell r="B421" t="str">
            <v>1000/1700       Mocznik</v>
          </cell>
          <cell r="C421" t="str">
            <v>1002657    "AGROFIRMA"-TOMASZ W</v>
          </cell>
          <cell r="D421" t="str">
            <v>KB Sprzed. bezpośrednia</v>
          </cell>
          <cell r="E421">
            <v>118061.75999999901</v>
          </cell>
          <cell r="F421">
            <v>129</v>
          </cell>
          <cell r="G421">
            <v>93964.169999999896</v>
          </cell>
          <cell r="H421">
            <v>6043.8699999999899</v>
          </cell>
          <cell r="I421">
            <v>850.62</v>
          </cell>
          <cell r="J421">
            <v>0</v>
          </cell>
          <cell r="K421">
            <v>0</v>
          </cell>
          <cell r="L421">
            <v>850.62</v>
          </cell>
          <cell r="M421">
            <v>100858.66</v>
          </cell>
          <cell r="N421">
            <v>17203.0999999999</v>
          </cell>
          <cell r="O421">
            <v>0</v>
          </cell>
          <cell r="P421">
            <v>100858.66</v>
          </cell>
          <cell r="Q421">
            <v>17203.0999999999</v>
          </cell>
          <cell r="R421">
            <v>506.94999999999902</v>
          </cell>
          <cell r="S421">
            <v>101365.61</v>
          </cell>
          <cell r="T421">
            <v>16696.150000000001</v>
          </cell>
        </row>
        <row r="422">
          <cell r="A422" t="str">
            <v>PLN   Złoty</v>
          </cell>
          <cell r="B422" t="str">
            <v>1000/1700       Mocznik</v>
          </cell>
          <cell r="C422" t="str">
            <v>1002790    AGRO-SKŁAD SZYMON NO</v>
          </cell>
          <cell r="D422" t="str">
            <v>KB Sprzed. bezpośrednia</v>
          </cell>
          <cell r="E422">
            <v>217884.06</v>
          </cell>
          <cell r="F422">
            <v>238.5</v>
          </cell>
          <cell r="G422">
            <v>174164.76</v>
          </cell>
          <cell r="H422">
            <v>11153.92</v>
          </cell>
          <cell r="I422">
            <v>1572.67</v>
          </cell>
          <cell r="J422">
            <v>0</v>
          </cell>
          <cell r="K422">
            <v>0</v>
          </cell>
          <cell r="L422">
            <v>1572.67</v>
          </cell>
          <cell r="M422">
            <v>186891.35</v>
          </cell>
          <cell r="N422">
            <v>30992.709999999901</v>
          </cell>
          <cell r="O422">
            <v>0</v>
          </cell>
          <cell r="P422">
            <v>186891.35</v>
          </cell>
          <cell r="Q422">
            <v>30992.709999999901</v>
          </cell>
          <cell r="R422">
            <v>939.63</v>
          </cell>
          <cell r="S422">
            <v>187830.98</v>
          </cell>
          <cell r="T422">
            <v>30053.08</v>
          </cell>
        </row>
        <row r="423">
          <cell r="A423" t="str">
            <v>PLN   Złoty</v>
          </cell>
          <cell r="B423" t="str">
            <v>1000/1700       Mocznik</v>
          </cell>
          <cell r="C423" t="str">
            <v>1002912    "SOMIR" SP. Z O.O.</v>
          </cell>
          <cell r="D423" t="str">
            <v>KB Sprzed. bezpośrednia</v>
          </cell>
          <cell r="E423">
            <v>43850.879999999903</v>
          </cell>
          <cell r="F423">
            <v>48</v>
          </cell>
          <cell r="G423">
            <v>34817.120000000003</v>
          </cell>
          <cell r="H423">
            <v>2244.8200000000002</v>
          </cell>
          <cell r="I423">
            <v>316.50999999999902</v>
          </cell>
          <cell r="J423">
            <v>0</v>
          </cell>
          <cell r="K423">
            <v>0</v>
          </cell>
          <cell r="L423">
            <v>316.50999999999902</v>
          </cell>
          <cell r="M423">
            <v>37378.449999999903</v>
          </cell>
          <cell r="N423">
            <v>6472.43</v>
          </cell>
          <cell r="O423">
            <v>0</v>
          </cell>
          <cell r="P423">
            <v>37378.449999999903</v>
          </cell>
          <cell r="Q423">
            <v>6472.43</v>
          </cell>
          <cell r="R423">
            <v>187.849999999999</v>
          </cell>
          <cell r="S423">
            <v>37566.300000000003</v>
          </cell>
          <cell r="T423">
            <v>6284.5799999999899</v>
          </cell>
        </row>
        <row r="424">
          <cell r="A424" t="str">
            <v>PLN   Złoty</v>
          </cell>
          <cell r="B424" t="str">
            <v>1000/1700       Mocznik</v>
          </cell>
          <cell r="C424" t="str">
            <v>1002956    MIROSŁAW ULENBERG "U</v>
          </cell>
          <cell r="D424" t="str">
            <v>KB Sprzed. bezpośrednia</v>
          </cell>
          <cell r="E424">
            <v>22080</v>
          </cell>
          <cell r="F424">
            <v>24</v>
          </cell>
          <cell r="G424">
            <v>17408.560000000001</v>
          </cell>
          <cell r="H424">
            <v>1130.3099999999899</v>
          </cell>
          <cell r="I424">
            <v>158.259999999999</v>
          </cell>
          <cell r="J424">
            <v>0</v>
          </cell>
          <cell r="K424">
            <v>0</v>
          </cell>
          <cell r="L424">
            <v>158.259999999999</v>
          </cell>
          <cell r="M424">
            <v>18697.13</v>
          </cell>
          <cell r="N424">
            <v>3382.8699999999899</v>
          </cell>
          <cell r="O424">
            <v>0</v>
          </cell>
          <cell r="P424">
            <v>18697.13</v>
          </cell>
          <cell r="Q424">
            <v>3382.8699999999899</v>
          </cell>
          <cell r="R424">
            <v>93.92</v>
          </cell>
          <cell r="S424">
            <v>18791.049999999901</v>
          </cell>
          <cell r="T424">
            <v>3288.9499999999898</v>
          </cell>
        </row>
        <row r="425">
          <cell r="A425" t="str">
            <v>PLN   Złoty</v>
          </cell>
          <cell r="B425" t="str">
            <v>1000/1700       Mocznik</v>
          </cell>
          <cell r="C425" t="str">
            <v>1002959    "AGROMAX"</v>
          </cell>
          <cell r="D425" t="str">
            <v>KB Sprzed. bezpośrednia</v>
          </cell>
          <cell r="E425">
            <v>45384.94</v>
          </cell>
          <cell r="F425">
            <v>49</v>
          </cell>
          <cell r="G425">
            <v>35542.480000000003</v>
          </cell>
          <cell r="H425">
            <v>2323.36</v>
          </cell>
          <cell r="I425">
            <v>323.11</v>
          </cell>
          <cell r="J425">
            <v>1261.4000000000001</v>
          </cell>
          <cell r="K425">
            <v>0</v>
          </cell>
          <cell r="L425">
            <v>1584.51</v>
          </cell>
          <cell r="M425">
            <v>39450.349999999897</v>
          </cell>
          <cell r="N425">
            <v>5934.59</v>
          </cell>
          <cell r="O425">
            <v>0</v>
          </cell>
          <cell r="P425">
            <v>39450.349999999897</v>
          </cell>
          <cell r="Q425">
            <v>5934.59</v>
          </cell>
          <cell r="R425">
            <v>191.75</v>
          </cell>
          <cell r="S425">
            <v>39642.099999999897</v>
          </cell>
          <cell r="T425">
            <v>5742.84</v>
          </cell>
        </row>
        <row r="426">
          <cell r="A426" t="str">
            <v>PLN   Złoty</v>
          </cell>
          <cell r="B426" t="str">
            <v>1000/1700       Mocznik</v>
          </cell>
          <cell r="C426" t="str">
            <v>1003020    YARA POLAND</v>
          </cell>
          <cell r="D426" t="str">
            <v>KB Sprzed. bezpośrednia</v>
          </cell>
          <cell r="E426">
            <v>109388.88</v>
          </cell>
          <cell r="F426">
            <v>120</v>
          </cell>
          <cell r="G426">
            <v>87239.38</v>
          </cell>
          <cell r="H426">
            <v>5599.84</v>
          </cell>
          <cell r="I426">
            <v>791.27999999999895</v>
          </cell>
          <cell r="J426">
            <v>0</v>
          </cell>
          <cell r="K426">
            <v>0</v>
          </cell>
          <cell r="L426">
            <v>791.27999999999895</v>
          </cell>
          <cell r="M426">
            <v>93630.5</v>
          </cell>
          <cell r="N426">
            <v>15758.379999999899</v>
          </cell>
          <cell r="O426">
            <v>0</v>
          </cell>
          <cell r="P426">
            <v>93630.5</v>
          </cell>
          <cell r="Q426">
            <v>15758.379999999899</v>
          </cell>
          <cell r="R426">
            <v>470.67</v>
          </cell>
          <cell r="S426">
            <v>94101.169999999896</v>
          </cell>
          <cell r="T426">
            <v>15287.709999999901</v>
          </cell>
        </row>
        <row r="427">
          <cell r="A427" t="str">
            <v>PLN   Złoty</v>
          </cell>
          <cell r="B427" t="str">
            <v>1000/1700       Mocznik</v>
          </cell>
          <cell r="C427" t="str">
            <v>1003056    LECHPOL SP. Z O.O.</v>
          </cell>
          <cell r="D427" t="str">
            <v>KB Sprzed. bezpośrednia</v>
          </cell>
          <cell r="E427">
            <v>616601.28</v>
          </cell>
          <cell r="F427">
            <v>672</v>
          </cell>
          <cell r="G427">
            <v>489440.739999999</v>
          </cell>
          <cell r="H427">
            <v>31565.09</v>
          </cell>
          <cell r="I427">
            <v>4431.18</v>
          </cell>
          <cell r="J427">
            <v>1374.72</v>
          </cell>
          <cell r="K427">
            <v>0</v>
          </cell>
          <cell r="L427">
            <v>5805.8999999999896</v>
          </cell>
          <cell r="M427">
            <v>526811.72999999905</v>
          </cell>
          <cell r="N427">
            <v>89789.55</v>
          </cell>
          <cell r="O427">
            <v>0</v>
          </cell>
          <cell r="P427">
            <v>526811.72999999905</v>
          </cell>
          <cell r="Q427">
            <v>89789.55</v>
          </cell>
          <cell r="R427">
            <v>2640.5599999999899</v>
          </cell>
          <cell r="S427">
            <v>529452.29</v>
          </cell>
          <cell r="T427">
            <v>87148.99</v>
          </cell>
        </row>
        <row r="428">
          <cell r="A428" t="str">
            <v>PLN   Złoty</v>
          </cell>
          <cell r="B428" t="str">
            <v>1000/1700       Mocznik</v>
          </cell>
          <cell r="C428" t="str">
            <v>1003167    CENTRALA NASIENNA</v>
          </cell>
          <cell r="D428" t="str">
            <v>KB Sprzed. bezpośrednia</v>
          </cell>
          <cell r="E428">
            <v>23080.080000000002</v>
          </cell>
          <cell r="F428">
            <v>24</v>
          </cell>
          <cell r="G428">
            <v>17408.560000000001</v>
          </cell>
          <cell r="H428">
            <v>1181.52</v>
          </cell>
          <cell r="I428">
            <v>158.259999999999</v>
          </cell>
          <cell r="J428">
            <v>1315.68</v>
          </cell>
          <cell r="K428">
            <v>0</v>
          </cell>
          <cell r="L428">
            <v>1473.94</v>
          </cell>
          <cell r="M428">
            <v>20064.02</v>
          </cell>
          <cell r="N428">
            <v>3016.0599999999899</v>
          </cell>
          <cell r="O428">
            <v>0</v>
          </cell>
          <cell r="P428">
            <v>20064.02</v>
          </cell>
          <cell r="Q428">
            <v>3016.0599999999899</v>
          </cell>
          <cell r="R428">
            <v>93.92</v>
          </cell>
          <cell r="S428">
            <v>20157.9399999999</v>
          </cell>
          <cell r="T428">
            <v>2922.1399999999899</v>
          </cell>
        </row>
        <row r="429">
          <cell r="A429" t="str">
            <v>PLN   Złoty</v>
          </cell>
          <cell r="B429" t="str">
            <v>1000/1700       Mocznik</v>
          </cell>
          <cell r="C429" t="str">
            <v>1003315    ZAKŁAD OBROTU ROLNEG</v>
          </cell>
          <cell r="D429" t="str">
            <v>KB Sprzed. bezpośrednia</v>
          </cell>
          <cell r="E429">
            <v>23459.5</v>
          </cell>
          <cell r="F429">
            <v>25</v>
          </cell>
          <cell r="G429">
            <v>18133.9199999999</v>
          </cell>
          <cell r="H429">
            <v>1200.97</v>
          </cell>
          <cell r="I429">
            <v>164.849999999999</v>
          </cell>
          <cell r="J429">
            <v>1814.5899999999899</v>
          </cell>
          <cell r="K429">
            <v>0</v>
          </cell>
          <cell r="L429">
            <v>1979.44</v>
          </cell>
          <cell r="M429">
            <v>21314.33</v>
          </cell>
          <cell r="N429">
            <v>2145.17</v>
          </cell>
          <cell r="O429">
            <v>0</v>
          </cell>
          <cell r="P429">
            <v>21314.33</v>
          </cell>
          <cell r="Q429">
            <v>2145.17</v>
          </cell>
          <cell r="R429">
            <v>97.819999999999894</v>
          </cell>
          <cell r="S429">
            <v>21412.15</v>
          </cell>
          <cell r="T429">
            <v>2047.3499999999899</v>
          </cell>
        </row>
        <row r="430">
          <cell r="A430" t="str">
            <v>PLN   Złoty</v>
          </cell>
          <cell r="B430" t="str">
            <v>1000/1700       Mocznik</v>
          </cell>
          <cell r="C430" t="str">
            <v>1003365    "EUROL"</v>
          </cell>
          <cell r="D430" t="str">
            <v>KB Sprzed. bezpośrednia</v>
          </cell>
          <cell r="E430">
            <v>21925.4399999999</v>
          </cell>
          <cell r="F430">
            <v>24</v>
          </cell>
          <cell r="G430">
            <v>17408.560000000001</v>
          </cell>
          <cell r="H430">
            <v>1122.4000000000001</v>
          </cell>
          <cell r="I430">
            <v>158.259999999999</v>
          </cell>
          <cell r="J430">
            <v>0</v>
          </cell>
          <cell r="K430">
            <v>0</v>
          </cell>
          <cell r="L430">
            <v>158.259999999999</v>
          </cell>
          <cell r="M430">
            <v>18689.22</v>
          </cell>
          <cell r="N430">
            <v>3236.2199999999898</v>
          </cell>
          <cell r="O430">
            <v>0</v>
          </cell>
          <cell r="P430">
            <v>18689.22</v>
          </cell>
          <cell r="Q430">
            <v>3236.2199999999898</v>
          </cell>
          <cell r="R430">
            <v>93.92</v>
          </cell>
          <cell r="S430">
            <v>18783.139999999901</v>
          </cell>
          <cell r="T430">
            <v>3142.3</v>
          </cell>
        </row>
        <row r="431">
          <cell r="A431" t="str">
            <v>PLN   Złoty</v>
          </cell>
          <cell r="B431" t="str">
            <v>1000/1700       Mocznik</v>
          </cell>
          <cell r="C431" t="str">
            <v>1003605    "AGROMUND"</v>
          </cell>
          <cell r="D431" t="str">
            <v>KB Sprzed. bezpośrednia</v>
          </cell>
          <cell r="E431">
            <v>45085.440000000002</v>
          </cell>
          <cell r="F431">
            <v>48</v>
          </cell>
          <cell r="G431">
            <v>35013.699999999903</v>
          </cell>
          <cell r="H431">
            <v>2308.02</v>
          </cell>
          <cell r="I431">
            <v>316.51999999999902</v>
          </cell>
          <cell r="J431">
            <v>1456.8</v>
          </cell>
          <cell r="K431">
            <v>0</v>
          </cell>
          <cell r="L431">
            <v>1773.3199999999899</v>
          </cell>
          <cell r="M431">
            <v>39095.040000000001</v>
          </cell>
          <cell r="N431">
            <v>5990.3999999999896</v>
          </cell>
          <cell r="O431">
            <v>0</v>
          </cell>
          <cell r="P431">
            <v>39095.040000000001</v>
          </cell>
          <cell r="Q431">
            <v>5990.3999999999896</v>
          </cell>
          <cell r="R431">
            <v>188.91</v>
          </cell>
          <cell r="S431">
            <v>39283.949999999903</v>
          </cell>
          <cell r="T431">
            <v>5801.4899999999898</v>
          </cell>
        </row>
        <row r="432">
          <cell r="A432" t="str">
            <v>PLN   Złoty</v>
          </cell>
          <cell r="B432" t="str">
            <v>1000/1700       Mocznik</v>
          </cell>
          <cell r="C432" t="str">
            <v>1003857    EDMAR</v>
          </cell>
          <cell r="D432" t="str">
            <v>KB Sprzed. bezpośrednia</v>
          </cell>
          <cell r="E432">
            <v>487059.25</v>
          </cell>
          <cell r="F432">
            <v>515</v>
          </cell>
          <cell r="G432">
            <v>373755.28</v>
          </cell>
          <cell r="H432">
            <v>24933.59</v>
          </cell>
          <cell r="I432">
            <v>3395.9299999999898</v>
          </cell>
          <cell r="J432">
            <v>35088.47</v>
          </cell>
          <cell r="K432">
            <v>0</v>
          </cell>
          <cell r="L432">
            <v>38484.400000000001</v>
          </cell>
          <cell r="M432">
            <v>437173.27</v>
          </cell>
          <cell r="N432">
            <v>49885.98</v>
          </cell>
          <cell r="O432">
            <v>0</v>
          </cell>
          <cell r="P432">
            <v>437173.27</v>
          </cell>
          <cell r="Q432">
            <v>49885.98</v>
          </cell>
          <cell r="R432">
            <v>2016.43</v>
          </cell>
          <cell r="S432">
            <v>439189.7</v>
          </cell>
          <cell r="T432">
            <v>47869.55</v>
          </cell>
        </row>
        <row r="433">
          <cell r="A433" t="str">
            <v>PLN   Złoty</v>
          </cell>
          <cell r="B433" t="str">
            <v>1000/1700       Mocznik</v>
          </cell>
          <cell r="C433" t="str">
            <v>1003867    "ERG"</v>
          </cell>
          <cell r="D433" t="str">
            <v>KB Sprzed. bezpośrednia</v>
          </cell>
          <cell r="E433">
            <v>23520</v>
          </cell>
          <cell r="F433">
            <v>24</v>
          </cell>
          <cell r="G433">
            <v>17408.560000000001</v>
          </cell>
          <cell r="H433">
            <v>1204.04</v>
          </cell>
          <cell r="I433">
            <v>158.259999999999</v>
          </cell>
          <cell r="J433">
            <v>0</v>
          </cell>
          <cell r="K433">
            <v>0</v>
          </cell>
          <cell r="L433">
            <v>158.259999999999</v>
          </cell>
          <cell r="M433">
            <v>18770.86</v>
          </cell>
          <cell r="N433">
            <v>4749.1400000000003</v>
          </cell>
          <cell r="O433">
            <v>0</v>
          </cell>
          <cell r="P433">
            <v>18770.86</v>
          </cell>
          <cell r="Q433">
            <v>4749.1400000000003</v>
          </cell>
          <cell r="R433">
            <v>93.92</v>
          </cell>
          <cell r="S433">
            <v>18864.779999999901</v>
          </cell>
          <cell r="T433">
            <v>4655.22</v>
          </cell>
        </row>
        <row r="434">
          <cell r="A434" t="str">
            <v>PLN   Złoty</v>
          </cell>
          <cell r="B434" t="str">
            <v>1000/1700       Mocznik</v>
          </cell>
          <cell r="C434" t="str">
            <v>1003907    "MAJA"</v>
          </cell>
          <cell r="D434" t="str">
            <v>KB Sprzed. bezpośrednia</v>
          </cell>
          <cell r="E434">
            <v>22759.68</v>
          </cell>
          <cell r="F434">
            <v>24</v>
          </cell>
          <cell r="G434">
            <v>17408.560000000001</v>
          </cell>
          <cell r="H434">
            <v>1165.1199999999899</v>
          </cell>
          <cell r="I434">
            <v>158.259999999999</v>
          </cell>
          <cell r="J434">
            <v>1035.8399999999899</v>
          </cell>
          <cell r="K434">
            <v>0</v>
          </cell>
          <cell r="L434">
            <v>1194.0999999999899</v>
          </cell>
          <cell r="M434">
            <v>19767.779999999901</v>
          </cell>
          <cell r="N434">
            <v>2991.9</v>
          </cell>
          <cell r="O434">
            <v>0</v>
          </cell>
          <cell r="P434">
            <v>19767.779999999901</v>
          </cell>
          <cell r="Q434">
            <v>2991.9</v>
          </cell>
          <cell r="R434">
            <v>93.92</v>
          </cell>
          <cell r="S434">
            <v>19861.7</v>
          </cell>
          <cell r="T434">
            <v>2897.98</v>
          </cell>
        </row>
        <row r="435">
          <cell r="A435" t="str">
            <v>PLN   Złoty</v>
          </cell>
          <cell r="B435" t="str">
            <v>1000/1700       Mocznik</v>
          </cell>
          <cell r="C435" t="str">
            <v>1003988    BLENDING Sp.z o.o.</v>
          </cell>
          <cell r="D435" t="str">
            <v>KB Sprzed. bezpośrednia</v>
          </cell>
          <cell r="E435">
            <v>45240</v>
          </cell>
          <cell r="F435">
            <v>48</v>
          </cell>
          <cell r="G435">
            <v>34817.120000000003</v>
          </cell>
          <cell r="H435">
            <v>2315.9299999999898</v>
          </cell>
          <cell r="I435">
            <v>316.50999999999902</v>
          </cell>
          <cell r="J435">
            <v>1124.4000000000001</v>
          </cell>
          <cell r="K435">
            <v>0</v>
          </cell>
          <cell r="L435">
            <v>1440.91</v>
          </cell>
          <cell r="M435">
            <v>38573.959999999897</v>
          </cell>
          <cell r="N435">
            <v>6666.04</v>
          </cell>
          <cell r="O435">
            <v>0</v>
          </cell>
          <cell r="P435">
            <v>38573.959999999897</v>
          </cell>
          <cell r="Q435">
            <v>6666.04</v>
          </cell>
          <cell r="R435">
            <v>187.849999999999</v>
          </cell>
          <cell r="S435">
            <v>38761.809999999903</v>
          </cell>
          <cell r="T435">
            <v>6478.1899999999896</v>
          </cell>
        </row>
        <row r="436">
          <cell r="A436" t="str">
            <v>PLN   Złoty</v>
          </cell>
          <cell r="B436" t="str">
            <v>1000/1700       Mocznik</v>
          </cell>
          <cell r="C436" t="str">
            <v>1004168    "OSADKOWSKI" SPÓŁKA</v>
          </cell>
          <cell r="D436" t="str">
            <v>KB Sprzed. bezpośrednia</v>
          </cell>
          <cell r="E436">
            <v>317647.5</v>
          </cell>
          <cell r="F436">
            <v>334.5</v>
          </cell>
          <cell r="G436">
            <v>244880.19</v>
          </cell>
          <cell r="H436">
            <v>16261.02</v>
          </cell>
          <cell r="I436">
            <v>2205.6999999999898</v>
          </cell>
          <cell r="J436">
            <v>13832.959999999901</v>
          </cell>
          <cell r="K436">
            <v>0</v>
          </cell>
          <cell r="L436">
            <v>16038.66</v>
          </cell>
          <cell r="M436">
            <v>277179.87</v>
          </cell>
          <cell r="N436">
            <v>40467.629999999903</v>
          </cell>
          <cell r="O436">
            <v>0</v>
          </cell>
          <cell r="P436">
            <v>277179.87</v>
          </cell>
          <cell r="Q436">
            <v>40467.629999999903</v>
          </cell>
          <cell r="R436">
            <v>1321.1199999999899</v>
          </cell>
          <cell r="S436">
            <v>278500.989999999</v>
          </cell>
          <cell r="T436">
            <v>39146.51</v>
          </cell>
        </row>
        <row r="437">
          <cell r="A437" t="str">
            <v>PLN   Złoty</v>
          </cell>
          <cell r="B437" t="str">
            <v>1000/1700       Mocznik</v>
          </cell>
          <cell r="C437" t="str">
            <v>1004208    Morawski-Sprzed.Art.</v>
          </cell>
          <cell r="D437" t="str">
            <v>KB Sprzed. bezpośrednia</v>
          </cell>
          <cell r="E437">
            <v>45996</v>
          </cell>
          <cell r="F437">
            <v>48</v>
          </cell>
          <cell r="G437">
            <v>34817.120000000003</v>
          </cell>
          <cell r="H437">
            <v>2354.63</v>
          </cell>
          <cell r="I437">
            <v>316.50999999999902</v>
          </cell>
          <cell r="J437">
            <v>3325.92</v>
          </cell>
          <cell r="K437">
            <v>0</v>
          </cell>
          <cell r="L437">
            <v>3642.4299999999898</v>
          </cell>
          <cell r="M437">
            <v>40814.18</v>
          </cell>
          <cell r="N437">
            <v>5181.8199999999897</v>
          </cell>
          <cell r="O437">
            <v>0</v>
          </cell>
          <cell r="P437">
            <v>40814.18</v>
          </cell>
          <cell r="Q437">
            <v>5181.8199999999897</v>
          </cell>
          <cell r="R437">
            <v>187.849999999999</v>
          </cell>
          <cell r="S437">
            <v>41002.029999999897</v>
          </cell>
          <cell r="T437">
            <v>4993.97</v>
          </cell>
        </row>
        <row r="438">
          <cell r="A438" t="str">
            <v>PLN   Złoty</v>
          </cell>
          <cell r="B438" t="str">
            <v>1000/1700       Mocznik</v>
          </cell>
          <cell r="C438" t="str">
            <v>1004340    "AGRO-TECH"</v>
          </cell>
          <cell r="D438" t="str">
            <v>KB Sprzed. bezpośrednia</v>
          </cell>
          <cell r="E438">
            <v>22998</v>
          </cell>
          <cell r="F438">
            <v>24</v>
          </cell>
          <cell r="G438">
            <v>17408.560000000001</v>
          </cell>
          <cell r="H438">
            <v>1177.29</v>
          </cell>
          <cell r="I438">
            <v>158.259999999999</v>
          </cell>
          <cell r="J438">
            <v>2163.36</v>
          </cell>
          <cell r="K438">
            <v>0</v>
          </cell>
          <cell r="L438">
            <v>2321.6199999999899</v>
          </cell>
          <cell r="M438">
            <v>20907.47</v>
          </cell>
          <cell r="N438">
            <v>2090.5300000000002</v>
          </cell>
          <cell r="O438">
            <v>0</v>
          </cell>
          <cell r="P438">
            <v>20907.47</v>
          </cell>
          <cell r="Q438">
            <v>2090.5300000000002</v>
          </cell>
          <cell r="R438">
            <v>93.92</v>
          </cell>
          <cell r="S438">
            <v>21001.389999999901</v>
          </cell>
          <cell r="T438">
            <v>1996.6099999999899</v>
          </cell>
        </row>
        <row r="439">
          <cell r="A439" t="str">
            <v>PLN   Złoty</v>
          </cell>
          <cell r="B439" t="str">
            <v>1000/1700       Mocznik</v>
          </cell>
          <cell r="C439" t="str">
            <v>1004709    PRZEDSIĘBIORSTWO PRO</v>
          </cell>
          <cell r="D439" t="str">
            <v>KB Sprzed. bezpośrednia</v>
          </cell>
          <cell r="E439">
            <v>23459.5</v>
          </cell>
          <cell r="F439">
            <v>25</v>
          </cell>
          <cell r="G439">
            <v>18133.9199999999</v>
          </cell>
          <cell r="H439">
            <v>1200.97</v>
          </cell>
          <cell r="I439">
            <v>164.849999999999</v>
          </cell>
          <cell r="J439">
            <v>924.40999999999894</v>
          </cell>
          <cell r="K439">
            <v>0</v>
          </cell>
          <cell r="L439">
            <v>1089.26</v>
          </cell>
          <cell r="M439">
            <v>20424.150000000001</v>
          </cell>
          <cell r="N439">
            <v>3035.3499999999899</v>
          </cell>
          <cell r="O439">
            <v>0</v>
          </cell>
          <cell r="P439">
            <v>20424.150000000001</v>
          </cell>
          <cell r="Q439">
            <v>3035.3499999999899</v>
          </cell>
          <cell r="R439">
            <v>97.819999999999894</v>
          </cell>
          <cell r="S439">
            <v>20521.97</v>
          </cell>
          <cell r="T439">
            <v>2937.53</v>
          </cell>
        </row>
        <row r="440">
          <cell r="A440" t="str">
            <v>PLN   Złoty</v>
          </cell>
          <cell r="B440" t="str">
            <v>1000/1700       Mocznik</v>
          </cell>
          <cell r="C440" t="str">
            <v>1004710    "AGRICOLA-LUBLIN" SP</v>
          </cell>
          <cell r="D440" t="str">
            <v>KB Sprzed. bezpośrednia</v>
          </cell>
          <cell r="E440">
            <v>22998</v>
          </cell>
          <cell r="F440">
            <v>24</v>
          </cell>
          <cell r="G440">
            <v>17408.560000000001</v>
          </cell>
          <cell r="H440">
            <v>1177.29</v>
          </cell>
          <cell r="I440">
            <v>158.259999999999</v>
          </cell>
          <cell r="J440">
            <v>1992.72</v>
          </cell>
          <cell r="K440">
            <v>0</v>
          </cell>
          <cell r="L440">
            <v>2150.98</v>
          </cell>
          <cell r="M440">
            <v>20736.830000000002</v>
          </cell>
          <cell r="N440">
            <v>2261.17</v>
          </cell>
          <cell r="O440">
            <v>0</v>
          </cell>
          <cell r="P440">
            <v>20736.830000000002</v>
          </cell>
          <cell r="Q440">
            <v>2261.17</v>
          </cell>
          <cell r="R440">
            <v>93.92</v>
          </cell>
          <cell r="S440">
            <v>20830.75</v>
          </cell>
          <cell r="T440">
            <v>2167.25</v>
          </cell>
        </row>
        <row r="441">
          <cell r="A441" t="str">
            <v>PLN   Złoty</v>
          </cell>
          <cell r="B441" t="str">
            <v>1000/1700       Mocznik</v>
          </cell>
          <cell r="C441" t="str">
            <v>1004753    AMBROŻY SP. Z O.O.</v>
          </cell>
          <cell r="D441" t="str">
            <v>KB Sprzed. bezpośrednia</v>
          </cell>
          <cell r="E441">
            <v>45000</v>
          </cell>
          <cell r="F441">
            <v>48</v>
          </cell>
          <cell r="G441">
            <v>35013.699999999903</v>
          </cell>
          <cell r="H441">
            <v>2303.63</v>
          </cell>
          <cell r="I441">
            <v>316.51999999999902</v>
          </cell>
          <cell r="J441">
            <v>1365.8399999999899</v>
          </cell>
          <cell r="K441">
            <v>0</v>
          </cell>
          <cell r="L441">
            <v>1682.3599999999899</v>
          </cell>
          <cell r="M441">
            <v>38999.69</v>
          </cell>
          <cell r="N441">
            <v>6000.31</v>
          </cell>
          <cell r="O441">
            <v>0</v>
          </cell>
          <cell r="P441">
            <v>38999.69</v>
          </cell>
          <cell r="Q441">
            <v>6000.31</v>
          </cell>
          <cell r="R441">
            <v>188.91</v>
          </cell>
          <cell r="S441">
            <v>39188.599999999897</v>
          </cell>
          <cell r="T441">
            <v>5811.3999999999896</v>
          </cell>
        </row>
        <row r="442">
          <cell r="A442" t="str">
            <v>PLN   Złoty</v>
          </cell>
          <cell r="B442" t="str">
            <v>1000/1700       Mocznik</v>
          </cell>
          <cell r="C442" t="str">
            <v>1004788    "ADAR" HANDEL NAWOZA</v>
          </cell>
          <cell r="D442" t="str">
            <v>KB Sprzed. bezpośrednia</v>
          </cell>
          <cell r="E442">
            <v>43850.879999999903</v>
          </cell>
          <cell r="F442">
            <v>48</v>
          </cell>
          <cell r="G442">
            <v>35210.279999999897</v>
          </cell>
          <cell r="H442">
            <v>2244.8200000000002</v>
          </cell>
          <cell r="I442">
            <v>316.50999999999902</v>
          </cell>
          <cell r="J442">
            <v>0</v>
          </cell>
          <cell r="K442">
            <v>0</v>
          </cell>
          <cell r="L442">
            <v>316.50999999999902</v>
          </cell>
          <cell r="M442">
            <v>37771.61</v>
          </cell>
          <cell r="N442">
            <v>6079.27</v>
          </cell>
          <cell r="O442">
            <v>0</v>
          </cell>
          <cell r="P442">
            <v>37771.61</v>
          </cell>
          <cell r="Q442">
            <v>6079.27</v>
          </cell>
          <cell r="R442">
            <v>189.97</v>
          </cell>
          <cell r="S442">
            <v>37961.58</v>
          </cell>
          <cell r="T442">
            <v>5889.3</v>
          </cell>
        </row>
        <row r="443">
          <cell r="A443" t="str">
            <v>PLN   Złoty</v>
          </cell>
          <cell r="B443" t="str">
            <v>1000/1700       Mocznik</v>
          </cell>
          <cell r="C443" t="str">
            <v>3000000    ZBIORCZY</v>
          </cell>
          <cell r="D443" t="str">
            <v>KB Sprzed. bezpośrednia</v>
          </cell>
          <cell r="E443">
            <v>24699.119999999901</v>
          </cell>
          <cell r="F443">
            <v>24</v>
          </cell>
          <cell r="G443">
            <v>17408.560000000001</v>
          </cell>
          <cell r="H443">
            <v>1264.4000000000001</v>
          </cell>
          <cell r="I443">
            <v>158.259999999999</v>
          </cell>
          <cell r="J443">
            <v>0</v>
          </cell>
          <cell r="K443">
            <v>0</v>
          </cell>
          <cell r="L443">
            <v>158.259999999999</v>
          </cell>
          <cell r="M443">
            <v>18831.22</v>
          </cell>
          <cell r="N443">
            <v>5867.8999999999896</v>
          </cell>
          <cell r="O443">
            <v>0</v>
          </cell>
          <cell r="P443">
            <v>18831.22</v>
          </cell>
          <cell r="Q443">
            <v>5867.8999999999896</v>
          </cell>
          <cell r="R443">
            <v>93.92</v>
          </cell>
          <cell r="S443">
            <v>18925.139999999901</v>
          </cell>
          <cell r="T443">
            <v>5773.9799999999896</v>
          </cell>
        </row>
        <row r="444">
          <cell r="A444" t="str">
            <v>PLN   Złoty</v>
          </cell>
          <cell r="B444" t="str">
            <v>1000/1401       NPK 6-20-30</v>
          </cell>
          <cell r="C444" t="str">
            <v>1000182    AGRA NOWA</v>
          </cell>
          <cell r="D444" t="str">
            <v>KC Centra dystrybucji</v>
          </cell>
          <cell r="E444">
            <v>24360</v>
          </cell>
          <cell r="F444">
            <v>24</v>
          </cell>
          <cell r="G444">
            <v>18797.799999999901</v>
          </cell>
          <cell r="H444">
            <v>1247.01</v>
          </cell>
          <cell r="I444">
            <v>609.37</v>
          </cell>
          <cell r="J444">
            <v>0</v>
          </cell>
          <cell r="K444">
            <v>0</v>
          </cell>
          <cell r="L444">
            <v>609.37</v>
          </cell>
          <cell r="M444">
            <v>20654.18</v>
          </cell>
          <cell r="N444">
            <v>3705.82</v>
          </cell>
          <cell r="O444">
            <v>0</v>
          </cell>
          <cell r="P444">
            <v>20654.18</v>
          </cell>
          <cell r="Q444">
            <v>3705.82</v>
          </cell>
          <cell r="R444">
            <v>283.19999999999902</v>
          </cell>
          <cell r="S444">
            <v>20937.38</v>
          </cell>
          <cell r="T444">
            <v>3422.6199999999899</v>
          </cell>
        </row>
        <row r="445">
          <cell r="A445" t="str">
            <v>PLN   Złoty</v>
          </cell>
          <cell r="B445" t="str">
            <v>1000/1401       NPK 6-20-30</v>
          </cell>
          <cell r="C445" t="str">
            <v>1000192    ROLBUD</v>
          </cell>
          <cell r="D445" t="str">
            <v>KC Centra dystrybucji</v>
          </cell>
          <cell r="E445">
            <v>39307.849999999897</v>
          </cell>
          <cell r="F445">
            <v>39</v>
          </cell>
          <cell r="G445">
            <v>30692.389999999901</v>
          </cell>
          <cell r="H445">
            <v>2012.27</v>
          </cell>
          <cell r="I445">
            <v>990.22</v>
          </cell>
          <cell r="J445">
            <v>0</v>
          </cell>
          <cell r="K445">
            <v>0</v>
          </cell>
          <cell r="L445">
            <v>990.22</v>
          </cell>
          <cell r="M445">
            <v>33694.879999999903</v>
          </cell>
          <cell r="N445">
            <v>5612.97</v>
          </cell>
          <cell r="O445">
            <v>0</v>
          </cell>
          <cell r="P445">
            <v>33694.879999999903</v>
          </cell>
          <cell r="Q445">
            <v>5612.97</v>
          </cell>
          <cell r="R445">
            <v>462.42</v>
          </cell>
          <cell r="S445">
            <v>34157.300000000003</v>
          </cell>
          <cell r="T445">
            <v>5150.55</v>
          </cell>
        </row>
        <row r="446">
          <cell r="A446" t="str">
            <v>PLN   Złoty</v>
          </cell>
          <cell r="B446" t="str">
            <v>1000/1401       NPK 6-20-30</v>
          </cell>
          <cell r="C446" t="str">
            <v>1000204    FLORA Sp. z o.o. PRA</v>
          </cell>
          <cell r="D446" t="str">
            <v>KC Centra dystrybucji</v>
          </cell>
          <cell r="E446">
            <v>97440</v>
          </cell>
          <cell r="F446">
            <v>96</v>
          </cell>
          <cell r="G446">
            <v>75370.839999999895</v>
          </cell>
          <cell r="H446">
            <v>4988.1999999999898</v>
          </cell>
          <cell r="I446">
            <v>2437.48</v>
          </cell>
          <cell r="J446">
            <v>0</v>
          </cell>
          <cell r="K446">
            <v>0</v>
          </cell>
          <cell r="L446">
            <v>2437.48</v>
          </cell>
          <cell r="M446">
            <v>82796.52</v>
          </cell>
          <cell r="N446">
            <v>14643.48</v>
          </cell>
          <cell r="O446">
            <v>0</v>
          </cell>
          <cell r="P446">
            <v>82796.52</v>
          </cell>
          <cell r="Q446">
            <v>14643.48</v>
          </cell>
          <cell r="R446">
            <v>1135.5799999999899</v>
          </cell>
          <cell r="S446">
            <v>83932.1</v>
          </cell>
          <cell r="T446">
            <v>13507.9</v>
          </cell>
        </row>
        <row r="447">
          <cell r="A447" t="str">
            <v>PLN   Złoty</v>
          </cell>
          <cell r="B447" t="str">
            <v>1000/1401       NPK 6-20-30</v>
          </cell>
          <cell r="C447" t="str">
            <v>1000205    SKŁODOWSKI</v>
          </cell>
          <cell r="D447" t="str">
            <v>KC Centra dystrybucji</v>
          </cell>
          <cell r="E447">
            <v>25197.25</v>
          </cell>
          <cell r="F447">
            <v>25</v>
          </cell>
          <cell r="G447">
            <v>19936.22</v>
          </cell>
          <cell r="H447">
            <v>1289.8900000000001</v>
          </cell>
          <cell r="I447">
            <v>634.75999999999897</v>
          </cell>
          <cell r="J447">
            <v>0</v>
          </cell>
          <cell r="K447">
            <v>0</v>
          </cell>
          <cell r="L447">
            <v>634.75999999999897</v>
          </cell>
          <cell r="M447">
            <v>21860.869999999901</v>
          </cell>
          <cell r="N447">
            <v>3336.38</v>
          </cell>
          <cell r="O447">
            <v>0</v>
          </cell>
          <cell r="P447">
            <v>21860.869999999901</v>
          </cell>
          <cell r="Q447">
            <v>3336.38</v>
          </cell>
          <cell r="R447">
            <v>300.35000000000002</v>
          </cell>
          <cell r="S447">
            <v>22161.22</v>
          </cell>
          <cell r="T447">
            <v>3036.03</v>
          </cell>
        </row>
        <row r="448">
          <cell r="A448" t="str">
            <v>PLN   Złoty</v>
          </cell>
          <cell r="B448" t="str">
            <v>1000/1401       NPK 6-20-30</v>
          </cell>
          <cell r="C448" t="str">
            <v>1000219    BUTOR</v>
          </cell>
          <cell r="D448" t="str">
            <v>KC Centra dystrybucji</v>
          </cell>
          <cell r="E448">
            <v>48720</v>
          </cell>
          <cell r="F448">
            <v>48</v>
          </cell>
          <cell r="G448">
            <v>37775.239999999903</v>
          </cell>
          <cell r="H448">
            <v>2494.0999999999899</v>
          </cell>
          <cell r="I448">
            <v>1218.74</v>
          </cell>
          <cell r="J448">
            <v>0</v>
          </cell>
          <cell r="K448">
            <v>0</v>
          </cell>
          <cell r="L448">
            <v>1218.74</v>
          </cell>
          <cell r="M448">
            <v>41488.080000000002</v>
          </cell>
          <cell r="N448">
            <v>7231.92</v>
          </cell>
          <cell r="O448">
            <v>0</v>
          </cell>
          <cell r="P448">
            <v>41488.080000000002</v>
          </cell>
          <cell r="Q448">
            <v>7231.92</v>
          </cell>
          <cell r="R448">
            <v>569.13999999999896</v>
          </cell>
          <cell r="S448">
            <v>42057.22</v>
          </cell>
          <cell r="T448">
            <v>6662.7799999999897</v>
          </cell>
        </row>
        <row r="449">
          <cell r="A449" t="str">
            <v>PLN   Złoty</v>
          </cell>
          <cell r="B449" t="str">
            <v>1000/1401       NPK 6-20-30</v>
          </cell>
          <cell r="C449" t="str">
            <v>1000222    ROLPOL</v>
          </cell>
          <cell r="D449" t="str">
            <v>KC Centra dystrybucji</v>
          </cell>
          <cell r="E449">
            <v>151185</v>
          </cell>
          <cell r="F449">
            <v>150</v>
          </cell>
          <cell r="G449">
            <v>106240.44</v>
          </cell>
          <cell r="H449">
            <v>7739.46</v>
          </cell>
          <cell r="I449">
            <v>3808.55</v>
          </cell>
          <cell r="J449">
            <v>0</v>
          </cell>
          <cell r="K449">
            <v>0</v>
          </cell>
          <cell r="L449">
            <v>3808.55</v>
          </cell>
          <cell r="M449">
            <v>117788.45</v>
          </cell>
          <cell r="N449">
            <v>33396.550000000003</v>
          </cell>
          <cell r="O449">
            <v>0</v>
          </cell>
          <cell r="P449">
            <v>117788.45</v>
          </cell>
          <cell r="Q449">
            <v>33396.550000000003</v>
          </cell>
          <cell r="R449">
            <v>1600.7</v>
          </cell>
          <cell r="S449">
            <v>119389.149999999</v>
          </cell>
          <cell r="T449">
            <v>31795.8499999999</v>
          </cell>
        </row>
        <row r="450">
          <cell r="A450" t="str">
            <v>PLN   Złoty</v>
          </cell>
          <cell r="B450" t="str">
            <v>1000/1401       NPK 6-20-30</v>
          </cell>
          <cell r="C450" t="str">
            <v>1000235    SPÓŁDZIELNIA PRACY "</v>
          </cell>
          <cell r="D450" t="str">
            <v>KC Centra dystrybucji</v>
          </cell>
          <cell r="E450">
            <v>36284.400000000001</v>
          </cell>
          <cell r="F450">
            <v>36</v>
          </cell>
          <cell r="G450">
            <v>28331.43</v>
          </cell>
          <cell r="H450">
            <v>1857.44</v>
          </cell>
          <cell r="I450">
            <v>914.05999999999904</v>
          </cell>
          <cell r="J450">
            <v>0</v>
          </cell>
          <cell r="K450">
            <v>0</v>
          </cell>
          <cell r="L450">
            <v>914.05999999999904</v>
          </cell>
          <cell r="M450">
            <v>31102.93</v>
          </cell>
          <cell r="N450">
            <v>5181.47</v>
          </cell>
          <cell r="O450">
            <v>0</v>
          </cell>
          <cell r="P450">
            <v>31102.93</v>
          </cell>
          <cell r="Q450">
            <v>5181.47</v>
          </cell>
          <cell r="R450">
            <v>426.87</v>
          </cell>
          <cell r="S450">
            <v>31529.799999999901</v>
          </cell>
          <cell r="T450">
            <v>4754.6000000000004</v>
          </cell>
        </row>
        <row r="451">
          <cell r="A451" t="str">
            <v>PLN   Złoty</v>
          </cell>
          <cell r="B451" t="str">
            <v>1000/1401       NPK 6-20-30</v>
          </cell>
          <cell r="C451" t="str">
            <v>1000252    AGROSKŁAD</v>
          </cell>
          <cell r="D451" t="str">
            <v>KC Centra dystrybucji</v>
          </cell>
          <cell r="E451">
            <v>195531.76</v>
          </cell>
          <cell r="F451">
            <v>194</v>
          </cell>
          <cell r="G451">
            <v>147305.829999999</v>
          </cell>
          <cell r="H451">
            <v>10009.700000000001</v>
          </cell>
          <cell r="I451">
            <v>4925.7299999999896</v>
          </cell>
          <cell r="J451">
            <v>0</v>
          </cell>
          <cell r="K451">
            <v>0</v>
          </cell>
          <cell r="L451">
            <v>4925.7299999999896</v>
          </cell>
          <cell r="M451">
            <v>162241.26</v>
          </cell>
          <cell r="N451">
            <v>33290.5</v>
          </cell>
          <cell r="O451">
            <v>0</v>
          </cell>
          <cell r="P451">
            <v>162241.26</v>
          </cell>
          <cell r="Q451">
            <v>33290.5</v>
          </cell>
          <cell r="R451">
            <v>2219.3699999999899</v>
          </cell>
          <cell r="S451">
            <v>164460.63</v>
          </cell>
          <cell r="T451">
            <v>31071.13</v>
          </cell>
        </row>
        <row r="452">
          <cell r="A452" t="str">
            <v>PLN   Złoty</v>
          </cell>
          <cell r="B452" t="str">
            <v>1000/1401       NPK 6-20-30</v>
          </cell>
          <cell r="C452" t="str">
            <v>1000257    MAGROL</v>
          </cell>
          <cell r="D452" t="str">
            <v>KC Centra dystrybucji</v>
          </cell>
          <cell r="E452">
            <v>13102.57</v>
          </cell>
          <cell r="F452">
            <v>13</v>
          </cell>
          <cell r="G452">
            <v>10230.799999999899</v>
          </cell>
          <cell r="H452">
            <v>670.74</v>
          </cell>
          <cell r="I452">
            <v>330.06999999999903</v>
          </cell>
          <cell r="J452">
            <v>0</v>
          </cell>
          <cell r="K452">
            <v>0</v>
          </cell>
          <cell r="L452">
            <v>330.06999999999903</v>
          </cell>
          <cell r="M452">
            <v>11231.61</v>
          </cell>
          <cell r="N452">
            <v>1870.96</v>
          </cell>
          <cell r="O452">
            <v>0</v>
          </cell>
          <cell r="P452">
            <v>11231.61</v>
          </cell>
          <cell r="Q452">
            <v>1870.96</v>
          </cell>
          <cell r="R452">
            <v>154.12</v>
          </cell>
          <cell r="S452">
            <v>11385.73</v>
          </cell>
          <cell r="T452">
            <v>1716.8399999999899</v>
          </cell>
        </row>
        <row r="453">
          <cell r="A453" t="str">
            <v>PLN   Złoty</v>
          </cell>
          <cell r="B453" t="str">
            <v>1000/1401       NPK 6-20-30</v>
          </cell>
          <cell r="C453" t="str">
            <v>1000263    PRO-AGRO</v>
          </cell>
          <cell r="D453" t="str">
            <v>KC Centra dystrybucji</v>
          </cell>
          <cell r="E453">
            <v>24189.5999999999</v>
          </cell>
          <cell r="F453">
            <v>24</v>
          </cell>
          <cell r="G453">
            <v>16998.47</v>
          </cell>
          <cell r="H453">
            <v>1238.3499999999899</v>
          </cell>
          <cell r="I453">
            <v>609.37</v>
          </cell>
          <cell r="J453">
            <v>0</v>
          </cell>
          <cell r="K453">
            <v>0</v>
          </cell>
          <cell r="L453">
            <v>609.37</v>
          </cell>
          <cell r="M453">
            <v>18846.1899999999</v>
          </cell>
          <cell r="N453">
            <v>5343.4099999999899</v>
          </cell>
          <cell r="O453">
            <v>0</v>
          </cell>
          <cell r="P453">
            <v>18846.1899999999</v>
          </cell>
          <cell r="Q453">
            <v>5343.4099999999899</v>
          </cell>
          <cell r="R453">
            <v>256.10000000000002</v>
          </cell>
          <cell r="S453">
            <v>19102.29</v>
          </cell>
          <cell r="T453">
            <v>5087.3100000000004</v>
          </cell>
        </row>
        <row r="454">
          <cell r="A454" t="str">
            <v>PLN   Złoty</v>
          </cell>
          <cell r="B454" t="str">
            <v>1000/1401       NPK 6-20-30</v>
          </cell>
          <cell r="C454" t="str">
            <v>1000273    HANDEL ARTYKUŁAMI K.</v>
          </cell>
          <cell r="D454" t="str">
            <v>KC Centra dystrybucji</v>
          </cell>
          <cell r="E454">
            <v>50572.25</v>
          </cell>
          <cell r="F454">
            <v>50</v>
          </cell>
          <cell r="G454">
            <v>39349.22</v>
          </cell>
          <cell r="H454">
            <v>2588.92</v>
          </cell>
          <cell r="I454">
            <v>1269.52</v>
          </cell>
          <cell r="J454">
            <v>0</v>
          </cell>
          <cell r="K454">
            <v>0</v>
          </cell>
          <cell r="L454">
            <v>1269.52</v>
          </cell>
          <cell r="M454">
            <v>43207.66</v>
          </cell>
          <cell r="N454">
            <v>7364.59</v>
          </cell>
          <cell r="O454">
            <v>0</v>
          </cell>
          <cell r="P454">
            <v>43207.66</v>
          </cell>
          <cell r="Q454">
            <v>7364.59</v>
          </cell>
          <cell r="R454">
            <v>592.88</v>
          </cell>
          <cell r="S454">
            <v>43800.54</v>
          </cell>
          <cell r="T454">
            <v>6771.71</v>
          </cell>
        </row>
        <row r="455">
          <cell r="A455" t="str">
            <v>PLN   Złoty</v>
          </cell>
          <cell r="B455" t="str">
            <v>1000/1401       NPK 6-20-30</v>
          </cell>
          <cell r="C455" t="str">
            <v>1000276    JAN GACH FIRMA HANDL</v>
          </cell>
          <cell r="D455" t="str">
            <v>KC Centra dystrybucji</v>
          </cell>
          <cell r="E455">
            <v>76125</v>
          </cell>
          <cell r="F455">
            <v>75</v>
          </cell>
          <cell r="G455">
            <v>58743.15</v>
          </cell>
          <cell r="H455">
            <v>3896.9899999999898</v>
          </cell>
          <cell r="I455">
            <v>1904.28</v>
          </cell>
          <cell r="J455">
            <v>0</v>
          </cell>
          <cell r="K455">
            <v>0</v>
          </cell>
          <cell r="L455">
            <v>1904.28</v>
          </cell>
          <cell r="M455">
            <v>64544.419999999896</v>
          </cell>
          <cell r="N455">
            <v>11580.58</v>
          </cell>
          <cell r="O455">
            <v>0</v>
          </cell>
          <cell r="P455">
            <v>64544.419999999896</v>
          </cell>
          <cell r="Q455">
            <v>11580.58</v>
          </cell>
          <cell r="R455">
            <v>885.07</v>
          </cell>
          <cell r="S455">
            <v>65429.489999999903</v>
          </cell>
          <cell r="T455">
            <v>10695.51</v>
          </cell>
        </row>
        <row r="456">
          <cell r="A456" t="str">
            <v>PLN   Złoty</v>
          </cell>
          <cell r="B456" t="str">
            <v>1000/1401       NPK 6-20-30</v>
          </cell>
          <cell r="C456" t="str">
            <v>1000289    PLON A.Dadrzyński</v>
          </cell>
          <cell r="D456" t="str">
            <v>KC Centra dystrybucji</v>
          </cell>
          <cell r="E456">
            <v>79801.100000000006</v>
          </cell>
          <cell r="F456">
            <v>79</v>
          </cell>
          <cell r="G456">
            <v>58582.089999999902</v>
          </cell>
          <cell r="H456">
            <v>4085.1799999999898</v>
          </cell>
          <cell r="I456">
            <v>2005.8399999999899</v>
          </cell>
          <cell r="J456">
            <v>0</v>
          </cell>
          <cell r="K456">
            <v>0</v>
          </cell>
          <cell r="L456">
            <v>2005.8399999999899</v>
          </cell>
          <cell r="M456">
            <v>64673.11</v>
          </cell>
          <cell r="N456">
            <v>15127.99</v>
          </cell>
          <cell r="O456">
            <v>0</v>
          </cell>
          <cell r="P456">
            <v>64673.11</v>
          </cell>
          <cell r="Q456">
            <v>15127.99</v>
          </cell>
          <cell r="R456">
            <v>882.63</v>
          </cell>
          <cell r="S456">
            <v>65555.740000000005</v>
          </cell>
          <cell r="T456">
            <v>14245.36</v>
          </cell>
        </row>
        <row r="457">
          <cell r="A457" t="str">
            <v>PLN   Złoty</v>
          </cell>
          <cell r="B457" t="str">
            <v>1000/1401       NPK 6-20-30</v>
          </cell>
          <cell r="C457" t="str">
            <v>1000307    P.TRANSBUD</v>
          </cell>
          <cell r="D457" t="str">
            <v>KC Centra dystrybucji</v>
          </cell>
          <cell r="E457">
            <v>12636</v>
          </cell>
          <cell r="F457">
            <v>12</v>
          </cell>
          <cell r="G457">
            <v>8763.3799999999901</v>
          </cell>
          <cell r="H457">
            <v>646.85</v>
          </cell>
          <cell r="I457">
            <v>304.68</v>
          </cell>
          <cell r="J457">
            <v>1146.72</v>
          </cell>
          <cell r="K457">
            <v>0</v>
          </cell>
          <cell r="L457">
            <v>1451.4</v>
          </cell>
          <cell r="M457">
            <v>10861.629999999899</v>
          </cell>
          <cell r="N457">
            <v>1774.3699999999899</v>
          </cell>
          <cell r="O457">
            <v>0</v>
          </cell>
          <cell r="P457">
            <v>10861.629999999899</v>
          </cell>
          <cell r="Q457">
            <v>1774.3699999999899</v>
          </cell>
          <cell r="R457">
            <v>132.02000000000001</v>
          </cell>
          <cell r="S457">
            <v>10993.65</v>
          </cell>
          <cell r="T457">
            <v>1642.3499999999899</v>
          </cell>
        </row>
        <row r="458">
          <cell r="A458" t="str">
            <v>PLN   Złoty</v>
          </cell>
          <cell r="B458" t="str">
            <v>1000/1401       NPK 6-20-30</v>
          </cell>
          <cell r="C458" t="str">
            <v>1000383    ROLMOS</v>
          </cell>
          <cell r="D458" t="str">
            <v>KC Centra dystrybucji</v>
          </cell>
          <cell r="E458">
            <v>5075</v>
          </cell>
          <cell r="F458">
            <v>5</v>
          </cell>
          <cell r="G458">
            <v>3541.3499999999899</v>
          </cell>
          <cell r="H458">
            <v>259.86</v>
          </cell>
          <cell r="I458">
            <v>126.95</v>
          </cell>
          <cell r="J458">
            <v>0</v>
          </cell>
          <cell r="K458">
            <v>0</v>
          </cell>
          <cell r="L458">
            <v>126.95</v>
          </cell>
          <cell r="M458">
            <v>3928.1599999999899</v>
          </cell>
          <cell r="N458">
            <v>1146.8399999999899</v>
          </cell>
          <cell r="O458">
            <v>0</v>
          </cell>
          <cell r="P458">
            <v>3928.1599999999899</v>
          </cell>
          <cell r="Q458">
            <v>1146.8399999999899</v>
          </cell>
          <cell r="R458">
            <v>53.369999999999898</v>
          </cell>
          <cell r="S458">
            <v>3981.53</v>
          </cell>
          <cell r="T458">
            <v>1093.47</v>
          </cell>
        </row>
        <row r="459">
          <cell r="A459" t="str">
            <v>PLN   Złoty</v>
          </cell>
          <cell r="B459" t="str">
            <v>1000/1401       NPK 6-20-30</v>
          </cell>
          <cell r="C459" t="str">
            <v>1000403    SOBIANEK</v>
          </cell>
          <cell r="D459" t="str">
            <v>KC Centra dystrybucji</v>
          </cell>
          <cell r="E459">
            <v>61481.65</v>
          </cell>
          <cell r="F459">
            <v>61</v>
          </cell>
          <cell r="G459">
            <v>43204.449999999903</v>
          </cell>
          <cell r="H459">
            <v>3147.3699999999899</v>
          </cell>
          <cell r="I459">
            <v>1548.8099999999899</v>
          </cell>
          <cell r="J459">
            <v>0</v>
          </cell>
          <cell r="K459">
            <v>0</v>
          </cell>
          <cell r="L459">
            <v>1548.8099999999899</v>
          </cell>
          <cell r="M459">
            <v>47900.629999999903</v>
          </cell>
          <cell r="N459">
            <v>13581.02</v>
          </cell>
          <cell r="O459">
            <v>0</v>
          </cell>
          <cell r="P459">
            <v>47900.629999999903</v>
          </cell>
          <cell r="Q459">
            <v>13581.02</v>
          </cell>
          <cell r="R459">
            <v>650.92999999999904</v>
          </cell>
          <cell r="S459">
            <v>48551.559999999903</v>
          </cell>
          <cell r="T459">
            <v>12930.09</v>
          </cell>
        </row>
        <row r="460">
          <cell r="A460" t="str">
            <v>PLN   Złoty</v>
          </cell>
          <cell r="B460" t="str">
            <v>1000/1401       NPK 6-20-30</v>
          </cell>
          <cell r="C460" t="str">
            <v>1000415    GÓRKA</v>
          </cell>
          <cell r="D460" t="str">
            <v>KC Centra dystrybucji</v>
          </cell>
          <cell r="E460">
            <v>10079</v>
          </cell>
          <cell r="F460">
            <v>10</v>
          </cell>
          <cell r="G460">
            <v>7082.6999999999898</v>
          </cell>
          <cell r="H460">
            <v>515.96</v>
          </cell>
          <cell r="I460">
            <v>253.9</v>
          </cell>
          <cell r="J460">
            <v>0</v>
          </cell>
          <cell r="K460">
            <v>0</v>
          </cell>
          <cell r="L460">
            <v>253.9</v>
          </cell>
          <cell r="M460">
            <v>7852.56</v>
          </cell>
          <cell r="N460">
            <v>2226.44</v>
          </cell>
          <cell r="O460">
            <v>0</v>
          </cell>
          <cell r="P460">
            <v>7852.56</v>
          </cell>
          <cell r="Q460">
            <v>2226.44</v>
          </cell>
          <cell r="R460">
            <v>106.7</v>
          </cell>
          <cell r="S460">
            <v>7959.26</v>
          </cell>
          <cell r="T460">
            <v>2119.7399999999898</v>
          </cell>
        </row>
        <row r="461">
          <cell r="A461" t="str">
            <v>PLN   Złoty</v>
          </cell>
          <cell r="B461" t="str">
            <v>1000/1401       NPK 6-20-30</v>
          </cell>
          <cell r="C461" t="str">
            <v>1000524    "CHEMIROL" SP. Z O.O</v>
          </cell>
          <cell r="D461" t="str">
            <v>KC Centra dystrybucji</v>
          </cell>
          <cell r="E461">
            <v>25197.25</v>
          </cell>
          <cell r="F461">
            <v>25</v>
          </cell>
          <cell r="G461">
            <v>19581.049999999901</v>
          </cell>
          <cell r="H461">
            <v>1289.8900000000001</v>
          </cell>
          <cell r="I461">
            <v>634.75999999999897</v>
          </cell>
          <cell r="J461">
            <v>0</v>
          </cell>
          <cell r="K461">
            <v>0</v>
          </cell>
          <cell r="L461">
            <v>634.75999999999897</v>
          </cell>
          <cell r="M461">
            <v>21505.7</v>
          </cell>
          <cell r="N461">
            <v>3691.55</v>
          </cell>
          <cell r="O461">
            <v>0</v>
          </cell>
          <cell r="P461">
            <v>21505.7</v>
          </cell>
          <cell r="Q461">
            <v>3691.55</v>
          </cell>
          <cell r="R461">
            <v>295.01999999999902</v>
          </cell>
          <cell r="S461">
            <v>21800.720000000001</v>
          </cell>
          <cell r="T461">
            <v>3396.53</v>
          </cell>
        </row>
        <row r="462">
          <cell r="A462" t="str">
            <v>PLN   Złoty</v>
          </cell>
          <cell r="B462" t="str">
            <v>1000/1401       NPK 6-20-30</v>
          </cell>
          <cell r="C462" t="str">
            <v>1000662    "AGRO-HANDLOWIEC" K</v>
          </cell>
          <cell r="D462" t="str">
            <v>KC Centra dystrybucji</v>
          </cell>
          <cell r="E462">
            <v>299616.02</v>
          </cell>
          <cell r="F462">
            <v>296</v>
          </cell>
          <cell r="G462">
            <v>228250.38</v>
          </cell>
          <cell r="H462">
            <v>15337.93</v>
          </cell>
          <cell r="I462">
            <v>7515.5299999999897</v>
          </cell>
          <cell r="J462">
            <v>0</v>
          </cell>
          <cell r="K462">
            <v>0</v>
          </cell>
          <cell r="L462">
            <v>7515.5299999999897</v>
          </cell>
          <cell r="M462">
            <v>251103.84</v>
          </cell>
          <cell r="N462">
            <v>48512.18</v>
          </cell>
          <cell r="O462">
            <v>0</v>
          </cell>
          <cell r="P462">
            <v>251103.84</v>
          </cell>
          <cell r="Q462">
            <v>48512.18</v>
          </cell>
          <cell r="R462">
            <v>3438.94</v>
          </cell>
          <cell r="S462">
            <v>254542.78</v>
          </cell>
          <cell r="T462">
            <v>45073.239999999903</v>
          </cell>
        </row>
        <row r="463">
          <cell r="A463" t="str">
            <v>PLN   Złoty</v>
          </cell>
          <cell r="B463" t="str">
            <v>1000/1401       NPK 6-20-30</v>
          </cell>
          <cell r="C463" t="str">
            <v>1000675    Zaopatrz.Roln. Andrz</v>
          </cell>
          <cell r="D463" t="str">
            <v>KC Centra dystrybucji</v>
          </cell>
          <cell r="E463">
            <v>299700.33</v>
          </cell>
          <cell r="F463">
            <v>297</v>
          </cell>
          <cell r="G463">
            <v>233547.22</v>
          </cell>
          <cell r="H463">
            <v>15342.25</v>
          </cell>
          <cell r="I463">
            <v>7540.93</v>
          </cell>
          <cell r="J463">
            <v>0</v>
          </cell>
          <cell r="K463">
            <v>0</v>
          </cell>
          <cell r="L463">
            <v>7540.93</v>
          </cell>
          <cell r="M463">
            <v>256430.399999999</v>
          </cell>
          <cell r="N463">
            <v>43269.93</v>
          </cell>
          <cell r="O463">
            <v>0</v>
          </cell>
          <cell r="P463">
            <v>256430.399999999</v>
          </cell>
          <cell r="Q463">
            <v>43269.93</v>
          </cell>
          <cell r="R463">
            <v>3518.77</v>
          </cell>
          <cell r="S463">
            <v>259949.17</v>
          </cell>
          <cell r="T463">
            <v>39751.160000000003</v>
          </cell>
        </row>
        <row r="464">
          <cell r="A464" t="str">
            <v>PLN   Złoty</v>
          </cell>
          <cell r="B464" t="str">
            <v>1000/1401       NPK 6-20-30</v>
          </cell>
          <cell r="C464" t="str">
            <v>1001024    TALAGA</v>
          </cell>
          <cell r="D464" t="str">
            <v>KC Centra dystrybucji</v>
          </cell>
          <cell r="E464">
            <v>29228.869999999901</v>
          </cell>
          <cell r="F464">
            <v>29</v>
          </cell>
          <cell r="G464">
            <v>23073.6899999999</v>
          </cell>
          <cell r="H464">
            <v>1496.27</v>
          </cell>
          <cell r="I464">
            <v>736.32</v>
          </cell>
          <cell r="J464">
            <v>0</v>
          </cell>
          <cell r="K464">
            <v>0</v>
          </cell>
          <cell r="L464">
            <v>736.32</v>
          </cell>
          <cell r="M464">
            <v>25306.279999999901</v>
          </cell>
          <cell r="N464">
            <v>3922.59</v>
          </cell>
          <cell r="O464">
            <v>0</v>
          </cell>
          <cell r="P464">
            <v>25306.279999999901</v>
          </cell>
          <cell r="Q464">
            <v>3922.59</v>
          </cell>
          <cell r="R464">
            <v>347.61</v>
          </cell>
          <cell r="S464">
            <v>25653.889999999901</v>
          </cell>
          <cell r="T464">
            <v>3574.98</v>
          </cell>
        </row>
        <row r="465">
          <cell r="A465" t="str">
            <v>PLN   Złoty</v>
          </cell>
          <cell r="B465" t="str">
            <v>1000/1401       NPK 6-20-30</v>
          </cell>
          <cell r="C465" t="str">
            <v>1001519    "ARGOL" LESZEK KALIS</v>
          </cell>
          <cell r="D465" t="str">
            <v>KC Centra dystrybucji</v>
          </cell>
          <cell r="E465">
            <v>28327.57</v>
          </cell>
          <cell r="F465">
            <v>28</v>
          </cell>
          <cell r="G465">
            <v>22035.57</v>
          </cell>
          <cell r="H465">
            <v>1450.19</v>
          </cell>
          <cell r="I465">
            <v>710.94</v>
          </cell>
          <cell r="J465">
            <v>0</v>
          </cell>
          <cell r="K465">
            <v>0</v>
          </cell>
          <cell r="L465">
            <v>710.94</v>
          </cell>
          <cell r="M465">
            <v>24196.7</v>
          </cell>
          <cell r="N465">
            <v>4130.8699999999899</v>
          </cell>
          <cell r="O465">
            <v>0</v>
          </cell>
          <cell r="P465">
            <v>24196.7</v>
          </cell>
          <cell r="Q465">
            <v>4130.8699999999899</v>
          </cell>
          <cell r="R465">
            <v>332</v>
          </cell>
          <cell r="S465">
            <v>24528.7</v>
          </cell>
          <cell r="T465">
            <v>3798.8699999999899</v>
          </cell>
        </row>
        <row r="466">
          <cell r="A466" t="str">
            <v>PLN   Złoty</v>
          </cell>
          <cell r="B466" t="str">
            <v>1000/1401       NPK 6-20-30</v>
          </cell>
          <cell r="C466" t="str">
            <v>1001662    AMPOL-MEROL Sp. z o.</v>
          </cell>
          <cell r="D466" t="str">
            <v>KC Centra dystrybucji</v>
          </cell>
          <cell r="E466">
            <v>1144412.5</v>
          </cell>
          <cell r="F466">
            <v>1127.5</v>
          </cell>
          <cell r="G466">
            <v>900117.96999999904</v>
          </cell>
          <cell r="H466">
            <v>58584.86</v>
          </cell>
          <cell r="I466">
            <v>28627.61</v>
          </cell>
          <cell r="J466">
            <v>0</v>
          </cell>
          <cell r="K466">
            <v>0</v>
          </cell>
          <cell r="L466">
            <v>28627.61</v>
          </cell>
          <cell r="M466">
            <v>987330.43999999901</v>
          </cell>
          <cell r="N466">
            <v>157082.06</v>
          </cell>
          <cell r="O466">
            <v>0</v>
          </cell>
          <cell r="P466">
            <v>987330.43999999901</v>
          </cell>
          <cell r="Q466">
            <v>157082.06</v>
          </cell>
          <cell r="R466">
            <v>13561.73</v>
          </cell>
          <cell r="S466">
            <v>1000892.17</v>
          </cell>
          <cell r="T466">
            <v>143520.329999999</v>
          </cell>
        </row>
        <row r="467">
          <cell r="A467" t="str">
            <v>PLN   Złoty</v>
          </cell>
          <cell r="B467" t="str">
            <v>1000/1401       NPK 6-20-30</v>
          </cell>
          <cell r="C467" t="str">
            <v>1001701    INTRAT-BRZ</v>
          </cell>
          <cell r="D467" t="str">
            <v>KC Centra dystrybucji</v>
          </cell>
          <cell r="E467">
            <v>7055.2299999999896</v>
          </cell>
          <cell r="F467">
            <v>7</v>
          </cell>
          <cell r="G467">
            <v>5643.2299999999896</v>
          </cell>
          <cell r="H467">
            <v>361.16</v>
          </cell>
          <cell r="I467">
            <v>177.729999999999</v>
          </cell>
          <cell r="J467">
            <v>0</v>
          </cell>
          <cell r="K467">
            <v>0</v>
          </cell>
          <cell r="L467">
            <v>177.729999999999</v>
          </cell>
          <cell r="M467">
            <v>6182.1199999999899</v>
          </cell>
          <cell r="N467">
            <v>873.11</v>
          </cell>
          <cell r="O467">
            <v>0</v>
          </cell>
          <cell r="P467">
            <v>6182.1199999999899</v>
          </cell>
          <cell r="Q467">
            <v>873.11</v>
          </cell>
          <cell r="R467">
            <v>85.03</v>
          </cell>
          <cell r="S467">
            <v>6267.1499999999896</v>
          </cell>
          <cell r="T467">
            <v>788.08</v>
          </cell>
        </row>
        <row r="468">
          <cell r="A468" t="str">
            <v>PLN   Złoty</v>
          </cell>
          <cell r="B468" t="str">
            <v>1000/1401       NPK 6-20-30</v>
          </cell>
          <cell r="C468" t="str">
            <v>1001994    SKR-STRZELCE</v>
          </cell>
          <cell r="D468" t="str">
            <v>KC Centra dystrybucji</v>
          </cell>
          <cell r="E468">
            <v>80464.960000000006</v>
          </cell>
          <cell r="F468">
            <v>80</v>
          </cell>
          <cell r="G468">
            <v>60968.18</v>
          </cell>
          <cell r="H468">
            <v>4119.1899999999896</v>
          </cell>
          <cell r="I468">
            <v>2031.23</v>
          </cell>
          <cell r="J468">
            <v>0</v>
          </cell>
          <cell r="K468">
            <v>0</v>
          </cell>
          <cell r="L468">
            <v>2031.23</v>
          </cell>
          <cell r="M468">
            <v>67118.600000000006</v>
          </cell>
          <cell r="N468">
            <v>13346.36</v>
          </cell>
          <cell r="O468">
            <v>0</v>
          </cell>
          <cell r="P468">
            <v>67118.600000000006</v>
          </cell>
          <cell r="Q468">
            <v>13346.36</v>
          </cell>
          <cell r="R468">
            <v>918.6</v>
          </cell>
          <cell r="S468">
            <v>68037.199999999895</v>
          </cell>
          <cell r="T468">
            <v>12427.76</v>
          </cell>
        </row>
        <row r="469">
          <cell r="A469" t="str">
            <v>PLN   Złoty</v>
          </cell>
          <cell r="B469" t="str">
            <v>1000/1401       NPK 6-20-30</v>
          </cell>
          <cell r="C469" t="str">
            <v>1002005    LAMCH-TOMI</v>
          </cell>
          <cell r="D469" t="str">
            <v>KC Centra dystrybucji</v>
          </cell>
          <cell r="E469">
            <v>50394.5</v>
          </cell>
          <cell r="F469">
            <v>50</v>
          </cell>
          <cell r="G469">
            <v>39349.22</v>
          </cell>
          <cell r="H469">
            <v>2579.7800000000002</v>
          </cell>
          <cell r="I469">
            <v>1269.52</v>
          </cell>
          <cell r="J469">
            <v>0</v>
          </cell>
          <cell r="K469">
            <v>0</v>
          </cell>
          <cell r="L469">
            <v>1269.52</v>
          </cell>
          <cell r="M469">
            <v>43198.519999999902</v>
          </cell>
          <cell r="N469">
            <v>7195.9799999999896</v>
          </cell>
          <cell r="O469">
            <v>0</v>
          </cell>
          <cell r="P469">
            <v>43198.519999999902</v>
          </cell>
          <cell r="Q469">
            <v>7195.9799999999896</v>
          </cell>
          <cell r="R469">
            <v>592.88</v>
          </cell>
          <cell r="S469">
            <v>43791.4</v>
          </cell>
          <cell r="T469">
            <v>6603.1</v>
          </cell>
        </row>
        <row r="470">
          <cell r="A470" t="str">
            <v>PLN   Złoty</v>
          </cell>
          <cell r="B470" t="str">
            <v>1000/1401       NPK 6-20-30</v>
          </cell>
          <cell r="C470" t="str">
            <v>1002009    AGROTECHNI</v>
          </cell>
          <cell r="D470" t="str">
            <v>KC Centra dystrybucji</v>
          </cell>
          <cell r="E470">
            <v>12180</v>
          </cell>
          <cell r="F470">
            <v>12</v>
          </cell>
          <cell r="G470">
            <v>8499.2399999999907</v>
          </cell>
          <cell r="H470">
            <v>623.58000000000004</v>
          </cell>
          <cell r="I470">
            <v>304.68</v>
          </cell>
          <cell r="J470">
            <v>0</v>
          </cell>
          <cell r="K470">
            <v>0</v>
          </cell>
          <cell r="L470">
            <v>304.68</v>
          </cell>
          <cell r="M470">
            <v>9427.5</v>
          </cell>
          <cell r="N470">
            <v>2752.5</v>
          </cell>
          <cell r="O470">
            <v>0</v>
          </cell>
          <cell r="P470">
            <v>9427.5</v>
          </cell>
          <cell r="Q470">
            <v>2752.5</v>
          </cell>
          <cell r="R470">
            <v>128.06</v>
          </cell>
          <cell r="S470">
            <v>9555.5599999999904</v>
          </cell>
          <cell r="T470">
            <v>2624.44</v>
          </cell>
        </row>
        <row r="471">
          <cell r="A471" t="str">
            <v>PLN   Złoty</v>
          </cell>
          <cell r="B471" t="str">
            <v>1000/1401       NPK 6-20-30</v>
          </cell>
          <cell r="C471" t="str">
            <v>1002058    GS-Gardeja</v>
          </cell>
          <cell r="D471" t="str">
            <v>KC Centra dystrybucji</v>
          </cell>
          <cell r="E471">
            <v>4031.5999999999899</v>
          </cell>
          <cell r="F471">
            <v>4</v>
          </cell>
          <cell r="G471">
            <v>3191.8899999999899</v>
          </cell>
          <cell r="H471">
            <v>206.37</v>
          </cell>
          <cell r="I471">
            <v>101.56</v>
          </cell>
          <cell r="J471">
            <v>0</v>
          </cell>
          <cell r="K471">
            <v>0</v>
          </cell>
          <cell r="L471">
            <v>101.56</v>
          </cell>
          <cell r="M471">
            <v>3499.82</v>
          </cell>
          <cell r="N471">
            <v>531.77999999999895</v>
          </cell>
          <cell r="O471">
            <v>0</v>
          </cell>
          <cell r="P471">
            <v>3499.82</v>
          </cell>
          <cell r="Q471">
            <v>531.77999999999895</v>
          </cell>
          <cell r="R471">
            <v>48.1</v>
          </cell>
          <cell r="S471">
            <v>3547.92</v>
          </cell>
          <cell r="T471">
            <v>483.68</v>
          </cell>
        </row>
        <row r="472">
          <cell r="A472" t="str">
            <v>PLN   Złoty</v>
          </cell>
          <cell r="B472" t="str">
            <v>1000/1401       NPK 6-20-30</v>
          </cell>
          <cell r="C472" t="str">
            <v>1002790    AGRO-SKŁAD SZYMON NO</v>
          </cell>
          <cell r="D472" t="str">
            <v>KC Centra dystrybucji</v>
          </cell>
          <cell r="E472">
            <v>72000</v>
          </cell>
          <cell r="F472">
            <v>72</v>
          </cell>
          <cell r="G472">
            <v>51759.629999999903</v>
          </cell>
          <cell r="H472">
            <v>3685.82</v>
          </cell>
          <cell r="I472">
            <v>1828.1099999999899</v>
          </cell>
          <cell r="J472">
            <v>0</v>
          </cell>
          <cell r="K472">
            <v>0</v>
          </cell>
          <cell r="L472">
            <v>1828.1099999999899</v>
          </cell>
          <cell r="M472">
            <v>57273.559999999903</v>
          </cell>
          <cell r="N472">
            <v>14726.44</v>
          </cell>
          <cell r="O472">
            <v>0</v>
          </cell>
          <cell r="P472">
            <v>57273.559999999903</v>
          </cell>
          <cell r="Q472">
            <v>14726.44</v>
          </cell>
          <cell r="R472">
            <v>779.84</v>
          </cell>
          <cell r="S472">
            <v>58053.4</v>
          </cell>
          <cell r="T472">
            <v>13946.6</v>
          </cell>
        </row>
        <row r="473">
          <cell r="A473" t="str">
            <v>PLN   Złoty</v>
          </cell>
          <cell r="B473" t="str">
            <v>1000/1401       NPK 6-20-30</v>
          </cell>
          <cell r="C473" t="str">
            <v>1003056    LECHPOL SP. Z O.O.</v>
          </cell>
          <cell r="D473" t="str">
            <v>KC Centra dystrybucji</v>
          </cell>
          <cell r="E473">
            <v>136847.25</v>
          </cell>
          <cell r="F473">
            <v>135</v>
          </cell>
          <cell r="G473">
            <v>106055.7</v>
          </cell>
          <cell r="H473">
            <v>7005.6</v>
          </cell>
          <cell r="I473">
            <v>3427.6999999999898</v>
          </cell>
          <cell r="J473">
            <v>0</v>
          </cell>
          <cell r="K473">
            <v>0</v>
          </cell>
          <cell r="L473">
            <v>3427.6999999999898</v>
          </cell>
          <cell r="M473">
            <v>116489</v>
          </cell>
          <cell r="N473">
            <v>20358.25</v>
          </cell>
          <cell r="O473">
            <v>0</v>
          </cell>
          <cell r="P473">
            <v>116489</v>
          </cell>
          <cell r="Q473">
            <v>20358.25</v>
          </cell>
          <cell r="R473">
            <v>1597.9</v>
          </cell>
          <cell r="S473">
            <v>118086.899999999</v>
          </cell>
          <cell r="T473">
            <v>18760.3499999999</v>
          </cell>
        </row>
        <row r="474">
          <cell r="A474" t="str">
            <v>PLN   Złoty</v>
          </cell>
          <cell r="B474" t="str">
            <v>1000/1401       NPK 6-20-30</v>
          </cell>
          <cell r="C474" t="str">
            <v>1003315    ZAKŁAD OBROTU ROLNEG</v>
          </cell>
          <cell r="D474" t="str">
            <v>KC Centra dystrybucji</v>
          </cell>
          <cell r="E474">
            <v>95750.35</v>
          </cell>
          <cell r="F474">
            <v>95</v>
          </cell>
          <cell r="G474">
            <v>69466.13</v>
          </cell>
          <cell r="H474">
            <v>4901.7299999999896</v>
          </cell>
          <cell r="I474">
            <v>2412.09</v>
          </cell>
          <cell r="J474">
            <v>0</v>
          </cell>
          <cell r="K474">
            <v>0</v>
          </cell>
          <cell r="L474">
            <v>2412.09</v>
          </cell>
          <cell r="M474">
            <v>76779.949999999895</v>
          </cell>
          <cell r="N474">
            <v>18970.400000000001</v>
          </cell>
          <cell r="O474">
            <v>0</v>
          </cell>
          <cell r="P474">
            <v>76779.949999999895</v>
          </cell>
          <cell r="Q474">
            <v>18970.400000000001</v>
          </cell>
          <cell r="R474">
            <v>1046.6099999999899</v>
          </cell>
          <cell r="S474">
            <v>77826.559999999896</v>
          </cell>
          <cell r="T474">
            <v>17923.79</v>
          </cell>
        </row>
        <row r="475">
          <cell r="A475" t="str">
            <v>PLN   Złoty</v>
          </cell>
          <cell r="B475" t="str">
            <v>1000/1401       NPK 6-20-30</v>
          </cell>
          <cell r="C475" t="str">
            <v>1003605    "AGROMUND"</v>
          </cell>
          <cell r="D475" t="str">
            <v>KC Centra dystrybucji</v>
          </cell>
          <cell r="E475">
            <v>125860</v>
          </cell>
          <cell r="F475">
            <v>124</v>
          </cell>
          <cell r="G475">
            <v>97586.059999999896</v>
          </cell>
          <cell r="H475">
            <v>6443.05</v>
          </cell>
          <cell r="I475">
            <v>3148.4</v>
          </cell>
          <cell r="J475">
            <v>0</v>
          </cell>
          <cell r="K475">
            <v>0</v>
          </cell>
          <cell r="L475">
            <v>3148.4</v>
          </cell>
          <cell r="M475">
            <v>107177.50999999901</v>
          </cell>
          <cell r="N475">
            <v>18682.490000000002</v>
          </cell>
          <cell r="O475">
            <v>0</v>
          </cell>
          <cell r="P475">
            <v>107177.50999999901</v>
          </cell>
          <cell r="Q475">
            <v>18682.490000000002</v>
          </cell>
          <cell r="R475">
            <v>1470.28</v>
          </cell>
          <cell r="S475">
            <v>108647.789999999</v>
          </cell>
          <cell r="T475">
            <v>17212.209999999901</v>
          </cell>
        </row>
        <row r="476">
          <cell r="A476" t="str">
            <v>PLN   Złoty</v>
          </cell>
          <cell r="B476" t="str">
            <v>1000/1401       NPK 6-20-30</v>
          </cell>
          <cell r="C476" t="str">
            <v>1004168    "OSADKOWSKI" SPÓŁKA</v>
          </cell>
          <cell r="D476" t="str">
            <v>KC Centra dystrybucji</v>
          </cell>
          <cell r="E476">
            <v>173500</v>
          </cell>
          <cell r="F476">
            <v>172</v>
          </cell>
          <cell r="G476">
            <v>130458.02</v>
          </cell>
          <cell r="H476">
            <v>8881.7800000000007</v>
          </cell>
          <cell r="I476">
            <v>4367.1400000000003</v>
          </cell>
          <cell r="J476">
            <v>0</v>
          </cell>
          <cell r="K476">
            <v>0</v>
          </cell>
          <cell r="L476">
            <v>4367.1400000000003</v>
          </cell>
          <cell r="M476">
            <v>143706.94</v>
          </cell>
          <cell r="N476">
            <v>29793.06</v>
          </cell>
          <cell r="O476">
            <v>0</v>
          </cell>
          <cell r="P476">
            <v>143706.94</v>
          </cell>
          <cell r="Q476">
            <v>29793.06</v>
          </cell>
          <cell r="R476">
            <v>1965.5699999999899</v>
          </cell>
          <cell r="S476">
            <v>145672.51</v>
          </cell>
          <cell r="T476">
            <v>27827.49</v>
          </cell>
        </row>
        <row r="477">
          <cell r="A477" t="str">
            <v>PLN   Złoty</v>
          </cell>
          <cell r="B477" t="str">
            <v>1000/1402       NPK 8-24-24</v>
          </cell>
          <cell r="C477" t="str">
            <v>1000080    CN-KIELCE</v>
          </cell>
          <cell r="D477" t="str">
            <v>KC Centra dystrybucji</v>
          </cell>
          <cell r="E477">
            <v>8160</v>
          </cell>
          <cell r="F477">
            <v>8</v>
          </cell>
          <cell r="G477">
            <v>6408.55</v>
          </cell>
          <cell r="H477">
            <v>417.75</v>
          </cell>
          <cell r="I477">
            <v>317.82999999999902</v>
          </cell>
          <cell r="J477">
            <v>0</v>
          </cell>
          <cell r="K477">
            <v>0</v>
          </cell>
          <cell r="L477">
            <v>317.82999999999902</v>
          </cell>
          <cell r="M477">
            <v>7144.13</v>
          </cell>
          <cell r="N477">
            <v>1015.87</v>
          </cell>
          <cell r="O477">
            <v>0</v>
          </cell>
          <cell r="P477">
            <v>7144.13</v>
          </cell>
          <cell r="Q477">
            <v>1015.87</v>
          </cell>
          <cell r="R477">
            <v>96.549999999999898</v>
          </cell>
          <cell r="S477">
            <v>7240.68</v>
          </cell>
          <cell r="T477">
            <v>919.32</v>
          </cell>
        </row>
        <row r="478">
          <cell r="A478" t="str">
            <v>PLN   Złoty</v>
          </cell>
          <cell r="B478" t="str">
            <v>1000/1402       NPK 8-24-24</v>
          </cell>
          <cell r="C478" t="str">
            <v>1000182    AGRA NOWA</v>
          </cell>
          <cell r="D478" t="str">
            <v>KC Centra dystrybucji</v>
          </cell>
          <cell r="E478">
            <v>38760</v>
          </cell>
          <cell r="F478">
            <v>38</v>
          </cell>
          <cell r="G478">
            <v>30440.59</v>
          </cell>
          <cell r="H478">
            <v>1984.19</v>
          </cell>
          <cell r="I478">
            <v>1509.69</v>
          </cell>
          <cell r="J478">
            <v>0</v>
          </cell>
          <cell r="K478">
            <v>0</v>
          </cell>
          <cell r="L478">
            <v>1509.69</v>
          </cell>
          <cell r="M478">
            <v>33934.47</v>
          </cell>
          <cell r="N478">
            <v>4825.5299999999897</v>
          </cell>
          <cell r="O478">
            <v>0</v>
          </cell>
          <cell r="P478">
            <v>33934.47</v>
          </cell>
          <cell r="Q478">
            <v>4825.5299999999897</v>
          </cell>
          <cell r="R478">
            <v>458.63999999999902</v>
          </cell>
          <cell r="S478">
            <v>34393.11</v>
          </cell>
          <cell r="T478">
            <v>4366.8900000000003</v>
          </cell>
        </row>
        <row r="479">
          <cell r="A479" t="str">
            <v>PLN   Złoty</v>
          </cell>
          <cell r="B479" t="str">
            <v>1000/1402       NPK 8-24-24</v>
          </cell>
          <cell r="C479" t="str">
            <v>1000192    ROLBUD</v>
          </cell>
          <cell r="D479" t="str">
            <v>KC Centra dystrybucji</v>
          </cell>
          <cell r="E479">
            <v>46591.559999999903</v>
          </cell>
          <cell r="F479">
            <v>46</v>
          </cell>
          <cell r="G479">
            <v>36849.139999999898</v>
          </cell>
          <cell r="H479">
            <v>2385.13</v>
          </cell>
          <cell r="I479">
            <v>1827.52</v>
          </cell>
          <cell r="J479">
            <v>0</v>
          </cell>
          <cell r="K479">
            <v>0</v>
          </cell>
          <cell r="L479">
            <v>1827.52</v>
          </cell>
          <cell r="M479">
            <v>41061.79</v>
          </cell>
          <cell r="N479">
            <v>5529.77</v>
          </cell>
          <cell r="O479">
            <v>0</v>
          </cell>
          <cell r="P479">
            <v>41061.79</v>
          </cell>
          <cell r="Q479">
            <v>5529.77</v>
          </cell>
          <cell r="R479">
            <v>555.17999999999904</v>
          </cell>
          <cell r="S479">
            <v>41616.97</v>
          </cell>
          <cell r="T479">
            <v>4974.59</v>
          </cell>
        </row>
        <row r="480">
          <cell r="A480" t="str">
            <v>PLN   Złoty</v>
          </cell>
          <cell r="B480" t="str">
            <v>1000/1402       NPK 8-24-24</v>
          </cell>
          <cell r="C480" t="str">
            <v>1000205    SKŁODOWSKI</v>
          </cell>
          <cell r="D480" t="str">
            <v>KC Centra dystrybucji</v>
          </cell>
          <cell r="E480">
            <v>25827.93</v>
          </cell>
          <cell r="F480">
            <v>25.5</v>
          </cell>
          <cell r="G480">
            <v>20427.240000000002</v>
          </cell>
          <cell r="H480">
            <v>1322.25</v>
          </cell>
          <cell r="I480">
            <v>1013.08</v>
          </cell>
          <cell r="J480">
            <v>0</v>
          </cell>
          <cell r="K480">
            <v>0</v>
          </cell>
          <cell r="L480">
            <v>1013.08</v>
          </cell>
          <cell r="M480">
            <v>22762.57</v>
          </cell>
          <cell r="N480">
            <v>3065.36</v>
          </cell>
          <cell r="O480">
            <v>0</v>
          </cell>
          <cell r="P480">
            <v>22762.57</v>
          </cell>
          <cell r="Q480">
            <v>3065.36</v>
          </cell>
          <cell r="R480">
            <v>307.75</v>
          </cell>
          <cell r="S480">
            <v>23070.32</v>
          </cell>
          <cell r="T480">
            <v>2757.61</v>
          </cell>
        </row>
        <row r="481">
          <cell r="A481" t="str">
            <v>PLN   Złoty</v>
          </cell>
          <cell r="B481" t="str">
            <v>1000/1402       NPK 8-24-24</v>
          </cell>
          <cell r="C481" t="str">
            <v>1000219    BUTOR</v>
          </cell>
          <cell r="D481" t="str">
            <v>KC Centra dystrybucji</v>
          </cell>
          <cell r="E481">
            <v>24480</v>
          </cell>
          <cell r="F481">
            <v>24</v>
          </cell>
          <cell r="G481">
            <v>19225.639999999901</v>
          </cell>
          <cell r="H481">
            <v>1253.2</v>
          </cell>
          <cell r="I481">
            <v>953.49</v>
          </cell>
          <cell r="J481">
            <v>0</v>
          </cell>
          <cell r="K481">
            <v>0</v>
          </cell>
          <cell r="L481">
            <v>953.49</v>
          </cell>
          <cell r="M481">
            <v>21432.33</v>
          </cell>
          <cell r="N481">
            <v>3047.67</v>
          </cell>
          <cell r="O481">
            <v>0</v>
          </cell>
          <cell r="P481">
            <v>21432.33</v>
          </cell>
          <cell r="Q481">
            <v>3047.67</v>
          </cell>
          <cell r="R481">
            <v>289.68</v>
          </cell>
          <cell r="S481">
            <v>21722.0099999999</v>
          </cell>
          <cell r="T481">
            <v>2757.9899999999898</v>
          </cell>
        </row>
        <row r="482">
          <cell r="A482" t="str">
            <v>PLN   Złoty</v>
          </cell>
          <cell r="B482" t="str">
            <v>1000/1402       NPK 8-24-24</v>
          </cell>
          <cell r="C482" t="str">
            <v>1000222    ROLPOL</v>
          </cell>
          <cell r="D482" t="str">
            <v>KC Centra dystrybucji</v>
          </cell>
          <cell r="E482">
            <v>1216340.56</v>
          </cell>
          <cell r="F482">
            <v>1201</v>
          </cell>
          <cell r="G482">
            <v>878528.06</v>
          </cell>
          <cell r="H482">
            <v>62267.059999999903</v>
          </cell>
          <cell r="I482">
            <v>47714.129999999903</v>
          </cell>
          <cell r="J482">
            <v>0</v>
          </cell>
          <cell r="K482">
            <v>0</v>
          </cell>
          <cell r="L482">
            <v>47714.129999999903</v>
          </cell>
          <cell r="M482">
            <v>988509.25</v>
          </cell>
          <cell r="N482">
            <v>227831.31</v>
          </cell>
          <cell r="O482">
            <v>0</v>
          </cell>
          <cell r="P482">
            <v>988509.25</v>
          </cell>
          <cell r="Q482">
            <v>227831.31</v>
          </cell>
          <cell r="R482">
            <v>13236.44</v>
          </cell>
          <cell r="S482">
            <v>1001745.68999999</v>
          </cell>
          <cell r="T482">
            <v>214594.87</v>
          </cell>
        </row>
        <row r="483">
          <cell r="A483" t="str">
            <v>PLN   Złoty</v>
          </cell>
          <cell r="B483" t="str">
            <v>1000/1402       NPK 8-24-24</v>
          </cell>
          <cell r="C483" t="str">
            <v>1000252    AGROSKŁAD</v>
          </cell>
          <cell r="D483" t="str">
            <v>KC Centra dystrybucji</v>
          </cell>
          <cell r="E483">
            <v>146864.70000000001</v>
          </cell>
          <cell r="F483">
            <v>145</v>
          </cell>
          <cell r="G483">
            <v>112104.85</v>
          </cell>
          <cell r="H483">
            <v>7518.3199999999897</v>
          </cell>
          <cell r="I483">
            <v>5760.6499999999896</v>
          </cell>
          <cell r="J483">
            <v>0</v>
          </cell>
          <cell r="K483">
            <v>0</v>
          </cell>
          <cell r="L483">
            <v>5760.6499999999896</v>
          </cell>
          <cell r="M483">
            <v>125383.82</v>
          </cell>
          <cell r="N483">
            <v>21480.880000000001</v>
          </cell>
          <cell r="O483">
            <v>0</v>
          </cell>
          <cell r="P483">
            <v>125383.82</v>
          </cell>
          <cell r="Q483">
            <v>21480.880000000001</v>
          </cell>
          <cell r="R483">
            <v>1689.03</v>
          </cell>
          <cell r="S483">
            <v>127072.85</v>
          </cell>
          <cell r="T483">
            <v>19791.8499999999</v>
          </cell>
        </row>
        <row r="484">
          <cell r="A484" t="str">
            <v>PLN   Złoty</v>
          </cell>
          <cell r="B484" t="str">
            <v>1000/1402       NPK 8-24-24</v>
          </cell>
          <cell r="C484" t="str">
            <v>1000263    PRO-AGRO</v>
          </cell>
          <cell r="D484" t="str">
            <v>KC Centra dystrybucji</v>
          </cell>
          <cell r="E484">
            <v>70900.199999999895</v>
          </cell>
          <cell r="F484">
            <v>70</v>
          </cell>
          <cell r="G484">
            <v>51118.139999999898</v>
          </cell>
          <cell r="H484">
            <v>3629.48</v>
          </cell>
          <cell r="I484">
            <v>2781</v>
          </cell>
          <cell r="J484">
            <v>0</v>
          </cell>
          <cell r="K484">
            <v>0</v>
          </cell>
          <cell r="L484">
            <v>2781</v>
          </cell>
          <cell r="M484">
            <v>57528.62</v>
          </cell>
          <cell r="N484">
            <v>13371.58</v>
          </cell>
          <cell r="O484">
            <v>0</v>
          </cell>
          <cell r="P484">
            <v>57528.62</v>
          </cell>
          <cell r="Q484">
            <v>13371.58</v>
          </cell>
          <cell r="R484">
            <v>770.19</v>
          </cell>
          <cell r="S484">
            <v>58298.809999999903</v>
          </cell>
          <cell r="T484">
            <v>12601.389999999899</v>
          </cell>
        </row>
        <row r="485">
          <cell r="A485" t="str">
            <v>PLN   Złoty</v>
          </cell>
          <cell r="B485" t="str">
            <v>1000/1402       NPK 8-24-24</v>
          </cell>
          <cell r="C485" t="str">
            <v>1000277    ATRANS</v>
          </cell>
          <cell r="D485" t="str">
            <v>KC Centra dystrybucji</v>
          </cell>
          <cell r="E485">
            <v>73097.279999999897</v>
          </cell>
          <cell r="F485">
            <v>72</v>
          </cell>
          <cell r="G485">
            <v>57676.919999999896</v>
          </cell>
          <cell r="H485">
            <v>3742.03</v>
          </cell>
          <cell r="I485">
            <v>2860.4699999999898</v>
          </cell>
          <cell r="J485">
            <v>0</v>
          </cell>
          <cell r="K485">
            <v>0</v>
          </cell>
          <cell r="L485">
            <v>2860.4699999999898</v>
          </cell>
          <cell r="M485">
            <v>64279.419999999896</v>
          </cell>
          <cell r="N485">
            <v>8817.86</v>
          </cell>
          <cell r="O485">
            <v>0</v>
          </cell>
          <cell r="P485">
            <v>64279.419999999896</v>
          </cell>
          <cell r="Q485">
            <v>8817.86</v>
          </cell>
          <cell r="R485">
            <v>869</v>
          </cell>
          <cell r="S485">
            <v>65148.419999999896</v>
          </cell>
          <cell r="T485">
            <v>7948.8599999999897</v>
          </cell>
        </row>
        <row r="486">
          <cell r="A486" t="str">
            <v>PLN   Złoty</v>
          </cell>
          <cell r="B486" t="str">
            <v>1000/1402       NPK 8-24-24</v>
          </cell>
          <cell r="C486" t="str">
            <v>1000289    PLON A.Dadrzyński</v>
          </cell>
          <cell r="D486" t="str">
            <v>KC Centra dystrybucji</v>
          </cell>
          <cell r="E486">
            <v>80065.919999999896</v>
          </cell>
          <cell r="F486">
            <v>79</v>
          </cell>
          <cell r="G486">
            <v>60358.79</v>
          </cell>
          <cell r="H486">
            <v>4098.7799999999897</v>
          </cell>
          <cell r="I486">
            <v>3138.5799999999899</v>
          </cell>
          <cell r="J486">
            <v>0</v>
          </cell>
          <cell r="K486">
            <v>0</v>
          </cell>
          <cell r="L486">
            <v>3138.5799999999899</v>
          </cell>
          <cell r="M486">
            <v>67596.149999999907</v>
          </cell>
          <cell r="N486">
            <v>12469.77</v>
          </cell>
          <cell r="O486">
            <v>0</v>
          </cell>
          <cell r="P486">
            <v>67596.149999999907</v>
          </cell>
          <cell r="Q486">
            <v>12469.77</v>
          </cell>
          <cell r="R486">
            <v>909.41999999999905</v>
          </cell>
          <cell r="S486">
            <v>68505.570000000007</v>
          </cell>
          <cell r="T486">
            <v>11560.35</v>
          </cell>
        </row>
        <row r="487">
          <cell r="A487" t="str">
            <v>PLN   Złoty</v>
          </cell>
          <cell r="B487" t="str">
            <v>1000/1402       NPK 8-24-24</v>
          </cell>
          <cell r="C487" t="str">
            <v>1000307    P.TRANSBUD</v>
          </cell>
          <cell r="D487" t="str">
            <v>KC Centra dystrybucji</v>
          </cell>
          <cell r="E487">
            <v>12696</v>
          </cell>
          <cell r="F487">
            <v>12</v>
          </cell>
          <cell r="G487">
            <v>9300.8999999999905</v>
          </cell>
          <cell r="H487">
            <v>649.91999999999905</v>
          </cell>
          <cell r="I487">
            <v>476.75</v>
          </cell>
          <cell r="J487">
            <v>1146.72</v>
          </cell>
          <cell r="K487">
            <v>0</v>
          </cell>
          <cell r="L487">
            <v>1623.47</v>
          </cell>
          <cell r="M487">
            <v>11574.29</v>
          </cell>
          <cell r="N487">
            <v>1121.71</v>
          </cell>
          <cell r="O487">
            <v>0</v>
          </cell>
          <cell r="P487">
            <v>11574.29</v>
          </cell>
          <cell r="Q487">
            <v>1121.71</v>
          </cell>
          <cell r="R487">
            <v>140.13</v>
          </cell>
          <cell r="S487">
            <v>11714.42</v>
          </cell>
          <cell r="T487">
            <v>981.58</v>
          </cell>
        </row>
        <row r="488">
          <cell r="A488" t="str">
            <v>PLN   Złoty</v>
          </cell>
          <cell r="B488" t="str">
            <v>1000/1402       NPK 8-24-24</v>
          </cell>
          <cell r="C488" t="str">
            <v>1000403    SOBIANEK</v>
          </cell>
          <cell r="D488" t="str">
            <v>KC Centra dystrybucji</v>
          </cell>
          <cell r="E488">
            <v>89131.679999999906</v>
          </cell>
          <cell r="F488">
            <v>88</v>
          </cell>
          <cell r="G488">
            <v>64262.8</v>
          </cell>
          <cell r="H488">
            <v>4562.84</v>
          </cell>
          <cell r="I488">
            <v>3496.1199999999899</v>
          </cell>
          <cell r="J488">
            <v>0</v>
          </cell>
          <cell r="K488">
            <v>0</v>
          </cell>
          <cell r="L488">
            <v>3496.1199999999899</v>
          </cell>
          <cell r="M488">
            <v>72321.759999999893</v>
          </cell>
          <cell r="N488">
            <v>16809.9199999999</v>
          </cell>
          <cell r="O488">
            <v>0</v>
          </cell>
          <cell r="P488">
            <v>72321.759999999893</v>
          </cell>
          <cell r="Q488">
            <v>16809.9199999999</v>
          </cell>
          <cell r="R488">
            <v>968.2</v>
          </cell>
          <cell r="S488">
            <v>73289.960000000006</v>
          </cell>
          <cell r="T488">
            <v>15841.719999999899</v>
          </cell>
        </row>
        <row r="489">
          <cell r="A489" t="str">
            <v>PLN   Złoty</v>
          </cell>
          <cell r="B489" t="str">
            <v>1000/1402       NPK 8-24-24</v>
          </cell>
          <cell r="C489" t="str">
            <v>1000534    BAZI</v>
          </cell>
          <cell r="D489" t="str">
            <v>KC Centra dystrybucji</v>
          </cell>
          <cell r="E489">
            <v>4080</v>
          </cell>
          <cell r="F489">
            <v>4</v>
          </cell>
          <cell r="G489">
            <v>3343.88</v>
          </cell>
          <cell r="H489">
            <v>208.849999999999</v>
          </cell>
          <cell r="I489">
            <v>158.91999999999899</v>
          </cell>
          <cell r="J489">
            <v>0</v>
          </cell>
          <cell r="K489">
            <v>0</v>
          </cell>
          <cell r="L489">
            <v>158.91999999999899</v>
          </cell>
          <cell r="M489">
            <v>3711.65</v>
          </cell>
          <cell r="N489">
            <v>368.35</v>
          </cell>
          <cell r="O489">
            <v>0</v>
          </cell>
          <cell r="P489">
            <v>3711.65</v>
          </cell>
          <cell r="Q489">
            <v>368.35</v>
          </cell>
          <cell r="R489">
            <v>50.39</v>
          </cell>
          <cell r="S489">
            <v>3762.04</v>
          </cell>
          <cell r="T489">
            <v>317.95999999999901</v>
          </cell>
        </row>
        <row r="490">
          <cell r="A490" t="str">
            <v>PLN   Złoty</v>
          </cell>
          <cell r="B490" t="str">
            <v>1000/1402       NPK 8-24-24</v>
          </cell>
          <cell r="C490" t="str">
            <v>1000662    "AGRO-HANDLOWIEC" K</v>
          </cell>
          <cell r="D490" t="str">
            <v>KC Centra dystrybucji</v>
          </cell>
          <cell r="E490">
            <v>303287.82</v>
          </cell>
          <cell r="F490">
            <v>299</v>
          </cell>
          <cell r="G490">
            <v>231587.56</v>
          </cell>
          <cell r="H490">
            <v>15525.959999999901</v>
          </cell>
          <cell r="I490">
            <v>11878.879999999899</v>
          </cell>
          <cell r="J490">
            <v>0</v>
          </cell>
          <cell r="K490">
            <v>0</v>
          </cell>
          <cell r="L490">
            <v>11878.879999999899</v>
          </cell>
          <cell r="M490">
            <v>258992.399999999</v>
          </cell>
          <cell r="N490">
            <v>44295.419999999896</v>
          </cell>
          <cell r="O490">
            <v>0</v>
          </cell>
          <cell r="P490">
            <v>258992.399999999</v>
          </cell>
          <cell r="Q490">
            <v>44295.419999999896</v>
          </cell>
          <cell r="R490">
            <v>3489.23</v>
          </cell>
          <cell r="S490">
            <v>262481.63</v>
          </cell>
          <cell r="T490">
            <v>40806.19</v>
          </cell>
        </row>
        <row r="491">
          <cell r="A491" t="str">
            <v>PLN   Złoty</v>
          </cell>
          <cell r="B491" t="str">
            <v>1000/1402       NPK 8-24-24</v>
          </cell>
          <cell r="C491" t="str">
            <v>1000675    Zaopatrz.Roln. Andrz</v>
          </cell>
          <cell r="D491" t="str">
            <v>KC Centra dystrybucji</v>
          </cell>
          <cell r="E491">
            <v>136229.67000000001</v>
          </cell>
          <cell r="F491">
            <v>134.5</v>
          </cell>
          <cell r="G491">
            <v>107743.66</v>
          </cell>
          <cell r="H491">
            <v>6973.8699999999899</v>
          </cell>
          <cell r="I491">
            <v>5343.5</v>
          </cell>
          <cell r="J491">
            <v>0</v>
          </cell>
          <cell r="K491">
            <v>0</v>
          </cell>
          <cell r="L491">
            <v>5343.5</v>
          </cell>
          <cell r="M491">
            <v>120061.03</v>
          </cell>
          <cell r="N491">
            <v>16168.639999999899</v>
          </cell>
          <cell r="O491">
            <v>0</v>
          </cell>
          <cell r="P491">
            <v>120061.03</v>
          </cell>
          <cell r="Q491">
            <v>16168.639999999899</v>
          </cell>
          <cell r="R491">
            <v>1623.3099999999899</v>
          </cell>
          <cell r="S491">
            <v>121684.34</v>
          </cell>
          <cell r="T491">
            <v>14545.33</v>
          </cell>
        </row>
        <row r="492">
          <cell r="A492" t="str">
            <v>PLN   Złoty</v>
          </cell>
          <cell r="B492" t="str">
            <v>1000/1402       NPK 8-24-24</v>
          </cell>
          <cell r="C492" t="str">
            <v>1001024    TALAGA</v>
          </cell>
          <cell r="D492" t="str">
            <v>KC Centra dystrybucji</v>
          </cell>
          <cell r="E492">
            <v>18231.48</v>
          </cell>
          <cell r="F492">
            <v>18</v>
          </cell>
          <cell r="G492">
            <v>14419.23</v>
          </cell>
          <cell r="H492">
            <v>933.28999999999905</v>
          </cell>
          <cell r="I492">
            <v>715.11</v>
          </cell>
          <cell r="J492">
            <v>0</v>
          </cell>
          <cell r="K492">
            <v>0</v>
          </cell>
          <cell r="L492">
            <v>715.11</v>
          </cell>
          <cell r="M492">
            <v>16067.629999999899</v>
          </cell>
          <cell r="N492">
            <v>2163.8499999999899</v>
          </cell>
          <cell r="O492">
            <v>0</v>
          </cell>
          <cell r="P492">
            <v>16067.629999999899</v>
          </cell>
          <cell r="Q492">
            <v>2163.8499999999899</v>
          </cell>
          <cell r="R492">
            <v>217.259999999999</v>
          </cell>
          <cell r="S492">
            <v>16284.889999999899</v>
          </cell>
          <cell r="T492">
            <v>1946.5899999999899</v>
          </cell>
        </row>
        <row r="493">
          <cell r="A493" t="str">
            <v>PLN   Złoty</v>
          </cell>
          <cell r="B493" t="str">
            <v>1000/1402       NPK 8-24-24</v>
          </cell>
          <cell r="C493" t="str">
            <v>1001522    AGRO-BIT</v>
          </cell>
          <cell r="D493" t="str">
            <v>KC Centra dystrybucji</v>
          </cell>
          <cell r="E493">
            <v>32640</v>
          </cell>
          <cell r="F493">
            <v>32</v>
          </cell>
          <cell r="G493">
            <v>23368.29</v>
          </cell>
          <cell r="H493">
            <v>1670.91</v>
          </cell>
          <cell r="I493">
            <v>1271.3199999999899</v>
          </cell>
          <cell r="J493">
            <v>0</v>
          </cell>
          <cell r="K493">
            <v>0</v>
          </cell>
          <cell r="L493">
            <v>1271.3199999999899</v>
          </cell>
          <cell r="M493">
            <v>26310.52</v>
          </cell>
          <cell r="N493">
            <v>6329.4799999999896</v>
          </cell>
          <cell r="O493">
            <v>0</v>
          </cell>
          <cell r="P493">
            <v>26310.52</v>
          </cell>
          <cell r="Q493">
            <v>6329.4799999999896</v>
          </cell>
          <cell r="R493">
            <v>352.12</v>
          </cell>
          <cell r="S493">
            <v>26662.639999999901</v>
          </cell>
          <cell r="T493">
            <v>5977.3599999999897</v>
          </cell>
        </row>
        <row r="494">
          <cell r="A494" t="str">
            <v>PLN   Złoty</v>
          </cell>
          <cell r="B494" t="str">
            <v>1000/1402       NPK 8-24-24</v>
          </cell>
          <cell r="C494" t="str">
            <v>1001649    CDN</v>
          </cell>
          <cell r="D494" t="str">
            <v>KC Centra dystrybucji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213959.92</v>
          </cell>
          <cell r="K494">
            <v>0</v>
          </cell>
          <cell r="L494">
            <v>213959.92</v>
          </cell>
          <cell r="M494">
            <v>213959.92</v>
          </cell>
          <cell r="N494">
            <v>-213959.92</v>
          </cell>
          <cell r="O494">
            <v>0</v>
          </cell>
          <cell r="P494">
            <v>213959.92</v>
          </cell>
          <cell r="Q494">
            <v>-213959.92</v>
          </cell>
          <cell r="R494">
            <v>0</v>
          </cell>
          <cell r="S494">
            <v>213959.92</v>
          </cell>
          <cell r="T494">
            <v>-213959.92</v>
          </cell>
        </row>
        <row r="495">
          <cell r="A495" t="str">
            <v>PLN   Złoty</v>
          </cell>
          <cell r="B495" t="str">
            <v>1000/1402       NPK 8-24-24</v>
          </cell>
          <cell r="C495" t="str">
            <v>1001662    AMPOL-MEROL Sp. z o.</v>
          </cell>
          <cell r="D495" t="str">
            <v>KC Centra dystrybucji</v>
          </cell>
          <cell r="E495">
            <v>612000</v>
          </cell>
          <cell r="F495">
            <v>600</v>
          </cell>
          <cell r="G495">
            <v>497970.45</v>
          </cell>
          <cell r="H495">
            <v>31329.58</v>
          </cell>
          <cell r="I495">
            <v>23837.1899999999</v>
          </cell>
          <cell r="J495">
            <v>0</v>
          </cell>
          <cell r="K495">
            <v>0</v>
          </cell>
          <cell r="L495">
            <v>23837.1899999999</v>
          </cell>
          <cell r="M495">
            <v>553137.21999999904</v>
          </cell>
          <cell r="N495">
            <v>58862.779999999897</v>
          </cell>
          <cell r="O495">
            <v>0</v>
          </cell>
          <cell r="P495">
            <v>553137.21999999904</v>
          </cell>
          <cell r="Q495">
            <v>58862.779999999897</v>
          </cell>
          <cell r="R495">
            <v>7502.75</v>
          </cell>
          <cell r="S495">
            <v>560639.96999999904</v>
          </cell>
          <cell r="T495">
            <v>51360.029999999897</v>
          </cell>
        </row>
        <row r="496">
          <cell r="A496" t="str">
            <v>PLN   Złoty</v>
          </cell>
          <cell r="B496" t="str">
            <v>1000/1402       NPK 8-24-24</v>
          </cell>
          <cell r="C496" t="str">
            <v>1001701    INTRAT-BRZ</v>
          </cell>
          <cell r="D496" t="str">
            <v>KC Centra dystrybucji</v>
          </cell>
          <cell r="E496">
            <v>37475.82</v>
          </cell>
          <cell r="F496">
            <v>37</v>
          </cell>
          <cell r="G496">
            <v>31336.22</v>
          </cell>
          <cell r="H496">
            <v>1918.45</v>
          </cell>
          <cell r="I496">
            <v>1469.97</v>
          </cell>
          <cell r="J496">
            <v>0</v>
          </cell>
          <cell r="K496">
            <v>0</v>
          </cell>
          <cell r="L496">
            <v>1469.97</v>
          </cell>
          <cell r="M496">
            <v>34724.639999999898</v>
          </cell>
          <cell r="N496">
            <v>2751.1799999999898</v>
          </cell>
          <cell r="O496">
            <v>0</v>
          </cell>
          <cell r="P496">
            <v>34724.639999999898</v>
          </cell>
          <cell r="Q496">
            <v>2751.1799999999898</v>
          </cell>
          <cell r="R496">
            <v>472.16</v>
          </cell>
          <cell r="S496">
            <v>35196.800000000003</v>
          </cell>
          <cell r="T496">
            <v>2279.02</v>
          </cell>
        </row>
        <row r="497">
          <cell r="A497" t="str">
            <v>PLN   Złoty</v>
          </cell>
          <cell r="B497" t="str">
            <v>1000/1402       NPK 8-24-24</v>
          </cell>
          <cell r="C497" t="str">
            <v>1001705    AGROSTART</v>
          </cell>
          <cell r="D497" t="str">
            <v>KC Centra dystrybucji</v>
          </cell>
          <cell r="E497">
            <v>25500</v>
          </cell>
          <cell r="F497">
            <v>25</v>
          </cell>
          <cell r="G497">
            <v>20026.7</v>
          </cell>
          <cell r="H497">
            <v>1305.3900000000001</v>
          </cell>
          <cell r="I497">
            <v>993.22</v>
          </cell>
          <cell r="J497">
            <v>0</v>
          </cell>
          <cell r="K497">
            <v>0</v>
          </cell>
          <cell r="L497">
            <v>993.22</v>
          </cell>
          <cell r="M497">
            <v>22325.31</v>
          </cell>
          <cell r="N497">
            <v>3174.69</v>
          </cell>
          <cell r="O497">
            <v>0</v>
          </cell>
          <cell r="P497">
            <v>22325.31</v>
          </cell>
          <cell r="Q497">
            <v>3174.69</v>
          </cell>
          <cell r="R497">
            <v>301.75</v>
          </cell>
          <cell r="S497">
            <v>22627.06</v>
          </cell>
          <cell r="T497">
            <v>2872.94</v>
          </cell>
        </row>
        <row r="498">
          <cell r="A498" t="str">
            <v>PLN   Złoty</v>
          </cell>
          <cell r="B498" t="str">
            <v>1000/1402       NPK 8-24-24</v>
          </cell>
          <cell r="C498" t="str">
            <v>1001983    FAZOT</v>
          </cell>
          <cell r="D498" t="str">
            <v>KC Centra dystrybucji</v>
          </cell>
          <cell r="E498">
            <v>26520</v>
          </cell>
          <cell r="F498">
            <v>26</v>
          </cell>
          <cell r="G498">
            <v>21735.24</v>
          </cell>
          <cell r="H498">
            <v>1357.5799999999899</v>
          </cell>
          <cell r="I498">
            <v>1032.95</v>
          </cell>
          <cell r="J498">
            <v>0</v>
          </cell>
          <cell r="K498">
            <v>0</v>
          </cell>
          <cell r="L498">
            <v>1032.95</v>
          </cell>
          <cell r="M498">
            <v>24125.77</v>
          </cell>
          <cell r="N498">
            <v>2394.23</v>
          </cell>
          <cell r="O498">
            <v>0</v>
          </cell>
          <cell r="P498">
            <v>24125.77</v>
          </cell>
          <cell r="Q498">
            <v>2394.23</v>
          </cell>
          <cell r="R498">
            <v>327.47000000000003</v>
          </cell>
          <cell r="S498">
            <v>24453.24</v>
          </cell>
          <cell r="T498">
            <v>2066.7600000000002</v>
          </cell>
        </row>
        <row r="499">
          <cell r="A499" t="str">
            <v>PLN   Złoty</v>
          </cell>
          <cell r="B499" t="str">
            <v>1000/1402       NPK 8-24-24</v>
          </cell>
          <cell r="C499" t="str">
            <v>1001991    WAMEX</v>
          </cell>
          <cell r="D499" t="str">
            <v>KC Centra dystrybucji</v>
          </cell>
          <cell r="E499">
            <v>24141.84</v>
          </cell>
          <cell r="F499">
            <v>24</v>
          </cell>
          <cell r="G499">
            <v>18601.810000000001</v>
          </cell>
          <cell r="H499">
            <v>1235.8699999999899</v>
          </cell>
          <cell r="I499">
            <v>953.49</v>
          </cell>
          <cell r="J499">
            <v>0</v>
          </cell>
          <cell r="K499">
            <v>0</v>
          </cell>
          <cell r="L499">
            <v>953.49</v>
          </cell>
          <cell r="M499">
            <v>20791.1699999999</v>
          </cell>
          <cell r="N499">
            <v>3350.67</v>
          </cell>
          <cell r="O499">
            <v>0</v>
          </cell>
          <cell r="P499">
            <v>20791.1699999999</v>
          </cell>
          <cell r="Q499">
            <v>3350.67</v>
          </cell>
          <cell r="R499">
            <v>280.25</v>
          </cell>
          <cell r="S499">
            <v>21071.4199999999</v>
          </cell>
          <cell r="T499">
            <v>3070.42</v>
          </cell>
        </row>
        <row r="500">
          <cell r="A500" t="str">
            <v>PLN   Złoty</v>
          </cell>
          <cell r="B500" t="str">
            <v>1000/1402       NPK 8-24-24</v>
          </cell>
          <cell r="C500" t="str">
            <v>1001994    SKR-STRZELCE</v>
          </cell>
          <cell r="D500" t="str">
            <v>KC Centra dystrybucji</v>
          </cell>
          <cell r="E500">
            <v>24141.84</v>
          </cell>
          <cell r="F500">
            <v>24</v>
          </cell>
          <cell r="G500">
            <v>18601.79</v>
          </cell>
          <cell r="H500">
            <v>1235.8699999999899</v>
          </cell>
          <cell r="I500">
            <v>953.49</v>
          </cell>
          <cell r="J500">
            <v>0</v>
          </cell>
          <cell r="K500">
            <v>0</v>
          </cell>
          <cell r="L500">
            <v>953.49</v>
          </cell>
          <cell r="M500">
            <v>20791.150000000001</v>
          </cell>
          <cell r="N500">
            <v>3350.69</v>
          </cell>
          <cell r="O500">
            <v>0</v>
          </cell>
          <cell r="P500">
            <v>20791.150000000001</v>
          </cell>
          <cell r="Q500">
            <v>3350.69</v>
          </cell>
          <cell r="R500">
            <v>280.25</v>
          </cell>
          <cell r="S500">
            <v>21071.4</v>
          </cell>
          <cell r="T500">
            <v>3070.44</v>
          </cell>
        </row>
        <row r="501">
          <cell r="A501" t="str">
            <v>PLN   Złoty</v>
          </cell>
          <cell r="B501" t="str">
            <v>1000/1402       NPK 8-24-24</v>
          </cell>
          <cell r="C501" t="str">
            <v>1002004    AZOT</v>
          </cell>
          <cell r="D501" t="str">
            <v>KC Centra dystrybucji</v>
          </cell>
          <cell r="E501">
            <v>24308.639999999901</v>
          </cell>
          <cell r="F501">
            <v>24</v>
          </cell>
          <cell r="G501">
            <v>19225.639999999901</v>
          </cell>
          <cell r="H501">
            <v>1244.44</v>
          </cell>
          <cell r="I501">
            <v>953.49</v>
          </cell>
          <cell r="J501">
            <v>0</v>
          </cell>
          <cell r="K501">
            <v>0</v>
          </cell>
          <cell r="L501">
            <v>953.49</v>
          </cell>
          <cell r="M501">
            <v>21423.57</v>
          </cell>
          <cell r="N501">
            <v>2885.07</v>
          </cell>
          <cell r="O501">
            <v>0</v>
          </cell>
          <cell r="P501">
            <v>21423.57</v>
          </cell>
          <cell r="Q501">
            <v>2885.07</v>
          </cell>
          <cell r="R501">
            <v>289.68</v>
          </cell>
          <cell r="S501">
            <v>21713.25</v>
          </cell>
          <cell r="T501">
            <v>2595.3899999999899</v>
          </cell>
        </row>
        <row r="502">
          <cell r="A502" t="str">
            <v>PLN   Złoty</v>
          </cell>
          <cell r="B502" t="str">
            <v>1000/1402       NPK 8-24-24</v>
          </cell>
          <cell r="C502" t="str">
            <v>1002005    LAMCH-TOMI</v>
          </cell>
          <cell r="D502" t="str">
            <v>KC Centra dystrybucji</v>
          </cell>
          <cell r="E502">
            <v>25321.5</v>
          </cell>
          <cell r="F502">
            <v>25</v>
          </cell>
          <cell r="G502">
            <v>20026.7</v>
          </cell>
          <cell r="H502">
            <v>1296.26</v>
          </cell>
          <cell r="I502">
            <v>993.22</v>
          </cell>
          <cell r="J502">
            <v>0</v>
          </cell>
          <cell r="K502">
            <v>0</v>
          </cell>
          <cell r="L502">
            <v>993.22</v>
          </cell>
          <cell r="M502">
            <v>22316.18</v>
          </cell>
          <cell r="N502">
            <v>3005.32</v>
          </cell>
          <cell r="O502">
            <v>0</v>
          </cell>
          <cell r="P502">
            <v>22316.18</v>
          </cell>
          <cell r="Q502">
            <v>3005.32</v>
          </cell>
          <cell r="R502">
            <v>301.75</v>
          </cell>
          <cell r="S502">
            <v>22617.93</v>
          </cell>
          <cell r="T502">
            <v>2703.57</v>
          </cell>
        </row>
        <row r="503">
          <cell r="A503" t="str">
            <v>PLN   Złoty</v>
          </cell>
          <cell r="B503" t="str">
            <v>1000/1402       NPK 8-24-24</v>
          </cell>
          <cell r="C503" t="str">
            <v>1002009    AGROTECHNI</v>
          </cell>
          <cell r="D503" t="str">
            <v>KC Centra dystrybucji</v>
          </cell>
          <cell r="E503">
            <v>38581.5</v>
          </cell>
          <cell r="F503">
            <v>38</v>
          </cell>
          <cell r="G503">
            <v>27749.8499999999</v>
          </cell>
          <cell r="H503">
            <v>1975.0699999999899</v>
          </cell>
          <cell r="I503">
            <v>1509.69</v>
          </cell>
          <cell r="J503">
            <v>0</v>
          </cell>
          <cell r="K503">
            <v>0</v>
          </cell>
          <cell r="L503">
            <v>1509.69</v>
          </cell>
          <cell r="M503">
            <v>31234.61</v>
          </cell>
          <cell r="N503">
            <v>7346.89</v>
          </cell>
          <cell r="O503">
            <v>0</v>
          </cell>
          <cell r="P503">
            <v>31234.61</v>
          </cell>
          <cell r="Q503">
            <v>7346.89</v>
          </cell>
          <cell r="R503">
            <v>418.08999999999901</v>
          </cell>
          <cell r="S503">
            <v>31652.7</v>
          </cell>
          <cell r="T503">
            <v>6928.8</v>
          </cell>
        </row>
        <row r="504">
          <cell r="A504" t="str">
            <v>PLN   Złoty</v>
          </cell>
          <cell r="B504" t="str">
            <v>1000/1402       NPK 8-24-24</v>
          </cell>
          <cell r="C504" t="str">
            <v>1003056    LECHPOL SP. Z O.O.</v>
          </cell>
          <cell r="D504" t="str">
            <v>KC Centra dystrybucji</v>
          </cell>
          <cell r="E504">
            <v>165240</v>
          </cell>
          <cell r="F504">
            <v>162</v>
          </cell>
          <cell r="G504">
            <v>129505.46</v>
          </cell>
          <cell r="H504">
            <v>8458.95999999999</v>
          </cell>
          <cell r="I504">
            <v>6436.05</v>
          </cell>
          <cell r="J504">
            <v>0</v>
          </cell>
          <cell r="K504">
            <v>0</v>
          </cell>
          <cell r="L504">
            <v>6436.05</v>
          </cell>
          <cell r="M504">
            <v>144400.47</v>
          </cell>
          <cell r="N504">
            <v>20839.529999999901</v>
          </cell>
          <cell r="O504">
            <v>0</v>
          </cell>
          <cell r="P504">
            <v>144400.47</v>
          </cell>
          <cell r="Q504">
            <v>20839.529999999901</v>
          </cell>
          <cell r="R504">
            <v>1951.2</v>
          </cell>
          <cell r="S504">
            <v>146351.67000000001</v>
          </cell>
          <cell r="T504">
            <v>18888.330000000002</v>
          </cell>
        </row>
        <row r="505">
          <cell r="A505" t="str">
            <v>PLN   Złoty</v>
          </cell>
          <cell r="B505" t="str">
            <v>1000/1402       NPK 8-24-24</v>
          </cell>
          <cell r="C505" t="str">
            <v>1003315    ZAKŁAD OBROTU ROLNEG</v>
          </cell>
          <cell r="D505" t="str">
            <v>KC Centra dystrybucji</v>
          </cell>
          <cell r="E505">
            <v>93183.119999999893</v>
          </cell>
          <cell r="F505">
            <v>92</v>
          </cell>
          <cell r="G505">
            <v>67183.839999999895</v>
          </cell>
          <cell r="H505">
            <v>4770.22</v>
          </cell>
          <cell r="I505">
            <v>3655.03</v>
          </cell>
          <cell r="J505">
            <v>0</v>
          </cell>
          <cell r="K505">
            <v>0</v>
          </cell>
          <cell r="L505">
            <v>3655.03</v>
          </cell>
          <cell r="M505">
            <v>75609.089999999895</v>
          </cell>
          <cell r="N505">
            <v>17574.029999999901</v>
          </cell>
          <cell r="O505">
            <v>0</v>
          </cell>
          <cell r="P505">
            <v>75609.089999999895</v>
          </cell>
          <cell r="Q505">
            <v>17574.029999999901</v>
          </cell>
          <cell r="R505">
            <v>1012.22</v>
          </cell>
          <cell r="S505">
            <v>76621.309999999896</v>
          </cell>
          <cell r="T505">
            <v>16561.810000000001</v>
          </cell>
        </row>
        <row r="506">
          <cell r="A506" t="str">
            <v>PLN   Złoty</v>
          </cell>
          <cell r="B506" t="str">
            <v>1000/1402       NPK 8-24-24</v>
          </cell>
          <cell r="C506" t="str">
            <v>1003605    "AGROMUND"</v>
          </cell>
          <cell r="D506" t="str">
            <v>KC Centra dystrybucji</v>
          </cell>
          <cell r="E506">
            <v>51000</v>
          </cell>
          <cell r="F506">
            <v>50</v>
          </cell>
          <cell r="G506">
            <v>40053.4</v>
          </cell>
          <cell r="H506">
            <v>2610.7600000000002</v>
          </cell>
          <cell r="I506">
            <v>1986.44</v>
          </cell>
          <cell r="J506">
            <v>0</v>
          </cell>
          <cell r="K506">
            <v>0</v>
          </cell>
          <cell r="L506">
            <v>1986.44</v>
          </cell>
          <cell r="M506">
            <v>44650.599999999897</v>
          </cell>
          <cell r="N506">
            <v>6349.3999999999896</v>
          </cell>
          <cell r="O506">
            <v>0</v>
          </cell>
          <cell r="P506">
            <v>44650.599999999897</v>
          </cell>
          <cell r="Q506">
            <v>6349.3999999999896</v>
          </cell>
          <cell r="R506">
            <v>603.46</v>
          </cell>
          <cell r="S506">
            <v>45254.059999999903</v>
          </cell>
          <cell r="T506">
            <v>5745.9399999999896</v>
          </cell>
        </row>
        <row r="507">
          <cell r="A507" t="str">
            <v>PLN   Złoty</v>
          </cell>
          <cell r="B507" t="str">
            <v>1000/1402       NPK 8-24-24</v>
          </cell>
          <cell r="C507" t="str">
            <v>1003857    EDMAR</v>
          </cell>
          <cell r="D507" t="str">
            <v>KC Centra dystrybucji</v>
          </cell>
          <cell r="E507">
            <v>75308.639999999898</v>
          </cell>
          <cell r="F507">
            <v>74</v>
          </cell>
          <cell r="G507">
            <v>60186.51</v>
          </cell>
          <cell r="H507">
            <v>3855.17</v>
          </cell>
          <cell r="I507">
            <v>2939.92</v>
          </cell>
          <cell r="J507">
            <v>0</v>
          </cell>
          <cell r="K507">
            <v>0</v>
          </cell>
          <cell r="L507">
            <v>2939.92</v>
          </cell>
          <cell r="M507">
            <v>66981.600000000006</v>
          </cell>
          <cell r="N507">
            <v>8327.0400000000009</v>
          </cell>
          <cell r="O507">
            <v>0</v>
          </cell>
          <cell r="P507">
            <v>66981.600000000006</v>
          </cell>
          <cell r="Q507">
            <v>8327.0400000000009</v>
          </cell>
          <cell r="R507">
            <v>906.79999999999905</v>
          </cell>
          <cell r="S507">
            <v>67888.399999999907</v>
          </cell>
          <cell r="T507">
            <v>7420.2399999999898</v>
          </cell>
        </row>
        <row r="508">
          <cell r="A508" t="str">
            <v>PLN   Złoty</v>
          </cell>
          <cell r="B508" t="str">
            <v>1000/1402       NPK 8-24-24</v>
          </cell>
          <cell r="C508" t="str">
            <v>1004168    "OSADKOWSKI" SPÓŁKA</v>
          </cell>
          <cell r="D508" t="str">
            <v>KC Centra dystrybucji</v>
          </cell>
          <cell r="E508">
            <v>13224.299999999899</v>
          </cell>
          <cell r="F508">
            <v>13</v>
          </cell>
          <cell r="G508">
            <v>10059.85</v>
          </cell>
          <cell r="H508">
            <v>677.01999999999896</v>
          </cell>
          <cell r="I508">
            <v>516.47</v>
          </cell>
          <cell r="J508">
            <v>0</v>
          </cell>
          <cell r="K508">
            <v>0</v>
          </cell>
          <cell r="L508">
            <v>516.47</v>
          </cell>
          <cell r="M508">
            <v>11253.34</v>
          </cell>
          <cell r="N508">
            <v>1970.96</v>
          </cell>
          <cell r="O508">
            <v>0</v>
          </cell>
          <cell r="P508">
            <v>11253.34</v>
          </cell>
          <cell r="Q508">
            <v>1970.96</v>
          </cell>
          <cell r="R508">
            <v>151.56</v>
          </cell>
          <cell r="S508">
            <v>11404.9</v>
          </cell>
          <cell r="T508">
            <v>1819.4</v>
          </cell>
        </row>
        <row r="509">
          <cell r="A509" t="str">
            <v>PLN   Złoty</v>
          </cell>
          <cell r="B509" t="str">
            <v>1000/1402       NPK 8-24-24</v>
          </cell>
          <cell r="C509" t="str">
            <v>1004208    Morawski-Sprzed.Art.</v>
          </cell>
          <cell r="D509" t="str">
            <v>KC Centra dystrybucji</v>
          </cell>
          <cell r="E509">
            <v>25392</v>
          </cell>
          <cell r="F509">
            <v>24</v>
          </cell>
          <cell r="G509">
            <v>18601.799999999901</v>
          </cell>
          <cell r="H509">
            <v>1299.8599999999899</v>
          </cell>
          <cell r="I509">
            <v>953.49</v>
          </cell>
          <cell r="J509">
            <v>1567.68</v>
          </cell>
          <cell r="K509">
            <v>0</v>
          </cell>
          <cell r="L509">
            <v>2521.17</v>
          </cell>
          <cell r="M509">
            <v>22422.83</v>
          </cell>
          <cell r="N509">
            <v>2969.17</v>
          </cell>
          <cell r="O509">
            <v>0</v>
          </cell>
          <cell r="P509">
            <v>22422.83</v>
          </cell>
          <cell r="Q509">
            <v>2969.17</v>
          </cell>
          <cell r="R509">
            <v>280.25</v>
          </cell>
          <cell r="S509">
            <v>22703.08</v>
          </cell>
          <cell r="T509">
            <v>2688.92</v>
          </cell>
        </row>
        <row r="510">
          <cell r="A510" t="str">
            <v>PLN   Złoty</v>
          </cell>
          <cell r="B510" t="str">
            <v>1000/1409       NPK 4-12-32</v>
          </cell>
          <cell r="C510" t="str">
            <v>1000080    CN-KIELCE</v>
          </cell>
          <cell r="D510" t="str">
            <v>KC Centra dystrybucji</v>
          </cell>
          <cell r="E510">
            <v>30600</v>
          </cell>
          <cell r="F510">
            <v>36</v>
          </cell>
          <cell r="G510">
            <v>25054.0999999999</v>
          </cell>
          <cell r="H510">
            <v>1566.48</v>
          </cell>
          <cell r="I510">
            <v>972.36</v>
          </cell>
          <cell r="J510">
            <v>0</v>
          </cell>
          <cell r="K510">
            <v>0</v>
          </cell>
          <cell r="L510">
            <v>972.36</v>
          </cell>
          <cell r="M510">
            <v>27592.9399999999</v>
          </cell>
          <cell r="N510">
            <v>3007.0599999999899</v>
          </cell>
          <cell r="O510">
            <v>0</v>
          </cell>
          <cell r="P510">
            <v>27592.9399999999</v>
          </cell>
          <cell r="Q510">
            <v>3007.0599999999899</v>
          </cell>
          <cell r="R510">
            <v>377.49</v>
          </cell>
          <cell r="S510">
            <v>27970.43</v>
          </cell>
          <cell r="T510">
            <v>2629.57</v>
          </cell>
        </row>
        <row r="511">
          <cell r="A511" t="str">
            <v>PLN   Złoty</v>
          </cell>
          <cell r="B511" t="str">
            <v>1000/1409       NPK 4-12-32</v>
          </cell>
          <cell r="C511" t="str">
            <v>1000222    ROLPOL</v>
          </cell>
          <cell r="D511" t="str">
            <v>KC Centra dystrybucji</v>
          </cell>
          <cell r="E511">
            <v>54788.75</v>
          </cell>
          <cell r="F511">
            <v>65</v>
          </cell>
          <cell r="G511">
            <v>40579.32</v>
          </cell>
          <cell r="H511">
            <v>2804.7199999999898</v>
          </cell>
          <cell r="I511">
            <v>1755.67</v>
          </cell>
          <cell r="J511">
            <v>0</v>
          </cell>
          <cell r="K511">
            <v>0</v>
          </cell>
          <cell r="L511">
            <v>1755.67</v>
          </cell>
          <cell r="M511">
            <v>45139.709999999897</v>
          </cell>
          <cell r="N511">
            <v>9649.0400000000009</v>
          </cell>
          <cell r="O511">
            <v>0</v>
          </cell>
          <cell r="P511">
            <v>45139.709999999897</v>
          </cell>
          <cell r="Q511">
            <v>9649.0400000000009</v>
          </cell>
          <cell r="R511">
            <v>611.36</v>
          </cell>
          <cell r="S511">
            <v>45751.07</v>
          </cell>
          <cell r="T511">
            <v>9037.68</v>
          </cell>
        </row>
        <row r="512">
          <cell r="A512" t="str">
            <v>PLN   Złoty</v>
          </cell>
          <cell r="B512" t="str">
            <v>1000/1409       NPK 4-12-32</v>
          </cell>
          <cell r="C512" t="str">
            <v>1000235    SPÓŁDZIELNIA PRACY "</v>
          </cell>
          <cell r="D512" t="str">
            <v>KC Centra dystrybucji</v>
          </cell>
          <cell r="E512">
            <v>10128.6</v>
          </cell>
          <cell r="F512">
            <v>12</v>
          </cell>
          <cell r="G512">
            <v>8351.3700000000008</v>
          </cell>
          <cell r="H512">
            <v>518.49</v>
          </cell>
          <cell r="I512">
            <v>324.12</v>
          </cell>
          <cell r="J512">
            <v>0</v>
          </cell>
          <cell r="K512">
            <v>0</v>
          </cell>
          <cell r="L512">
            <v>324.12</v>
          </cell>
          <cell r="M512">
            <v>9193.9799999999905</v>
          </cell>
          <cell r="N512">
            <v>934.62</v>
          </cell>
          <cell r="O512">
            <v>0</v>
          </cell>
          <cell r="P512">
            <v>9193.9799999999905</v>
          </cell>
          <cell r="Q512">
            <v>934.62</v>
          </cell>
          <cell r="R512">
            <v>125.819999999999</v>
          </cell>
          <cell r="S512">
            <v>9319.7999999999902</v>
          </cell>
          <cell r="T512">
            <v>808.79999999999905</v>
          </cell>
        </row>
        <row r="513">
          <cell r="A513" t="str">
            <v>PLN   Złoty</v>
          </cell>
          <cell r="B513" t="str">
            <v>1000/1409       NPK 4-12-32</v>
          </cell>
          <cell r="C513" t="str">
            <v>1000252    AGROSKŁAD</v>
          </cell>
          <cell r="D513" t="str">
            <v>KC Centra dystrybucji</v>
          </cell>
          <cell r="E513">
            <v>58239.449999999903</v>
          </cell>
          <cell r="F513">
            <v>69</v>
          </cell>
          <cell r="G513">
            <v>44294.57</v>
          </cell>
          <cell r="H513">
            <v>2981.4699999999898</v>
          </cell>
          <cell r="I513">
            <v>1863.71</v>
          </cell>
          <cell r="J513">
            <v>0</v>
          </cell>
          <cell r="K513">
            <v>0</v>
          </cell>
          <cell r="L513">
            <v>1863.71</v>
          </cell>
          <cell r="M513">
            <v>49139.75</v>
          </cell>
          <cell r="N513">
            <v>9099.7000000000007</v>
          </cell>
          <cell r="O513">
            <v>0</v>
          </cell>
          <cell r="P513">
            <v>49139.75</v>
          </cell>
          <cell r="Q513">
            <v>9099.7000000000007</v>
          </cell>
          <cell r="R513">
            <v>667.36</v>
          </cell>
          <cell r="S513">
            <v>49807.11</v>
          </cell>
          <cell r="T513">
            <v>8432.34</v>
          </cell>
        </row>
        <row r="514">
          <cell r="A514" t="str">
            <v>PLN   Złoty</v>
          </cell>
          <cell r="B514" t="str">
            <v>1000/1409       NPK 4-12-32</v>
          </cell>
          <cell r="C514" t="str">
            <v>1000263    PRO-AGRO</v>
          </cell>
          <cell r="D514" t="str">
            <v>KC Centra dystrybucji</v>
          </cell>
          <cell r="E514">
            <v>20257.2</v>
          </cell>
          <cell r="F514">
            <v>24</v>
          </cell>
          <cell r="G514">
            <v>14839.84</v>
          </cell>
          <cell r="H514">
            <v>1036.96</v>
          </cell>
          <cell r="I514">
            <v>648.25999999999897</v>
          </cell>
          <cell r="J514">
            <v>0</v>
          </cell>
          <cell r="K514">
            <v>0</v>
          </cell>
          <cell r="L514">
            <v>648.25999999999897</v>
          </cell>
          <cell r="M514">
            <v>16525.060000000001</v>
          </cell>
          <cell r="N514">
            <v>3732.1399999999899</v>
          </cell>
          <cell r="O514">
            <v>0</v>
          </cell>
          <cell r="P514">
            <v>16525.060000000001</v>
          </cell>
          <cell r="Q514">
            <v>3732.1399999999899</v>
          </cell>
          <cell r="R514">
            <v>223.61</v>
          </cell>
          <cell r="S514">
            <v>16748.6699999999</v>
          </cell>
          <cell r="T514">
            <v>3508.53</v>
          </cell>
        </row>
        <row r="515">
          <cell r="A515" t="str">
            <v>PLN   Złoty</v>
          </cell>
          <cell r="B515" t="str">
            <v>1000/1409       NPK 4-12-32</v>
          </cell>
          <cell r="C515" t="str">
            <v>1000289    PLON A.Dadrzyński</v>
          </cell>
          <cell r="D515" t="str">
            <v>KC Centra dystrybucji</v>
          </cell>
          <cell r="E515">
            <v>18700</v>
          </cell>
          <cell r="F515">
            <v>22</v>
          </cell>
          <cell r="G515">
            <v>15424.66</v>
          </cell>
          <cell r="H515">
            <v>957.25999999999897</v>
          </cell>
          <cell r="I515">
            <v>594.22</v>
          </cell>
          <cell r="J515">
            <v>0</v>
          </cell>
          <cell r="K515">
            <v>0</v>
          </cell>
          <cell r="L515">
            <v>594.22</v>
          </cell>
          <cell r="M515">
            <v>16976.139999999901</v>
          </cell>
          <cell r="N515">
            <v>1723.8599999999899</v>
          </cell>
          <cell r="O515">
            <v>0</v>
          </cell>
          <cell r="P515">
            <v>16976.139999999901</v>
          </cell>
          <cell r="Q515">
            <v>1723.8599999999899</v>
          </cell>
          <cell r="R515">
            <v>232.4</v>
          </cell>
          <cell r="S515">
            <v>17208.54</v>
          </cell>
          <cell r="T515">
            <v>1491.46</v>
          </cell>
        </row>
        <row r="516">
          <cell r="A516" t="str">
            <v>PLN   Złoty</v>
          </cell>
          <cell r="B516" t="str">
            <v>1000/1409       NPK 4-12-32</v>
          </cell>
          <cell r="C516" t="str">
            <v>1000383    ROLMOS</v>
          </cell>
          <cell r="D516" t="str">
            <v>KC Centra dystrybucji</v>
          </cell>
          <cell r="E516">
            <v>7650</v>
          </cell>
          <cell r="F516">
            <v>9</v>
          </cell>
          <cell r="G516">
            <v>5564.9399999999896</v>
          </cell>
          <cell r="H516">
            <v>391.6</v>
          </cell>
          <cell r="I516">
            <v>243.09</v>
          </cell>
          <cell r="J516">
            <v>0</v>
          </cell>
          <cell r="K516">
            <v>0</v>
          </cell>
          <cell r="L516">
            <v>243.09</v>
          </cell>
          <cell r="M516">
            <v>6199.63</v>
          </cell>
          <cell r="N516">
            <v>1450.3699999999899</v>
          </cell>
          <cell r="O516">
            <v>0</v>
          </cell>
          <cell r="P516">
            <v>6199.63</v>
          </cell>
          <cell r="Q516">
            <v>1450.3699999999899</v>
          </cell>
          <cell r="R516">
            <v>83.849999999999895</v>
          </cell>
          <cell r="S516">
            <v>6283.4799999999896</v>
          </cell>
          <cell r="T516">
            <v>1366.52</v>
          </cell>
        </row>
        <row r="517">
          <cell r="A517" t="str">
            <v>PLN   Złoty</v>
          </cell>
          <cell r="B517" t="str">
            <v>1000/1409       NPK 4-12-32</v>
          </cell>
          <cell r="C517" t="str">
            <v>1000403    SOBIANEK</v>
          </cell>
          <cell r="D517" t="str">
            <v>KC Centra dystrybucji</v>
          </cell>
          <cell r="E517">
            <v>6752.3999999999896</v>
          </cell>
          <cell r="F517">
            <v>8</v>
          </cell>
          <cell r="G517">
            <v>4946.6099999999897</v>
          </cell>
          <cell r="H517">
            <v>345.63</v>
          </cell>
          <cell r="I517">
            <v>216.08</v>
          </cell>
          <cell r="J517">
            <v>0</v>
          </cell>
          <cell r="K517">
            <v>0</v>
          </cell>
          <cell r="L517">
            <v>216.08</v>
          </cell>
          <cell r="M517">
            <v>5508.3199999999897</v>
          </cell>
          <cell r="N517">
            <v>1244.0799999999899</v>
          </cell>
          <cell r="O517">
            <v>0</v>
          </cell>
          <cell r="P517">
            <v>5508.3199999999897</v>
          </cell>
          <cell r="Q517">
            <v>1244.0799999999899</v>
          </cell>
          <cell r="R517">
            <v>74.540000000000006</v>
          </cell>
          <cell r="S517">
            <v>5582.8599999999897</v>
          </cell>
          <cell r="T517">
            <v>1169.54</v>
          </cell>
        </row>
        <row r="518">
          <cell r="A518" t="str">
            <v>PLN   Złoty</v>
          </cell>
          <cell r="B518" t="str">
            <v>1000/1409       NPK 4-12-32</v>
          </cell>
          <cell r="C518" t="str">
            <v>1000415    GÓRKA</v>
          </cell>
          <cell r="D518" t="str">
            <v>KC Centra dystrybucji</v>
          </cell>
          <cell r="E518">
            <v>13504.799999999899</v>
          </cell>
          <cell r="F518">
            <v>16</v>
          </cell>
          <cell r="G518">
            <v>9893.2299999999905</v>
          </cell>
          <cell r="H518">
            <v>691.34</v>
          </cell>
          <cell r="I518">
            <v>432.16</v>
          </cell>
          <cell r="J518">
            <v>0</v>
          </cell>
          <cell r="K518">
            <v>0</v>
          </cell>
          <cell r="L518">
            <v>432.16</v>
          </cell>
          <cell r="M518">
            <v>11016.73</v>
          </cell>
          <cell r="N518">
            <v>2488.0700000000002</v>
          </cell>
          <cell r="O518">
            <v>0</v>
          </cell>
          <cell r="P518">
            <v>11016.73</v>
          </cell>
          <cell r="Q518">
            <v>2488.0700000000002</v>
          </cell>
          <cell r="R518">
            <v>149.05000000000001</v>
          </cell>
          <cell r="S518">
            <v>11165.78</v>
          </cell>
          <cell r="T518">
            <v>2339.02</v>
          </cell>
        </row>
        <row r="519">
          <cell r="A519" t="str">
            <v>PLN   Złoty</v>
          </cell>
          <cell r="B519" t="str">
            <v>1000/1409       NPK 4-12-32</v>
          </cell>
          <cell r="C519" t="str">
            <v>1000524    "CHEMIROL" SP. Z O.O</v>
          </cell>
          <cell r="D519" t="str">
            <v>KC Centra dystrybucji</v>
          </cell>
          <cell r="E519">
            <v>20257.2</v>
          </cell>
          <cell r="F519">
            <v>24</v>
          </cell>
          <cell r="G519">
            <v>16620.13</v>
          </cell>
          <cell r="H519">
            <v>1036.96</v>
          </cell>
          <cell r="I519">
            <v>648.25999999999897</v>
          </cell>
          <cell r="J519">
            <v>0</v>
          </cell>
          <cell r="K519">
            <v>0</v>
          </cell>
          <cell r="L519">
            <v>648.25999999999897</v>
          </cell>
          <cell r="M519">
            <v>18305.3499999999</v>
          </cell>
          <cell r="N519">
            <v>1951.8499999999899</v>
          </cell>
          <cell r="O519">
            <v>0</v>
          </cell>
          <cell r="P519">
            <v>18305.3499999999</v>
          </cell>
          <cell r="Q519">
            <v>1951.8499999999899</v>
          </cell>
          <cell r="R519">
            <v>250.43</v>
          </cell>
          <cell r="S519">
            <v>18555.779999999901</v>
          </cell>
          <cell r="T519">
            <v>1701.42</v>
          </cell>
        </row>
        <row r="520">
          <cell r="A520" t="str">
            <v>PLN   Złoty</v>
          </cell>
          <cell r="B520" t="str">
            <v>1000/1409       NPK 4-12-32</v>
          </cell>
          <cell r="C520" t="str">
            <v>1000662    "AGRO-HANDLOWIEC" K</v>
          </cell>
          <cell r="D520" t="str">
            <v>KC Centra dystrybucji</v>
          </cell>
          <cell r="E520">
            <v>59273.9</v>
          </cell>
          <cell r="F520">
            <v>70</v>
          </cell>
          <cell r="G520">
            <v>45397.8</v>
          </cell>
          <cell r="H520">
            <v>3034.3099999999899</v>
          </cell>
          <cell r="I520">
            <v>1890.73</v>
          </cell>
          <cell r="J520">
            <v>0</v>
          </cell>
          <cell r="K520">
            <v>0</v>
          </cell>
          <cell r="L520">
            <v>1890.73</v>
          </cell>
          <cell r="M520">
            <v>50322.839999999902</v>
          </cell>
          <cell r="N520">
            <v>8951.0599999999904</v>
          </cell>
          <cell r="O520">
            <v>0</v>
          </cell>
          <cell r="P520">
            <v>50322.839999999902</v>
          </cell>
          <cell r="Q520">
            <v>8951.0599999999904</v>
          </cell>
          <cell r="R520">
            <v>684.00999999999897</v>
          </cell>
          <cell r="S520">
            <v>51006.849999999897</v>
          </cell>
          <cell r="T520">
            <v>8267.0499999999902</v>
          </cell>
        </row>
        <row r="521">
          <cell r="A521" t="str">
            <v>PLN   Złoty</v>
          </cell>
          <cell r="B521" t="str">
            <v>1000/1409       NPK 4-12-32</v>
          </cell>
          <cell r="C521" t="str">
            <v>1000675    Zaopatrz.Roln. Andrz</v>
          </cell>
          <cell r="D521" t="str">
            <v>KC Centra dystrybucji</v>
          </cell>
          <cell r="E521">
            <v>22100</v>
          </cell>
          <cell r="F521">
            <v>26</v>
          </cell>
          <cell r="G521">
            <v>18229.150000000001</v>
          </cell>
          <cell r="H521">
            <v>1131.3599999999899</v>
          </cell>
          <cell r="I521">
            <v>702.26999999999896</v>
          </cell>
          <cell r="J521">
            <v>0</v>
          </cell>
          <cell r="K521">
            <v>0</v>
          </cell>
          <cell r="L521">
            <v>702.26999999999896</v>
          </cell>
          <cell r="M521">
            <v>20062.779999999901</v>
          </cell>
          <cell r="N521">
            <v>2037.22</v>
          </cell>
          <cell r="O521">
            <v>0</v>
          </cell>
          <cell r="P521">
            <v>20062.779999999901</v>
          </cell>
          <cell r="Q521">
            <v>2037.22</v>
          </cell>
          <cell r="R521">
            <v>274.63999999999902</v>
          </cell>
          <cell r="S521">
            <v>20337.4199999999</v>
          </cell>
          <cell r="T521">
            <v>1762.5799999999899</v>
          </cell>
        </row>
        <row r="522">
          <cell r="A522" t="str">
            <v>PLN   Złoty</v>
          </cell>
          <cell r="B522" t="str">
            <v>1000/1409       NPK 4-12-32</v>
          </cell>
          <cell r="C522" t="str">
            <v>1001519    "ARGOL" LESZEK KALIS</v>
          </cell>
          <cell r="D522" t="str">
            <v>KC Centra dystrybucji</v>
          </cell>
          <cell r="E522">
            <v>10128.6</v>
          </cell>
          <cell r="F522">
            <v>12</v>
          </cell>
          <cell r="G522">
            <v>8351.3700000000008</v>
          </cell>
          <cell r="H522">
            <v>518.49</v>
          </cell>
          <cell r="I522">
            <v>324.12</v>
          </cell>
          <cell r="J522">
            <v>0</v>
          </cell>
          <cell r="K522">
            <v>0</v>
          </cell>
          <cell r="L522">
            <v>324.12</v>
          </cell>
          <cell r="M522">
            <v>9193.9799999999905</v>
          </cell>
          <cell r="N522">
            <v>934.62</v>
          </cell>
          <cell r="O522">
            <v>0</v>
          </cell>
          <cell r="P522">
            <v>9193.9799999999905</v>
          </cell>
          <cell r="Q522">
            <v>934.62</v>
          </cell>
          <cell r="R522">
            <v>125.819999999999</v>
          </cell>
          <cell r="S522">
            <v>9319.7999999999902</v>
          </cell>
          <cell r="T522">
            <v>808.79999999999905</v>
          </cell>
        </row>
        <row r="523">
          <cell r="A523" t="str">
            <v>PLN   Złoty</v>
          </cell>
          <cell r="B523" t="str">
            <v>1000/1409       NPK 4-12-32</v>
          </cell>
          <cell r="C523" t="str">
            <v>1001649    CDN</v>
          </cell>
          <cell r="D523" t="str">
            <v>KC Centra dystrybucji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93063.33</v>
          </cell>
          <cell r="K523">
            <v>0</v>
          </cell>
          <cell r="L523">
            <v>93063.33</v>
          </cell>
          <cell r="M523">
            <v>93063.33</v>
          </cell>
          <cell r="N523">
            <v>-93063.33</v>
          </cell>
          <cell r="O523">
            <v>0</v>
          </cell>
          <cell r="P523">
            <v>93063.33</v>
          </cell>
          <cell r="Q523">
            <v>-93063.33</v>
          </cell>
          <cell r="R523">
            <v>0</v>
          </cell>
          <cell r="S523">
            <v>93063.33</v>
          </cell>
          <cell r="T523">
            <v>-93063.33</v>
          </cell>
        </row>
        <row r="524">
          <cell r="A524" t="str">
            <v>PLN   Złoty</v>
          </cell>
          <cell r="B524" t="str">
            <v>1000/1409       NPK 4-12-32</v>
          </cell>
          <cell r="C524" t="str">
            <v>1001662    AMPOL-MEROL Sp. z o.</v>
          </cell>
          <cell r="D524" t="str">
            <v>KC Centra dystrybucji</v>
          </cell>
          <cell r="E524">
            <v>2189855</v>
          </cell>
          <cell r="F524">
            <v>2583.5</v>
          </cell>
          <cell r="G524">
            <v>1783504.96</v>
          </cell>
          <cell r="H524">
            <v>112103.24</v>
          </cell>
          <cell r="I524">
            <v>69781.229999999894</v>
          </cell>
          <cell r="J524">
            <v>0</v>
          </cell>
          <cell r="K524">
            <v>0</v>
          </cell>
          <cell r="L524">
            <v>69781.229999999894</v>
          </cell>
          <cell r="M524">
            <v>1965389.4299999899</v>
          </cell>
          <cell r="N524">
            <v>224465.57</v>
          </cell>
          <cell r="O524">
            <v>0</v>
          </cell>
          <cell r="P524">
            <v>1965389.4299999899</v>
          </cell>
          <cell r="Q524">
            <v>224465.57</v>
          </cell>
          <cell r="R524">
            <v>26871.34</v>
          </cell>
          <cell r="S524">
            <v>1992260.77</v>
          </cell>
          <cell r="T524">
            <v>197594.23</v>
          </cell>
        </row>
        <row r="525">
          <cell r="A525" t="str">
            <v>PLN   Złoty</v>
          </cell>
          <cell r="B525" t="str">
            <v>1000/1409       NPK 4-12-32</v>
          </cell>
          <cell r="C525" t="str">
            <v>1001988    ROLNIK-KOŚCIAN</v>
          </cell>
          <cell r="D525" t="str">
            <v>KC Centra dystrybucji</v>
          </cell>
          <cell r="E525">
            <v>20040</v>
          </cell>
          <cell r="F525">
            <v>24</v>
          </cell>
          <cell r="G525">
            <v>15018.129999999899</v>
          </cell>
          <cell r="H525">
            <v>1025.8399999999899</v>
          </cell>
          <cell r="I525">
            <v>648.25999999999897</v>
          </cell>
          <cell r="J525">
            <v>0</v>
          </cell>
          <cell r="K525">
            <v>0</v>
          </cell>
          <cell r="L525">
            <v>648.25999999999897</v>
          </cell>
          <cell r="M525">
            <v>16692.23</v>
          </cell>
          <cell r="N525">
            <v>3347.77</v>
          </cell>
          <cell r="O525">
            <v>0</v>
          </cell>
          <cell r="P525">
            <v>16692.23</v>
          </cell>
          <cell r="Q525">
            <v>3347.77</v>
          </cell>
          <cell r="R525">
            <v>226.27</v>
          </cell>
          <cell r="S525">
            <v>16918.5</v>
          </cell>
          <cell r="T525">
            <v>3121.5</v>
          </cell>
        </row>
        <row r="526">
          <cell r="A526" t="str">
            <v>PLN   Złoty</v>
          </cell>
          <cell r="B526" t="str">
            <v>1000/1409       NPK 4-12-32</v>
          </cell>
          <cell r="C526" t="str">
            <v>1001994    SKR-STRZELCE</v>
          </cell>
          <cell r="D526" t="str">
            <v>KC Centra dystrybucji</v>
          </cell>
          <cell r="E526">
            <v>54019.199999999903</v>
          </cell>
          <cell r="F526">
            <v>64</v>
          </cell>
          <cell r="G526">
            <v>43298.69</v>
          </cell>
          <cell r="H526">
            <v>2765.4</v>
          </cell>
          <cell r="I526">
            <v>1728.66</v>
          </cell>
          <cell r="J526">
            <v>0</v>
          </cell>
          <cell r="K526">
            <v>0</v>
          </cell>
          <cell r="L526">
            <v>1728.66</v>
          </cell>
          <cell r="M526">
            <v>47792.75</v>
          </cell>
          <cell r="N526">
            <v>6226.4499999999898</v>
          </cell>
          <cell r="O526">
            <v>0</v>
          </cell>
          <cell r="P526">
            <v>47792.75</v>
          </cell>
          <cell r="Q526">
            <v>6226.4499999999898</v>
          </cell>
          <cell r="R526">
            <v>652.35</v>
          </cell>
          <cell r="S526">
            <v>48445.099999999897</v>
          </cell>
          <cell r="T526">
            <v>5574.1</v>
          </cell>
        </row>
        <row r="527">
          <cell r="A527" t="str">
            <v>PLN   Złoty</v>
          </cell>
          <cell r="B527" t="str">
            <v>1000/1409       NPK 4-12-32</v>
          </cell>
          <cell r="C527" t="str">
            <v>1002004    AZOT</v>
          </cell>
          <cell r="D527" t="str">
            <v>KC Centra dystrybucji</v>
          </cell>
          <cell r="E527">
            <v>10128.6</v>
          </cell>
          <cell r="F527">
            <v>12</v>
          </cell>
          <cell r="G527">
            <v>8351.3700000000008</v>
          </cell>
          <cell r="H527">
            <v>518.49</v>
          </cell>
          <cell r="I527">
            <v>324.12</v>
          </cell>
          <cell r="J527">
            <v>0</v>
          </cell>
          <cell r="K527">
            <v>0</v>
          </cell>
          <cell r="L527">
            <v>324.12</v>
          </cell>
          <cell r="M527">
            <v>9193.9799999999905</v>
          </cell>
          <cell r="N527">
            <v>934.62</v>
          </cell>
          <cell r="O527">
            <v>0</v>
          </cell>
          <cell r="P527">
            <v>9193.9799999999905</v>
          </cell>
          <cell r="Q527">
            <v>934.62</v>
          </cell>
          <cell r="R527">
            <v>125.819999999999</v>
          </cell>
          <cell r="S527">
            <v>9319.7999999999902</v>
          </cell>
          <cell r="T527">
            <v>808.79999999999905</v>
          </cell>
        </row>
        <row r="528">
          <cell r="A528" t="str">
            <v>PLN   Złoty</v>
          </cell>
          <cell r="B528" t="str">
            <v>1000/1409       NPK 4-12-32</v>
          </cell>
          <cell r="C528" t="str">
            <v>1002058    GS-Gardeja</v>
          </cell>
          <cell r="D528" t="str">
            <v>KC Centra dystrybucji</v>
          </cell>
          <cell r="E528">
            <v>27009.5999999999</v>
          </cell>
          <cell r="F528">
            <v>32</v>
          </cell>
          <cell r="G528">
            <v>22435.869999999901</v>
          </cell>
          <cell r="H528">
            <v>1382.68</v>
          </cell>
          <cell r="I528">
            <v>864.33</v>
          </cell>
          <cell r="J528">
            <v>0</v>
          </cell>
          <cell r="K528">
            <v>0</v>
          </cell>
          <cell r="L528">
            <v>864.33</v>
          </cell>
          <cell r="M528">
            <v>24682.880000000001</v>
          </cell>
          <cell r="N528">
            <v>2326.7199999999898</v>
          </cell>
          <cell r="O528">
            <v>0</v>
          </cell>
          <cell r="P528">
            <v>24682.880000000001</v>
          </cell>
          <cell r="Q528">
            <v>2326.7199999999898</v>
          </cell>
          <cell r="R528">
            <v>338.06</v>
          </cell>
          <cell r="S528">
            <v>25020.9399999999</v>
          </cell>
          <cell r="T528">
            <v>1988.66</v>
          </cell>
        </row>
        <row r="529">
          <cell r="A529" t="str">
            <v>PLN   Złoty</v>
          </cell>
          <cell r="B529" t="str">
            <v>1000/1409       NPK 4-12-32</v>
          </cell>
          <cell r="C529" t="str">
            <v>1002912    "SOMIR" SP. Z O.O.</v>
          </cell>
          <cell r="D529" t="str">
            <v>KC Centra dystrybucji</v>
          </cell>
          <cell r="E529">
            <v>21101.25</v>
          </cell>
          <cell r="F529">
            <v>25</v>
          </cell>
          <cell r="G529">
            <v>17528.029999999901</v>
          </cell>
          <cell r="H529">
            <v>1080.24</v>
          </cell>
          <cell r="I529">
            <v>675.25999999999897</v>
          </cell>
          <cell r="J529">
            <v>0</v>
          </cell>
          <cell r="K529">
            <v>0</v>
          </cell>
          <cell r="L529">
            <v>675.25999999999897</v>
          </cell>
          <cell r="M529">
            <v>19283.529999999901</v>
          </cell>
          <cell r="N529">
            <v>1817.72</v>
          </cell>
          <cell r="O529">
            <v>0</v>
          </cell>
          <cell r="P529">
            <v>19283.529999999901</v>
          </cell>
          <cell r="Q529">
            <v>1817.72</v>
          </cell>
          <cell r="R529">
            <v>264.07999999999902</v>
          </cell>
          <cell r="S529">
            <v>19547.61</v>
          </cell>
          <cell r="T529">
            <v>1553.64</v>
          </cell>
        </row>
        <row r="530">
          <cell r="A530" t="str">
            <v>PLN   Złoty</v>
          </cell>
          <cell r="B530" t="str">
            <v>1000/1409       NPK 4-12-32</v>
          </cell>
          <cell r="C530" t="str">
            <v>1003056    LECHPOL SP. Z O.O.</v>
          </cell>
          <cell r="D530" t="str">
            <v>KC Centra dystrybucji</v>
          </cell>
          <cell r="E530">
            <v>40800</v>
          </cell>
          <cell r="F530">
            <v>48</v>
          </cell>
          <cell r="G530">
            <v>33405.459999999897</v>
          </cell>
          <cell r="H530">
            <v>2088.6599999999899</v>
          </cell>
          <cell r="I530">
            <v>1296.5</v>
          </cell>
          <cell r="J530">
            <v>0</v>
          </cell>
          <cell r="K530">
            <v>0</v>
          </cell>
          <cell r="L530">
            <v>1296.5</v>
          </cell>
          <cell r="M530">
            <v>36790.620000000003</v>
          </cell>
          <cell r="N530">
            <v>4009.38</v>
          </cell>
          <cell r="O530">
            <v>0</v>
          </cell>
          <cell r="P530">
            <v>36790.620000000003</v>
          </cell>
          <cell r="Q530">
            <v>4009.38</v>
          </cell>
          <cell r="R530">
            <v>503.3</v>
          </cell>
          <cell r="S530">
            <v>37293.919999999896</v>
          </cell>
          <cell r="T530">
            <v>3506.0799999999899</v>
          </cell>
        </row>
        <row r="531">
          <cell r="A531" t="str">
            <v>PLN   Złoty</v>
          </cell>
          <cell r="B531" t="str">
            <v>1000/1409       NPK 4-12-32</v>
          </cell>
          <cell r="C531" t="str">
            <v>1003315    ZAKŁAD OBROTU ROLNEG</v>
          </cell>
          <cell r="D531" t="str">
            <v>KC Centra dystrybucji</v>
          </cell>
          <cell r="E531">
            <v>6752.3999999999896</v>
          </cell>
          <cell r="F531">
            <v>8</v>
          </cell>
          <cell r="G531">
            <v>4946.6099999999897</v>
          </cell>
          <cell r="H531">
            <v>345.63</v>
          </cell>
          <cell r="I531">
            <v>216.08</v>
          </cell>
          <cell r="J531">
            <v>0</v>
          </cell>
          <cell r="K531">
            <v>0</v>
          </cell>
          <cell r="L531">
            <v>216.08</v>
          </cell>
          <cell r="M531">
            <v>5508.3199999999897</v>
          </cell>
          <cell r="N531">
            <v>1244.0799999999899</v>
          </cell>
          <cell r="O531">
            <v>0</v>
          </cell>
          <cell r="P531">
            <v>5508.3199999999897</v>
          </cell>
          <cell r="Q531">
            <v>1244.0799999999899</v>
          </cell>
          <cell r="R531">
            <v>74.540000000000006</v>
          </cell>
          <cell r="S531">
            <v>5582.8599999999897</v>
          </cell>
          <cell r="T531">
            <v>1169.54</v>
          </cell>
        </row>
        <row r="532">
          <cell r="A532" t="str">
            <v>PLN   Złoty</v>
          </cell>
          <cell r="B532" t="str">
            <v>1000/1409       NPK 4-12-32</v>
          </cell>
          <cell r="C532" t="str">
            <v>1004168    "OSADKOWSKI" SPÓŁKA</v>
          </cell>
          <cell r="D532" t="str">
            <v>KC Centra dystrybucji</v>
          </cell>
          <cell r="E532">
            <v>6752.3999999999896</v>
          </cell>
          <cell r="F532">
            <v>8</v>
          </cell>
          <cell r="G532">
            <v>4946.6099999999897</v>
          </cell>
          <cell r="H532">
            <v>345.63</v>
          </cell>
          <cell r="I532">
            <v>216.08</v>
          </cell>
          <cell r="J532">
            <v>0</v>
          </cell>
          <cell r="K532">
            <v>0</v>
          </cell>
          <cell r="L532">
            <v>216.08</v>
          </cell>
          <cell r="M532">
            <v>5508.3199999999897</v>
          </cell>
          <cell r="N532">
            <v>1244.0799999999899</v>
          </cell>
          <cell r="O532">
            <v>0</v>
          </cell>
          <cell r="P532">
            <v>5508.3199999999897</v>
          </cell>
          <cell r="Q532">
            <v>1244.0799999999899</v>
          </cell>
          <cell r="R532">
            <v>74.540000000000006</v>
          </cell>
          <cell r="S532">
            <v>5582.8599999999897</v>
          </cell>
          <cell r="T532">
            <v>1169.54</v>
          </cell>
        </row>
        <row r="533">
          <cell r="A533" t="str">
            <v>PLN   Złoty</v>
          </cell>
          <cell r="B533" t="str">
            <v>1000/1411       NPK MG 5-15-30-2</v>
          </cell>
          <cell r="C533" t="str">
            <v>1000204    FLORA Sp. z o.o. PRA</v>
          </cell>
          <cell r="D533" t="str">
            <v>KC Centra dystrybucji</v>
          </cell>
          <cell r="E533">
            <v>21720</v>
          </cell>
          <cell r="F533">
            <v>24</v>
          </cell>
          <cell r="G533">
            <v>16081.25</v>
          </cell>
          <cell r="H533">
            <v>1111.9000000000001</v>
          </cell>
          <cell r="I533">
            <v>584.13999999999896</v>
          </cell>
          <cell r="J533">
            <v>1138.0799999999899</v>
          </cell>
          <cell r="K533">
            <v>0</v>
          </cell>
          <cell r="L533">
            <v>1722.22</v>
          </cell>
          <cell r="M533">
            <v>18915.369999999901</v>
          </cell>
          <cell r="N533">
            <v>2804.63</v>
          </cell>
          <cell r="O533">
            <v>0</v>
          </cell>
          <cell r="P533">
            <v>18915.369999999901</v>
          </cell>
          <cell r="Q533">
            <v>2804.63</v>
          </cell>
          <cell r="R533">
            <v>242.31</v>
          </cell>
          <cell r="S533">
            <v>19157.68</v>
          </cell>
          <cell r="T533">
            <v>2562.3200000000002</v>
          </cell>
        </row>
        <row r="534">
          <cell r="A534" t="str">
            <v>PLN   Złoty</v>
          </cell>
          <cell r="B534" t="str">
            <v>1000/1411       NPK MG 5-15-30-2</v>
          </cell>
          <cell r="C534" t="str">
            <v>1000524    "CHEMIROL" SP. Z O.O</v>
          </cell>
          <cell r="D534" t="str">
            <v>KC Centra dystrybucji</v>
          </cell>
          <cell r="E534">
            <v>81982.080000000002</v>
          </cell>
          <cell r="F534">
            <v>96</v>
          </cell>
          <cell r="G534">
            <v>64325</v>
          </cell>
          <cell r="H534">
            <v>4196.8299999999899</v>
          </cell>
          <cell r="I534">
            <v>2336.5799999999899</v>
          </cell>
          <cell r="J534">
            <v>0</v>
          </cell>
          <cell r="K534">
            <v>0</v>
          </cell>
          <cell r="L534">
            <v>2336.5799999999899</v>
          </cell>
          <cell r="M534">
            <v>70858.41</v>
          </cell>
          <cell r="N534">
            <v>11123.67</v>
          </cell>
          <cell r="O534">
            <v>0</v>
          </cell>
          <cell r="P534">
            <v>70858.41</v>
          </cell>
          <cell r="Q534">
            <v>11123.67</v>
          </cell>
          <cell r="R534">
            <v>969.16999999999905</v>
          </cell>
          <cell r="S534">
            <v>71827.58</v>
          </cell>
          <cell r="T534">
            <v>10154.5</v>
          </cell>
        </row>
        <row r="535">
          <cell r="A535" t="str">
            <v>PLN   Złoty</v>
          </cell>
          <cell r="B535" t="str">
            <v>1000/1411       NPK MG 5-15-30-2</v>
          </cell>
          <cell r="C535" t="str">
            <v>1001994    SKR-STRZELCE</v>
          </cell>
          <cell r="D535" t="str">
            <v>KC Centra dystrybucji</v>
          </cell>
          <cell r="E535">
            <v>40991.040000000001</v>
          </cell>
          <cell r="F535">
            <v>48</v>
          </cell>
          <cell r="G535">
            <v>32162.5</v>
          </cell>
          <cell r="H535">
            <v>2098.46</v>
          </cell>
          <cell r="I535">
            <v>1168.29</v>
          </cell>
          <cell r="J535">
            <v>0</v>
          </cell>
          <cell r="K535">
            <v>0</v>
          </cell>
          <cell r="L535">
            <v>1168.29</v>
          </cell>
          <cell r="M535">
            <v>35429.25</v>
          </cell>
          <cell r="N535">
            <v>5561.79</v>
          </cell>
          <cell r="O535">
            <v>0</v>
          </cell>
          <cell r="P535">
            <v>35429.25</v>
          </cell>
          <cell r="Q535">
            <v>5561.79</v>
          </cell>
          <cell r="R535">
            <v>484.56999999999903</v>
          </cell>
          <cell r="S535">
            <v>35913.82</v>
          </cell>
          <cell r="T535">
            <v>5077.22</v>
          </cell>
        </row>
        <row r="536">
          <cell r="A536" t="str">
            <v>PLN   Złoty</v>
          </cell>
          <cell r="B536" t="str">
            <v>1000/1411       NPK MG 5-15-30-2</v>
          </cell>
          <cell r="C536" t="str">
            <v>1003056    LECHPOL SP. Z O.O.</v>
          </cell>
          <cell r="D536" t="str">
            <v>KC Centra dystrybucji</v>
          </cell>
          <cell r="E536">
            <v>20495.52</v>
          </cell>
          <cell r="F536">
            <v>24</v>
          </cell>
          <cell r="G536">
            <v>16081.25</v>
          </cell>
          <cell r="H536">
            <v>1049.17</v>
          </cell>
          <cell r="I536">
            <v>584.13999999999896</v>
          </cell>
          <cell r="J536">
            <v>0</v>
          </cell>
          <cell r="K536">
            <v>0</v>
          </cell>
          <cell r="L536">
            <v>584.13999999999896</v>
          </cell>
          <cell r="M536">
            <v>17714.560000000001</v>
          </cell>
          <cell r="N536">
            <v>2780.96</v>
          </cell>
          <cell r="O536">
            <v>0</v>
          </cell>
          <cell r="P536">
            <v>17714.560000000001</v>
          </cell>
          <cell r="Q536">
            <v>2780.96</v>
          </cell>
          <cell r="R536">
            <v>242.31</v>
          </cell>
          <cell r="S536">
            <v>17956.869999999901</v>
          </cell>
          <cell r="T536">
            <v>2538.65</v>
          </cell>
        </row>
        <row r="537">
          <cell r="A537" t="str">
            <v>PLN   Złoty</v>
          </cell>
          <cell r="B537" t="str">
            <v>1000/1411       NPK MG 5-15-30-2</v>
          </cell>
          <cell r="C537" t="str">
            <v>1004168    "OSADKOWSKI" SPÓŁKA</v>
          </cell>
          <cell r="D537" t="str">
            <v>KC Centra dystrybucji</v>
          </cell>
          <cell r="E537">
            <v>62786.879999999903</v>
          </cell>
          <cell r="F537">
            <v>72</v>
          </cell>
          <cell r="G537">
            <v>48243.75</v>
          </cell>
          <cell r="H537">
            <v>3214.1799999999898</v>
          </cell>
          <cell r="I537">
            <v>1752.43</v>
          </cell>
          <cell r="J537">
            <v>0</v>
          </cell>
          <cell r="K537">
            <v>0</v>
          </cell>
          <cell r="L537">
            <v>1752.43</v>
          </cell>
          <cell r="M537">
            <v>53210.36</v>
          </cell>
          <cell r="N537">
            <v>9576.52</v>
          </cell>
          <cell r="O537">
            <v>0</v>
          </cell>
          <cell r="P537">
            <v>53210.36</v>
          </cell>
          <cell r="Q537">
            <v>9576.52</v>
          </cell>
          <cell r="R537">
            <v>726.87</v>
          </cell>
          <cell r="S537">
            <v>53937.23</v>
          </cell>
          <cell r="T537">
            <v>8849.6499999999905</v>
          </cell>
        </row>
        <row r="538">
          <cell r="A538" t="str">
            <v>PLN   Złoty</v>
          </cell>
          <cell r="B538" t="str">
            <v>1000/1414       POLI.M 5-16-24-4</v>
          </cell>
          <cell r="C538" t="str">
            <v>1000080    CN-KIELCE</v>
          </cell>
          <cell r="D538" t="str">
            <v>KC Centra dystrybucji</v>
          </cell>
          <cell r="E538">
            <v>8550</v>
          </cell>
          <cell r="F538">
            <v>10</v>
          </cell>
          <cell r="G538">
            <v>6752.5699999999897</v>
          </cell>
          <cell r="H538">
            <v>437.66</v>
          </cell>
          <cell r="I538">
            <v>404.45999999999901</v>
          </cell>
          <cell r="J538">
            <v>0</v>
          </cell>
          <cell r="K538">
            <v>0</v>
          </cell>
          <cell r="L538">
            <v>404.45999999999901</v>
          </cell>
          <cell r="M538">
            <v>7594.6899999999896</v>
          </cell>
          <cell r="N538">
            <v>955.30999999999904</v>
          </cell>
          <cell r="O538">
            <v>0</v>
          </cell>
          <cell r="P538">
            <v>7594.6899999999896</v>
          </cell>
          <cell r="Q538">
            <v>955.30999999999904</v>
          </cell>
          <cell r="R538">
            <v>101.76</v>
          </cell>
          <cell r="S538">
            <v>7696.4499999999898</v>
          </cell>
          <cell r="T538">
            <v>853.54999999999905</v>
          </cell>
        </row>
        <row r="539">
          <cell r="A539" t="str">
            <v>PLN   Złoty</v>
          </cell>
          <cell r="B539" t="str">
            <v>1000/1414       POLI.M 5-16-24-4</v>
          </cell>
          <cell r="C539" t="str">
            <v>1000182    AGRA NOWA</v>
          </cell>
          <cell r="D539" t="str">
            <v>KC Centra dystrybucji</v>
          </cell>
          <cell r="E539">
            <v>93751</v>
          </cell>
          <cell r="F539">
            <v>110</v>
          </cell>
          <cell r="G539">
            <v>74237.38</v>
          </cell>
          <cell r="H539">
            <v>4799.2799999999897</v>
          </cell>
          <cell r="I539">
            <v>4449.1899999999896</v>
          </cell>
          <cell r="J539">
            <v>0</v>
          </cell>
          <cell r="K539">
            <v>0</v>
          </cell>
          <cell r="L539">
            <v>4449.1899999999896</v>
          </cell>
          <cell r="M539">
            <v>83485.850000000006</v>
          </cell>
          <cell r="N539">
            <v>10265.15</v>
          </cell>
          <cell r="O539">
            <v>0</v>
          </cell>
          <cell r="P539">
            <v>83485.850000000006</v>
          </cell>
          <cell r="Q539">
            <v>10265.15</v>
          </cell>
          <cell r="R539">
            <v>1118.54</v>
          </cell>
          <cell r="S539">
            <v>84604.389999999898</v>
          </cell>
          <cell r="T539">
            <v>9146.61</v>
          </cell>
        </row>
        <row r="540">
          <cell r="A540" t="str">
            <v>PLN   Złoty</v>
          </cell>
          <cell r="B540" t="str">
            <v>1000/1414       POLI.M 5-16-24-4</v>
          </cell>
          <cell r="C540" t="str">
            <v>1000219    BUTOR</v>
          </cell>
          <cell r="D540" t="str">
            <v>KC Centra dystrybucji</v>
          </cell>
          <cell r="E540">
            <v>20520</v>
          </cell>
          <cell r="F540">
            <v>24</v>
          </cell>
          <cell r="G540">
            <v>16206.17</v>
          </cell>
          <cell r="H540">
            <v>1050.46</v>
          </cell>
          <cell r="I540">
            <v>970.74</v>
          </cell>
          <cell r="J540">
            <v>0</v>
          </cell>
          <cell r="K540">
            <v>0</v>
          </cell>
          <cell r="L540">
            <v>970.74</v>
          </cell>
          <cell r="M540">
            <v>18227.369999999901</v>
          </cell>
          <cell r="N540">
            <v>2292.63</v>
          </cell>
          <cell r="O540">
            <v>0</v>
          </cell>
          <cell r="P540">
            <v>18227.369999999901</v>
          </cell>
          <cell r="Q540">
            <v>2292.63</v>
          </cell>
          <cell r="R540">
            <v>244.18</v>
          </cell>
          <cell r="S540">
            <v>18471.549999999901</v>
          </cell>
          <cell r="T540">
            <v>2048.4499999999898</v>
          </cell>
        </row>
        <row r="541">
          <cell r="A541" t="str">
            <v>PLN   Złoty</v>
          </cell>
          <cell r="B541" t="str">
            <v>1000/1414       POLI.M 5-16-24-4</v>
          </cell>
          <cell r="C541" t="str">
            <v>1000222    ROLPOL</v>
          </cell>
          <cell r="D541" t="str">
            <v>KC Centra dystrybucji</v>
          </cell>
          <cell r="E541">
            <v>254706</v>
          </cell>
          <cell r="F541">
            <v>300</v>
          </cell>
          <cell r="G541">
            <v>185208.429999999</v>
          </cell>
          <cell r="H541">
            <v>13038.95</v>
          </cell>
          <cell r="I541">
            <v>12134.129999999899</v>
          </cell>
          <cell r="J541">
            <v>0</v>
          </cell>
          <cell r="K541">
            <v>0</v>
          </cell>
          <cell r="L541">
            <v>12134.129999999899</v>
          </cell>
          <cell r="M541">
            <v>210381.51</v>
          </cell>
          <cell r="N541">
            <v>44324.489999999903</v>
          </cell>
          <cell r="O541">
            <v>0</v>
          </cell>
          <cell r="P541">
            <v>210381.51</v>
          </cell>
          <cell r="Q541">
            <v>44324.489999999903</v>
          </cell>
          <cell r="R541">
            <v>2790.4899999999898</v>
          </cell>
          <cell r="S541">
            <v>213172</v>
          </cell>
          <cell r="T541">
            <v>41534</v>
          </cell>
        </row>
        <row r="542">
          <cell r="A542" t="str">
            <v>PLN   Złoty</v>
          </cell>
          <cell r="B542" t="str">
            <v>1000/1414       POLI.M 5-16-24-4</v>
          </cell>
          <cell r="C542" t="str">
            <v>1000252    AGROSKŁAD</v>
          </cell>
          <cell r="D542" t="str">
            <v>KC Centra dystrybucji</v>
          </cell>
          <cell r="E542">
            <v>63676.23</v>
          </cell>
          <cell r="F542">
            <v>75</v>
          </cell>
          <cell r="G542">
            <v>46302.099999999897</v>
          </cell>
          <cell r="H542">
            <v>3259.7199999999898</v>
          </cell>
          <cell r="I542">
            <v>3033.55</v>
          </cell>
          <cell r="J542">
            <v>0</v>
          </cell>
          <cell r="K542">
            <v>0</v>
          </cell>
          <cell r="L542">
            <v>3033.55</v>
          </cell>
          <cell r="M542">
            <v>52595.37</v>
          </cell>
          <cell r="N542">
            <v>11080.86</v>
          </cell>
          <cell r="O542">
            <v>0</v>
          </cell>
          <cell r="P542">
            <v>52595.37</v>
          </cell>
          <cell r="Q542">
            <v>11080.86</v>
          </cell>
          <cell r="R542">
            <v>697.6</v>
          </cell>
          <cell r="S542">
            <v>53292.97</v>
          </cell>
          <cell r="T542">
            <v>10383.26</v>
          </cell>
        </row>
        <row r="543">
          <cell r="A543" t="str">
            <v>PLN   Złoty</v>
          </cell>
          <cell r="B543" t="str">
            <v>1000/1414       POLI.M 5-16-24-4</v>
          </cell>
          <cell r="C543" t="str">
            <v>1000263    PRO-AGRO</v>
          </cell>
          <cell r="D543" t="str">
            <v>KC Centra dystrybucji</v>
          </cell>
          <cell r="E543">
            <v>20376.48</v>
          </cell>
          <cell r="F543">
            <v>24</v>
          </cell>
          <cell r="G543">
            <v>14816.67</v>
          </cell>
          <cell r="H543">
            <v>1043.1600000000001</v>
          </cell>
          <cell r="I543">
            <v>970.74</v>
          </cell>
          <cell r="J543">
            <v>0</v>
          </cell>
          <cell r="K543">
            <v>0</v>
          </cell>
          <cell r="L543">
            <v>970.74</v>
          </cell>
          <cell r="M543">
            <v>16830.57</v>
          </cell>
          <cell r="N543">
            <v>3545.9099999999899</v>
          </cell>
          <cell r="O543">
            <v>0</v>
          </cell>
          <cell r="P543">
            <v>16830.57</v>
          </cell>
          <cell r="Q543">
            <v>3545.9099999999899</v>
          </cell>
          <cell r="R543">
            <v>223.24</v>
          </cell>
          <cell r="S543">
            <v>17053.810000000001</v>
          </cell>
          <cell r="T543">
            <v>3322.67</v>
          </cell>
        </row>
        <row r="544">
          <cell r="A544" t="str">
            <v>PLN   Złoty</v>
          </cell>
          <cell r="B544" t="str">
            <v>1000/1414       POLI.M 5-16-24-4</v>
          </cell>
          <cell r="C544" t="str">
            <v>1000276    JAN GACH FIRMA HANDL</v>
          </cell>
          <cell r="D544" t="str">
            <v>KC Centra dystrybucji</v>
          </cell>
          <cell r="E544">
            <v>170950.769999999</v>
          </cell>
          <cell r="F544">
            <v>201</v>
          </cell>
          <cell r="G544">
            <v>135513.67000000001</v>
          </cell>
          <cell r="H544">
            <v>8751.35</v>
          </cell>
          <cell r="I544">
            <v>8129.89</v>
          </cell>
          <cell r="J544">
            <v>0</v>
          </cell>
          <cell r="K544">
            <v>0</v>
          </cell>
          <cell r="L544">
            <v>8129.89</v>
          </cell>
          <cell r="M544">
            <v>152394.91</v>
          </cell>
          <cell r="N544">
            <v>18555.86</v>
          </cell>
          <cell r="O544">
            <v>0</v>
          </cell>
          <cell r="P544">
            <v>152394.91</v>
          </cell>
          <cell r="Q544">
            <v>18555.86</v>
          </cell>
          <cell r="R544">
            <v>2041.72</v>
          </cell>
          <cell r="S544">
            <v>154436.63</v>
          </cell>
          <cell r="T544">
            <v>16514.139999999901</v>
          </cell>
        </row>
        <row r="545">
          <cell r="A545" t="str">
            <v>PLN   Złoty</v>
          </cell>
          <cell r="B545" t="str">
            <v>1000/1414       POLI.M 5-16-24-4</v>
          </cell>
          <cell r="C545" t="str">
            <v>1000289    PLON A.Dadrzyński</v>
          </cell>
          <cell r="D545" t="str">
            <v>KC Centra dystrybucji</v>
          </cell>
          <cell r="E545">
            <v>3420</v>
          </cell>
          <cell r="F545">
            <v>4</v>
          </cell>
          <cell r="G545">
            <v>2811.3</v>
          </cell>
          <cell r="H545">
            <v>175.099999999999</v>
          </cell>
          <cell r="I545">
            <v>161.789999999999</v>
          </cell>
          <cell r="J545">
            <v>0</v>
          </cell>
          <cell r="K545">
            <v>0</v>
          </cell>
          <cell r="L545">
            <v>161.789999999999</v>
          </cell>
          <cell r="M545">
            <v>3148.19</v>
          </cell>
          <cell r="N545">
            <v>271.81</v>
          </cell>
          <cell r="O545">
            <v>0</v>
          </cell>
          <cell r="P545">
            <v>3148.19</v>
          </cell>
          <cell r="Q545">
            <v>271.81</v>
          </cell>
          <cell r="R545">
            <v>42.3599999999999</v>
          </cell>
          <cell r="S545">
            <v>3190.55</v>
          </cell>
          <cell r="T545">
            <v>229.44999999999899</v>
          </cell>
        </row>
        <row r="546">
          <cell r="A546" t="str">
            <v>PLN   Złoty</v>
          </cell>
          <cell r="B546" t="str">
            <v>1000/1414       POLI.M 5-16-24-4</v>
          </cell>
          <cell r="C546" t="str">
            <v>1000403    SOBIANEK</v>
          </cell>
          <cell r="D546" t="str">
            <v>KC Centra dystrybucji</v>
          </cell>
          <cell r="E546">
            <v>92542.929999999906</v>
          </cell>
          <cell r="F546">
            <v>109</v>
          </cell>
          <cell r="G546">
            <v>67292.389999999898</v>
          </cell>
          <cell r="H546">
            <v>4737.4899999999898</v>
          </cell>
          <cell r="I546">
            <v>4408.7299999999896</v>
          </cell>
          <cell r="J546">
            <v>0</v>
          </cell>
          <cell r="K546">
            <v>0</v>
          </cell>
          <cell r="L546">
            <v>4408.7299999999896</v>
          </cell>
          <cell r="M546">
            <v>76438.61</v>
          </cell>
          <cell r="N546">
            <v>16104.32</v>
          </cell>
          <cell r="O546">
            <v>0</v>
          </cell>
          <cell r="P546">
            <v>76438.61</v>
          </cell>
          <cell r="Q546">
            <v>16104.32</v>
          </cell>
          <cell r="R546">
            <v>1013.88</v>
          </cell>
          <cell r="S546">
            <v>77452.490000000005</v>
          </cell>
          <cell r="T546">
            <v>15090.44</v>
          </cell>
        </row>
        <row r="547">
          <cell r="A547" t="str">
            <v>PLN   Złoty</v>
          </cell>
          <cell r="B547" t="str">
            <v>1000/1414       POLI.M 5-16-24-4</v>
          </cell>
          <cell r="C547" t="str">
            <v>1000662    "AGRO-HANDLOWIEC" K</v>
          </cell>
          <cell r="D547" t="str">
            <v>KC Centra dystrybucji</v>
          </cell>
          <cell r="E547">
            <v>148052.399999999</v>
          </cell>
          <cell r="F547">
            <v>174</v>
          </cell>
          <cell r="G547">
            <v>116209.899999999</v>
          </cell>
          <cell r="H547">
            <v>7579.13</v>
          </cell>
          <cell r="I547">
            <v>7037.79</v>
          </cell>
          <cell r="J547">
            <v>0</v>
          </cell>
          <cell r="K547">
            <v>0</v>
          </cell>
          <cell r="L547">
            <v>7037.79</v>
          </cell>
          <cell r="M547">
            <v>130826.82</v>
          </cell>
          <cell r="N547">
            <v>17225.580000000002</v>
          </cell>
          <cell r="O547">
            <v>0</v>
          </cell>
          <cell r="P547">
            <v>130826.82</v>
          </cell>
          <cell r="Q547">
            <v>17225.580000000002</v>
          </cell>
          <cell r="R547">
            <v>1750.89</v>
          </cell>
          <cell r="S547">
            <v>132577.709999999</v>
          </cell>
          <cell r="T547">
            <v>15474.69</v>
          </cell>
        </row>
        <row r="548">
          <cell r="A548" t="str">
            <v>PLN   Złoty</v>
          </cell>
          <cell r="B548" t="str">
            <v>1000/1414       POLI.M 5-16-24-4</v>
          </cell>
          <cell r="C548" t="str">
            <v>1000675    Zaopatrz.Roln. Andrz</v>
          </cell>
          <cell r="D548" t="str">
            <v>KC Centra dystrybucji</v>
          </cell>
          <cell r="E548">
            <v>73863.990000000005</v>
          </cell>
          <cell r="F548">
            <v>87</v>
          </cell>
          <cell r="G548">
            <v>59434.809999999903</v>
          </cell>
          <cell r="H548">
            <v>3781.27</v>
          </cell>
          <cell r="I548">
            <v>3518.9</v>
          </cell>
          <cell r="J548">
            <v>0</v>
          </cell>
          <cell r="K548">
            <v>0</v>
          </cell>
          <cell r="L548">
            <v>3518.9</v>
          </cell>
          <cell r="M548">
            <v>66734.979999999894</v>
          </cell>
          <cell r="N548">
            <v>7129.01</v>
          </cell>
          <cell r="O548">
            <v>0</v>
          </cell>
          <cell r="P548">
            <v>66734.979999999894</v>
          </cell>
          <cell r="Q548">
            <v>7129.01</v>
          </cell>
          <cell r="R548">
            <v>895.47</v>
          </cell>
          <cell r="S548">
            <v>67630.449999999895</v>
          </cell>
          <cell r="T548">
            <v>6233.54</v>
          </cell>
        </row>
        <row r="549">
          <cell r="A549" t="str">
            <v>PLN   Złoty</v>
          </cell>
          <cell r="B549" t="str">
            <v>1000/1414       POLI.M 5-16-24-4</v>
          </cell>
          <cell r="C549" t="str">
            <v>1001522    AGRO-BIT</v>
          </cell>
          <cell r="D549" t="str">
            <v>KC Centra dystrybucji</v>
          </cell>
          <cell r="E549">
            <v>13680</v>
          </cell>
          <cell r="F549">
            <v>16</v>
          </cell>
          <cell r="G549">
            <v>9877.7800000000007</v>
          </cell>
          <cell r="H549">
            <v>700.28999999999905</v>
          </cell>
          <cell r="I549">
            <v>647.14999999999895</v>
          </cell>
          <cell r="J549">
            <v>0</v>
          </cell>
          <cell r="K549">
            <v>0</v>
          </cell>
          <cell r="L549">
            <v>647.14999999999895</v>
          </cell>
          <cell r="M549">
            <v>11225.219999999899</v>
          </cell>
          <cell r="N549">
            <v>2454.7800000000002</v>
          </cell>
          <cell r="O549">
            <v>0</v>
          </cell>
          <cell r="P549">
            <v>11225.219999999899</v>
          </cell>
          <cell r="Q549">
            <v>2454.7800000000002</v>
          </cell>
          <cell r="R549">
            <v>148.83000000000001</v>
          </cell>
          <cell r="S549">
            <v>11374.049999999899</v>
          </cell>
          <cell r="T549">
            <v>2305.9499999999898</v>
          </cell>
        </row>
        <row r="550">
          <cell r="A550" t="str">
            <v>PLN   Złoty</v>
          </cell>
          <cell r="B550" t="str">
            <v>1000/1414       POLI.M 5-16-24-4</v>
          </cell>
          <cell r="C550" t="str">
            <v>1001649    CDN</v>
          </cell>
          <cell r="D550" t="str">
            <v>KC Centra dystrybucji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59789.709999999897</v>
          </cell>
          <cell r="K550">
            <v>0</v>
          </cell>
          <cell r="L550">
            <v>59789.709999999897</v>
          </cell>
          <cell r="M550">
            <v>59789.709999999897</v>
          </cell>
          <cell r="N550">
            <v>-59789.709999999897</v>
          </cell>
          <cell r="O550">
            <v>0</v>
          </cell>
          <cell r="P550">
            <v>59789.709999999897</v>
          </cell>
          <cell r="Q550">
            <v>-59789.709999999897</v>
          </cell>
          <cell r="R550">
            <v>0</v>
          </cell>
          <cell r="S550">
            <v>59789.709999999897</v>
          </cell>
          <cell r="T550">
            <v>-59789.709999999897</v>
          </cell>
        </row>
        <row r="551">
          <cell r="A551" t="str">
            <v>PLN   Złoty</v>
          </cell>
          <cell r="B551" t="str">
            <v>1000/1414       POLI.M 5-16-24-4</v>
          </cell>
          <cell r="C551" t="str">
            <v>1001662    AMPOL-MEROL Sp. z o.</v>
          </cell>
          <cell r="D551" t="str">
            <v>KC Centra dystrybucji</v>
          </cell>
          <cell r="E551">
            <v>385177.5</v>
          </cell>
          <cell r="F551">
            <v>450.5</v>
          </cell>
          <cell r="G551">
            <v>316617.08</v>
          </cell>
          <cell r="H551">
            <v>19718.04</v>
          </cell>
          <cell r="I551">
            <v>18221.43</v>
          </cell>
          <cell r="J551">
            <v>0</v>
          </cell>
          <cell r="K551">
            <v>0</v>
          </cell>
          <cell r="L551">
            <v>18221.43</v>
          </cell>
          <cell r="M551">
            <v>354556.549999999</v>
          </cell>
          <cell r="N551">
            <v>30620.95</v>
          </cell>
          <cell r="O551">
            <v>0</v>
          </cell>
          <cell r="P551">
            <v>354556.549999999</v>
          </cell>
          <cell r="Q551">
            <v>30620.95</v>
          </cell>
          <cell r="R551">
            <v>4770.3199999999897</v>
          </cell>
          <cell r="S551">
            <v>359326.87</v>
          </cell>
          <cell r="T551">
            <v>25850.63</v>
          </cell>
        </row>
        <row r="552">
          <cell r="A552" t="str">
            <v>PLN   Złoty</v>
          </cell>
          <cell r="B552" t="str">
            <v>1000/1414       POLI.M 5-16-24-4</v>
          </cell>
          <cell r="C552" t="str">
            <v>1001701    INTRAT-BRZ</v>
          </cell>
          <cell r="D552" t="str">
            <v>KC Centra dystrybucji</v>
          </cell>
          <cell r="E552">
            <v>21225.25</v>
          </cell>
          <cell r="F552">
            <v>25</v>
          </cell>
          <cell r="G552">
            <v>17570.61</v>
          </cell>
          <cell r="H552">
            <v>1086.6199999999899</v>
          </cell>
          <cell r="I552">
            <v>1011.1799999999899</v>
          </cell>
          <cell r="J552">
            <v>0</v>
          </cell>
          <cell r="K552">
            <v>0</v>
          </cell>
          <cell r="L552">
            <v>1011.1799999999899</v>
          </cell>
          <cell r="M552">
            <v>19668.41</v>
          </cell>
          <cell r="N552">
            <v>1556.8399999999899</v>
          </cell>
          <cell r="O552">
            <v>0</v>
          </cell>
          <cell r="P552">
            <v>19668.41</v>
          </cell>
          <cell r="Q552">
            <v>1556.8399999999899</v>
          </cell>
          <cell r="R552">
            <v>264.73</v>
          </cell>
          <cell r="S552">
            <v>19933.139999999901</v>
          </cell>
          <cell r="T552">
            <v>1292.1099999999899</v>
          </cell>
        </row>
        <row r="553">
          <cell r="A553" t="str">
            <v>PLN   Złoty</v>
          </cell>
          <cell r="B553" t="str">
            <v>1000/1414       POLI.M 5-16-24-4</v>
          </cell>
          <cell r="C553" t="str">
            <v>1002005    LAMCH-TOMI</v>
          </cell>
          <cell r="D553" t="str">
            <v>KC Centra dystrybucji</v>
          </cell>
          <cell r="E553">
            <v>42450.5</v>
          </cell>
          <cell r="F553">
            <v>50</v>
          </cell>
          <cell r="G553">
            <v>33762.86</v>
          </cell>
          <cell r="H553">
            <v>2173.1999999999898</v>
          </cell>
          <cell r="I553">
            <v>2022.3499999999899</v>
          </cell>
          <cell r="J553">
            <v>0</v>
          </cell>
          <cell r="K553">
            <v>0</v>
          </cell>
          <cell r="L553">
            <v>2022.3499999999899</v>
          </cell>
          <cell r="M553">
            <v>37958.410000000003</v>
          </cell>
          <cell r="N553">
            <v>4492.09</v>
          </cell>
          <cell r="O553">
            <v>0</v>
          </cell>
          <cell r="P553">
            <v>37958.410000000003</v>
          </cell>
          <cell r="Q553">
            <v>4492.09</v>
          </cell>
          <cell r="R553">
            <v>508.69999999999902</v>
          </cell>
          <cell r="S553">
            <v>38467.11</v>
          </cell>
          <cell r="T553">
            <v>3983.3899999999899</v>
          </cell>
        </row>
        <row r="554">
          <cell r="A554" t="str">
            <v>PLN   Złoty</v>
          </cell>
          <cell r="B554" t="str">
            <v>1000/1414       POLI.M 5-16-24-4</v>
          </cell>
          <cell r="C554" t="str">
            <v>1002058    GS-Gardeja</v>
          </cell>
          <cell r="D554" t="str">
            <v>KC Centra dystrybucji</v>
          </cell>
          <cell r="E554">
            <v>20376.48</v>
          </cell>
          <cell r="F554">
            <v>24</v>
          </cell>
          <cell r="G554">
            <v>16867.779999999901</v>
          </cell>
          <cell r="H554">
            <v>1043.1600000000001</v>
          </cell>
          <cell r="I554">
            <v>970.74</v>
          </cell>
          <cell r="J554">
            <v>0</v>
          </cell>
          <cell r="K554">
            <v>0</v>
          </cell>
          <cell r="L554">
            <v>970.74</v>
          </cell>
          <cell r="M554">
            <v>18881.68</v>
          </cell>
          <cell r="N554">
            <v>1494.8</v>
          </cell>
          <cell r="O554">
            <v>0</v>
          </cell>
          <cell r="P554">
            <v>18881.68</v>
          </cell>
          <cell r="Q554">
            <v>1494.8</v>
          </cell>
          <cell r="R554">
            <v>254.15</v>
          </cell>
          <cell r="S554">
            <v>19135.830000000002</v>
          </cell>
          <cell r="T554">
            <v>1240.6500000000001</v>
          </cell>
        </row>
        <row r="555">
          <cell r="A555" t="str">
            <v>PLN   Złoty</v>
          </cell>
          <cell r="B555" t="str">
            <v>1000/1414       POLI.M 5-16-24-4</v>
          </cell>
          <cell r="C555" t="str">
            <v>1003605    "AGROMUND"</v>
          </cell>
          <cell r="D555" t="str">
            <v>KC Centra dystrybucji</v>
          </cell>
          <cell r="E555">
            <v>21375</v>
          </cell>
          <cell r="F555">
            <v>25</v>
          </cell>
          <cell r="G555">
            <v>16881.43</v>
          </cell>
          <cell r="H555">
            <v>1094.29</v>
          </cell>
          <cell r="I555">
            <v>1011.1799999999899</v>
          </cell>
          <cell r="J555">
            <v>0</v>
          </cell>
          <cell r="K555">
            <v>0</v>
          </cell>
          <cell r="L555">
            <v>1011.1799999999899</v>
          </cell>
          <cell r="M555">
            <v>18986.900000000001</v>
          </cell>
          <cell r="N555">
            <v>2388.0999999999899</v>
          </cell>
          <cell r="O555">
            <v>0</v>
          </cell>
          <cell r="P555">
            <v>18986.900000000001</v>
          </cell>
          <cell r="Q555">
            <v>2388.0999999999899</v>
          </cell>
          <cell r="R555">
            <v>254.33</v>
          </cell>
          <cell r="S555">
            <v>19241.23</v>
          </cell>
          <cell r="T555">
            <v>2133.77</v>
          </cell>
        </row>
        <row r="556">
          <cell r="A556" t="str">
            <v>PLN   Złoty</v>
          </cell>
          <cell r="B556" t="str">
            <v>1000/1414       POLI.M 5-16-24-4</v>
          </cell>
          <cell r="C556" t="str">
            <v>1003857    EDMAR</v>
          </cell>
          <cell r="D556" t="str">
            <v>KC Centra dystrybucji</v>
          </cell>
          <cell r="E556">
            <v>8490.2000000000007</v>
          </cell>
          <cell r="F556">
            <v>10</v>
          </cell>
          <cell r="G556">
            <v>6752.5699999999897</v>
          </cell>
          <cell r="H556">
            <v>434.68</v>
          </cell>
          <cell r="I556">
            <v>404.45999999999901</v>
          </cell>
          <cell r="J556">
            <v>0</v>
          </cell>
          <cell r="K556">
            <v>0</v>
          </cell>
          <cell r="L556">
            <v>404.45999999999901</v>
          </cell>
          <cell r="M556">
            <v>7591.71</v>
          </cell>
          <cell r="N556">
            <v>898.49</v>
          </cell>
          <cell r="O556">
            <v>0</v>
          </cell>
          <cell r="P556">
            <v>7591.71</v>
          </cell>
          <cell r="Q556">
            <v>898.49</v>
          </cell>
          <cell r="R556">
            <v>101.76</v>
          </cell>
          <cell r="S556">
            <v>7693.47</v>
          </cell>
          <cell r="T556">
            <v>796.73</v>
          </cell>
        </row>
        <row r="557">
          <cell r="A557" t="str">
            <v>PLN   Złoty</v>
          </cell>
          <cell r="B557" t="str">
            <v>1000/1414       POLI.M 5-16-24-4</v>
          </cell>
          <cell r="C557" t="str">
            <v>1004168    "OSADKOWSKI" SPÓŁKA</v>
          </cell>
          <cell r="D557" t="str">
            <v>KC Centra dystrybucji</v>
          </cell>
          <cell r="E557">
            <v>16980.400000000001</v>
          </cell>
          <cell r="F557">
            <v>20</v>
          </cell>
          <cell r="G557">
            <v>12347.23</v>
          </cell>
          <cell r="H557">
            <v>869.34</v>
          </cell>
          <cell r="I557">
            <v>808.95</v>
          </cell>
          <cell r="J557">
            <v>0</v>
          </cell>
          <cell r="K557">
            <v>0</v>
          </cell>
          <cell r="L557">
            <v>808.95</v>
          </cell>
          <cell r="M557">
            <v>14025.52</v>
          </cell>
          <cell r="N557">
            <v>2954.88</v>
          </cell>
          <cell r="O557">
            <v>0</v>
          </cell>
          <cell r="P557">
            <v>14025.52</v>
          </cell>
          <cell r="Q557">
            <v>2954.88</v>
          </cell>
          <cell r="R557">
            <v>186.039999999999</v>
          </cell>
          <cell r="S557">
            <v>14211.559999999899</v>
          </cell>
          <cell r="T557">
            <v>2768.84</v>
          </cell>
        </row>
        <row r="558">
          <cell r="A558" t="str">
            <v>PLN   Złoty</v>
          </cell>
          <cell r="B558" t="str">
            <v>1000/1415       POLIWAP</v>
          </cell>
          <cell r="C558" t="str">
            <v>1000080    CN-KIELCE</v>
          </cell>
          <cell r="D558" t="str">
            <v>KC Centra dystrybucji</v>
          </cell>
          <cell r="E558">
            <v>4170</v>
          </cell>
          <cell r="F558">
            <v>6</v>
          </cell>
          <cell r="G558">
            <v>3411.79</v>
          </cell>
          <cell r="H558">
            <v>213.43</v>
          </cell>
          <cell r="I558">
            <v>313.04000000000002</v>
          </cell>
          <cell r="J558">
            <v>0</v>
          </cell>
          <cell r="K558">
            <v>0</v>
          </cell>
          <cell r="L558">
            <v>313.04000000000002</v>
          </cell>
          <cell r="M558">
            <v>3938.26</v>
          </cell>
          <cell r="N558">
            <v>231.74</v>
          </cell>
          <cell r="O558">
            <v>0</v>
          </cell>
          <cell r="P558">
            <v>3938.26</v>
          </cell>
          <cell r="Q558">
            <v>231.74</v>
          </cell>
          <cell r="R558">
            <v>51.399999999999899</v>
          </cell>
          <cell r="S558">
            <v>3989.6599999999899</v>
          </cell>
          <cell r="T558">
            <v>180.34</v>
          </cell>
        </row>
        <row r="559">
          <cell r="A559" t="str">
            <v>PLN   Złoty</v>
          </cell>
          <cell r="B559" t="str">
            <v>1000/1415       POLIWAP</v>
          </cell>
          <cell r="C559" t="str">
            <v>1000222    ROLPOL</v>
          </cell>
          <cell r="D559" t="str">
            <v>KC Centra dystrybucji</v>
          </cell>
          <cell r="E559">
            <v>124225.2</v>
          </cell>
          <cell r="F559">
            <v>180</v>
          </cell>
          <cell r="G559">
            <v>90407.369999999893</v>
          </cell>
          <cell r="H559">
            <v>6359.3</v>
          </cell>
          <cell r="I559">
            <v>9390.95999999999</v>
          </cell>
          <cell r="J559">
            <v>0</v>
          </cell>
          <cell r="K559">
            <v>0</v>
          </cell>
          <cell r="L559">
            <v>9390.95999999999</v>
          </cell>
          <cell r="M559">
            <v>106157.63</v>
          </cell>
          <cell r="N559">
            <v>18067.57</v>
          </cell>
          <cell r="O559">
            <v>0</v>
          </cell>
          <cell r="P559">
            <v>106157.63</v>
          </cell>
          <cell r="Q559">
            <v>18067.57</v>
          </cell>
          <cell r="R559">
            <v>1362.14</v>
          </cell>
          <cell r="S559">
            <v>107519.77</v>
          </cell>
          <cell r="T559">
            <v>16705.43</v>
          </cell>
        </row>
        <row r="560">
          <cell r="A560" t="str">
            <v>PLN   Złoty</v>
          </cell>
          <cell r="B560" t="str">
            <v>1000/1415       POLIWAP</v>
          </cell>
          <cell r="C560" t="str">
            <v>1000263    PRO-AGRO</v>
          </cell>
          <cell r="D560" t="str">
            <v>KC Centra dystrybucji</v>
          </cell>
          <cell r="E560">
            <v>22084.48</v>
          </cell>
          <cell r="F560">
            <v>32</v>
          </cell>
          <cell r="G560">
            <v>16072.43</v>
          </cell>
          <cell r="H560">
            <v>1130.5599999999899</v>
          </cell>
          <cell r="I560">
            <v>1669.5</v>
          </cell>
          <cell r="J560">
            <v>0</v>
          </cell>
          <cell r="K560">
            <v>0</v>
          </cell>
          <cell r="L560">
            <v>1669.5</v>
          </cell>
          <cell r="M560">
            <v>18872.490000000002</v>
          </cell>
          <cell r="N560">
            <v>3211.9899999999898</v>
          </cell>
          <cell r="O560">
            <v>0</v>
          </cell>
          <cell r="P560">
            <v>18872.490000000002</v>
          </cell>
          <cell r="Q560">
            <v>3211.9899999999898</v>
          </cell>
          <cell r="R560">
            <v>242.16999999999899</v>
          </cell>
          <cell r="S560">
            <v>19114.66</v>
          </cell>
          <cell r="T560">
            <v>2969.82</v>
          </cell>
        </row>
        <row r="561">
          <cell r="A561" t="str">
            <v>PLN   Złoty</v>
          </cell>
          <cell r="B561" t="str">
            <v>1000/1415       POLIWAP</v>
          </cell>
          <cell r="C561" t="str">
            <v>1000276    JAN GACH FIRMA HANDL</v>
          </cell>
          <cell r="D561" t="str">
            <v>KC Centra dystrybucji</v>
          </cell>
          <cell r="E561">
            <v>52571.889999999898</v>
          </cell>
          <cell r="F561">
            <v>76</v>
          </cell>
          <cell r="G561">
            <v>43118.309999999903</v>
          </cell>
          <cell r="H561">
            <v>2691.25</v>
          </cell>
          <cell r="I561">
            <v>3965.09</v>
          </cell>
          <cell r="J561">
            <v>0</v>
          </cell>
          <cell r="K561">
            <v>0</v>
          </cell>
          <cell r="L561">
            <v>3965.09</v>
          </cell>
          <cell r="M561">
            <v>49774.65</v>
          </cell>
          <cell r="N561">
            <v>2797.2399999999898</v>
          </cell>
          <cell r="O561">
            <v>0</v>
          </cell>
          <cell r="P561">
            <v>49774.65</v>
          </cell>
          <cell r="Q561">
            <v>2797.2399999999898</v>
          </cell>
          <cell r="R561">
            <v>649.65999999999894</v>
          </cell>
          <cell r="S561">
            <v>50424.309999999903</v>
          </cell>
          <cell r="T561">
            <v>2147.5799999999899</v>
          </cell>
        </row>
        <row r="562">
          <cell r="A562" t="str">
            <v>PLN   Złoty</v>
          </cell>
          <cell r="B562" t="str">
            <v>1000/1415       POLIWAP</v>
          </cell>
          <cell r="C562" t="str">
            <v>1000289    PLON A.Dadrzyński</v>
          </cell>
          <cell r="D562" t="str">
            <v>KC Centra dystrybucji</v>
          </cell>
          <cell r="E562">
            <v>40236.949999999903</v>
          </cell>
          <cell r="F562">
            <v>58</v>
          </cell>
          <cell r="G562">
            <v>33870.239999999903</v>
          </cell>
          <cell r="H562">
            <v>2059.77</v>
          </cell>
          <cell r="I562">
            <v>3025.98</v>
          </cell>
          <cell r="J562">
            <v>0</v>
          </cell>
          <cell r="K562">
            <v>0</v>
          </cell>
          <cell r="L562">
            <v>3025.98</v>
          </cell>
          <cell r="M562">
            <v>38955.989999999903</v>
          </cell>
          <cell r="N562">
            <v>1280.96</v>
          </cell>
          <cell r="O562">
            <v>0</v>
          </cell>
          <cell r="P562">
            <v>38955.989999999903</v>
          </cell>
          <cell r="Q562">
            <v>1280.96</v>
          </cell>
          <cell r="R562">
            <v>510.3</v>
          </cell>
          <cell r="S562">
            <v>39466.29</v>
          </cell>
          <cell r="T562">
            <v>770.65999999999894</v>
          </cell>
        </row>
        <row r="563">
          <cell r="A563" t="str">
            <v>PLN   Złoty</v>
          </cell>
          <cell r="B563" t="str">
            <v>1000/1415       POLIWAP</v>
          </cell>
          <cell r="C563" t="str">
            <v>1000403    SOBIANEK</v>
          </cell>
          <cell r="D563" t="str">
            <v>KC Centra dystrybucji</v>
          </cell>
          <cell r="E563">
            <v>58661.65</v>
          </cell>
          <cell r="F563">
            <v>85</v>
          </cell>
          <cell r="G563">
            <v>42692.379999999903</v>
          </cell>
          <cell r="H563">
            <v>3002.98</v>
          </cell>
          <cell r="I563">
            <v>4434.63</v>
          </cell>
          <cell r="J563">
            <v>0</v>
          </cell>
          <cell r="K563">
            <v>0</v>
          </cell>
          <cell r="L563">
            <v>4434.63</v>
          </cell>
          <cell r="M563">
            <v>50129.989999999903</v>
          </cell>
          <cell r="N563">
            <v>8531.6599999999908</v>
          </cell>
          <cell r="O563">
            <v>0</v>
          </cell>
          <cell r="P563">
            <v>50129.989999999903</v>
          </cell>
          <cell r="Q563">
            <v>8531.6599999999908</v>
          </cell>
          <cell r="R563">
            <v>643.22</v>
          </cell>
          <cell r="S563">
            <v>50773.209999999897</v>
          </cell>
          <cell r="T563">
            <v>7888.4399999999896</v>
          </cell>
        </row>
        <row r="564">
          <cell r="A564" t="str">
            <v>PLN   Złoty</v>
          </cell>
          <cell r="B564" t="str">
            <v>1000/1415       POLIWAP</v>
          </cell>
          <cell r="C564" t="str">
            <v>1000524    "CHEMIROL" SP. Z O.O</v>
          </cell>
          <cell r="D564" t="str">
            <v>KC Centra dystrybucji</v>
          </cell>
          <cell r="E564">
            <v>16205.76</v>
          </cell>
          <cell r="F564">
            <v>24</v>
          </cell>
          <cell r="G564">
            <v>13553.4</v>
          </cell>
          <cell r="H564">
            <v>829.59</v>
          </cell>
          <cell r="I564">
            <v>1252.1300000000001</v>
          </cell>
          <cell r="J564">
            <v>0</v>
          </cell>
          <cell r="K564">
            <v>0</v>
          </cell>
          <cell r="L564">
            <v>1252.1300000000001</v>
          </cell>
          <cell r="M564">
            <v>15635.12</v>
          </cell>
          <cell r="N564">
            <v>570.63999999999896</v>
          </cell>
          <cell r="O564">
            <v>0</v>
          </cell>
          <cell r="P564">
            <v>15635.12</v>
          </cell>
          <cell r="Q564">
            <v>570.63999999999896</v>
          </cell>
          <cell r="R564">
            <v>204.21</v>
          </cell>
          <cell r="S564">
            <v>15839.33</v>
          </cell>
          <cell r="T564">
            <v>366.43</v>
          </cell>
        </row>
        <row r="565">
          <cell r="A565" t="str">
            <v>PLN   Złoty</v>
          </cell>
          <cell r="B565" t="str">
            <v>1000/1415       POLIWAP</v>
          </cell>
          <cell r="C565" t="str">
            <v>1000662    "AGRO-HANDLOWIEC" K</v>
          </cell>
          <cell r="D565" t="str">
            <v>KC Centra dystrybucji</v>
          </cell>
          <cell r="E565">
            <v>19323.9199999999</v>
          </cell>
          <cell r="F565">
            <v>28</v>
          </cell>
          <cell r="G565">
            <v>16400.5999999999</v>
          </cell>
          <cell r="H565">
            <v>989.23</v>
          </cell>
          <cell r="I565">
            <v>1460.8199999999899</v>
          </cell>
          <cell r="J565">
            <v>0</v>
          </cell>
          <cell r="K565">
            <v>0</v>
          </cell>
          <cell r="L565">
            <v>1460.8199999999899</v>
          </cell>
          <cell r="M565">
            <v>18850.650000000001</v>
          </cell>
          <cell r="N565">
            <v>473.26999999999902</v>
          </cell>
          <cell r="O565">
            <v>0</v>
          </cell>
          <cell r="P565">
            <v>18850.650000000001</v>
          </cell>
          <cell r="Q565">
            <v>473.26999999999902</v>
          </cell>
          <cell r="R565">
            <v>247.09</v>
          </cell>
          <cell r="S565">
            <v>19097.740000000002</v>
          </cell>
          <cell r="T565">
            <v>226.18</v>
          </cell>
        </row>
        <row r="566">
          <cell r="A566" t="str">
            <v>PLN   Złoty</v>
          </cell>
          <cell r="B566" t="str">
            <v>1000/1415       POLIWAP</v>
          </cell>
          <cell r="C566" t="str">
            <v>1001024    TALAGA</v>
          </cell>
          <cell r="D566" t="str">
            <v>KC Centra dystrybucji</v>
          </cell>
          <cell r="E566">
            <v>2070.3899999999899</v>
          </cell>
          <cell r="F566">
            <v>3</v>
          </cell>
          <cell r="G566">
            <v>1705.89</v>
          </cell>
          <cell r="H566">
            <v>106.01</v>
          </cell>
          <cell r="I566">
            <v>156.52000000000001</v>
          </cell>
          <cell r="J566">
            <v>0</v>
          </cell>
          <cell r="K566">
            <v>0</v>
          </cell>
          <cell r="L566">
            <v>156.52000000000001</v>
          </cell>
          <cell r="M566">
            <v>1968.42</v>
          </cell>
          <cell r="N566">
            <v>101.97</v>
          </cell>
          <cell r="O566">
            <v>0</v>
          </cell>
          <cell r="P566">
            <v>1968.42</v>
          </cell>
          <cell r="Q566">
            <v>101.97</v>
          </cell>
          <cell r="R566">
            <v>25.6999999999999</v>
          </cell>
          <cell r="S566">
            <v>1994.1199999999899</v>
          </cell>
          <cell r="T566">
            <v>76.269999999999897</v>
          </cell>
        </row>
        <row r="567">
          <cell r="A567" t="str">
            <v>PLN   Złoty</v>
          </cell>
          <cell r="B567" t="str">
            <v>1000/1415       POLIWAP</v>
          </cell>
          <cell r="C567" t="str">
            <v>1001649    CDN</v>
          </cell>
          <cell r="D567" t="str">
            <v>KC Centra dystrybucji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61396.949999999903</v>
          </cell>
          <cell r="K567">
            <v>0</v>
          </cell>
          <cell r="L567">
            <v>61396.949999999903</v>
          </cell>
          <cell r="M567">
            <v>61396.949999999903</v>
          </cell>
          <cell r="N567">
            <v>-61396.949999999903</v>
          </cell>
          <cell r="O567">
            <v>0</v>
          </cell>
          <cell r="P567">
            <v>61396.949999999903</v>
          </cell>
          <cell r="Q567">
            <v>-61396.949999999903</v>
          </cell>
          <cell r="R567">
            <v>0</v>
          </cell>
          <cell r="S567">
            <v>61396.949999999903</v>
          </cell>
          <cell r="T567">
            <v>-61396.949999999903</v>
          </cell>
        </row>
        <row r="568">
          <cell r="A568" t="str">
            <v>PLN   Złoty</v>
          </cell>
          <cell r="B568" t="str">
            <v>1000/1415       POLIWAP</v>
          </cell>
          <cell r="C568" t="str">
            <v>1001662    AMPOL-MEROL Sp. z o.</v>
          </cell>
          <cell r="D568" t="str">
            <v>KC Centra dystrybucji</v>
          </cell>
          <cell r="E568">
            <v>208500</v>
          </cell>
          <cell r="F568">
            <v>300</v>
          </cell>
          <cell r="G568">
            <v>175218.359999999</v>
          </cell>
          <cell r="H568">
            <v>10673.53</v>
          </cell>
          <cell r="I568">
            <v>15651.61</v>
          </cell>
          <cell r="J568">
            <v>0</v>
          </cell>
          <cell r="K568">
            <v>0</v>
          </cell>
          <cell r="L568">
            <v>15651.61</v>
          </cell>
          <cell r="M568">
            <v>201543.5</v>
          </cell>
          <cell r="N568">
            <v>6956.5</v>
          </cell>
          <cell r="O568">
            <v>0</v>
          </cell>
          <cell r="P568">
            <v>201543.5</v>
          </cell>
          <cell r="Q568">
            <v>6956.5</v>
          </cell>
          <cell r="R568">
            <v>2639.96</v>
          </cell>
          <cell r="S568">
            <v>204183.459999999</v>
          </cell>
          <cell r="T568">
            <v>4316.54</v>
          </cell>
        </row>
        <row r="569">
          <cell r="A569" t="str">
            <v>PLN   Złoty</v>
          </cell>
          <cell r="B569" t="str">
            <v>1000/1415       POLIWAP</v>
          </cell>
          <cell r="C569" t="str">
            <v>1002005    LAMCH-TOMI</v>
          </cell>
          <cell r="D569" t="str">
            <v>KC Centra dystrybucji</v>
          </cell>
          <cell r="E569">
            <v>17375</v>
          </cell>
          <cell r="F569">
            <v>25</v>
          </cell>
          <cell r="G569">
            <v>14215.78</v>
          </cell>
          <cell r="H569">
            <v>889.45</v>
          </cell>
          <cell r="I569">
            <v>1304.3099999999899</v>
          </cell>
          <cell r="J569">
            <v>0</v>
          </cell>
          <cell r="K569">
            <v>0</v>
          </cell>
          <cell r="L569">
            <v>1304.3099999999899</v>
          </cell>
          <cell r="M569">
            <v>16409.54</v>
          </cell>
          <cell r="N569">
            <v>965.46</v>
          </cell>
          <cell r="O569">
            <v>0</v>
          </cell>
          <cell r="P569">
            <v>16409.54</v>
          </cell>
          <cell r="Q569">
            <v>965.46</v>
          </cell>
          <cell r="R569">
            <v>214.18</v>
          </cell>
          <cell r="S569">
            <v>16623.72</v>
          </cell>
          <cell r="T569">
            <v>751.27999999999895</v>
          </cell>
        </row>
        <row r="570">
          <cell r="A570" t="str">
            <v>PLN   Złoty</v>
          </cell>
          <cell r="B570" t="str">
            <v>1000/1415       POLIWAP</v>
          </cell>
          <cell r="C570" t="str">
            <v>1003315    ZAKŁAD OBROTU ROLNEG</v>
          </cell>
          <cell r="D570" t="str">
            <v>KC Centra dystrybucji</v>
          </cell>
          <cell r="E570">
            <v>8281.68</v>
          </cell>
          <cell r="F570">
            <v>12</v>
          </cell>
          <cell r="G570">
            <v>6027.1599999999899</v>
          </cell>
          <cell r="H570">
            <v>423.93</v>
          </cell>
          <cell r="I570">
            <v>626.05999999999904</v>
          </cell>
          <cell r="J570">
            <v>0</v>
          </cell>
          <cell r="K570">
            <v>0</v>
          </cell>
          <cell r="L570">
            <v>626.05999999999904</v>
          </cell>
          <cell r="M570">
            <v>7077.1499999999896</v>
          </cell>
          <cell r="N570">
            <v>1204.53</v>
          </cell>
          <cell r="O570">
            <v>0</v>
          </cell>
          <cell r="P570">
            <v>7077.1499999999896</v>
          </cell>
          <cell r="Q570">
            <v>1204.53</v>
          </cell>
          <cell r="R570">
            <v>90.79</v>
          </cell>
          <cell r="S570">
            <v>7167.9399999999896</v>
          </cell>
          <cell r="T570">
            <v>1113.74</v>
          </cell>
        </row>
        <row r="571">
          <cell r="A571" t="str">
            <v>PLN   Złoty</v>
          </cell>
          <cell r="B571" t="str">
            <v>1000/1415       POLIWAP</v>
          </cell>
          <cell r="C571" t="str">
            <v>1003857    EDMAR</v>
          </cell>
          <cell r="D571" t="str">
            <v>KC Centra dystrybucji</v>
          </cell>
          <cell r="E571">
            <v>4830.9099999999899</v>
          </cell>
          <cell r="F571">
            <v>7</v>
          </cell>
          <cell r="G571">
            <v>3980.42</v>
          </cell>
          <cell r="H571">
            <v>247.38999999999899</v>
          </cell>
          <cell r="I571">
            <v>365.20999999999901</v>
          </cell>
          <cell r="J571">
            <v>0</v>
          </cell>
          <cell r="K571">
            <v>0</v>
          </cell>
          <cell r="L571">
            <v>365.20999999999901</v>
          </cell>
          <cell r="M571">
            <v>4593.0200000000004</v>
          </cell>
          <cell r="N571">
            <v>237.88999999999899</v>
          </cell>
          <cell r="O571">
            <v>0</v>
          </cell>
          <cell r="P571">
            <v>4593.0200000000004</v>
          </cell>
          <cell r="Q571">
            <v>237.88999999999899</v>
          </cell>
          <cell r="R571">
            <v>59.979999999999897</v>
          </cell>
          <cell r="S571">
            <v>4653</v>
          </cell>
          <cell r="T571">
            <v>177.91</v>
          </cell>
        </row>
        <row r="572">
          <cell r="A572" t="str">
            <v>PLN   Złoty</v>
          </cell>
          <cell r="B572" t="str">
            <v>1000/1420       NP 18-46 POLIDAP</v>
          </cell>
          <cell r="C572" t="str">
            <v>1000252    AGROSKŁAD</v>
          </cell>
          <cell r="D572" t="str">
            <v>KC Centra dystrybucji</v>
          </cell>
          <cell r="E572">
            <v>-99.84</v>
          </cell>
          <cell r="F572">
            <v>0</v>
          </cell>
          <cell r="G572">
            <v>0</v>
          </cell>
          <cell r="H572">
            <v>-5.12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-5.12</v>
          </cell>
          <cell r="N572">
            <v>-94.719999999999899</v>
          </cell>
          <cell r="O572">
            <v>0</v>
          </cell>
          <cell r="P572">
            <v>-5.12</v>
          </cell>
          <cell r="Q572">
            <v>-94.719999999999899</v>
          </cell>
          <cell r="R572">
            <v>0</v>
          </cell>
          <cell r="S572">
            <v>-5.12</v>
          </cell>
          <cell r="T572">
            <v>-94.719999999999899</v>
          </cell>
        </row>
        <row r="573">
          <cell r="A573" t="str">
            <v>PLN   Złoty</v>
          </cell>
          <cell r="B573" t="str">
            <v>1000/1420       NP 18-46 POLIDAP</v>
          </cell>
          <cell r="C573" t="str">
            <v>1000276    JAN GACH FIRMA HANDL</v>
          </cell>
          <cell r="D573" t="str">
            <v>KC Centra dystrybucji</v>
          </cell>
          <cell r="E573">
            <v>41692.199999999903</v>
          </cell>
          <cell r="F573">
            <v>38</v>
          </cell>
          <cell r="G573">
            <v>35697.449999999903</v>
          </cell>
          <cell r="H573">
            <v>2134.3099999999899</v>
          </cell>
          <cell r="I573">
            <v>1582.64</v>
          </cell>
          <cell r="J573">
            <v>0</v>
          </cell>
          <cell r="K573">
            <v>0</v>
          </cell>
          <cell r="L573">
            <v>1582.64</v>
          </cell>
          <cell r="M573">
            <v>39414.400000000001</v>
          </cell>
          <cell r="N573">
            <v>2277.8000000000002</v>
          </cell>
          <cell r="O573">
            <v>0</v>
          </cell>
          <cell r="P573">
            <v>39414.400000000001</v>
          </cell>
          <cell r="Q573">
            <v>2277.8000000000002</v>
          </cell>
          <cell r="R573">
            <v>537.82000000000005</v>
          </cell>
          <cell r="S573">
            <v>39952.22</v>
          </cell>
          <cell r="T573">
            <v>1739.98</v>
          </cell>
        </row>
        <row r="574">
          <cell r="A574" t="str">
            <v>PLN   Złoty</v>
          </cell>
          <cell r="B574" t="str">
            <v>1000/1420       NP 18-46 POLIDAP</v>
          </cell>
          <cell r="C574" t="str">
            <v>1000524    "CHEMIROL" SP. Z O.O</v>
          </cell>
          <cell r="D574" t="str">
            <v>KC Centra dystrybucji</v>
          </cell>
          <cell r="E574">
            <v>26215.200000000001</v>
          </cell>
          <cell r="F574">
            <v>24</v>
          </cell>
          <cell r="G574">
            <v>22545.7599999999</v>
          </cell>
          <cell r="H574">
            <v>1342</v>
          </cell>
          <cell r="I574">
            <v>999.55999999999904</v>
          </cell>
          <cell r="J574">
            <v>0</v>
          </cell>
          <cell r="K574">
            <v>0</v>
          </cell>
          <cell r="L574">
            <v>999.55999999999904</v>
          </cell>
          <cell r="M574">
            <v>24887.32</v>
          </cell>
          <cell r="N574">
            <v>1327.88</v>
          </cell>
          <cell r="O574">
            <v>0</v>
          </cell>
          <cell r="P574">
            <v>24887.32</v>
          </cell>
          <cell r="Q574">
            <v>1327.88</v>
          </cell>
          <cell r="R574">
            <v>339.68</v>
          </cell>
          <cell r="S574">
            <v>25227</v>
          </cell>
          <cell r="T574">
            <v>988.2</v>
          </cell>
        </row>
        <row r="575">
          <cell r="A575" t="str">
            <v>PLN   Złoty</v>
          </cell>
          <cell r="B575" t="str">
            <v>1000/1420       NP 18-46 POLIDAP</v>
          </cell>
          <cell r="C575" t="str">
            <v>1000662    "AGRO-HANDLOWIEC" K</v>
          </cell>
          <cell r="D575" t="str">
            <v>KC Centra dystrybucji</v>
          </cell>
          <cell r="E575">
            <v>52430.400000000001</v>
          </cell>
          <cell r="F575">
            <v>48</v>
          </cell>
          <cell r="G575">
            <v>45091.519999999902</v>
          </cell>
          <cell r="H575">
            <v>2684.01</v>
          </cell>
          <cell r="I575">
            <v>1999.1199999999899</v>
          </cell>
          <cell r="J575">
            <v>0</v>
          </cell>
          <cell r="K575">
            <v>0</v>
          </cell>
          <cell r="L575">
            <v>1999.1199999999899</v>
          </cell>
          <cell r="M575">
            <v>49774.65</v>
          </cell>
          <cell r="N575">
            <v>2655.75</v>
          </cell>
          <cell r="O575">
            <v>0</v>
          </cell>
          <cell r="P575">
            <v>49774.65</v>
          </cell>
          <cell r="Q575">
            <v>2655.75</v>
          </cell>
          <cell r="R575">
            <v>679.38</v>
          </cell>
          <cell r="S575">
            <v>50454.029999999897</v>
          </cell>
          <cell r="T575">
            <v>1976.3699999999899</v>
          </cell>
        </row>
        <row r="576">
          <cell r="A576" t="str">
            <v>PLN   Złoty</v>
          </cell>
          <cell r="B576" t="str">
            <v>1000/1420       NP 18-46 POLIDAP</v>
          </cell>
          <cell r="C576" t="str">
            <v>1001494    AGROLOK Sp. z o.o.</v>
          </cell>
          <cell r="D576" t="str">
            <v>KC Centra dystrybucji</v>
          </cell>
          <cell r="E576">
            <v>13107.6</v>
          </cell>
          <cell r="F576">
            <v>12</v>
          </cell>
          <cell r="G576">
            <v>10657.67</v>
          </cell>
          <cell r="H576">
            <v>670.99</v>
          </cell>
          <cell r="I576">
            <v>499.76999999999902</v>
          </cell>
          <cell r="J576">
            <v>0</v>
          </cell>
          <cell r="K576">
            <v>0</v>
          </cell>
          <cell r="L576">
            <v>499.76999999999902</v>
          </cell>
          <cell r="M576">
            <v>11828.43</v>
          </cell>
          <cell r="N576">
            <v>1279.17</v>
          </cell>
          <cell r="O576">
            <v>0</v>
          </cell>
          <cell r="P576">
            <v>11828.43</v>
          </cell>
          <cell r="Q576">
            <v>1279.17</v>
          </cell>
          <cell r="R576">
            <v>160.59</v>
          </cell>
          <cell r="S576">
            <v>11989.02</v>
          </cell>
          <cell r="T576">
            <v>1118.5799999999899</v>
          </cell>
        </row>
        <row r="577">
          <cell r="A577" t="str">
            <v>PLN   Złoty</v>
          </cell>
          <cell r="B577" t="str">
            <v>1000/1420       NP 18-46 POLIDAP</v>
          </cell>
          <cell r="C577" t="str">
            <v>1001662    AMPOL-MEROL Sp. z o.</v>
          </cell>
          <cell r="D577" t="str">
            <v>KC Centra dystrybucji</v>
          </cell>
          <cell r="E577">
            <v>105600</v>
          </cell>
          <cell r="F577">
            <v>96</v>
          </cell>
          <cell r="G577">
            <v>90183.179999999906</v>
          </cell>
          <cell r="H577">
            <v>5405.84</v>
          </cell>
          <cell r="I577">
            <v>3998.23</v>
          </cell>
          <cell r="J577">
            <v>0</v>
          </cell>
          <cell r="K577">
            <v>0</v>
          </cell>
          <cell r="L577">
            <v>3998.23</v>
          </cell>
          <cell r="M577">
            <v>99587.25</v>
          </cell>
          <cell r="N577">
            <v>6012.75</v>
          </cell>
          <cell r="O577">
            <v>0</v>
          </cell>
          <cell r="P577">
            <v>99587.25</v>
          </cell>
          <cell r="Q577">
            <v>6012.75</v>
          </cell>
          <cell r="R577">
            <v>1358.73</v>
          </cell>
          <cell r="S577">
            <v>100945.98</v>
          </cell>
          <cell r="T577">
            <v>4654.0200000000004</v>
          </cell>
        </row>
        <row r="578">
          <cell r="A578" t="str">
            <v>PLN   Złoty</v>
          </cell>
          <cell r="B578" t="str">
            <v>1000/1420       NP 18-46 POLIDAP</v>
          </cell>
          <cell r="C578" t="str">
            <v>1003988    BLENDING Sp.z o.o.</v>
          </cell>
          <cell r="D578" t="str">
            <v>KC Centra dystrybucji</v>
          </cell>
          <cell r="E578">
            <v>26400</v>
          </cell>
          <cell r="F578">
            <v>24</v>
          </cell>
          <cell r="G578">
            <v>22545.7599999999</v>
          </cell>
          <cell r="H578">
            <v>1351.49</v>
          </cell>
          <cell r="I578">
            <v>999.55999999999904</v>
          </cell>
          <cell r="J578">
            <v>0</v>
          </cell>
          <cell r="K578">
            <v>0</v>
          </cell>
          <cell r="L578">
            <v>999.55999999999904</v>
          </cell>
          <cell r="M578">
            <v>24896.81</v>
          </cell>
          <cell r="N578">
            <v>1503.19</v>
          </cell>
          <cell r="O578">
            <v>0</v>
          </cell>
          <cell r="P578">
            <v>24896.81</v>
          </cell>
          <cell r="Q578">
            <v>1503.19</v>
          </cell>
          <cell r="R578">
            <v>339.68</v>
          </cell>
          <cell r="S578">
            <v>25236.49</v>
          </cell>
          <cell r="T578">
            <v>1163.51</v>
          </cell>
        </row>
        <row r="579">
          <cell r="A579" t="str">
            <v>PLN   Złoty</v>
          </cell>
          <cell r="B579" t="str">
            <v>1000/1420       NP 18-46 POLIDAP</v>
          </cell>
          <cell r="C579" t="str">
            <v>1004168    "OSADKOWSKI" SPÓŁKA</v>
          </cell>
          <cell r="D579" t="str">
            <v>KC Centra dystrybucji</v>
          </cell>
          <cell r="E579">
            <v>80087.039999999906</v>
          </cell>
          <cell r="F579">
            <v>72</v>
          </cell>
          <cell r="G579">
            <v>67637.279999999897</v>
          </cell>
          <cell r="H579">
            <v>4099.84</v>
          </cell>
          <cell r="I579">
            <v>2998.6799999999898</v>
          </cell>
          <cell r="J579">
            <v>0</v>
          </cell>
          <cell r="K579">
            <v>0</v>
          </cell>
          <cell r="L579">
            <v>2998.6799999999898</v>
          </cell>
          <cell r="M579">
            <v>74735.8</v>
          </cell>
          <cell r="N579">
            <v>5351.2399999999898</v>
          </cell>
          <cell r="O579">
            <v>0</v>
          </cell>
          <cell r="P579">
            <v>74735.8</v>
          </cell>
          <cell r="Q579">
            <v>5351.2399999999898</v>
          </cell>
          <cell r="R579">
            <v>1019.0599999999901</v>
          </cell>
          <cell r="S579">
            <v>75754.86</v>
          </cell>
          <cell r="T579">
            <v>4332.18</v>
          </cell>
        </row>
        <row r="580">
          <cell r="A580" t="str">
            <v>PLN   Złoty</v>
          </cell>
          <cell r="B580" t="str">
            <v>1000/1422       NPK 12-12-12-11</v>
          </cell>
          <cell r="C580" t="str">
            <v>1000222    ROLPOL</v>
          </cell>
          <cell r="D580" t="str">
            <v>KC Centra dystrybucji</v>
          </cell>
          <cell r="E580">
            <v>9473.2800000000007</v>
          </cell>
          <cell r="F580">
            <v>12</v>
          </cell>
          <cell r="G580">
            <v>7386.3599999999897</v>
          </cell>
          <cell r="H580">
            <v>484.93</v>
          </cell>
          <cell r="I580">
            <v>1245.96</v>
          </cell>
          <cell r="J580">
            <v>0</v>
          </cell>
          <cell r="K580">
            <v>0</v>
          </cell>
          <cell r="L580">
            <v>1245.96</v>
          </cell>
          <cell r="M580">
            <v>9117.25</v>
          </cell>
          <cell r="N580">
            <v>356.02999999999901</v>
          </cell>
          <cell r="O580">
            <v>0</v>
          </cell>
          <cell r="P580">
            <v>9117.25</v>
          </cell>
          <cell r="Q580">
            <v>356.02999999999901</v>
          </cell>
          <cell r="R580">
            <v>111.29</v>
          </cell>
          <cell r="S580">
            <v>9228.5400000000009</v>
          </cell>
          <cell r="T580">
            <v>244.74</v>
          </cell>
        </row>
        <row r="581">
          <cell r="A581" t="str">
            <v>PLN   Złoty</v>
          </cell>
          <cell r="B581" t="str">
            <v>1000/1422       NPK 12-12-12-11</v>
          </cell>
          <cell r="C581" t="str">
            <v>1000662    "AGRO-HANDLOWIEC" K</v>
          </cell>
          <cell r="D581" t="str">
            <v>KC Centra dystrybucji</v>
          </cell>
          <cell r="E581">
            <v>4860</v>
          </cell>
          <cell r="F581">
            <v>6</v>
          </cell>
          <cell r="G581">
            <v>3693.17</v>
          </cell>
          <cell r="H581">
            <v>248.759999999999</v>
          </cell>
          <cell r="I581">
            <v>622.98</v>
          </cell>
          <cell r="J581">
            <v>0</v>
          </cell>
          <cell r="K581">
            <v>0</v>
          </cell>
          <cell r="L581">
            <v>622.98</v>
          </cell>
          <cell r="M581">
            <v>4564.9099999999899</v>
          </cell>
          <cell r="N581">
            <v>295.08999999999901</v>
          </cell>
          <cell r="O581">
            <v>0</v>
          </cell>
          <cell r="P581">
            <v>4564.9099999999899</v>
          </cell>
          <cell r="Q581">
            <v>295.08999999999901</v>
          </cell>
          <cell r="R581">
            <v>55.64</v>
          </cell>
          <cell r="S581">
            <v>4620.55</v>
          </cell>
          <cell r="T581">
            <v>239.44999999999899</v>
          </cell>
        </row>
        <row r="582">
          <cell r="A582" t="str">
            <v>PLN   Złoty</v>
          </cell>
          <cell r="B582" t="str">
            <v>1000/1422       NPK 12-12-12-11</v>
          </cell>
          <cell r="C582" t="str">
            <v>1001253    ROL-MECH SP. Z O.O.</v>
          </cell>
          <cell r="D582" t="str">
            <v>KC Centra dystrybucji</v>
          </cell>
          <cell r="E582">
            <v>19080</v>
          </cell>
          <cell r="F582">
            <v>24</v>
          </cell>
          <cell r="G582">
            <v>14772.7</v>
          </cell>
          <cell r="H582">
            <v>976.74</v>
          </cell>
          <cell r="I582">
            <v>2491.9299999999898</v>
          </cell>
          <cell r="J582">
            <v>0</v>
          </cell>
          <cell r="K582">
            <v>0</v>
          </cell>
          <cell r="L582">
            <v>2491.9299999999898</v>
          </cell>
          <cell r="M582">
            <v>18241.369999999901</v>
          </cell>
          <cell r="N582">
            <v>838.63</v>
          </cell>
          <cell r="O582">
            <v>0</v>
          </cell>
          <cell r="P582">
            <v>18241.369999999901</v>
          </cell>
          <cell r="Q582">
            <v>838.63</v>
          </cell>
          <cell r="R582">
            <v>222.599999999999</v>
          </cell>
          <cell r="S582">
            <v>18463.97</v>
          </cell>
          <cell r="T582">
            <v>616.02999999999895</v>
          </cell>
        </row>
        <row r="583">
          <cell r="A583" t="str">
            <v>PLN   Złoty</v>
          </cell>
          <cell r="B583" t="str">
            <v>1000/1422       NPK 12-12-12-11</v>
          </cell>
          <cell r="C583" t="str">
            <v>1003857    EDMAR</v>
          </cell>
          <cell r="D583" t="str">
            <v>KC Centra dystrybucji</v>
          </cell>
          <cell r="E583">
            <v>64493.82</v>
          </cell>
          <cell r="F583">
            <v>80</v>
          </cell>
          <cell r="G583">
            <v>49242.339999999902</v>
          </cell>
          <cell r="H583">
            <v>3301.59</v>
          </cell>
          <cell r="I583">
            <v>8306.44</v>
          </cell>
          <cell r="J583">
            <v>0</v>
          </cell>
          <cell r="K583">
            <v>0</v>
          </cell>
          <cell r="L583">
            <v>8306.44</v>
          </cell>
          <cell r="M583">
            <v>60850.37</v>
          </cell>
          <cell r="N583">
            <v>3643.4499999999898</v>
          </cell>
          <cell r="O583">
            <v>0</v>
          </cell>
          <cell r="P583">
            <v>60850.37</v>
          </cell>
          <cell r="Q583">
            <v>3643.4499999999898</v>
          </cell>
          <cell r="R583">
            <v>741.90999999999894</v>
          </cell>
          <cell r="S583">
            <v>61592.279999999897</v>
          </cell>
          <cell r="T583">
            <v>2901.54</v>
          </cell>
        </row>
        <row r="584">
          <cell r="A584" t="str">
            <v>PLN   Złoty</v>
          </cell>
          <cell r="B584" t="str">
            <v>1000/1429       POLIMAG 405</v>
          </cell>
          <cell r="C584" t="str">
            <v>1000080    CN-KIELCE</v>
          </cell>
          <cell r="D584" t="str">
            <v>KC Centra dystrybucji</v>
          </cell>
          <cell r="E584">
            <v>15000</v>
          </cell>
          <cell r="F584">
            <v>20</v>
          </cell>
          <cell r="G584">
            <v>11649.08</v>
          </cell>
          <cell r="H584">
            <v>767.88999999999896</v>
          </cell>
          <cell r="I584">
            <v>517.50999999999897</v>
          </cell>
          <cell r="J584">
            <v>0</v>
          </cell>
          <cell r="K584">
            <v>0</v>
          </cell>
          <cell r="L584">
            <v>517.50999999999897</v>
          </cell>
          <cell r="M584">
            <v>12934.48</v>
          </cell>
          <cell r="N584">
            <v>2065.52</v>
          </cell>
          <cell r="O584">
            <v>0</v>
          </cell>
          <cell r="P584">
            <v>12934.48</v>
          </cell>
          <cell r="Q584">
            <v>2065.52</v>
          </cell>
          <cell r="R584">
            <v>175.5</v>
          </cell>
          <cell r="S584">
            <v>13109.98</v>
          </cell>
          <cell r="T584">
            <v>1890.02</v>
          </cell>
        </row>
        <row r="585">
          <cell r="A585" t="str">
            <v>PLN   Złoty</v>
          </cell>
          <cell r="B585" t="str">
            <v>1000/1429       POLIMAG 405</v>
          </cell>
          <cell r="C585" t="str">
            <v>1000222    ROLPOL</v>
          </cell>
          <cell r="D585" t="str">
            <v>KC Centra dystrybucji</v>
          </cell>
          <cell r="E585">
            <v>111712.5</v>
          </cell>
          <cell r="F585">
            <v>150</v>
          </cell>
          <cell r="G585">
            <v>75959.869999999893</v>
          </cell>
          <cell r="H585">
            <v>5718.81</v>
          </cell>
          <cell r="I585">
            <v>3881.36</v>
          </cell>
          <cell r="J585">
            <v>0</v>
          </cell>
          <cell r="K585">
            <v>0</v>
          </cell>
          <cell r="L585">
            <v>3881.36</v>
          </cell>
          <cell r="M585">
            <v>85560.039999999906</v>
          </cell>
          <cell r="N585">
            <v>26152.459999999901</v>
          </cell>
          <cell r="O585">
            <v>0</v>
          </cell>
          <cell r="P585">
            <v>85560.039999999906</v>
          </cell>
          <cell r="Q585">
            <v>26152.459999999901</v>
          </cell>
          <cell r="R585">
            <v>1144.44</v>
          </cell>
          <cell r="S585">
            <v>86704.479999999894</v>
          </cell>
          <cell r="T585">
            <v>25008.02</v>
          </cell>
        </row>
        <row r="586">
          <cell r="A586" t="str">
            <v>PLN   Złoty</v>
          </cell>
          <cell r="B586" t="str">
            <v>1000/1429       POLIMAG 405</v>
          </cell>
          <cell r="C586" t="str">
            <v>1000252    AGROSKŁAD</v>
          </cell>
          <cell r="D586" t="str">
            <v>KC Centra dystrybucji</v>
          </cell>
          <cell r="E586">
            <v>21597.75</v>
          </cell>
          <cell r="F586">
            <v>29</v>
          </cell>
          <cell r="G586">
            <v>15750.35</v>
          </cell>
          <cell r="H586">
            <v>1105.5899999999899</v>
          </cell>
          <cell r="I586">
            <v>750.39999999999895</v>
          </cell>
          <cell r="J586">
            <v>0</v>
          </cell>
          <cell r="K586">
            <v>0</v>
          </cell>
          <cell r="L586">
            <v>750.39999999999895</v>
          </cell>
          <cell r="M586">
            <v>17606.34</v>
          </cell>
          <cell r="N586">
            <v>3991.4099999999899</v>
          </cell>
          <cell r="O586">
            <v>0</v>
          </cell>
          <cell r="P586">
            <v>17606.34</v>
          </cell>
          <cell r="Q586">
            <v>3991.4099999999899</v>
          </cell>
          <cell r="R586">
            <v>237.31</v>
          </cell>
          <cell r="S586">
            <v>17843.650000000001</v>
          </cell>
          <cell r="T586">
            <v>3754.0999999999899</v>
          </cell>
        </row>
        <row r="587">
          <cell r="A587" t="str">
            <v>PLN   Złoty</v>
          </cell>
          <cell r="B587" t="str">
            <v>1000/1429       POLIMAG 405</v>
          </cell>
          <cell r="C587" t="str">
            <v>1000257    MAGROL</v>
          </cell>
          <cell r="D587" t="str">
            <v>KC Centra dystrybucji</v>
          </cell>
          <cell r="E587">
            <v>9681.75</v>
          </cell>
          <cell r="F587">
            <v>13</v>
          </cell>
          <cell r="G587">
            <v>7571.9099999999899</v>
          </cell>
          <cell r="H587">
            <v>495.58999999999901</v>
          </cell>
          <cell r="I587">
            <v>336.38</v>
          </cell>
          <cell r="J587">
            <v>0</v>
          </cell>
          <cell r="K587">
            <v>0</v>
          </cell>
          <cell r="L587">
            <v>336.38</v>
          </cell>
          <cell r="M587">
            <v>8403.8799999999901</v>
          </cell>
          <cell r="N587">
            <v>1277.8699999999899</v>
          </cell>
          <cell r="O587">
            <v>0</v>
          </cell>
          <cell r="P587">
            <v>8403.8799999999901</v>
          </cell>
          <cell r="Q587">
            <v>1277.8699999999899</v>
          </cell>
          <cell r="R587">
            <v>114.069999999999</v>
          </cell>
          <cell r="S587">
            <v>8517.9500000000007</v>
          </cell>
          <cell r="T587">
            <v>1163.8</v>
          </cell>
        </row>
        <row r="588">
          <cell r="A588" t="str">
            <v>PLN   Złoty</v>
          </cell>
          <cell r="B588" t="str">
            <v>1000/1429       POLIMAG 405</v>
          </cell>
          <cell r="C588" t="str">
            <v>1000263    PRO-AGRO</v>
          </cell>
          <cell r="D588" t="str">
            <v>KC Centra dystrybucji</v>
          </cell>
          <cell r="E588">
            <v>49153.5</v>
          </cell>
          <cell r="F588">
            <v>66</v>
          </cell>
          <cell r="G588">
            <v>33422.339999999902</v>
          </cell>
          <cell r="H588">
            <v>2516.29</v>
          </cell>
          <cell r="I588">
            <v>1707.8</v>
          </cell>
          <cell r="J588">
            <v>0</v>
          </cell>
          <cell r="K588">
            <v>0</v>
          </cell>
          <cell r="L588">
            <v>1707.8</v>
          </cell>
          <cell r="M588">
            <v>37646.43</v>
          </cell>
          <cell r="N588">
            <v>11507.07</v>
          </cell>
          <cell r="O588">
            <v>0</v>
          </cell>
          <cell r="P588">
            <v>37646.43</v>
          </cell>
          <cell r="Q588">
            <v>11507.07</v>
          </cell>
          <cell r="R588">
            <v>503.55</v>
          </cell>
          <cell r="S588">
            <v>38149.980000000003</v>
          </cell>
          <cell r="T588">
            <v>11003.52</v>
          </cell>
        </row>
        <row r="589">
          <cell r="A589" t="str">
            <v>PLN   Złoty</v>
          </cell>
          <cell r="B589" t="str">
            <v>1000/1429       POLIMAG 405</v>
          </cell>
          <cell r="C589" t="str">
            <v>1000289    PLON A.Dadrzyński</v>
          </cell>
          <cell r="D589" t="str">
            <v>KC Centra dystrybucji</v>
          </cell>
          <cell r="E589">
            <v>7447.5</v>
          </cell>
          <cell r="F589">
            <v>10</v>
          </cell>
          <cell r="G589">
            <v>5894.96</v>
          </cell>
          <cell r="H589">
            <v>381.24</v>
          </cell>
          <cell r="I589">
            <v>258.75</v>
          </cell>
          <cell r="J589">
            <v>0</v>
          </cell>
          <cell r="K589">
            <v>0</v>
          </cell>
          <cell r="L589">
            <v>258.75</v>
          </cell>
          <cell r="M589">
            <v>6534.9499999999898</v>
          </cell>
          <cell r="N589">
            <v>912.54999999999905</v>
          </cell>
          <cell r="O589">
            <v>0</v>
          </cell>
          <cell r="P589">
            <v>6534.9499999999898</v>
          </cell>
          <cell r="Q589">
            <v>912.54999999999905</v>
          </cell>
          <cell r="R589">
            <v>88.819999999999894</v>
          </cell>
          <cell r="S589">
            <v>6623.77</v>
          </cell>
          <cell r="T589">
            <v>823.73</v>
          </cell>
        </row>
        <row r="590">
          <cell r="A590" t="str">
            <v>PLN   Złoty</v>
          </cell>
          <cell r="B590" t="str">
            <v>1000/1429       POLIMAG 405</v>
          </cell>
          <cell r="C590" t="str">
            <v>1000383    ROLMOS</v>
          </cell>
          <cell r="D590" t="str">
            <v>KC Centra dystrybucji</v>
          </cell>
          <cell r="E590">
            <v>7500</v>
          </cell>
          <cell r="F590">
            <v>10</v>
          </cell>
          <cell r="G590">
            <v>5063.9899999999898</v>
          </cell>
          <cell r="H590">
            <v>383.94999999999902</v>
          </cell>
          <cell r="I590">
            <v>258.75</v>
          </cell>
          <cell r="J590">
            <v>0</v>
          </cell>
          <cell r="K590">
            <v>0</v>
          </cell>
          <cell r="L590">
            <v>258.75</v>
          </cell>
          <cell r="M590">
            <v>5706.6899999999896</v>
          </cell>
          <cell r="N590">
            <v>1793.3099999999899</v>
          </cell>
          <cell r="O590">
            <v>0</v>
          </cell>
          <cell r="P590">
            <v>5706.6899999999896</v>
          </cell>
          <cell r="Q590">
            <v>1793.3099999999899</v>
          </cell>
          <cell r="R590">
            <v>76.28</v>
          </cell>
          <cell r="S590">
            <v>5782.97</v>
          </cell>
          <cell r="T590">
            <v>1717.03</v>
          </cell>
        </row>
        <row r="591">
          <cell r="A591" t="str">
            <v>PLN   Złoty</v>
          </cell>
          <cell r="B591" t="str">
            <v>1000/1429       POLIMAG 405</v>
          </cell>
          <cell r="C591" t="str">
            <v>1000403    SOBIANEK</v>
          </cell>
          <cell r="D591" t="str">
            <v>KC Centra dystrybucji</v>
          </cell>
          <cell r="E591">
            <v>15639.75</v>
          </cell>
          <cell r="F591">
            <v>21</v>
          </cell>
          <cell r="G591">
            <v>10634.37</v>
          </cell>
          <cell r="H591">
            <v>800.61</v>
          </cell>
          <cell r="I591">
            <v>543.38999999999896</v>
          </cell>
          <cell r="J591">
            <v>0</v>
          </cell>
          <cell r="K591">
            <v>0</v>
          </cell>
          <cell r="L591">
            <v>543.38999999999896</v>
          </cell>
          <cell r="M591">
            <v>11978.37</v>
          </cell>
          <cell r="N591">
            <v>3661.38</v>
          </cell>
          <cell r="O591">
            <v>0</v>
          </cell>
          <cell r="P591">
            <v>11978.37</v>
          </cell>
          <cell r="Q591">
            <v>3661.38</v>
          </cell>
          <cell r="R591">
            <v>160.22</v>
          </cell>
          <cell r="S591">
            <v>12138.59</v>
          </cell>
          <cell r="T591">
            <v>3501.1599999999899</v>
          </cell>
        </row>
        <row r="592">
          <cell r="A592" t="str">
            <v>PLN   Złoty</v>
          </cell>
          <cell r="B592" t="str">
            <v>1000/1429       POLIMAG 405</v>
          </cell>
          <cell r="C592" t="str">
            <v>1001649    CDN</v>
          </cell>
          <cell r="D592" t="str">
            <v>KC Centra dystrybucji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57515.32</v>
          </cell>
          <cell r="K592">
            <v>0</v>
          </cell>
          <cell r="L592">
            <v>57515.32</v>
          </cell>
          <cell r="M592">
            <v>57515.32</v>
          </cell>
          <cell r="N592">
            <v>-57515.32</v>
          </cell>
          <cell r="O592">
            <v>0</v>
          </cell>
          <cell r="P592">
            <v>57515.32</v>
          </cell>
          <cell r="Q592">
            <v>-57515.32</v>
          </cell>
          <cell r="R592">
            <v>0</v>
          </cell>
          <cell r="S592">
            <v>57515.32</v>
          </cell>
          <cell r="T592">
            <v>-57515.32</v>
          </cell>
        </row>
        <row r="593">
          <cell r="A593" t="str">
            <v>PLN   Złoty</v>
          </cell>
          <cell r="B593" t="str">
            <v>1000/1429       POLIMAG 405</v>
          </cell>
          <cell r="C593" t="str">
            <v>1001662    AMPOL-MEROL Sp. z o.</v>
          </cell>
          <cell r="D593" t="str">
            <v>KC Centra dystrybucji</v>
          </cell>
          <cell r="E593">
            <v>283875</v>
          </cell>
          <cell r="F593">
            <v>378.5</v>
          </cell>
          <cell r="G593">
            <v>225644.62</v>
          </cell>
          <cell r="H593">
            <v>14532.219999999899</v>
          </cell>
          <cell r="I593">
            <v>9793.9699999999903</v>
          </cell>
          <cell r="J593">
            <v>0</v>
          </cell>
          <cell r="K593">
            <v>0</v>
          </cell>
          <cell r="L593">
            <v>9793.9699999999903</v>
          </cell>
          <cell r="M593">
            <v>249970.81</v>
          </cell>
          <cell r="N593">
            <v>33904.19</v>
          </cell>
          <cell r="O593">
            <v>0</v>
          </cell>
          <cell r="P593">
            <v>249970.81</v>
          </cell>
          <cell r="Q593">
            <v>33904.19</v>
          </cell>
          <cell r="R593">
            <v>3399.7199999999898</v>
          </cell>
          <cell r="S593">
            <v>253370.53</v>
          </cell>
          <cell r="T593">
            <v>30504.47</v>
          </cell>
        </row>
        <row r="594">
          <cell r="A594" t="str">
            <v>PLN   Złoty</v>
          </cell>
          <cell r="B594" t="str">
            <v>1000/1429       POLIMAG 405</v>
          </cell>
          <cell r="C594" t="str">
            <v>1002004    AZOT</v>
          </cell>
          <cell r="D594" t="str">
            <v>KC Centra dystrybucji</v>
          </cell>
          <cell r="E594">
            <v>8937</v>
          </cell>
          <cell r="F594">
            <v>12</v>
          </cell>
          <cell r="G594">
            <v>6989.4399999999896</v>
          </cell>
          <cell r="H594">
            <v>457.49</v>
          </cell>
          <cell r="I594">
            <v>310.50999999999902</v>
          </cell>
          <cell r="J594">
            <v>0</v>
          </cell>
          <cell r="K594">
            <v>0</v>
          </cell>
          <cell r="L594">
            <v>310.50999999999902</v>
          </cell>
          <cell r="M594">
            <v>7757.4399999999896</v>
          </cell>
          <cell r="N594">
            <v>1179.5599999999899</v>
          </cell>
          <cell r="O594">
            <v>0</v>
          </cell>
          <cell r="P594">
            <v>7757.4399999999896</v>
          </cell>
          <cell r="Q594">
            <v>1179.5599999999899</v>
          </cell>
          <cell r="R594">
            <v>105.29</v>
          </cell>
          <cell r="S594">
            <v>7862.7299999999896</v>
          </cell>
          <cell r="T594">
            <v>1074.27</v>
          </cell>
        </row>
        <row r="595">
          <cell r="A595" t="str">
            <v>PLN   Złoty</v>
          </cell>
          <cell r="B595" t="str">
            <v>1000/1429       POLIMAG 405</v>
          </cell>
          <cell r="C595" t="str">
            <v>1002005    LAMCH-TOMI</v>
          </cell>
          <cell r="D595" t="str">
            <v>KC Centra dystrybucji</v>
          </cell>
          <cell r="E595">
            <v>7135.3</v>
          </cell>
          <cell r="F595">
            <v>9.98</v>
          </cell>
          <cell r="G595">
            <v>5478.5699999999897</v>
          </cell>
          <cell r="H595">
            <v>365.31</v>
          </cell>
          <cell r="I595">
            <v>258.24</v>
          </cell>
          <cell r="J595">
            <v>0</v>
          </cell>
          <cell r="K595">
            <v>0</v>
          </cell>
          <cell r="L595">
            <v>258.24</v>
          </cell>
          <cell r="M595">
            <v>6102.1199999999899</v>
          </cell>
          <cell r="N595">
            <v>1033.18</v>
          </cell>
          <cell r="O595">
            <v>0</v>
          </cell>
          <cell r="P595">
            <v>6102.1199999999899</v>
          </cell>
          <cell r="Q595">
            <v>1033.18</v>
          </cell>
          <cell r="R595">
            <v>82.54</v>
          </cell>
          <cell r="S595">
            <v>6184.6599999999899</v>
          </cell>
          <cell r="T595">
            <v>950.63999999999896</v>
          </cell>
        </row>
        <row r="596">
          <cell r="A596" t="str">
            <v>PLN   Złoty</v>
          </cell>
          <cell r="B596" t="str">
            <v>1000/1429       POLIMAG 405</v>
          </cell>
          <cell r="C596" t="str">
            <v>1003315    ZAKŁAD OBROTU ROLNEG</v>
          </cell>
          <cell r="D596" t="str">
            <v>KC Centra dystrybucji</v>
          </cell>
          <cell r="E596">
            <v>17874</v>
          </cell>
          <cell r="F596">
            <v>24</v>
          </cell>
          <cell r="G596">
            <v>12153.58</v>
          </cell>
          <cell r="H596">
            <v>915.05999999999904</v>
          </cell>
          <cell r="I596">
            <v>621.00999999999897</v>
          </cell>
          <cell r="J596">
            <v>0</v>
          </cell>
          <cell r="K596">
            <v>0</v>
          </cell>
          <cell r="L596">
            <v>621.00999999999897</v>
          </cell>
          <cell r="M596">
            <v>13689.65</v>
          </cell>
          <cell r="N596">
            <v>4184.3500000000004</v>
          </cell>
          <cell r="O596">
            <v>0</v>
          </cell>
          <cell r="P596">
            <v>13689.65</v>
          </cell>
          <cell r="Q596">
            <v>4184.3500000000004</v>
          </cell>
          <cell r="R596">
            <v>183.12</v>
          </cell>
          <cell r="S596">
            <v>13872.77</v>
          </cell>
          <cell r="T596">
            <v>4001.23</v>
          </cell>
        </row>
        <row r="597">
          <cell r="A597" t="str">
            <v>PLN   Złoty</v>
          </cell>
          <cell r="B597" t="str">
            <v>1000/1429       POLIMAG 405</v>
          </cell>
          <cell r="C597" t="str">
            <v>1003857    EDMAR</v>
          </cell>
          <cell r="D597" t="str">
            <v>KC Centra dystrybucji</v>
          </cell>
          <cell r="E597">
            <v>39000</v>
          </cell>
          <cell r="F597">
            <v>52</v>
          </cell>
          <cell r="G597">
            <v>30653.82</v>
          </cell>
          <cell r="H597">
            <v>1996.48</v>
          </cell>
          <cell r="I597">
            <v>1345.53</v>
          </cell>
          <cell r="J597">
            <v>0</v>
          </cell>
          <cell r="K597">
            <v>0</v>
          </cell>
          <cell r="L597">
            <v>1345.53</v>
          </cell>
          <cell r="M597">
            <v>33995.83</v>
          </cell>
          <cell r="N597">
            <v>5004.17</v>
          </cell>
          <cell r="O597">
            <v>0</v>
          </cell>
          <cell r="P597">
            <v>33995.83</v>
          </cell>
          <cell r="Q597">
            <v>5004.17</v>
          </cell>
          <cell r="R597">
            <v>461.86</v>
          </cell>
          <cell r="S597">
            <v>34457.69</v>
          </cell>
          <cell r="T597">
            <v>4542.3100000000004</v>
          </cell>
        </row>
        <row r="598">
          <cell r="A598" t="str">
            <v>PLN   Złoty</v>
          </cell>
          <cell r="B598" t="str">
            <v>1000/1429       POLIMAG 405</v>
          </cell>
          <cell r="C598" t="str">
            <v>1004168    "OSADKOWSKI" SPÓŁKA</v>
          </cell>
          <cell r="D598" t="str">
            <v>KC Centra dystrybucji</v>
          </cell>
          <cell r="E598">
            <v>11916</v>
          </cell>
          <cell r="F598">
            <v>16</v>
          </cell>
          <cell r="G598">
            <v>8102.39</v>
          </cell>
          <cell r="H598">
            <v>609.99</v>
          </cell>
          <cell r="I598">
            <v>414.00999999999902</v>
          </cell>
          <cell r="J598">
            <v>0</v>
          </cell>
          <cell r="K598">
            <v>0</v>
          </cell>
          <cell r="L598">
            <v>414.00999999999902</v>
          </cell>
          <cell r="M598">
            <v>9126.3899999999903</v>
          </cell>
          <cell r="N598">
            <v>2789.61</v>
          </cell>
          <cell r="O598">
            <v>0</v>
          </cell>
          <cell r="P598">
            <v>9126.3899999999903</v>
          </cell>
          <cell r="Q598">
            <v>2789.61</v>
          </cell>
          <cell r="R598">
            <v>122.069999999999</v>
          </cell>
          <cell r="S598">
            <v>9248.45999999999</v>
          </cell>
          <cell r="T598">
            <v>2667.54</v>
          </cell>
        </row>
        <row r="599">
          <cell r="A599" t="str">
            <v>PLN   Złoty</v>
          </cell>
          <cell r="B599" t="str">
            <v>1000/1430       POLIMAG S 5101</v>
          </cell>
          <cell r="C599" t="str">
            <v>1000080    CN-KIELCE</v>
          </cell>
          <cell r="D599" t="str">
            <v>KC Centra dystrybucji</v>
          </cell>
          <cell r="E599">
            <v>16800</v>
          </cell>
          <cell r="F599">
            <v>16</v>
          </cell>
          <cell r="G599">
            <v>14163.95</v>
          </cell>
          <cell r="H599">
            <v>860.02999999999895</v>
          </cell>
          <cell r="I599">
            <v>343.97</v>
          </cell>
          <cell r="J599">
            <v>0</v>
          </cell>
          <cell r="K599">
            <v>0</v>
          </cell>
          <cell r="L599">
            <v>343.97</v>
          </cell>
          <cell r="M599">
            <v>15367.95</v>
          </cell>
          <cell r="N599">
            <v>1432.05</v>
          </cell>
          <cell r="O599">
            <v>0</v>
          </cell>
          <cell r="P599">
            <v>15367.95</v>
          </cell>
          <cell r="Q599">
            <v>1432.05</v>
          </cell>
          <cell r="R599">
            <v>213.38999999999899</v>
          </cell>
          <cell r="S599">
            <v>15581.34</v>
          </cell>
          <cell r="T599">
            <v>1218.6600000000001</v>
          </cell>
        </row>
        <row r="600">
          <cell r="A600" t="str">
            <v>PLN   Złoty</v>
          </cell>
          <cell r="B600" t="str">
            <v>1000/1430       POLIMAG S 5101</v>
          </cell>
          <cell r="C600" t="str">
            <v>1000192    ROLBUD</v>
          </cell>
          <cell r="D600" t="str">
            <v>KC Centra dystrybucji</v>
          </cell>
          <cell r="E600">
            <v>12511.799999999899</v>
          </cell>
          <cell r="F600">
            <v>12</v>
          </cell>
          <cell r="G600">
            <v>10622.959999999901</v>
          </cell>
          <cell r="H600">
            <v>640.5</v>
          </cell>
          <cell r="I600">
            <v>257.98</v>
          </cell>
          <cell r="J600">
            <v>0</v>
          </cell>
          <cell r="K600">
            <v>0</v>
          </cell>
          <cell r="L600">
            <v>257.98</v>
          </cell>
          <cell r="M600">
            <v>11521.44</v>
          </cell>
          <cell r="N600">
            <v>990.36</v>
          </cell>
          <cell r="O600">
            <v>0</v>
          </cell>
          <cell r="P600">
            <v>11521.44</v>
          </cell>
          <cell r="Q600">
            <v>990.36</v>
          </cell>
          <cell r="R600">
            <v>160.06</v>
          </cell>
          <cell r="S600">
            <v>11681.5</v>
          </cell>
          <cell r="T600">
            <v>830.29999999999905</v>
          </cell>
        </row>
        <row r="601">
          <cell r="A601" t="str">
            <v>PLN   Złoty</v>
          </cell>
          <cell r="B601" t="str">
            <v>1000/1430       POLIMAG S 5101</v>
          </cell>
          <cell r="C601" t="str">
            <v>1000205    SKŁODOWSKI</v>
          </cell>
          <cell r="D601" t="str">
            <v>KC Centra dystrybucji</v>
          </cell>
          <cell r="E601">
            <v>9383.86</v>
          </cell>
          <cell r="F601">
            <v>9</v>
          </cell>
          <cell r="G601">
            <v>7967.22</v>
          </cell>
          <cell r="H601">
            <v>480.41</v>
          </cell>
          <cell r="I601">
            <v>193.479999999999</v>
          </cell>
          <cell r="J601">
            <v>0</v>
          </cell>
          <cell r="K601">
            <v>0</v>
          </cell>
          <cell r="L601">
            <v>193.479999999999</v>
          </cell>
          <cell r="M601">
            <v>8641.11</v>
          </cell>
          <cell r="N601">
            <v>742.75</v>
          </cell>
          <cell r="O601">
            <v>0</v>
          </cell>
          <cell r="P601">
            <v>8641.11</v>
          </cell>
          <cell r="Q601">
            <v>742.75</v>
          </cell>
          <cell r="R601">
            <v>120.06</v>
          </cell>
          <cell r="S601">
            <v>8761.17</v>
          </cell>
          <cell r="T601">
            <v>622.69000000000005</v>
          </cell>
        </row>
        <row r="602">
          <cell r="A602" t="str">
            <v>PLN   Złoty</v>
          </cell>
          <cell r="B602" t="str">
            <v>1000/1430       POLIMAG S 5101</v>
          </cell>
          <cell r="C602" t="str">
            <v>1000219    BUTOR</v>
          </cell>
          <cell r="D602" t="str">
            <v>KC Centra dystrybucji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</row>
        <row r="603">
          <cell r="A603" t="str">
            <v>PLN   Złoty</v>
          </cell>
          <cell r="B603" t="str">
            <v>1000/1430       POLIMAG S 5101</v>
          </cell>
          <cell r="C603" t="str">
            <v>1000222    ROLPOL</v>
          </cell>
          <cell r="D603" t="str">
            <v>KC Centra dystrybucji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</row>
        <row r="604">
          <cell r="A604" t="str">
            <v>PLN   Złoty</v>
          </cell>
          <cell r="B604" t="str">
            <v>1000/1430       POLIMAG S 5101</v>
          </cell>
          <cell r="C604" t="str">
            <v>1000235    SPÓŁDZIELNIA PRACY "</v>
          </cell>
          <cell r="D604" t="str">
            <v>KC Centra dystrybucji</v>
          </cell>
          <cell r="E604">
            <v>25023.5999999999</v>
          </cell>
          <cell r="F604">
            <v>24</v>
          </cell>
          <cell r="G604">
            <v>21245.9199999999</v>
          </cell>
          <cell r="H604">
            <v>1281</v>
          </cell>
          <cell r="I604">
            <v>515.97</v>
          </cell>
          <cell r="J604">
            <v>0</v>
          </cell>
          <cell r="K604">
            <v>0</v>
          </cell>
          <cell r="L604">
            <v>515.97</v>
          </cell>
          <cell r="M604">
            <v>23042.889999999901</v>
          </cell>
          <cell r="N604">
            <v>1980.71</v>
          </cell>
          <cell r="O604">
            <v>0</v>
          </cell>
          <cell r="P604">
            <v>23042.889999999901</v>
          </cell>
          <cell r="Q604">
            <v>1980.71</v>
          </cell>
          <cell r="R604">
            <v>320.11</v>
          </cell>
          <cell r="S604">
            <v>23363</v>
          </cell>
          <cell r="T604">
            <v>1660.5999999999899</v>
          </cell>
        </row>
        <row r="605">
          <cell r="A605" t="str">
            <v>PLN   Złoty</v>
          </cell>
          <cell r="B605" t="str">
            <v>1000/1430       POLIMAG S 5101</v>
          </cell>
          <cell r="C605" t="str">
            <v>1000252    AGROSKŁAD</v>
          </cell>
          <cell r="D605" t="str">
            <v>KC Centra dystrybucji</v>
          </cell>
          <cell r="E605">
            <v>8341.2000000000007</v>
          </cell>
          <cell r="F605">
            <v>8</v>
          </cell>
          <cell r="G605">
            <v>7081.97</v>
          </cell>
          <cell r="H605">
            <v>426.99</v>
          </cell>
          <cell r="I605">
            <v>171.99</v>
          </cell>
          <cell r="J605">
            <v>0</v>
          </cell>
          <cell r="K605">
            <v>0</v>
          </cell>
          <cell r="L605">
            <v>171.99</v>
          </cell>
          <cell r="M605">
            <v>7680.9499999999898</v>
          </cell>
          <cell r="N605">
            <v>660.25</v>
          </cell>
          <cell r="O605">
            <v>0</v>
          </cell>
          <cell r="P605">
            <v>7680.9499999999898</v>
          </cell>
          <cell r="Q605">
            <v>660.25</v>
          </cell>
          <cell r="R605">
            <v>106.7</v>
          </cell>
          <cell r="S605">
            <v>7787.6499999999896</v>
          </cell>
          <cell r="T605">
            <v>553.54999999999905</v>
          </cell>
        </row>
        <row r="606">
          <cell r="A606" t="str">
            <v>PLN   Złoty</v>
          </cell>
          <cell r="B606" t="str">
            <v>1000/1430       POLIMAG S 5101</v>
          </cell>
          <cell r="C606" t="str">
            <v>1000263    PRO-AGRO</v>
          </cell>
          <cell r="D606" t="str">
            <v>KC Centra dystrybucji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</row>
        <row r="607">
          <cell r="A607" t="str">
            <v>PLN   Złoty</v>
          </cell>
          <cell r="B607" t="str">
            <v>1000/1430       POLIMAG S 5101</v>
          </cell>
          <cell r="C607" t="str">
            <v>1000403    SOBIANEK</v>
          </cell>
          <cell r="D607" t="str">
            <v>KC Centra dystrybucji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</row>
        <row r="608">
          <cell r="A608" t="str">
            <v>PLN   Złoty</v>
          </cell>
          <cell r="B608" t="str">
            <v>1000/1430       POLIMAG S 5101</v>
          </cell>
          <cell r="C608" t="str">
            <v>1000415    GÓRKA</v>
          </cell>
          <cell r="D608" t="str">
            <v>KC Centra dystrybucji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</row>
        <row r="609">
          <cell r="A609" t="str">
            <v>PLN   Złoty</v>
          </cell>
          <cell r="B609" t="str">
            <v>1000/1430       POLIMAG S 5101</v>
          </cell>
          <cell r="C609" t="str">
            <v>1000675    Zaopatrz.Roln. Andrz</v>
          </cell>
          <cell r="D609" t="str">
            <v>KC Centra dystrybucji</v>
          </cell>
          <cell r="E609">
            <v>18767.7</v>
          </cell>
          <cell r="F609">
            <v>18</v>
          </cell>
          <cell r="G609">
            <v>15934.44</v>
          </cell>
          <cell r="H609">
            <v>960.73</v>
          </cell>
          <cell r="I609">
            <v>386.97</v>
          </cell>
          <cell r="J609">
            <v>0</v>
          </cell>
          <cell r="K609">
            <v>0</v>
          </cell>
          <cell r="L609">
            <v>386.97</v>
          </cell>
          <cell r="M609">
            <v>17282.139999999901</v>
          </cell>
          <cell r="N609">
            <v>1485.5599999999899</v>
          </cell>
          <cell r="O609">
            <v>0</v>
          </cell>
          <cell r="P609">
            <v>17282.139999999901</v>
          </cell>
          <cell r="Q609">
            <v>1485.5599999999899</v>
          </cell>
          <cell r="R609">
            <v>240.05</v>
          </cell>
          <cell r="S609">
            <v>17522.1899999999</v>
          </cell>
          <cell r="T609">
            <v>1245.51</v>
          </cell>
        </row>
        <row r="610">
          <cell r="A610" t="str">
            <v>PLN   Złoty</v>
          </cell>
          <cell r="B610" t="str">
            <v>1000/1430       POLIMAG S 5101</v>
          </cell>
          <cell r="C610" t="str">
            <v>1001519    "ARGOL" LESZEK KALIS</v>
          </cell>
          <cell r="D610" t="str">
            <v>KC Centra dystrybucji</v>
          </cell>
          <cell r="E610">
            <v>36750</v>
          </cell>
          <cell r="F610">
            <v>35</v>
          </cell>
          <cell r="G610">
            <v>30983.639999999901</v>
          </cell>
          <cell r="H610">
            <v>1881.3099999999899</v>
          </cell>
          <cell r="I610">
            <v>752.44</v>
          </cell>
          <cell r="J610">
            <v>0</v>
          </cell>
          <cell r="K610">
            <v>0</v>
          </cell>
          <cell r="L610">
            <v>752.44</v>
          </cell>
          <cell r="M610">
            <v>33617.389999999898</v>
          </cell>
          <cell r="N610">
            <v>3132.61</v>
          </cell>
          <cell r="O610">
            <v>0</v>
          </cell>
          <cell r="P610">
            <v>33617.389999999898</v>
          </cell>
          <cell r="Q610">
            <v>3132.61</v>
          </cell>
          <cell r="R610">
            <v>466.81</v>
          </cell>
          <cell r="S610">
            <v>34084.199999999903</v>
          </cell>
          <cell r="T610">
            <v>2665.8</v>
          </cell>
        </row>
        <row r="611">
          <cell r="A611" t="str">
            <v>PLN   Złoty</v>
          </cell>
          <cell r="B611" t="str">
            <v>1000/1430       POLIMAG S 5101</v>
          </cell>
          <cell r="C611" t="str">
            <v>1001983    FAZOT</v>
          </cell>
          <cell r="D611" t="str">
            <v>KC Centra dystrybucji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</row>
        <row r="612">
          <cell r="A612" t="str">
            <v>PLN   Złoty</v>
          </cell>
          <cell r="B612" t="str">
            <v>1000/1430       POLIMAG S 5101</v>
          </cell>
          <cell r="C612" t="str">
            <v>1001991    WAMEX</v>
          </cell>
          <cell r="D612" t="str">
            <v>KC Centra dystrybucji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</row>
        <row r="613">
          <cell r="A613" t="str">
            <v>PLN   Złoty</v>
          </cell>
          <cell r="B613" t="str">
            <v>1000/1430       POLIMAG S 5101</v>
          </cell>
          <cell r="C613" t="str">
            <v>1003315    ZAKŁAD OBROTU ROLNEG</v>
          </cell>
          <cell r="D613" t="str">
            <v>KC Centra dystrybucji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</row>
        <row r="614">
          <cell r="A614" t="str">
            <v>PLN   Złoty</v>
          </cell>
          <cell r="B614" t="str">
            <v>1000/1430       POLIMAG S 5101</v>
          </cell>
          <cell r="C614" t="str">
            <v>1003696    ZIELEŃ-BOGUSŁAWSCY</v>
          </cell>
          <cell r="D614" t="str">
            <v>KC Centra dystrybucji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</row>
        <row r="615">
          <cell r="A615" t="str">
            <v>PLN   Złoty</v>
          </cell>
          <cell r="B615" t="str">
            <v>1000/1430       POLIMAG S 5101</v>
          </cell>
          <cell r="C615" t="str">
            <v>1003857    EDMAR</v>
          </cell>
          <cell r="D615" t="str">
            <v>KC Centra dystrybucji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</row>
        <row r="616">
          <cell r="A616" t="str">
            <v>PLN   Złoty</v>
          </cell>
          <cell r="B616" t="str">
            <v>1000/1430       POLIMAG S 5101</v>
          </cell>
          <cell r="C616" t="str">
            <v>1004168    "OSADKOWSKI" SPÓŁKA</v>
          </cell>
          <cell r="D616" t="str">
            <v>KC Centra dystrybucji</v>
          </cell>
          <cell r="E616">
            <v>12600</v>
          </cell>
          <cell r="F616">
            <v>12</v>
          </cell>
          <cell r="G616">
            <v>10622.959999999901</v>
          </cell>
          <cell r="H616">
            <v>645.02999999999895</v>
          </cell>
          <cell r="I616">
            <v>257.98</v>
          </cell>
          <cell r="J616">
            <v>0</v>
          </cell>
          <cell r="K616">
            <v>0</v>
          </cell>
          <cell r="L616">
            <v>257.98</v>
          </cell>
          <cell r="M616">
            <v>11525.969999999899</v>
          </cell>
          <cell r="N616">
            <v>1074.03</v>
          </cell>
          <cell r="O616">
            <v>0</v>
          </cell>
          <cell r="P616">
            <v>11525.969999999899</v>
          </cell>
          <cell r="Q616">
            <v>1074.03</v>
          </cell>
          <cell r="R616">
            <v>160.06</v>
          </cell>
          <cell r="S616">
            <v>11686.03</v>
          </cell>
          <cell r="T616">
            <v>913.97</v>
          </cell>
        </row>
        <row r="617">
          <cell r="A617" t="str">
            <v>PLN   Złoty</v>
          </cell>
          <cell r="B617" t="str">
            <v>1000/1431       NPK 8-11-24-3</v>
          </cell>
          <cell r="C617" t="str">
            <v>1000080    CN-KIELCE</v>
          </cell>
          <cell r="D617" t="str">
            <v>KC Centra dystrybucji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67.98</v>
          </cell>
          <cell r="J617">
            <v>0</v>
          </cell>
          <cell r="K617">
            <v>0</v>
          </cell>
          <cell r="L617">
            <v>67.98</v>
          </cell>
          <cell r="M617">
            <v>67.98</v>
          </cell>
          <cell r="N617">
            <v>-67.98</v>
          </cell>
          <cell r="O617">
            <v>0</v>
          </cell>
          <cell r="P617">
            <v>67.98</v>
          </cell>
          <cell r="Q617">
            <v>-67.98</v>
          </cell>
          <cell r="R617">
            <v>0</v>
          </cell>
          <cell r="S617">
            <v>67.98</v>
          </cell>
          <cell r="T617">
            <v>-67.98</v>
          </cell>
        </row>
        <row r="618">
          <cell r="A618" t="str">
            <v>PLN   Złoty</v>
          </cell>
          <cell r="B618" t="str">
            <v>1000/1431       NPK 8-11-24-3</v>
          </cell>
          <cell r="C618" t="str">
            <v>1000263    PRO-AGRO</v>
          </cell>
          <cell r="D618" t="str">
            <v>KC Centra dystrybucji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815.74</v>
          </cell>
          <cell r="J618">
            <v>0</v>
          </cell>
          <cell r="K618">
            <v>0</v>
          </cell>
          <cell r="L618">
            <v>815.74</v>
          </cell>
          <cell r="M618">
            <v>815.74</v>
          </cell>
          <cell r="N618">
            <v>-815.74</v>
          </cell>
          <cell r="O618">
            <v>0</v>
          </cell>
          <cell r="P618">
            <v>815.74</v>
          </cell>
          <cell r="Q618">
            <v>-815.74</v>
          </cell>
          <cell r="R618">
            <v>0</v>
          </cell>
          <cell r="S618">
            <v>815.74</v>
          </cell>
          <cell r="T618">
            <v>-815.74</v>
          </cell>
        </row>
        <row r="619">
          <cell r="A619" t="str">
            <v>PLN   Złoty</v>
          </cell>
          <cell r="B619" t="str">
            <v>1000/1431       NPK 8-11-24-3</v>
          </cell>
          <cell r="C619" t="str">
            <v>1000524    "CHEMIROL" SP. Z O.O</v>
          </cell>
          <cell r="D619" t="str">
            <v>KC Centra dystrybucji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203.94</v>
          </cell>
          <cell r="J619">
            <v>0</v>
          </cell>
          <cell r="K619">
            <v>0</v>
          </cell>
          <cell r="L619">
            <v>203.94</v>
          </cell>
          <cell r="M619">
            <v>203.94</v>
          </cell>
          <cell r="N619">
            <v>-203.94</v>
          </cell>
          <cell r="O619">
            <v>0</v>
          </cell>
          <cell r="P619">
            <v>203.94</v>
          </cell>
          <cell r="Q619">
            <v>-203.94</v>
          </cell>
          <cell r="R619">
            <v>0</v>
          </cell>
          <cell r="S619">
            <v>203.94</v>
          </cell>
          <cell r="T619">
            <v>-203.94</v>
          </cell>
        </row>
        <row r="620">
          <cell r="A620" t="str">
            <v>PLN   Złoty</v>
          </cell>
          <cell r="B620" t="str">
            <v>1000/1431       NPK 8-11-24-3</v>
          </cell>
          <cell r="C620" t="str">
            <v>1000662    "AGRO-HANDLOWIEC" K</v>
          </cell>
          <cell r="D620" t="str">
            <v>KC Centra dystrybucji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186.94</v>
          </cell>
          <cell r="J620">
            <v>0</v>
          </cell>
          <cell r="K620">
            <v>0</v>
          </cell>
          <cell r="L620">
            <v>186.94</v>
          </cell>
          <cell r="M620">
            <v>186.94</v>
          </cell>
          <cell r="N620">
            <v>-186.94</v>
          </cell>
          <cell r="O620">
            <v>0</v>
          </cell>
          <cell r="P620">
            <v>186.94</v>
          </cell>
          <cell r="Q620">
            <v>-186.94</v>
          </cell>
          <cell r="R620">
            <v>0</v>
          </cell>
          <cell r="S620">
            <v>186.94</v>
          </cell>
          <cell r="T620">
            <v>-186.94</v>
          </cell>
        </row>
        <row r="621">
          <cell r="A621" t="str">
            <v>PLN   Złoty</v>
          </cell>
          <cell r="B621" t="str">
            <v>1000/1431       NPK 8-11-24-3</v>
          </cell>
          <cell r="C621" t="str">
            <v>1001983    FAZOT</v>
          </cell>
          <cell r="D621" t="str">
            <v>KC Centra dystrybucji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611.80999999999904</v>
          </cell>
          <cell r="J621">
            <v>0</v>
          </cell>
          <cell r="K621">
            <v>0</v>
          </cell>
          <cell r="L621">
            <v>611.80999999999904</v>
          </cell>
          <cell r="M621">
            <v>611.80999999999904</v>
          </cell>
          <cell r="N621">
            <v>-611.80999999999904</v>
          </cell>
          <cell r="O621">
            <v>0</v>
          </cell>
          <cell r="P621">
            <v>611.80999999999904</v>
          </cell>
          <cell r="Q621">
            <v>-611.80999999999904</v>
          </cell>
          <cell r="R621">
            <v>0</v>
          </cell>
          <cell r="S621">
            <v>611.80999999999904</v>
          </cell>
          <cell r="T621">
            <v>-611.80999999999904</v>
          </cell>
        </row>
        <row r="622">
          <cell r="A622" t="str">
            <v>PLN   Złoty</v>
          </cell>
          <cell r="B622" t="str">
            <v>1000/1431       NPK 8-11-24-3</v>
          </cell>
          <cell r="C622" t="str">
            <v>1002912    "SOMIR" SP. Z O.O.</v>
          </cell>
          <cell r="D622" t="str">
            <v>KC Centra dystrybucji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611.80999999999904</v>
          </cell>
          <cell r="J622">
            <v>0</v>
          </cell>
          <cell r="K622">
            <v>0</v>
          </cell>
          <cell r="L622">
            <v>611.80999999999904</v>
          </cell>
          <cell r="M622">
            <v>611.80999999999904</v>
          </cell>
          <cell r="N622">
            <v>-611.80999999999904</v>
          </cell>
          <cell r="O622">
            <v>0</v>
          </cell>
          <cell r="P622">
            <v>611.80999999999904</v>
          </cell>
          <cell r="Q622">
            <v>-611.80999999999904</v>
          </cell>
          <cell r="R622">
            <v>0</v>
          </cell>
          <cell r="S622">
            <v>611.80999999999904</v>
          </cell>
          <cell r="T622">
            <v>-611.80999999999904</v>
          </cell>
        </row>
        <row r="623">
          <cell r="A623" t="str">
            <v>PLN   Złoty</v>
          </cell>
          <cell r="B623" t="str">
            <v>1000/1431       NPK 8-11-24-3</v>
          </cell>
          <cell r="C623" t="str">
            <v>1003605    "AGROMUND"</v>
          </cell>
          <cell r="D623" t="str">
            <v>KC Centra dystrybucji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212.43</v>
          </cell>
          <cell r="J623">
            <v>0</v>
          </cell>
          <cell r="K623">
            <v>0</v>
          </cell>
          <cell r="L623">
            <v>212.43</v>
          </cell>
          <cell r="M623">
            <v>212.43</v>
          </cell>
          <cell r="N623">
            <v>-212.43</v>
          </cell>
          <cell r="O623">
            <v>0</v>
          </cell>
          <cell r="P623">
            <v>212.43</v>
          </cell>
          <cell r="Q623">
            <v>-212.43</v>
          </cell>
          <cell r="R623">
            <v>0</v>
          </cell>
          <cell r="S623">
            <v>212.43</v>
          </cell>
          <cell r="T623">
            <v>-212.43</v>
          </cell>
        </row>
        <row r="624">
          <cell r="A624" t="str">
            <v>PLN   Złoty</v>
          </cell>
          <cell r="B624" t="str">
            <v>1000/1457       NPK 5-10-30Petroplon</v>
          </cell>
          <cell r="C624" t="str">
            <v>1000205    SKŁODOWSKI</v>
          </cell>
          <cell r="D624" t="str">
            <v>KC Centra dystrybucji</v>
          </cell>
          <cell r="E624">
            <v>17000</v>
          </cell>
          <cell r="F624">
            <v>20</v>
          </cell>
          <cell r="G624">
            <v>12126.01</v>
          </cell>
          <cell r="H624">
            <v>870.23</v>
          </cell>
          <cell r="I624">
            <v>469.1</v>
          </cell>
          <cell r="J624">
            <v>0</v>
          </cell>
          <cell r="K624">
            <v>0</v>
          </cell>
          <cell r="L624">
            <v>469.1</v>
          </cell>
          <cell r="M624">
            <v>13465.34</v>
          </cell>
          <cell r="N624">
            <v>3534.6599999999899</v>
          </cell>
          <cell r="O624">
            <v>0</v>
          </cell>
          <cell r="P624">
            <v>13465.34</v>
          </cell>
          <cell r="Q624">
            <v>3534.6599999999899</v>
          </cell>
          <cell r="R624">
            <v>182.69</v>
          </cell>
          <cell r="S624">
            <v>13648.03</v>
          </cell>
          <cell r="T624">
            <v>3351.9699999999898</v>
          </cell>
        </row>
        <row r="625">
          <cell r="A625" t="str">
            <v>PLN   Złoty</v>
          </cell>
          <cell r="B625" t="str">
            <v>1000/1457       NPK 5-10-30Petroplon</v>
          </cell>
          <cell r="C625" t="str">
            <v>1000222    ROLPOL</v>
          </cell>
          <cell r="D625" t="str">
            <v>KC Centra dystrybucji</v>
          </cell>
          <cell r="E625">
            <v>9284.5499999999902</v>
          </cell>
          <cell r="F625">
            <v>11</v>
          </cell>
          <cell r="G625">
            <v>6669.31</v>
          </cell>
          <cell r="H625">
            <v>475.25999999999902</v>
          </cell>
          <cell r="I625">
            <v>258.00999999999902</v>
          </cell>
          <cell r="J625">
            <v>0</v>
          </cell>
          <cell r="K625">
            <v>0</v>
          </cell>
          <cell r="L625">
            <v>258.00999999999902</v>
          </cell>
          <cell r="M625">
            <v>7402.5799999999899</v>
          </cell>
          <cell r="N625">
            <v>1881.97</v>
          </cell>
          <cell r="O625">
            <v>0</v>
          </cell>
          <cell r="P625">
            <v>7402.5799999999899</v>
          </cell>
          <cell r="Q625">
            <v>1881.97</v>
          </cell>
          <cell r="R625">
            <v>100.489999999999</v>
          </cell>
          <cell r="S625">
            <v>7503.0699999999897</v>
          </cell>
          <cell r="T625">
            <v>1781.48</v>
          </cell>
        </row>
        <row r="626">
          <cell r="A626" t="str">
            <v>PLN   Złoty</v>
          </cell>
          <cell r="B626" t="str">
            <v>1000/1457       NPK 5-10-30Petroplon</v>
          </cell>
          <cell r="C626" t="str">
            <v>1000383    ROLMOS</v>
          </cell>
          <cell r="D626" t="str">
            <v>KC Centra dystrybucji</v>
          </cell>
          <cell r="E626">
            <v>2550</v>
          </cell>
          <cell r="F626">
            <v>3</v>
          </cell>
          <cell r="G626">
            <v>1818.9</v>
          </cell>
          <cell r="H626">
            <v>130.53</v>
          </cell>
          <cell r="I626">
            <v>70.37</v>
          </cell>
          <cell r="J626">
            <v>0</v>
          </cell>
          <cell r="K626">
            <v>0</v>
          </cell>
          <cell r="L626">
            <v>70.37</v>
          </cell>
          <cell r="M626">
            <v>2019.8</v>
          </cell>
          <cell r="N626">
            <v>530.20000000000005</v>
          </cell>
          <cell r="O626">
            <v>0</v>
          </cell>
          <cell r="P626">
            <v>2019.8</v>
          </cell>
          <cell r="Q626">
            <v>530.20000000000005</v>
          </cell>
          <cell r="R626">
            <v>27.43</v>
          </cell>
          <cell r="S626">
            <v>2047.23</v>
          </cell>
          <cell r="T626">
            <v>502.76999999999902</v>
          </cell>
        </row>
        <row r="627">
          <cell r="A627" t="str">
            <v>PLN   Złoty</v>
          </cell>
          <cell r="B627" t="str">
            <v>1000/1457       NPK 5-10-30Petroplon</v>
          </cell>
          <cell r="C627" t="str">
            <v>1000403    SOBIANEK</v>
          </cell>
          <cell r="D627" t="str">
            <v>KC Centra dystrybucji</v>
          </cell>
          <cell r="E627">
            <v>81872.850000000006</v>
          </cell>
          <cell r="F627">
            <v>97</v>
          </cell>
          <cell r="G627">
            <v>58811.18</v>
          </cell>
          <cell r="H627">
            <v>4191.22</v>
          </cell>
          <cell r="I627">
            <v>2275.17</v>
          </cell>
          <cell r="J627">
            <v>0</v>
          </cell>
          <cell r="K627">
            <v>0</v>
          </cell>
          <cell r="L627">
            <v>2275.17</v>
          </cell>
          <cell r="M627">
            <v>65277.57</v>
          </cell>
          <cell r="N627">
            <v>16595.279999999901</v>
          </cell>
          <cell r="O627">
            <v>0</v>
          </cell>
          <cell r="P627">
            <v>65277.57</v>
          </cell>
          <cell r="Q627">
            <v>16595.279999999901</v>
          </cell>
          <cell r="R627">
            <v>886.08</v>
          </cell>
          <cell r="S627">
            <v>66163.649999999907</v>
          </cell>
          <cell r="T627">
            <v>15709.2</v>
          </cell>
        </row>
        <row r="628">
          <cell r="A628" t="str">
            <v>PLN   Złoty</v>
          </cell>
          <cell r="B628" t="str">
            <v>1000/1457       NPK 5-10-30Petroplon</v>
          </cell>
          <cell r="C628" t="str">
            <v>1001994    SKR-STRZELCE</v>
          </cell>
          <cell r="D628" t="str">
            <v>KC Centra dystrybucji</v>
          </cell>
          <cell r="E628">
            <v>20257.2</v>
          </cell>
          <cell r="F628">
            <v>24</v>
          </cell>
          <cell r="G628">
            <v>14551.219999999899</v>
          </cell>
          <cell r="H628">
            <v>1036.96</v>
          </cell>
          <cell r="I628">
            <v>562.92999999999904</v>
          </cell>
          <cell r="J628">
            <v>0</v>
          </cell>
          <cell r="K628">
            <v>0</v>
          </cell>
          <cell r="L628">
            <v>562.92999999999904</v>
          </cell>
          <cell r="M628">
            <v>16151.11</v>
          </cell>
          <cell r="N628">
            <v>4106.09</v>
          </cell>
          <cell r="O628">
            <v>0</v>
          </cell>
          <cell r="P628">
            <v>16151.11</v>
          </cell>
          <cell r="Q628">
            <v>4106.09</v>
          </cell>
          <cell r="R628">
            <v>219.24</v>
          </cell>
          <cell r="S628">
            <v>16370.35</v>
          </cell>
          <cell r="T628">
            <v>3886.8499999999899</v>
          </cell>
        </row>
        <row r="629">
          <cell r="A629" t="str">
            <v>PLN   Złoty</v>
          </cell>
          <cell r="B629" t="str">
            <v>1000/1457       NPK 5-10-30Petroplon</v>
          </cell>
          <cell r="C629" t="str">
            <v>1003315    ZAKŁAD OBROTU ROLNEG</v>
          </cell>
          <cell r="D629" t="str">
            <v>KC Centra dystrybucji</v>
          </cell>
          <cell r="E629">
            <v>8440.5</v>
          </cell>
          <cell r="F629">
            <v>10</v>
          </cell>
          <cell r="G629">
            <v>6063.01</v>
          </cell>
          <cell r="H629">
            <v>432.08999999999901</v>
          </cell>
          <cell r="I629">
            <v>234.55</v>
          </cell>
          <cell r="J629">
            <v>0</v>
          </cell>
          <cell r="K629">
            <v>0</v>
          </cell>
          <cell r="L629">
            <v>234.55</v>
          </cell>
          <cell r="M629">
            <v>6729.6499999999896</v>
          </cell>
          <cell r="N629">
            <v>1710.8499999999899</v>
          </cell>
          <cell r="O629">
            <v>0</v>
          </cell>
          <cell r="P629">
            <v>6729.6499999999896</v>
          </cell>
          <cell r="Q629">
            <v>1710.8499999999899</v>
          </cell>
          <cell r="R629">
            <v>91.37</v>
          </cell>
          <cell r="S629">
            <v>6821.02</v>
          </cell>
          <cell r="T629">
            <v>1619.48</v>
          </cell>
        </row>
        <row r="630">
          <cell r="A630" t="str">
            <v>PLN   Złoty</v>
          </cell>
          <cell r="B630" t="str">
            <v>1000/1411       NPK MG 5-15-30-2</v>
          </cell>
          <cell r="C630" t="str">
            <v>3000000    ZBIORCZY</v>
          </cell>
          <cell r="D630" t="str">
            <v>KG Sprzed. gotówkowa</v>
          </cell>
          <cell r="E630">
            <v>1568</v>
          </cell>
          <cell r="F630">
            <v>1.6</v>
          </cell>
          <cell r="G630">
            <v>1049.76</v>
          </cell>
          <cell r="H630">
            <v>80.299999999999898</v>
          </cell>
          <cell r="I630">
            <v>39.03</v>
          </cell>
          <cell r="J630">
            <v>0</v>
          </cell>
          <cell r="K630">
            <v>0</v>
          </cell>
          <cell r="L630">
            <v>39.03</v>
          </cell>
          <cell r="M630">
            <v>1169.0899999999899</v>
          </cell>
          <cell r="N630">
            <v>398.91</v>
          </cell>
          <cell r="O630">
            <v>0</v>
          </cell>
          <cell r="P630">
            <v>1169.0899999999899</v>
          </cell>
          <cell r="Q630">
            <v>398.91</v>
          </cell>
          <cell r="R630">
            <v>15.82</v>
          </cell>
          <cell r="S630">
            <v>1184.9100000000001</v>
          </cell>
          <cell r="T630">
            <v>383.08999999999901</v>
          </cell>
        </row>
        <row r="631">
          <cell r="A631" t="str">
            <v>PLN   Złoty</v>
          </cell>
          <cell r="B631" t="str">
            <v>1000/1430       POLIMAG S 5101</v>
          </cell>
          <cell r="C631" t="str">
            <v>3000002    SPRZEDAŻ W SKLEPIE F</v>
          </cell>
          <cell r="D631" t="str">
            <v>KG Sprzed. gotówkowa</v>
          </cell>
          <cell r="E631">
            <v>3703.6199999999899</v>
          </cell>
          <cell r="F631">
            <v>2.5499999999999901</v>
          </cell>
          <cell r="G631">
            <v>2090.52</v>
          </cell>
          <cell r="H631">
            <v>189.539999999999</v>
          </cell>
          <cell r="I631">
            <v>53.95</v>
          </cell>
          <cell r="J631">
            <v>0</v>
          </cell>
          <cell r="K631">
            <v>0</v>
          </cell>
          <cell r="L631">
            <v>53.95</v>
          </cell>
          <cell r="M631">
            <v>2334.0100000000002</v>
          </cell>
          <cell r="N631">
            <v>1369.6099999999899</v>
          </cell>
          <cell r="O631">
            <v>0</v>
          </cell>
          <cell r="P631">
            <v>2334.0100000000002</v>
          </cell>
          <cell r="Q631">
            <v>1369.6099999999899</v>
          </cell>
          <cell r="R631">
            <v>31.52</v>
          </cell>
          <cell r="S631">
            <v>2365.5300000000002</v>
          </cell>
          <cell r="T631">
            <v>1338.0899999999899</v>
          </cell>
        </row>
        <row r="632">
          <cell r="A632" t="str">
            <v>PLN   Złoty</v>
          </cell>
          <cell r="B632" t="str">
            <v>1000/1700       Mocznik</v>
          </cell>
          <cell r="C632" t="str">
            <v>3000000    ZBIORCZY</v>
          </cell>
          <cell r="D632" t="str">
            <v>KG Sprzed. gotówkowa</v>
          </cell>
          <cell r="E632">
            <v>6062.8699999999899</v>
          </cell>
          <cell r="F632">
            <v>5.7999999999999901</v>
          </cell>
          <cell r="G632">
            <v>4207.0799999999899</v>
          </cell>
          <cell r="H632">
            <v>310.35000000000002</v>
          </cell>
          <cell r="I632">
            <v>38.14</v>
          </cell>
          <cell r="J632">
            <v>0</v>
          </cell>
          <cell r="K632">
            <v>0</v>
          </cell>
          <cell r="L632">
            <v>38.14</v>
          </cell>
          <cell r="M632">
            <v>4555.5699999999897</v>
          </cell>
          <cell r="N632">
            <v>1507.3</v>
          </cell>
          <cell r="O632">
            <v>0</v>
          </cell>
          <cell r="P632">
            <v>4555.5699999999897</v>
          </cell>
          <cell r="Q632">
            <v>1507.3</v>
          </cell>
          <cell r="R632">
            <v>22.69</v>
          </cell>
          <cell r="S632">
            <v>4578.26</v>
          </cell>
          <cell r="T632">
            <v>1484.6099999999899</v>
          </cell>
        </row>
        <row r="633">
          <cell r="A633" t="str">
            <v>PLN   Złoty</v>
          </cell>
          <cell r="B633" t="str">
            <v>1000/1401       NPK 6-20-30</v>
          </cell>
          <cell r="C633" t="str">
            <v>Nieprzypisane</v>
          </cell>
          <cell r="D633" t="str">
            <v>Nieprzypisane</v>
          </cell>
          <cell r="E633">
            <v>0</v>
          </cell>
          <cell r="F633">
            <v>0</v>
          </cell>
          <cell r="G633">
            <v>-130.13999999999899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-130.13999999999899</v>
          </cell>
          <cell r="N633">
            <v>130.13999999999899</v>
          </cell>
          <cell r="O633">
            <v>0</v>
          </cell>
          <cell r="P633">
            <v>-130.13999999999899</v>
          </cell>
          <cell r="Q633">
            <v>130.13999999999899</v>
          </cell>
          <cell r="R633">
            <v>0</v>
          </cell>
          <cell r="S633">
            <v>-130.13999999999899</v>
          </cell>
          <cell r="T633">
            <v>130.13999999999899</v>
          </cell>
        </row>
        <row r="634">
          <cell r="A634" t="str">
            <v>PLN   Złoty</v>
          </cell>
          <cell r="B634" t="str">
            <v>1000/1402       NPK 8-24-24</v>
          </cell>
          <cell r="C634" t="str">
            <v>Nieprzypisane</v>
          </cell>
          <cell r="D634" t="str">
            <v>Nieprzypisane</v>
          </cell>
          <cell r="E634">
            <v>0</v>
          </cell>
          <cell r="F634">
            <v>0</v>
          </cell>
          <cell r="G634">
            <v>-462.18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-462.18</v>
          </cell>
          <cell r="N634">
            <v>462.18</v>
          </cell>
          <cell r="O634">
            <v>0</v>
          </cell>
          <cell r="P634">
            <v>-462.18</v>
          </cell>
          <cell r="Q634">
            <v>462.18</v>
          </cell>
          <cell r="R634">
            <v>0</v>
          </cell>
          <cell r="S634">
            <v>-462.18</v>
          </cell>
          <cell r="T634">
            <v>462.18</v>
          </cell>
        </row>
        <row r="635">
          <cell r="A635" t="str">
            <v>PLN   Złoty</v>
          </cell>
          <cell r="B635" t="str">
            <v>1000/1403       POLIMAG 305</v>
          </cell>
          <cell r="C635" t="str">
            <v>Nieprzypisane</v>
          </cell>
          <cell r="D635" t="str">
            <v>Nieprzypisane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28482</v>
          </cell>
          <cell r="J635">
            <v>0</v>
          </cell>
          <cell r="K635">
            <v>0</v>
          </cell>
          <cell r="L635">
            <v>28482</v>
          </cell>
          <cell r="M635">
            <v>28482</v>
          </cell>
          <cell r="N635">
            <v>-28482</v>
          </cell>
          <cell r="O635">
            <v>0</v>
          </cell>
          <cell r="P635">
            <v>28482</v>
          </cell>
          <cell r="Q635">
            <v>-28482</v>
          </cell>
          <cell r="R635">
            <v>0</v>
          </cell>
          <cell r="S635">
            <v>28482</v>
          </cell>
          <cell r="T635">
            <v>-28482</v>
          </cell>
        </row>
        <row r="636">
          <cell r="A636" t="str">
            <v>PLN   Złoty</v>
          </cell>
          <cell r="B636" t="str">
            <v>1000/1406       NPK 12-24-12</v>
          </cell>
          <cell r="C636" t="str">
            <v>Nieprzypisane</v>
          </cell>
          <cell r="D636" t="str">
            <v>Nieprzypisane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600</v>
          </cell>
          <cell r="J636">
            <v>0</v>
          </cell>
          <cell r="K636">
            <v>0</v>
          </cell>
          <cell r="L636">
            <v>600</v>
          </cell>
          <cell r="M636">
            <v>600</v>
          </cell>
          <cell r="N636">
            <v>-600</v>
          </cell>
          <cell r="O636">
            <v>0</v>
          </cell>
          <cell r="P636">
            <v>600</v>
          </cell>
          <cell r="Q636">
            <v>-600</v>
          </cell>
          <cell r="R636">
            <v>0</v>
          </cell>
          <cell r="S636">
            <v>600</v>
          </cell>
          <cell r="T636">
            <v>-600</v>
          </cell>
        </row>
        <row r="637">
          <cell r="A637" t="str">
            <v>PLN   Złoty</v>
          </cell>
          <cell r="B637" t="str">
            <v>1000/1409       NPK 4-12-32</v>
          </cell>
          <cell r="C637" t="str">
            <v>Nieprzypisane</v>
          </cell>
          <cell r="D637" t="str">
            <v>Nieprzypisane</v>
          </cell>
          <cell r="E637">
            <v>0</v>
          </cell>
          <cell r="F637">
            <v>0</v>
          </cell>
          <cell r="G637">
            <v>120.47</v>
          </cell>
          <cell r="H637">
            <v>0</v>
          </cell>
          <cell r="I637">
            <v>0</v>
          </cell>
          <cell r="J637">
            <v>180</v>
          </cell>
          <cell r="K637">
            <v>0</v>
          </cell>
          <cell r="L637">
            <v>180</v>
          </cell>
          <cell r="M637">
            <v>300.47000000000003</v>
          </cell>
          <cell r="N637">
            <v>-300.47000000000003</v>
          </cell>
          <cell r="O637">
            <v>0</v>
          </cell>
          <cell r="P637">
            <v>300.47000000000003</v>
          </cell>
          <cell r="Q637">
            <v>-300.47000000000003</v>
          </cell>
          <cell r="R637">
            <v>0</v>
          </cell>
          <cell r="S637">
            <v>300.47000000000003</v>
          </cell>
          <cell r="T637">
            <v>-300.47000000000003</v>
          </cell>
        </row>
        <row r="638">
          <cell r="A638" t="str">
            <v>PLN   Złoty</v>
          </cell>
          <cell r="B638" t="str">
            <v>1000/1414       POLI.M 5-16-24-4</v>
          </cell>
          <cell r="C638" t="str">
            <v>Nieprzypisane</v>
          </cell>
          <cell r="D638" t="str">
            <v>Nieprzypisane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</row>
        <row r="639">
          <cell r="A639" t="str">
            <v>PLN   Złoty</v>
          </cell>
          <cell r="B639" t="str">
            <v>1000/1415       POLIWAP</v>
          </cell>
          <cell r="C639" t="str">
            <v>Nieprzypisane</v>
          </cell>
          <cell r="D639" t="str">
            <v>Nieprzypisane</v>
          </cell>
          <cell r="E639">
            <v>0</v>
          </cell>
          <cell r="F639">
            <v>0</v>
          </cell>
          <cell r="G639">
            <v>-346.06999999999903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-346.06999999999903</v>
          </cell>
          <cell r="N639">
            <v>346.06999999999903</v>
          </cell>
          <cell r="O639">
            <v>0</v>
          </cell>
          <cell r="P639">
            <v>-346.06999999999903</v>
          </cell>
          <cell r="Q639">
            <v>346.06999999999903</v>
          </cell>
          <cell r="R639">
            <v>0</v>
          </cell>
          <cell r="S639">
            <v>-346.06999999999903</v>
          </cell>
          <cell r="T639">
            <v>346.06999999999903</v>
          </cell>
        </row>
        <row r="640">
          <cell r="A640" t="str">
            <v>PLN   Złoty</v>
          </cell>
          <cell r="B640" t="str">
            <v>1000/1420       NP 18-46 POLIDAP</v>
          </cell>
          <cell r="C640" t="str">
            <v>Nieprzypisane</v>
          </cell>
          <cell r="D640" t="str">
            <v>Nieprzypisane</v>
          </cell>
          <cell r="E640">
            <v>0</v>
          </cell>
          <cell r="F640">
            <v>0</v>
          </cell>
          <cell r="G640">
            <v>868.05999999999904</v>
          </cell>
          <cell r="H640">
            <v>0</v>
          </cell>
          <cell r="I640">
            <v>0</v>
          </cell>
          <cell r="J640">
            <v>-133.19999999999899</v>
          </cell>
          <cell r="K640">
            <v>0</v>
          </cell>
          <cell r="L640">
            <v>-133.19999999999899</v>
          </cell>
          <cell r="M640">
            <v>734.86</v>
          </cell>
          <cell r="N640">
            <v>-734.86</v>
          </cell>
          <cell r="O640">
            <v>0</v>
          </cell>
          <cell r="P640">
            <v>734.86</v>
          </cell>
          <cell r="Q640">
            <v>-734.86</v>
          </cell>
          <cell r="R640">
            <v>0</v>
          </cell>
          <cell r="S640">
            <v>734.86</v>
          </cell>
          <cell r="T640">
            <v>-734.86</v>
          </cell>
        </row>
        <row r="641">
          <cell r="A641" t="str">
            <v>PLN   Złoty</v>
          </cell>
          <cell r="B641" t="str">
            <v>1000/1457       NPK 5-10-30Petroplon</v>
          </cell>
          <cell r="C641" t="str">
            <v>Nieprzypisane</v>
          </cell>
          <cell r="D641" t="str">
            <v>Nieprzypisane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692.84</v>
          </cell>
          <cell r="J641">
            <v>0</v>
          </cell>
          <cell r="K641">
            <v>0</v>
          </cell>
          <cell r="L641">
            <v>692.84</v>
          </cell>
          <cell r="M641">
            <v>692.84</v>
          </cell>
          <cell r="N641">
            <v>-692.84</v>
          </cell>
          <cell r="O641">
            <v>0</v>
          </cell>
          <cell r="P641">
            <v>692.84</v>
          </cell>
          <cell r="Q641">
            <v>-692.84</v>
          </cell>
          <cell r="R641">
            <v>0</v>
          </cell>
          <cell r="S641">
            <v>692.84</v>
          </cell>
          <cell r="T641">
            <v>-692.84</v>
          </cell>
        </row>
        <row r="642">
          <cell r="A642" t="str">
            <v>PLN   Złoty</v>
          </cell>
          <cell r="B642" t="str">
            <v>1000/1700       Mocznik</v>
          </cell>
          <cell r="C642" t="str">
            <v>Nieprzypisane</v>
          </cell>
          <cell r="D642" t="str">
            <v>Nieprzypisane</v>
          </cell>
          <cell r="E642">
            <v>0</v>
          </cell>
          <cell r="F642">
            <v>0</v>
          </cell>
          <cell r="G642">
            <v>3210.53</v>
          </cell>
          <cell r="H642">
            <v>0</v>
          </cell>
          <cell r="I642">
            <v>0</v>
          </cell>
          <cell r="J642">
            <v>73.239999999999895</v>
          </cell>
          <cell r="K642">
            <v>0</v>
          </cell>
          <cell r="L642">
            <v>73.239999999999895</v>
          </cell>
          <cell r="M642">
            <v>3283.77</v>
          </cell>
          <cell r="N642">
            <v>-3283.77</v>
          </cell>
          <cell r="O642">
            <v>0</v>
          </cell>
          <cell r="P642">
            <v>3283.77</v>
          </cell>
          <cell r="Q642">
            <v>-3283.77</v>
          </cell>
          <cell r="R642">
            <v>0</v>
          </cell>
          <cell r="S642">
            <v>3283.77</v>
          </cell>
          <cell r="T642">
            <v>-3283.77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awozy kraj luty 2007"/>
      <sheetName val="Odbiorcy nawozy kraj I. 2007"/>
      <sheetName val="Arkusz3 (4)"/>
      <sheetName val="Arkusz3 (3)"/>
      <sheetName val="Arkusz3 (2)"/>
      <sheetName val="Arkusz3"/>
      <sheetName val="Arkusz2"/>
      <sheetName val="Arkusz1"/>
      <sheetName val="Nawozy_kraj_luty_2007"/>
      <sheetName val="Odbiorcy_nawozy_kraj_I__2007"/>
      <sheetName val="Arkusz3_(4)"/>
      <sheetName val="Arkusz3_(3)"/>
      <sheetName val="Arkusz3_(2)"/>
      <sheetName val="Nawozy_kraj_luty_20071"/>
      <sheetName val="Odbiorcy_nawozy_kraj_I__20071"/>
      <sheetName val="Arkusz3_(4)1"/>
      <sheetName val="Arkusz3_(3)1"/>
      <sheetName val="Arkusz3_(2)1"/>
      <sheetName val="Nawozy_kraj_luty_20072"/>
      <sheetName val="Odbiorcy_nawozy_kraj_I__20072"/>
      <sheetName val="Arkusz3_(4)2"/>
      <sheetName val="Arkusz3_(3)2"/>
      <sheetName val="Arkusz3_(2)2"/>
      <sheetName val="Nawozy_kraj_luty_20073"/>
      <sheetName val="Odbiorcy_nawozy_kraj_I__20073"/>
      <sheetName val="Arkusz3_(4)3"/>
      <sheetName val="Arkusz3_(3)3"/>
      <sheetName val="Arkusz3_(2)3"/>
      <sheetName val="Nawozy_kraj_luty_20075"/>
      <sheetName val="Odbiorcy_nawozy_kraj_I__20075"/>
      <sheetName val="Arkusz3_(4)5"/>
      <sheetName val="Arkusz3_(3)5"/>
      <sheetName val="Arkusz3_(2)5"/>
      <sheetName val="Nawozy_kraj_luty_20074"/>
      <sheetName val="Odbiorcy_nawozy_kraj_I__20074"/>
      <sheetName val="Arkusz3_(4)4"/>
      <sheetName val="Arkusz3_(3)4"/>
      <sheetName val="Arkusz3_(2)4"/>
      <sheetName val="Nawozy_kraj_luty_20076"/>
      <sheetName val="Odbiorcy_nawozy_kraj_I__20076"/>
      <sheetName val="Arkusz3_(4)6"/>
      <sheetName val="Arkusz3_(3)6"/>
      <sheetName val="Arkusz3_(2)6"/>
      <sheetName val="Nawozy_kraj_luty_20077"/>
      <sheetName val="Odbiorcy_nawozy_kraj_I__20077"/>
      <sheetName val="Arkusz3_(4)7"/>
      <sheetName val="Arkusz3_(3)7"/>
      <sheetName val="Arkusz3_(2)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A4" t="str">
            <v>1000/1401       NPK 6-20-30</v>
          </cell>
          <cell r="B4" t="str">
            <v>Nieprzypisane</v>
          </cell>
          <cell r="C4" t="str">
            <v>Nieprzypisane</v>
          </cell>
          <cell r="D4">
            <v>0</v>
          </cell>
          <cell r="E4">
            <v>0</v>
          </cell>
          <cell r="F4">
            <v>410.94</v>
          </cell>
          <cell r="G4">
            <v>0</v>
          </cell>
          <cell r="H4">
            <v>0</v>
          </cell>
          <cell r="I4">
            <v>228</v>
          </cell>
          <cell r="J4">
            <v>0</v>
          </cell>
          <cell r="K4">
            <v>228</v>
          </cell>
          <cell r="L4">
            <v>638.94000000000005</v>
          </cell>
          <cell r="M4">
            <v>-638.94000000000005</v>
          </cell>
          <cell r="N4">
            <v>0</v>
          </cell>
          <cell r="O4">
            <v>638.94000000000005</v>
          </cell>
          <cell r="P4">
            <v>-638.94000000000005</v>
          </cell>
          <cell r="Q4">
            <v>0</v>
          </cell>
          <cell r="R4">
            <v>638.94000000000005</v>
          </cell>
          <cell r="S4">
            <v>-638.94000000000005</v>
          </cell>
        </row>
        <row r="5">
          <cell r="A5" t="str">
            <v>1000/1401       NPK 6-20-30</v>
          </cell>
          <cell r="B5" t="str">
            <v>1000080    CN-KIELCE</v>
          </cell>
          <cell r="C5" t="str">
            <v>KB Sprzed. bezpośrednia</v>
          </cell>
          <cell r="D5">
            <v>24530.639999999901</v>
          </cell>
          <cell r="E5">
            <v>24</v>
          </cell>
          <cell r="F5">
            <v>17877.810000000001</v>
          </cell>
          <cell r="G5">
            <v>1020.96</v>
          </cell>
          <cell r="H5">
            <v>314.88999999999902</v>
          </cell>
          <cell r="I5">
            <v>1742.4</v>
          </cell>
          <cell r="J5">
            <v>0</v>
          </cell>
          <cell r="K5">
            <v>2057.29</v>
          </cell>
          <cell r="L5">
            <v>20956.060000000001</v>
          </cell>
          <cell r="M5">
            <v>3574.5799999999899</v>
          </cell>
          <cell r="N5">
            <v>0</v>
          </cell>
          <cell r="O5">
            <v>20956.060000000001</v>
          </cell>
          <cell r="P5">
            <v>3574.5799999999899</v>
          </cell>
          <cell r="Q5">
            <v>84.87</v>
          </cell>
          <cell r="R5">
            <v>21040.93</v>
          </cell>
          <cell r="S5">
            <v>3489.71</v>
          </cell>
        </row>
        <row r="6">
          <cell r="A6" t="str">
            <v>1000/1401       NPK 6-20-30</v>
          </cell>
          <cell r="B6" t="str">
            <v>1000120    GS-PABIANICE</v>
          </cell>
          <cell r="C6" t="str">
            <v>KB Sprzed. bezpośrednia</v>
          </cell>
          <cell r="D6">
            <v>24213.84</v>
          </cell>
          <cell r="E6">
            <v>24</v>
          </cell>
          <cell r="F6">
            <v>16820.47</v>
          </cell>
          <cell r="G6">
            <v>1007.76</v>
          </cell>
          <cell r="H6">
            <v>314.88999999999902</v>
          </cell>
          <cell r="I6">
            <v>1300.8</v>
          </cell>
          <cell r="J6">
            <v>0</v>
          </cell>
          <cell r="K6">
            <v>1615.69</v>
          </cell>
          <cell r="L6">
            <v>19443.9199999999</v>
          </cell>
          <cell r="M6">
            <v>4769.92</v>
          </cell>
          <cell r="N6">
            <v>0</v>
          </cell>
          <cell r="O6">
            <v>19443.9199999999</v>
          </cell>
          <cell r="P6">
            <v>4769.92</v>
          </cell>
          <cell r="Q6">
            <v>79.8599999999999</v>
          </cell>
          <cell r="R6">
            <v>19523.779999999901</v>
          </cell>
          <cell r="S6">
            <v>4690.0600000000004</v>
          </cell>
        </row>
        <row r="7">
          <cell r="A7" t="str">
            <v>1000/1401       NPK 6-20-30</v>
          </cell>
          <cell r="B7" t="str">
            <v>1000141    SKR-Łaszczów</v>
          </cell>
          <cell r="C7" t="str">
            <v>KB Sprzed. bezpośrednia</v>
          </cell>
          <cell r="D7">
            <v>36393.959999999897</v>
          </cell>
          <cell r="E7">
            <v>36</v>
          </cell>
          <cell r="F7">
            <v>25230.7</v>
          </cell>
          <cell r="G7">
            <v>1514.7</v>
          </cell>
          <cell r="H7">
            <v>472.33999999999901</v>
          </cell>
          <cell r="I7">
            <v>3114.36</v>
          </cell>
          <cell r="J7">
            <v>0</v>
          </cell>
          <cell r="K7">
            <v>3586.6999999999898</v>
          </cell>
          <cell r="L7">
            <v>30332.0999999999</v>
          </cell>
          <cell r="M7">
            <v>6061.8599999999897</v>
          </cell>
          <cell r="N7">
            <v>0</v>
          </cell>
          <cell r="O7">
            <v>30332.0999999999</v>
          </cell>
          <cell r="P7">
            <v>6061.8599999999897</v>
          </cell>
          <cell r="Q7">
            <v>119.79</v>
          </cell>
          <cell r="R7">
            <v>30451.889999999901</v>
          </cell>
          <cell r="S7">
            <v>5942.0699999999897</v>
          </cell>
        </row>
        <row r="8">
          <cell r="A8" t="str">
            <v>1000/1401       NPK 6-20-30</v>
          </cell>
          <cell r="B8" t="str">
            <v>1000142    ZSHP-ZŁOTOW</v>
          </cell>
          <cell r="C8" t="str">
            <v>KB Sprzed. bezpośrednia</v>
          </cell>
          <cell r="D8">
            <v>24800.25</v>
          </cell>
          <cell r="E8">
            <v>25</v>
          </cell>
          <cell r="F8">
            <v>17521.32</v>
          </cell>
          <cell r="G8">
            <v>1032.18</v>
          </cell>
          <cell r="H8">
            <v>328.00999999999902</v>
          </cell>
          <cell r="I8">
            <v>1165.48</v>
          </cell>
          <cell r="J8">
            <v>0</v>
          </cell>
          <cell r="K8">
            <v>1493.49</v>
          </cell>
          <cell r="L8">
            <v>20046.990000000002</v>
          </cell>
          <cell r="M8">
            <v>4753.26</v>
          </cell>
          <cell r="N8">
            <v>0</v>
          </cell>
          <cell r="O8">
            <v>20046.990000000002</v>
          </cell>
          <cell r="P8">
            <v>4753.26</v>
          </cell>
          <cell r="Q8">
            <v>83.189999999999898</v>
          </cell>
          <cell r="R8">
            <v>20130.18</v>
          </cell>
          <cell r="S8">
            <v>4670.0699999999897</v>
          </cell>
        </row>
        <row r="9">
          <cell r="A9" t="str">
            <v>1000/1401       NPK 6-20-30</v>
          </cell>
          <cell r="B9" t="str">
            <v>1000182    AGRA NOWA</v>
          </cell>
          <cell r="C9" t="str">
            <v>KB Sprzed. bezpośrednia</v>
          </cell>
          <cell r="D9">
            <v>24551.5</v>
          </cell>
          <cell r="E9">
            <v>25</v>
          </cell>
          <cell r="F9">
            <v>17521.32</v>
          </cell>
          <cell r="G9">
            <v>1021.8099999999901</v>
          </cell>
          <cell r="H9">
            <v>328.00999999999902</v>
          </cell>
          <cell r="I9">
            <v>1390.18</v>
          </cell>
          <cell r="J9">
            <v>0</v>
          </cell>
          <cell r="K9">
            <v>1718.19</v>
          </cell>
          <cell r="L9">
            <v>20261.32</v>
          </cell>
          <cell r="M9">
            <v>4290.18</v>
          </cell>
          <cell r="N9">
            <v>0</v>
          </cell>
          <cell r="O9">
            <v>20261.32</v>
          </cell>
          <cell r="P9">
            <v>4290.18</v>
          </cell>
          <cell r="Q9">
            <v>83.189999999999898</v>
          </cell>
          <cell r="R9">
            <v>20344.5099999999</v>
          </cell>
          <cell r="S9">
            <v>4206.9899999999898</v>
          </cell>
        </row>
        <row r="10">
          <cell r="A10" t="str">
            <v>1000/1401       NPK 6-20-30</v>
          </cell>
          <cell r="B10" t="str">
            <v>1000182    AGRA NOWA</v>
          </cell>
          <cell r="C10" t="str">
            <v>KC Centra dystrybucji</v>
          </cell>
          <cell r="D10">
            <v>15000</v>
          </cell>
          <cell r="E10">
            <v>15</v>
          </cell>
          <cell r="F10">
            <v>11592.639999999899</v>
          </cell>
          <cell r="G10">
            <v>624.28999999999905</v>
          </cell>
          <cell r="H10">
            <v>196.81</v>
          </cell>
          <cell r="I10">
            <v>0</v>
          </cell>
          <cell r="J10">
            <v>0</v>
          </cell>
          <cell r="K10">
            <v>196.81</v>
          </cell>
          <cell r="L10">
            <v>12413.74</v>
          </cell>
          <cell r="M10">
            <v>2586.2600000000002</v>
          </cell>
          <cell r="N10">
            <v>0</v>
          </cell>
          <cell r="O10">
            <v>12413.74</v>
          </cell>
          <cell r="P10">
            <v>2586.2600000000002</v>
          </cell>
          <cell r="Q10">
            <v>55.0399999999999</v>
          </cell>
          <cell r="R10">
            <v>12468.78</v>
          </cell>
          <cell r="S10">
            <v>2531.2199999999898</v>
          </cell>
        </row>
        <row r="11">
          <cell r="A11" t="str">
            <v>1000/1401       NPK 6-20-30</v>
          </cell>
          <cell r="B11" t="str">
            <v>1000193    PUH 'WIEŻOWIEC' s.j.</v>
          </cell>
          <cell r="C11" t="str">
            <v>KC Centra dystrybucji</v>
          </cell>
          <cell r="D11">
            <v>123956.34</v>
          </cell>
          <cell r="E11">
            <v>126</v>
          </cell>
          <cell r="F11">
            <v>97299.119999999893</v>
          </cell>
          <cell r="G11">
            <v>5158.93</v>
          </cell>
          <cell r="H11">
            <v>1653.19</v>
          </cell>
          <cell r="I11">
            <v>0</v>
          </cell>
          <cell r="J11">
            <v>0</v>
          </cell>
          <cell r="K11">
            <v>1653.19</v>
          </cell>
          <cell r="L11">
            <v>104111.24</v>
          </cell>
          <cell r="M11">
            <v>19845.0999999999</v>
          </cell>
          <cell r="N11">
            <v>0</v>
          </cell>
          <cell r="O11">
            <v>104111.24</v>
          </cell>
          <cell r="P11">
            <v>19845.0999999999</v>
          </cell>
          <cell r="Q11">
            <v>461.97</v>
          </cell>
          <cell r="R11">
            <v>104573.21</v>
          </cell>
          <cell r="S11">
            <v>19383.13</v>
          </cell>
        </row>
        <row r="12">
          <cell r="A12" t="str">
            <v>1000/1401       NPK 6-20-30</v>
          </cell>
          <cell r="B12" t="str">
            <v>1000205    SKŁODOWSKI</v>
          </cell>
          <cell r="C12" t="str">
            <v>KB Sprzed. bezpośrednia</v>
          </cell>
          <cell r="D12">
            <v>132361.29</v>
          </cell>
          <cell r="E12">
            <v>133</v>
          </cell>
          <cell r="F12">
            <v>96333.279999999897</v>
          </cell>
          <cell r="G12">
            <v>5508.77</v>
          </cell>
          <cell r="H12">
            <v>1745.03</v>
          </cell>
          <cell r="I12">
            <v>8690.4899999999907</v>
          </cell>
          <cell r="J12">
            <v>0</v>
          </cell>
          <cell r="K12">
            <v>10435.52</v>
          </cell>
          <cell r="L12">
            <v>112277.57</v>
          </cell>
          <cell r="M12">
            <v>20083.72</v>
          </cell>
          <cell r="N12">
            <v>0</v>
          </cell>
          <cell r="O12">
            <v>112277.57</v>
          </cell>
          <cell r="P12">
            <v>20083.72</v>
          </cell>
          <cell r="Q12">
            <v>457.38999999999902</v>
          </cell>
          <cell r="R12">
            <v>112734.96</v>
          </cell>
          <cell r="S12">
            <v>19626.330000000002</v>
          </cell>
        </row>
        <row r="13">
          <cell r="A13" t="str">
            <v>1000/1401       NPK 6-20-30</v>
          </cell>
          <cell r="B13" t="str">
            <v>1000205    SKŁODOWSKI</v>
          </cell>
          <cell r="C13" t="str">
            <v>KC Centra dystrybucji</v>
          </cell>
          <cell r="D13">
            <v>246245.09</v>
          </cell>
          <cell r="E13">
            <v>251</v>
          </cell>
          <cell r="F13">
            <v>180186.959999999</v>
          </cell>
          <cell r="G13">
            <v>10248.48</v>
          </cell>
          <cell r="H13">
            <v>3293.23</v>
          </cell>
          <cell r="I13">
            <v>0</v>
          </cell>
          <cell r="J13">
            <v>0</v>
          </cell>
          <cell r="K13">
            <v>3293.23</v>
          </cell>
          <cell r="L13">
            <v>193728.67</v>
          </cell>
          <cell r="M13">
            <v>52516.419999999896</v>
          </cell>
          <cell r="N13">
            <v>0</v>
          </cell>
          <cell r="O13">
            <v>193728.67</v>
          </cell>
          <cell r="P13">
            <v>52516.419999999896</v>
          </cell>
          <cell r="Q13">
            <v>855.5</v>
          </cell>
          <cell r="R13">
            <v>194584.17</v>
          </cell>
          <cell r="S13">
            <v>51660.919999999896</v>
          </cell>
        </row>
        <row r="14">
          <cell r="A14" t="str">
            <v>1000/1401       NPK 6-20-30</v>
          </cell>
          <cell r="B14" t="str">
            <v>1000210    ROLTEX Sp. z o.o.</v>
          </cell>
          <cell r="C14" t="str">
            <v>KB Sprzed. bezpośrednia</v>
          </cell>
          <cell r="D14">
            <v>24626.25</v>
          </cell>
          <cell r="E14">
            <v>25</v>
          </cell>
          <cell r="F14">
            <v>17521.32</v>
          </cell>
          <cell r="G14">
            <v>1024.9100000000001</v>
          </cell>
          <cell r="H14">
            <v>328.00999999999902</v>
          </cell>
          <cell r="I14">
            <v>2173.92</v>
          </cell>
          <cell r="J14">
            <v>0</v>
          </cell>
          <cell r="K14">
            <v>2501.9299999999898</v>
          </cell>
          <cell r="L14">
            <v>21048.16</v>
          </cell>
          <cell r="M14">
            <v>3578.09</v>
          </cell>
          <cell r="N14">
            <v>0</v>
          </cell>
          <cell r="O14">
            <v>21048.16</v>
          </cell>
          <cell r="P14">
            <v>3578.09</v>
          </cell>
          <cell r="Q14">
            <v>83.189999999999898</v>
          </cell>
          <cell r="R14">
            <v>21131.3499999999</v>
          </cell>
          <cell r="S14">
            <v>3494.9</v>
          </cell>
        </row>
        <row r="15">
          <cell r="A15" t="str">
            <v>1000/1401       NPK 6-20-30</v>
          </cell>
          <cell r="B15" t="str">
            <v>1000222    ROLPOL</v>
          </cell>
          <cell r="C15" t="str">
            <v>KB Sprzed. bezpośrednia</v>
          </cell>
          <cell r="D15">
            <v>49177.75</v>
          </cell>
          <cell r="E15">
            <v>50</v>
          </cell>
          <cell r="F15">
            <v>35042.639999999898</v>
          </cell>
          <cell r="G15">
            <v>2046.77</v>
          </cell>
          <cell r="H15">
            <v>656.01999999999896</v>
          </cell>
          <cell r="I15">
            <v>3991.98</v>
          </cell>
          <cell r="J15">
            <v>0</v>
          </cell>
          <cell r="K15">
            <v>4648</v>
          </cell>
          <cell r="L15">
            <v>41737.410000000003</v>
          </cell>
          <cell r="M15">
            <v>7440.34</v>
          </cell>
          <cell r="N15">
            <v>0</v>
          </cell>
          <cell r="O15">
            <v>41737.410000000003</v>
          </cell>
          <cell r="P15">
            <v>7440.34</v>
          </cell>
          <cell r="Q15">
            <v>166.38999999999899</v>
          </cell>
          <cell r="R15">
            <v>41903.800000000003</v>
          </cell>
          <cell r="S15">
            <v>7273.9499999999898</v>
          </cell>
        </row>
        <row r="16">
          <cell r="A16" t="str">
            <v>1000/1401       NPK 6-20-30</v>
          </cell>
          <cell r="B16" t="str">
            <v>1000222    ROLPOL</v>
          </cell>
          <cell r="C16" t="str">
            <v>KC Centra dystrybucji</v>
          </cell>
          <cell r="D16">
            <v>146863.5</v>
          </cell>
          <cell r="E16">
            <v>150</v>
          </cell>
          <cell r="F16">
            <v>105127.92</v>
          </cell>
          <cell r="G16">
            <v>6112.3</v>
          </cell>
          <cell r="H16">
            <v>1968.0699999999899</v>
          </cell>
          <cell r="I16">
            <v>0</v>
          </cell>
          <cell r="J16">
            <v>0</v>
          </cell>
          <cell r="K16">
            <v>1968.0699999999899</v>
          </cell>
          <cell r="L16">
            <v>113208.289999999</v>
          </cell>
          <cell r="M16">
            <v>33655.209999999897</v>
          </cell>
          <cell r="N16">
            <v>0</v>
          </cell>
          <cell r="O16">
            <v>113208.289999999</v>
          </cell>
          <cell r="P16">
            <v>33655.209999999897</v>
          </cell>
          <cell r="Q16">
            <v>499.13999999999902</v>
          </cell>
          <cell r="R16">
            <v>113707.429999999</v>
          </cell>
          <cell r="S16">
            <v>33156.07</v>
          </cell>
        </row>
        <row r="17">
          <cell r="A17" t="str">
            <v>1000/1401       NPK 6-20-30</v>
          </cell>
          <cell r="B17" t="str">
            <v>1000226    MAŁECCY</v>
          </cell>
          <cell r="C17" t="str">
            <v>KB Sprzed. bezpośrednia</v>
          </cell>
          <cell r="D17">
            <v>23210.16</v>
          </cell>
          <cell r="E17">
            <v>24</v>
          </cell>
          <cell r="F17">
            <v>16820.47</v>
          </cell>
          <cell r="G17">
            <v>966.01999999999896</v>
          </cell>
          <cell r="H17">
            <v>314.88999999999902</v>
          </cell>
          <cell r="I17">
            <v>0</v>
          </cell>
          <cell r="J17">
            <v>0</v>
          </cell>
          <cell r="K17">
            <v>314.88999999999902</v>
          </cell>
          <cell r="L17">
            <v>18101.38</v>
          </cell>
          <cell r="M17">
            <v>5108.7799999999897</v>
          </cell>
          <cell r="N17">
            <v>0</v>
          </cell>
          <cell r="O17">
            <v>18101.38</v>
          </cell>
          <cell r="P17">
            <v>5108.7799999999897</v>
          </cell>
          <cell r="Q17">
            <v>79.8599999999999</v>
          </cell>
          <cell r="R17">
            <v>18181.240000000002</v>
          </cell>
          <cell r="S17">
            <v>5028.92</v>
          </cell>
        </row>
        <row r="18">
          <cell r="A18" t="str">
            <v>1000/1401       NPK 6-20-30</v>
          </cell>
          <cell r="B18" t="str">
            <v>1000248    DYMNY</v>
          </cell>
          <cell r="C18" t="str">
            <v>KB Sprzed. bezpośrednia</v>
          </cell>
          <cell r="D18">
            <v>57283.19</v>
          </cell>
          <cell r="E18">
            <v>59.5</v>
          </cell>
          <cell r="F18">
            <v>41700.739999999903</v>
          </cell>
          <cell r="G18">
            <v>2384.0999999999899</v>
          </cell>
          <cell r="H18">
            <v>780.66999999999905</v>
          </cell>
          <cell r="I18">
            <v>0</v>
          </cell>
          <cell r="J18">
            <v>0</v>
          </cell>
          <cell r="K18">
            <v>780.66999999999905</v>
          </cell>
          <cell r="L18">
            <v>44865.51</v>
          </cell>
          <cell r="M18">
            <v>12417.68</v>
          </cell>
          <cell r="N18">
            <v>0</v>
          </cell>
          <cell r="O18">
            <v>44865.51</v>
          </cell>
          <cell r="P18">
            <v>12417.68</v>
          </cell>
          <cell r="Q18">
            <v>197.979999999999</v>
          </cell>
          <cell r="R18">
            <v>45063.489999999903</v>
          </cell>
          <cell r="S18">
            <v>12219.7</v>
          </cell>
        </row>
        <row r="19">
          <cell r="A19" t="str">
            <v>1000/1401       NPK 6-20-30</v>
          </cell>
          <cell r="B19" t="str">
            <v>1000252    AGROSKŁAD</v>
          </cell>
          <cell r="C19" t="str">
            <v>KB Sprzed. bezpośrednia</v>
          </cell>
          <cell r="D19">
            <v>242711.09</v>
          </cell>
          <cell r="E19">
            <v>244</v>
          </cell>
          <cell r="F19">
            <v>171483.88</v>
          </cell>
          <cell r="G19">
            <v>10101.36</v>
          </cell>
          <cell r="H19">
            <v>3201.3899999999899</v>
          </cell>
          <cell r="I19">
            <v>16531.3499999999</v>
          </cell>
          <cell r="J19">
            <v>0</v>
          </cell>
          <cell r="K19">
            <v>19732.740000000002</v>
          </cell>
          <cell r="L19">
            <v>201317.98</v>
          </cell>
          <cell r="M19">
            <v>41393.11</v>
          </cell>
          <cell r="N19">
            <v>0</v>
          </cell>
          <cell r="O19">
            <v>201317.98</v>
          </cell>
          <cell r="P19">
            <v>41393.11</v>
          </cell>
          <cell r="Q19">
            <v>814.17999999999904</v>
          </cell>
          <cell r="R19">
            <v>202132.16</v>
          </cell>
          <cell r="S19">
            <v>40578.93</v>
          </cell>
        </row>
        <row r="20">
          <cell r="A20" t="str">
            <v>1000/1401       NPK 6-20-30</v>
          </cell>
          <cell r="B20" t="str">
            <v>1000252    AGROSKŁAD</v>
          </cell>
          <cell r="C20" t="str">
            <v>KC Centra dystrybucji</v>
          </cell>
          <cell r="D20">
            <v>288753.47999999899</v>
          </cell>
          <cell r="E20">
            <v>296.5</v>
          </cell>
          <cell r="F20">
            <v>225181.89</v>
          </cell>
          <cell r="G20">
            <v>12017.69</v>
          </cell>
          <cell r="H20">
            <v>3890.23</v>
          </cell>
          <cell r="I20">
            <v>0</v>
          </cell>
          <cell r="J20">
            <v>0</v>
          </cell>
          <cell r="K20">
            <v>3890.23</v>
          </cell>
          <cell r="L20">
            <v>241089.81</v>
          </cell>
          <cell r="M20">
            <v>47663.669999999896</v>
          </cell>
          <cell r="N20">
            <v>0</v>
          </cell>
          <cell r="O20">
            <v>241089.81</v>
          </cell>
          <cell r="P20">
            <v>47663.669999999896</v>
          </cell>
          <cell r="Q20">
            <v>1069.1300000000001</v>
          </cell>
          <cell r="R20">
            <v>242158.94</v>
          </cell>
          <cell r="S20">
            <v>46594.54</v>
          </cell>
        </row>
        <row r="21">
          <cell r="A21" t="str">
            <v>1000/1401       NPK 6-20-30</v>
          </cell>
          <cell r="B21" t="str">
            <v>1000257    MAGROL</v>
          </cell>
          <cell r="C21" t="str">
            <v>KC Centra dystrybucji</v>
          </cell>
          <cell r="D21">
            <v>24304.75</v>
          </cell>
          <cell r="E21">
            <v>25</v>
          </cell>
          <cell r="F21">
            <v>19321.07</v>
          </cell>
          <cell r="G21">
            <v>1011.53</v>
          </cell>
          <cell r="H21">
            <v>328.00999999999902</v>
          </cell>
          <cell r="I21">
            <v>0</v>
          </cell>
          <cell r="J21">
            <v>0</v>
          </cell>
          <cell r="K21">
            <v>328.00999999999902</v>
          </cell>
          <cell r="L21">
            <v>20660.61</v>
          </cell>
          <cell r="M21">
            <v>3644.1399999999899</v>
          </cell>
          <cell r="N21">
            <v>0</v>
          </cell>
          <cell r="O21">
            <v>20660.61</v>
          </cell>
          <cell r="P21">
            <v>3644.1399999999899</v>
          </cell>
          <cell r="Q21">
            <v>91.73</v>
          </cell>
          <cell r="R21">
            <v>20752.34</v>
          </cell>
          <cell r="S21">
            <v>3552.4099999999899</v>
          </cell>
        </row>
        <row r="22">
          <cell r="A22" t="str">
            <v>1000/1401       NPK 6-20-30</v>
          </cell>
          <cell r="B22" t="str">
            <v>1000263    PRO-AGRO</v>
          </cell>
          <cell r="C22" t="str">
            <v>KC Centra dystrybucji</v>
          </cell>
          <cell r="D22">
            <v>21024.54</v>
          </cell>
          <cell r="E22">
            <v>21</v>
          </cell>
          <cell r="F22">
            <v>14717.91</v>
          </cell>
          <cell r="G22">
            <v>875.02999999999895</v>
          </cell>
          <cell r="H22">
            <v>275.54000000000002</v>
          </cell>
          <cell r="I22">
            <v>0</v>
          </cell>
          <cell r="J22">
            <v>0</v>
          </cell>
          <cell r="K22">
            <v>275.54000000000002</v>
          </cell>
          <cell r="L22">
            <v>15868.48</v>
          </cell>
          <cell r="M22">
            <v>5156.0600000000004</v>
          </cell>
          <cell r="N22">
            <v>0</v>
          </cell>
          <cell r="O22">
            <v>15868.48</v>
          </cell>
          <cell r="P22">
            <v>5156.0600000000004</v>
          </cell>
          <cell r="Q22">
            <v>69.89</v>
          </cell>
          <cell r="R22">
            <v>15938.37</v>
          </cell>
          <cell r="S22">
            <v>5086.17</v>
          </cell>
        </row>
        <row r="23">
          <cell r="A23" t="str">
            <v>1000/1401       NPK 6-20-30</v>
          </cell>
          <cell r="B23" t="str">
            <v>1000273    FILIPOWSKA</v>
          </cell>
          <cell r="C23" t="str">
            <v>KC Centra dystrybucji</v>
          </cell>
          <cell r="D23">
            <v>12766.52</v>
          </cell>
          <cell r="E23">
            <v>13</v>
          </cell>
          <cell r="F23">
            <v>10046.959999999901</v>
          </cell>
          <cell r="G23">
            <v>531.32000000000005</v>
          </cell>
          <cell r="H23">
            <v>170.569999999999</v>
          </cell>
          <cell r="I23">
            <v>0</v>
          </cell>
          <cell r="J23">
            <v>0</v>
          </cell>
          <cell r="K23">
            <v>170.569999999999</v>
          </cell>
          <cell r="L23">
            <v>10748.85</v>
          </cell>
          <cell r="M23">
            <v>2017.67</v>
          </cell>
          <cell r="N23">
            <v>0</v>
          </cell>
          <cell r="O23">
            <v>10748.85</v>
          </cell>
          <cell r="P23">
            <v>2017.67</v>
          </cell>
          <cell r="Q23">
            <v>47.689999999999898</v>
          </cell>
          <cell r="R23">
            <v>10796.54</v>
          </cell>
          <cell r="S23">
            <v>1969.98</v>
          </cell>
        </row>
        <row r="24">
          <cell r="A24" t="str">
            <v>1000/1401       NPK 6-20-30</v>
          </cell>
          <cell r="B24" t="str">
            <v>1000276    JAN GACH FIRMA HANDL</v>
          </cell>
          <cell r="C24" t="str">
            <v>KB Sprzed. bezpośrednia</v>
          </cell>
          <cell r="D24">
            <v>24452.5</v>
          </cell>
          <cell r="E24">
            <v>25</v>
          </cell>
          <cell r="F24">
            <v>19245.049999999901</v>
          </cell>
          <cell r="G24">
            <v>1017.6799999999899</v>
          </cell>
          <cell r="H24">
            <v>328.00999999999902</v>
          </cell>
          <cell r="I24">
            <v>0</v>
          </cell>
          <cell r="J24">
            <v>0</v>
          </cell>
          <cell r="K24">
            <v>328.00999999999902</v>
          </cell>
          <cell r="L24">
            <v>20590.740000000002</v>
          </cell>
          <cell r="M24">
            <v>3861.76</v>
          </cell>
          <cell r="N24">
            <v>0</v>
          </cell>
          <cell r="O24">
            <v>20590.740000000002</v>
          </cell>
          <cell r="P24">
            <v>3861.76</v>
          </cell>
          <cell r="Q24">
            <v>91.37</v>
          </cell>
          <cell r="R24">
            <v>20682.11</v>
          </cell>
          <cell r="S24">
            <v>3770.3899999999899</v>
          </cell>
        </row>
        <row r="25">
          <cell r="A25" t="str">
            <v>1000/1401       NPK 6-20-30</v>
          </cell>
          <cell r="B25" t="str">
            <v>1000276    JAN GACH FIRMA HANDL</v>
          </cell>
          <cell r="C25" t="str">
            <v>KC Centra dystrybucji</v>
          </cell>
          <cell r="D25">
            <v>33224.099999999897</v>
          </cell>
          <cell r="E25">
            <v>34</v>
          </cell>
          <cell r="F25">
            <v>26228</v>
          </cell>
          <cell r="G25">
            <v>1382.71</v>
          </cell>
          <cell r="H25">
            <v>446.08999999999901</v>
          </cell>
          <cell r="I25">
            <v>0</v>
          </cell>
          <cell r="J25">
            <v>0</v>
          </cell>
          <cell r="K25">
            <v>446.08999999999901</v>
          </cell>
          <cell r="L25">
            <v>28056.799999999901</v>
          </cell>
          <cell r="M25">
            <v>5167.3</v>
          </cell>
          <cell r="N25">
            <v>0</v>
          </cell>
          <cell r="O25">
            <v>28056.799999999901</v>
          </cell>
          <cell r="P25">
            <v>5167.3</v>
          </cell>
          <cell r="Q25">
            <v>124.52</v>
          </cell>
          <cell r="R25">
            <v>28181.32</v>
          </cell>
          <cell r="S25">
            <v>5042.7799999999897</v>
          </cell>
        </row>
        <row r="26">
          <cell r="A26" t="str">
            <v>1000/1401       NPK 6-20-30</v>
          </cell>
          <cell r="B26" t="str">
            <v>1000277    ATRANS</v>
          </cell>
          <cell r="C26" t="str">
            <v>KB Sprzed. bezpośrednia</v>
          </cell>
          <cell r="D26">
            <v>71691.119999999893</v>
          </cell>
          <cell r="E26">
            <v>72</v>
          </cell>
          <cell r="F26">
            <v>50461.4</v>
          </cell>
          <cell r="G26">
            <v>2983.71</v>
          </cell>
          <cell r="H26">
            <v>944.67999999999904</v>
          </cell>
          <cell r="I26">
            <v>3308.76</v>
          </cell>
          <cell r="J26">
            <v>0</v>
          </cell>
          <cell r="K26">
            <v>4253.4399999999896</v>
          </cell>
          <cell r="L26">
            <v>57698.55</v>
          </cell>
          <cell r="M26">
            <v>13992.57</v>
          </cell>
          <cell r="N26">
            <v>0</v>
          </cell>
          <cell r="O26">
            <v>57698.55</v>
          </cell>
          <cell r="P26">
            <v>13992.57</v>
          </cell>
          <cell r="Q26">
            <v>239.569999999999</v>
          </cell>
          <cell r="R26">
            <v>57938.12</v>
          </cell>
          <cell r="S26">
            <v>13753</v>
          </cell>
        </row>
        <row r="27">
          <cell r="A27" t="str">
            <v>1000/1401       NPK 6-20-30</v>
          </cell>
          <cell r="B27" t="str">
            <v>1000277    ATRANS</v>
          </cell>
          <cell r="C27" t="str">
            <v>KC Centra dystrybucji</v>
          </cell>
          <cell r="D27">
            <v>13790</v>
          </cell>
          <cell r="E27">
            <v>14</v>
          </cell>
          <cell r="F27">
            <v>10819.799999999899</v>
          </cell>
          <cell r="G27">
            <v>573.90999999999894</v>
          </cell>
          <cell r="H27">
            <v>183.68</v>
          </cell>
          <cell r="I27">
            <v>0</v>
          </cell>
          <cell r="J27">
            <v>0</v>
          </cell>
          <cell r="K27">
            <v>183.68</v>
          </cell>
          <cell r="L27">
            <v>11577.389999999899</v>
          </cell>
          <cell r="M27">
            <v>2212.61</v>
          </cell>
          <cell r="N27">
            <v>0</v>
          </cell>
          <cell r="O27">
            <v>11577.389999999899</v>
          </cell>
          <cell r="P27">
            <v>2212.61</v>
          </cell>
          <cell r="Q27">
            <v>51.369999999999898</v>
          </cell>
          <cell r="R27">
            <v>11628.76</v>
          </cell>
          <cell r="S27">
            <v>2161.2399999999898</v>
          </cell>
        </row>
        <row r="28">
          <cell r="A28" t="str">
            <v>1000/1401       NPK 6-20-30</v>
          </cell>
          <cell r="B28" t="str">
            <v>1000289    PLON A.Darzyński</v>
          </cell>
          <cell r="C28" t="str">
            <v>KB Sprzed. bezpośrednia</v>
          </cell>
          <cell r="D28">
            <v>54079.559999999903</v>
          </cell>
          <cell r="E28">
            <v>54</v>
          </cell>
          <cell r="F28">
            <v>38797.26</v>
          </cell>
          <cell r="G28">
            <v>2250.77</v>
          </cell>
          <cell r="H28">
            <v>708.50999999999897</v>
          </cell>
          <cell r="I28">
            <v>1571.4</v>
          </cell>
          <cell r="J28">
            <v>0</v>
          </cell>
          <cell r="K28">
            <v>2279.9099999999899</v>
          </cell>
          <cell r="L28">
            <v>43327.94</v>
          </cell>
          <cell r="M28">
            <v>10751.62</v>
          </cell>
          <cell r="N28">
            <v>0</v>
          </cell>
          <cell r="O28">
            <v>43327.94</v>
          </cell>
          <cell r="P28">
            <v>10751.62</v>
          </cell>
          <cell r="Q28">
            <v>184.24</v>
          </cell>
          <cell r="R28">
            <v>43512.18</v>
          </cell>
          <cell r="S28">
            <v>10567.379999999899</v>
          </cell>
        </row>
        <row r="29">
          <cell r="A29" t="str">
            <v>1000/1401       NPK 6-20-30</v>
          </cell>
          <cell r="B29" t="str">
            <v>1000289    PLON A.Darzyński</v>
          </cell>
          <cell r="C29" t="str">
            <v>KC Centra dystrybucji</v>
          </cell>
          <cell r="D29">
            <v>122848.95</v>
          </cell>
          <cell r="E29">
            <v>126</v>
          </cell>
          <cell r="F29">
            <v>94099.71</v>
          </cell>
          <cell r="G29">
            <v>5112.8699999999899</v>
          </cell>
          <cell r="H29">
            <v>1653.19</v>
          </cell>
          <cell r="I29">
            <v>0</v>
          </cell>
          <cell r="J29">
            <v>0</v>
          </cell>
          <cell r="K29">
            <v>1653.19</v>
          </cell>
          <cell r="L29">
            <v>100865.77</v>
          </cell>
          <cell r="M29">
            <v>21983.18</v>
          </cell>
          <cell r="N29">
            <v>0</v>
          </cell>
          <cell r="O29">
            <v>100865.77</v>
          </cell>
          <cell r="P29">
            <v>21983.18</v>
          </cell>
          <cell r="Q29">
            <v>446.75</v>
          </cell>
          <cell r="R29">
            <v>101312.52</v>
          </cell>
          <cell r="S29">
            <v>21536.43</v>
          </cell>
        </row>
        <row r="30">
          <cell r="A30" t="str">
            <v>1000/1401       NPK 6-20-30</v>
          </cell>
          <cell r="B30" t="str">
            <v>1000291    "AGRO-BIZNES" SP.J.</v>
          </cell>
          <cell r="C30" t="str">
            <v>KB Sprzed. bezpośrednia</v>
          </cell>
          <cell r="D30">
            <v>23117.040000000001</v>
          </cell>
          <cell r="E30">
            <v>24</v>
          </cell>
          <cell r="F30">
            <v>16820.47</v>
          </cell>
          <cell r="G30">
            <v>962.12</v>
          </cell>
          <cell r="H30">
            <v>314.88999999999902</v>
          </cell>
          <cell r="I30">
            <v>0</v>
          </cell>
          <cell r="J30">
            <v>0</v>
          </cell>
          <cell r="K30">
            <v>314.88999999999902</v>
          </cell>
          <cell r="L30">
            <v>18097.48</v>
          </cell>
          <cell r="M30">
            <v>5019.5600000000004</v>
          </cell>
          <cell r="N30">
            <v>0</v>
          </cell>
          <cell r="O30">
            <v>18097.48</v>
          </cell>
          <cell r="P30">
            <v>5019.5600000000004</v>
          </cell>
          <cell r="Q30">
            <v>79.8599999999999</v>
          </cell>
          <cell r="R30">
            <v>18177.34</v>
          </cell>
          <cell r="S30">
            <v>4939.6999999999898</v>
          </cell>
        </row>
        <row r="31">
          <cell r="A31" t="str">
            <v>1000/1401       NPK 6-20-30</v>
          </cell>
          <cell r="B31" t="str">
            <v>1000307    P.TRANSBUD</v>
          </cell>
          <cell r="C31" t="str">
            <v>KC Centra dystrybucji</v>
          </cell>
          <cell r="D31">
            <v>12202.32</v>
          </cell>
          <cell r="E31">
            <v>12</v>
          </cell>
          <cell r="F31">
            <v>8763.4099999999908</v>
          </cell>
          <cell r="G31">
            <v>507.85</v>
          </cell>
          <cell r="H31">
            <v>157.44999999999899</v>
          </cell>
          <cell r="I31">
            <v>952.55999999999904</v>
          </cell>
          <cell r="J31">
            <v>0</v>
          </cell>
          <cell r="K31">
            <v>1110.01</v>
          </cell>
          <cell r="L31">
            <v>10381.27</v>
          </cell>
          <cell r="M31">
            <v>1821.05</v>
          </cell>
          <cell r="N31">
            <v>0</v>
          </cell>
          <cell r="O31">
            <v>10381.27</v>
          </cell>
          <cell r="P31">
            <v>1821.05</v>
          </cell>
          <cell r="Q31">
            <v>41.6099999999999</v>
          </cell>
          <cell r="R31">
            <v>10422.879999999899</v>
          </cell>
          <cell r="S31">
            <v>1779.44</v>
          </cell>
        </row>
        <row r="32">
          <cell r="A32" t="str">
            <v>1000/1401       NPK 6-20-30</v>
          </cell>
          <cell r="B32" t="str">
            <v>1000403    SOBIANEK</v>
          </cell>
          <cell r="C32" t="str">
            <v>KC Centra dystrybucji</v>
          </cell>
          <cell r="D32">
            <v>56440.480000000003</v>
          </cell>
          <cell r="E32">
            <v>58</v>
          </cell>
          <cell r="F32">
            <v>40649.54</v>
          </cell>
          <cell r="G32">
            <v>2349</v>
          </cell>
          <cell r="H32">
            <v>760.99</v>
          </cell>
          <cell r="I32">
            <v>0</v>
          </cell>
          <cell r="J32">
            <v>0</v>
          </cell>
          <cell r="K32">
            <v>760.99</v>
          </cell>
          <cell r="L32">
            <v>43759.529999999897</v>
          </cell>
          <cell r="M32">
            <v>12680.95</v>
          </cell>
          <cell r="N32">
            <v>0</v>
          </cell>
          <cell r="O32">
            <v>43759.529999999897</v>
          </cell>
          <cell r="P32">
            <v>12680.95</v>
          </cell>
          <cell r="Q32">
            <v>193</v>
          </cell>
          <cell r="R32">
            <v>43952.529999999897</v>
          </cell>
          <cell r="S32">
            <v>12487.95</v>
          </cell>
        </row>
        <row r="33">
          <cell r="A33" t="str">
            <v>1000/1401       NPK 6-20-30</v>
          </cell>
          <cell r="B33" t="str">
            <v>1000592    NOŻYŃSKI</v>
          </cell>
          <cell r="C33" t="str">
            <v>KB Sprzed. bezpośrednia</v>
          </cell>
          <cell r="D33">
            <v>12180</v>
          </cell>
          <cell r="E33">
            <v>12</v>
          </cell>
          <cell r="F33">
            <v>8410.2299999999905</v>
          </cell>
          <cell r="G33">
            <v>506.91</v>
          </cell>
          <cell r="H33">
            <v>157.44999999999899</v>
          </cell>
          <cell r="I33">
            <v>946.08</v>
          </cell>
          <cell r="J33">
            <v>0</v>
          </cell>
          <cell r="K33">
            <v>1103.53</v>
          </cell>
          <cell r="L33">
            <v>10020.67</v>
          </cell>
          <cell r="M33">
            <v>2159.3299999999899</v>
          </cell>
          <cell r="N33">
            <v>0</v>
          </cell>
          <cell r="O33">
            <v>10020.67</v>
          </cell>
          <cell r="P33">
            <v>2159.3299999999899</v>
          </cell>
          <cell r="Q33">
            <v>39.92</v>
          </cell>
          <cell r="R33">
            <v>10060.59</v>
          </cell>
          <cell r="S33">
            <v>2119.4099999999899</v>
          </cell>
        </row>
        <row r="34">
          <cell r="A34" t="str">
            <v>1000/1401       NPK 6-20-30</v>
          </cell>
          <cell r="B34" t="str">
            <v>1000662    SZYMAŃSCY</v>
          </cell>
          <cell r="C34" t="str">
            <v>KB Sprzed. bezpośrednia</v>
          </cell>
          <cell r="D34">
            <v>79331.88</v>
          </cell>
          <cell r="E34">
            <v>80</v>
          </cell>
          <cell r="F34">
            <v>57125.559999999903</v>
          </cell>
          <cell r="G34">
            <v>3301.6799999999898</v>
          </cell>
          <cell r="H34">
            <v>1049.6400000000001</v>
          </cell>
          <cell r="I34">
            <v>3204.88</v>
          </cell>
          <cell r="J34">
            <v>0</v>
          </cell>
          <cell r="K34">
            <v>4254.5200000000004</v>
          </cell>
          <cell r="L34">
            <v>64681.760000000002</v>
          </cell>
          <cell r="M34">
            <v>14650.12</v>
          </cell>
          <cell r="N34">
            <v>0</v>
          </cell>
          <cell r="O34">
            <v>64681.760000000002</v>
          </cell>
          <cell r="P34">
            <v>14650.12</v>
          </cell>
          <cell r="Q34">
            <v>271.23</v>
          </cell>
          <cell r="R34">
            <v>64952.989999999903</v>
          </cell>
          <cell r="S34">
            <v>14378.889999999899</v>
          </cell>
        </row>
        <row r="35">
          <cell r="A35" t="str">
            <v>1000/1401       NPK 6-20-30</v>
          </cell>
          <cell r="B35" t="str">
            <v>1000662    SZYMAŃSCY</v>
          </cell>
          <cell r="C35" t="str">
            <v>KC Centra dystrybucji</v>
          </cell>
          <cell r="D35">
            <v>245437.79</v>
          </cell>
          <cell r="E35">
            <v>250.5</v>
          </cell>
          <cell r="F35">
            <v>192465.19</v>
          </cell>
          <cell r="G35">
            <v>10214.93</v>
          </cell>
          <cell r="H35">
            <v>3286.6599999999899</v>
          </cell>
          <cell r="I35">
            <v>0</v>
          </cell>
          <cell r="J35">
            <v>0</v>
          </cell>
          <cell r="K35">
            <v>3286.6599999999899</v>
          </cell>
          <cell r="L35">
            <v>205966.78</v>
          </cell>
          <cell r="M35">
            <v>39471.01</v>
          </cell>
          <cell r="N35">
            <v>0</v>
          </cell>
          <cell r="O35">
            <v>205966.78</v>
          </cell>
          <cell r="P35">
            <v>39471.01</v>
          </cell>
          <cell r="Q35">
            <v>913.77999999999895</v>
          </cell>
          <cell r="R35">
            <v>206880.56</v>
          </cell>
          <cell r="S35">
            <v>38557.230000000003</v>
          </cell>
        </row>
        <row r="36">
          <cell r="A36" t="str">
            <v>1000/1401       NPK 6-20-30</v>
          </cell>
          <cell r="B36" t="str">
            <v>1000675    Zaopatrz.Roln. Andrz</v>
          </cell>
          <cell r="C36" t="str">
            <v>KB Sprzed. bezpośrednia</v>
          </cell>
          <cell r="D36">
            <v>14210</v>
          </cell>
          <cell r="E36">
            <v>14</v>
          </cell>
          <cell r="F36">
            <v>9811.94</v>
          </cell>
          <cell r="G36">
            <v>591.44000000000005</v>
          </cell>
          <cell r="H36">
            <v>183.68</v>
          </cell>
          <cell r="I36">
            <v>1149.8199999999899</v>
          </cell>
          <cell r="J36">
            <v>0</v>
          </cell>
          <cell r="K36">
            <v>1333.5</v>
          </cell>
          <cell r="L36">
            <v>11736.879999999899</v>
          </cell>
          <cell r="M36">
            <v>2473.1199999999899</v>
          </cell>
          <cell r="N36">
            <v>0</v>
          </cell>
          <cell r="O36">
            <v>11736.879999999899</v>
          </cell>
          <cell r="P36">
            <v>2473.1199999999899</v>
          </cell>
          <cell r="Q36">
            <v>46.579999999999899</v>
          </cell>
          <cell r="R36">
            <v>11783.459999999901</v>
          </cell>
          <cell r="S36">
            <v>2426.54</v>
          </cell>
        </row>
        <row r="37">
          <cell r="A37" t="str">
            <v>1000/1401       NPK 6-20-30</v>
          </cell>
          <cell r="B37" t="str">
            <v>1000675    Zaopatrz.Roln. Andrz</v>
          </cell>
          <cell r="C37" t="str">
            <v>KC Centra dystrybucji</v>
          </cell>
          <cell r="D37">
            <v>44916.099999999897</v>
          </cell>
          <cell r="E37">
            <v>46</v>
          </cell>
          <cell r="F37">
            <v>36152.19</v>
          </cell>
          <cell r="G37">
            <v>1869.3699999999899</v>
          </cell>
          <cell r="H37">
            <v>603.54999999999905</v>
          </cell>
          <cell r="I37">
            <v>0</v>
          </cell>
          <cell r="J37">
            <v>0</v>
          </cell>
          <cell r="K37">
            <v>603.54999999999905</v>
          </cell>
          <cell r="L37">
            <v>38625.11</v>
          </cell>
          <cell r="M37">
            <v>6290.9899999999898</v>
          </cell>
          <cell r="N37">
            <v>0</v>
          </cell>
          <cell r="O37">
            <v>38625.11</v>
          </cell>
          <cell r="P37">
            <v>6290.9899999999898</v>
          </cell>
          <cell r="Q37">
            <v>171.63999999999899</v>
          </cell>
          <cell r="R37">
            <v>38796.75</v>
          </cell>
          <cell r="S37">
            <v>6119.35</v>
          </cell>
        </row>
        <row r="38">
          <cell r="A38" t="str">
            <v>1000/1401       NPK 6-20-30</v>
          </cell>
          <cell r="B38" t="str">
            <v>1000680    Giełda Rolna ZOLA Sp</v>
          </cell>
          <cell r="C38" t="str">
            <v>KB Sprzed. bezpośrednia</v>
          </cell>
          <cell r="D38">
            <v>24626.25</v>
          </cell>
          <cell r="E38">
            <v>25</v>
          </cell>
          <cell r="F38">
            <v>17521.32</v>
          </cell>
          <cell r="G38">
            <v>1024.9100000000001</v>
          </cell>
          <cell r="H38">
            <v>328.00999999999902</v>
          </cell>
          <cell r="I38">
            <v>1341.43</v>
          </cell>
          <cell r="J38">
            <v>0</v>
          </cell>
          <cell r="K38">
            <v>1669.44</v>
          </cell>
          <cell r="L38">
            <v>20215.6699999999</v>
          </cell>
          <cell r="M38">
            <v>4410.5799999999899</v>
          </cell>
          <cell r="N38">
            <v>0</v>
          </cell>
          <cell r="O38">
            <v>20215.6699999999</v>
          </cell>
          <cell r="P38">
            <v>4410.5799999999899</v>
          </cell>
          <cell r="Q38">
            <v>83.189999999999898</v>
          </cell>
          <cell r="R38">
            <v>20298.86</v>
          </cell>
          <cell r="S38">
            <v>4327.3900000000003</v>
          </cell>
        </row>
        <row r="39">
          <cell r="A39" t="str">
            <v>1000/1401       NPK 6-20-30</v>
          </cell>
          <cell r="B39" t="str">
            <v>1000725    SGS-LUBLIN</v>
          </cell>
          <cell r="C39" t="str">
            <v>KB Sprzed. bezpośrednia</v>
          </cell>
          <cell r="D39">
            <v>12143.52</v>
          </cell>
          <cell r="E39">
            <v>12</v>
          </cell>
          <cell r="F39">
            <v>8410.2299999999905</v>
          </cell>
          <cell r="G39">
            <v>505.33999999999901</v>
          </cell>
          <cell r="H39">
            <v>157.44999999999899</v>
          </cell>
          <cell r="I39">
            <v>913.55999999999904</v>
          </cell>
          <cell r="J39">
            <v>0</v>
          </cell>
          <cell r="K39">
            <v>1071.01</v>
          </cell>
          <cell r="L39">
            <v>9986.5799999999908</v>
          </cell>
          <cell r="M39">
            <v>2156.94</v>
          </cell>
          <cell r="N39">
            <v>0</v>
          </cell>
          <cell r="O39">
            <v>9986.5799999999908</v>
          </cell>
          <cell r="P39">
            <v>2156.94</v>
          </cell>
          <cell r="Q39">
            <v>39.92</v>
          </cell>
          <cell r="R39">
            <v>10026.5</v>
          </cell>
          <cell r="S39">
            <v>2117.02</v>
          </cell>
        </row>
        <row r="40">
          <cell r="A40" t="str">
            <v>1000/1401       NPK 6-20-30</v>
          </cell>
          <cell r="B40" t="str">
            <v>1000982    TORAL Elżbieta Krupa</v>
          </cell>
          <cell r="C40" t="str">
            <v>KB Sprzed. bezpośrednia</v>
          </cell>
          <cell r="D40">
            <v>23820.5</v>
          </cell>
          <cell r="E40">
            <v>24</v>
          </cell>
          <cell r="F40">
            <v>18548.23</v>
          </cell>
          <cell r="G40">
            <v>991.38</v>
          </cell>
          <cell r="H40">
            <v>314.88999999999902</v>
          </cell>
          <cell r="I40">
            <v>0</v>
          </cell>
          <cell r="J40">
            <v>0</v>
          </cell>
          <cell r="K40">
            <v>314.88999999999902</v>
          </cell>
          <cell r="L40">
            <v>19854.5</v>
          </cell>
          <cell r="M40">
            <v>3966</v>
          </cell>
          <cell r="N40">
            <v>0</v>
          </cell>
          <cell r="O40">
            <v>19854.5</v>
          </cell>
          <cell r="P40">
            <v>3966</v>
          </cell>
          <cell r="Q40">
            <v>88.069999999999894</v>
          </cell>
          <cell r="R40">
            <v>19942.57</v>
          </cell>
          <cell r="S40">
            <v>3877.9299999999898</v>
          </cell>
        </row>
        <row r="41">
          <cell r="A41" t="str">
            <v>1000/1401       NPK 6-20-30</v>
          </cell>
          <cell r="B41" t="str">
            <v>1001024    TALAGA</v>
          </cell>
          <cell r="C41" t="str">
            <v>KC Centra dystrybucji</v>
          </cell>
          <cell r="D41">
            <v>86379.1</v>
          </cell>
          <cell r="E41">
            <v>88</v>
          </cell>
          <cell r="F41">
            <v>68010.240000000005</v>
          </cell>
          <cell r="G41">
            <v>3595.05</v>
          </cell>
          <cell r="H41">
            <v>1154.5999999999899</v>
          </cell>
          <cell r="I41">
            <v>0</v>
          </cell>
          <cell r="J41">
            <v>0</v>
          </cell>
          <cell r="K41">
            <v>1154.5999999999899</v>
          </cell>
          <cell r="L41">
            <v>72759.889999999898</v>
          </cell>
          <cell r="M41">
            <v>13619.209999999901</v>
          </cell>
          <cell r="N41">
            <v>0</v>
          </cell>
          <cell r="O41">
            <v>72759.889999999898</v>
          </cell>
          <cell r="P41">
            <v>13619.209999999901</v>
          </cell>
          <cell r="Q41">
            <v>322.91000000000003</v>
          </cell>
          <cell r="R41">
            <v>73082.8</v>
          </cell>
          <cell r="S41">
            <v>13296.299999999899</v>
          </cell>
        </row>
        <row r="42">
          <cell r="A42" t="str">
            <v>1000/1401       NPK 6-20-30</v>
          </cell>
          <cell r="B42" t="str">
            <v>1001253    ROL-MECH SP. Z O.O.</v>
          </cell>
          <cell r="C42" t="str">
            <v>KB Sprzed. bezpośrednia</v>
          </cell>
          <cell r="D42">
            <v>57544.529999999897</v>
          </cell>
          <cell r="E42">
            <v>57</v>
          </cell>
          <cell r="F42">
            <v>39948.599999999897</v>
          </cell>
          <cell r="G42">
            <v>2394.9899999999898</v>
          </cell>
          <cell r="H42">
            <v>747.87</v>
          </cell>
          <cell r="I42">
            <v>4931.0699999999897</v>
          </cell>
          <cell r="J42">
            <v>0</v>
          </cell>
          <cell r="K42">
            <v>5678.9399999999896</v>
          </cell>
          <cell r="L42">
            <v>48022.529999999897</v>
          </cell>
          <cell r="M42">
            <v>9522</v>
          </cell>
          <cell r="N42">
            <v>0</v>
          </cell>
          <cell r="O42">
            <v>48022.529999999897</v>
          </cell>
          <cell r="P42">
            <v>9522</v>
          </cell>
          <cell r="Q42">
            <v>189.66999999999899</v>
          </cell>
          <cell r="R42">
            <v>48212.199999999903</v>
          </cell>
          <cell r="S42">
            <v>9332.3299999999908</v>
          </cell>
        </row>
        <row r="43">
          <cell r="A43" t="str">
            <v>1000/1401       NPK 6-20-30</v>
          </cell>
          <cell r="B43" t="str">
            <v>1001481    Hurt.Śr.Ochr.Roślin-</v>
          </cell>
          <cell r="C43" t="str">
            <v>KB Sprzed. bezpośrednia</v>
          </cell>
          <cell r="D43">
            <v>24116.400000000001</v>
          </cell>
          <cell r="E43">
            <v>24</v>
          </cell>
          <cell r="F43">
            <v>16820.47</v>
          </cell>
          <cell r="G43">
            <v>1003.67</v>
          </cell>
          <cell r="H43">
            <v>314.88999999999902</v>
          </cell>
          <cell r="I43">
            <v>1779.1199999999899</v>
          </cell>
          <cell r="J43">
            <v>0</v>
          </cell>
          <cell r="K43">
            <v>2094.0100000000002</v>
          </cell>
          <cell r="L43">
            <v>19918.150000000001</v>
          </cell>
          <cell r="M43">
            <v>4198.25</v>
          </cell>
          <cell r="N43">
            <v>0</v>
          </cell>
          <cell r="O43">
            <v>19918.150000000001</v>
          </cell>
          <cell r="P43">
            <v>4198.25</v>
          </cell>
          <cell r="Q43">
            <v>79.8599999999999</v>
          </cell>
          <cell r="R43">
            <v>19998.0099999999</v>
          </cell>
          <cell r="S43">
            <v>4118.3900000000003</v>
          </cell>
        </row>
        <row r="44">
          <cell r="A44" t="str">
            <v>1000/1401       NPK 6-20-30</v>
          </cell>
          <cell r="B44" t="str">
            <v>1001494    AGROLOK Sp. z o.o.</v>
          </cell>
          <cell r="C44" t="str">
            <v>KB Sprzed. bezpośrednia</v>
          </cell>
          <cell r="D44">
            <v>716565.71999999904</v>
          </cell>
          <cell r="E44">
            <v>720</v>
          </cell>
          <cell r="F44">
            <v>522713.31</v>
          </cell>
          <cell r="G44">
            <v>29822.6899999999</v>
          </cell>
          <cell r="H44">
            <v>9446.76</v>
          </cell>
          <cell r="I44">
            <v>20110.2</v>
          </cell>
          <cell r="J44">
            <v>0</v>
          </cell>
          <cell r="K44">
            <v>29556.959999999901</v>
          </cell>
          <cell r="L44">
            <v>582092.95999999903</v>
          </cell>
          <cell r="M44">
            <v>134472.76</v>
          </cell>
          <cell r="N44">
            <v>0</v>
          </cell>
          <cell r="O44">
            <v>582092.95999999903</v>
          </cell>
          <cell r="P44">
            <v>134472.76</v>
          </cell>
          <cell r="Q44">
            <v>2481.7600000000002</v>
          </cell>
          <cell r="R44">
            <v>584574.71999999904</v>
          </cell>
          <cell r="S44">
            <v>131991</v>
          </cell>
        </row>
        <row r="45">
          <cell r="A45" t="str">
            <v>1000/1401       NPK 6-20-30</v>
          </cell>
          <cell r="B45" t="str">
            <v>1001494    AGROLOK Sp. z o.o.</v>
          </cell>
          <cell r="C45" t="str">
            <v>KC Centra dystrybucji</v>
          </cell>
          <cell r="D45">
            <v>0</v>
          </cell>
          <cell r="E45">
            <v>0</v>
          </cell>
          <cell r="F45">
            <v>-132.38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-132.38</v>
          </cell>
          <cell r="M45">
            <v>132.38</v>
          </cell>
          <cell r="N45">
            <v>0</v>
          </cell>
          <cell r="O45">
            <v>-132.38</v>
          </cell>
          <cell r="P45">
            <v>132.38</v>
          </cell>
          <cell r="Q45">
            <v>-0.63</v>
          </cell>
          <cell r="R45">
            <v>-133.009999999999</v>
          </cell>
          <cell r="S45">
            <v>133.009999999999</v>
          </cell>
        </row>
        <row r="46">
          <cell r="A46" t="str">
            <v>1000/1401       NPK 6-20-30</v>
          </cell>
          <cell r="B46" t="str">
            <v>1001519    "ARGOL" LESZEK KALIS</v>
          </cell>
          <cell r="C46" t="str">
            <v>KC Centra dystrybucji</v>
          </cell>
          <cell r="D46">
            <v>24912</v>
          </cell>
          <cell r="E46">
            <v>24</v>
          </cell>
          <cell r="F46">
            <v>17526.79</v>
          </cell>
          <cell r="G46">
            <v>1036.78</v>
          </cell>
          <cell r="H46">
            <v>314.88999999999902</v>
          </cell>
          <cell r="I46">
            <v>1521.5999999999899</v>
          </cell>
          <cell r="J46">
            <v>0</v>
          </cell>
          <cell r="K46">
            <v>1836.49</v>
          </cell>
          <cell r="L46">
            <v>20400.060000000001</v>
          </cell>
          <cell r="M46">
            <v>4511.9399999999896</v>
          </cell>
          <cell r="N46">
            <v>0</v>
          </cell>
          <cell r="O46">
            <v>20400.060000000001</v>
          </cell>
          <cell r="P46">
            <v>4511.9399999999896</v>
          </cell>
          <cell r="Q46">
            <v>83.23</v>
          </cell>
          <cell r="R46">
            <v>20483.29</v>
          </cell>
          <cell r="S46">
            <v>4428.71</v>
          </cell>
        </row>
        <row r="47">
          <cell r="A47" t="str">
            <v>1000/1401       NPK 6-20-30</v>
          </cell>
          <cell r="B47" t="str">
            <v>1001522    AGRO-BIT</v>
          </cell>
          <cell r="C47" t="str">
            <v>KB Sprzed. bezpośrednia</v>
          </cell>
          <cell r="D47">
            <v>81075.210000000006</v>
          </cell>
          <cell r="E47">
            <v>81</v>
          </cell>
          <cell r="F47">
            <v>56769.08</v>
          </cell>
          <cell r="G47">
            <v>3374.25</v>
          </cell>
          <cell r="H47">
            <v>1062.75</v>
          </cell>
          <cell r="I47">
            <v>7181.06</v>
          </cell>
          <cell r="J47">
            <v>0</v>
          </cell>
          <cell r="K47">
            <v>8243.8099999999904</v>
          </cell>
          <cell r="L47">
            <v>68387.139999999898</v>
          </cell>
          <cell r="M47">
            <v>12688.07</v>
          </cell>
          <cell r="N47">
            <v>0</v>
          </cell>
          <cell r="O47">
            <v>68387.139999999898</v>
          </cell>
          <cell r="P47">
            <v>12688.07</v>
          </cell>
          <cell r="Q47">
            <v>269.52999999999901</v>
          </cell>
          <cell r="R47">
            <v>68656.669999999896</v>
          </cell>
          <cell r="S47">
            <v>12418.54</v>
          </cell>
        </row>
        <row r="48">
          <cell r="A48" t="str">
            <v>1000/1401       NPK 6-20-30</v>
          </cell>
          <cell r="B48" t="str">
            <v>1001649    CDN</v>
          </cell>
          <cell r="C48" t="str">
            <v>KC Centra dystrybucji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126145.24</v>
          </cell>
          <cell r="J48">
            <v>0</v>
          </cell>
          <cell r="K48">
            <v>126145.24</v>
          </cell>
          <cell r="L48">
            <v>126145.24</v>
          </cell>
          <cell r="M48">
            <v>-126145.24</v>
          </cell>
          <cell r="N48">
            <v>0</v>
          </cell>
          <cell r="O48">
            <v>126145.24</v>
          </cell>
          <cell r="P48">
            <v>-126145.24</v>
          </cell>
          <cell r="Q48">
            <v>0</v>
          </cell>
          <cell r="R48">
            <v>126145.24</v>
          </cell>
          <cell r="S48">
            <v>-126145.24</v>
          </cell>
        </row>
        <row r="49">
          <cell r="A49" t="str">
            <v>1000/1401       NPK 6-20-30</v>
          </cell>
          <cell r="B49" t="str">
            <v>1001662    AMPOL-MEROL Sp. z o.</v>
          </cell>
          <cell r="C49" t="str">
            <v>KB Sprzed. bezpośrednia</v>
          </cell>
          <cell r="D49">
            <v>24287.040000000001</v>
          </cell>
          <cell r="E49">
            <v>24</v>
          </cell>
          <cell r="F49">
            <v>17877.810000000001</v>
          </cell>
          <cell r="G49">
            <v>1010.83</v>
          </cell>
          <cell r="H49">
            <v>314.88999999999902</v>
          </cell>
          <cell r="I49">
            <v>1335.1199999999899</v>
          </cell>
          <cell r="J49">
            <v>0</v>
          </cell>
          <cell r="K49">
            <v>1650.01</v>
          </cell>
          <cell r="L49">
            <v>20538.650000000001</v>
          </cell>
          <cell r="M49">
            <v>3748.3899999999899</v>
          </cell>
          <cell r="N49">
            <v>0</v>
          </cell>
          <cell r="O49">
            <v>20538.650000000001</v>
          </cell>
          <cell r="P49">
            <v>3748.3899999999899</v>
          </cell>
          <cell r="Q49">
            <v>84.87</v>
          </cell>
          <cell r="R49">
            <v>20623.52</v>
          </cell>
          <cell r="S49">
            <v>3663.52</v>
          </cell>
        </row>
        <row r="50">
          <cell r="A50" t="str">
            <v>1000/1401       NPK 6-20-30</v>
          </cell>
          <cell r="B50" t="str">
            <v>1001662    AMPOL-MEROL Sp. z o.</v>
          </cell>
          <cell r="C50" t="str">
            <v>KC Centra dystrybucji</v>
          </cell>
          <cell r="D50">
            <v>147333.399999999</v>
          </cell>
          <cell r="E50">
            <v>142</v>
          </cell>
          <cell r="F50">
            <v>112430.14</v>
          </cell>
          <cell r="G50">
            <v>6131.8599999999897</v>
          </cell>
          <cell r="H50">
            <v>1863.1099999999899</v>
          </cell>
          <cell r="I50">
            <v>0</v>
          </cell>
          <cell r="J50">
            <v>0</v>
          </cell>
          <cell r="K50">
            <v>1863.1099999999899</v>
          </cell>
          <cell r="L50">
            <v>120425.11</v>
          </cell>
          <cell r="M50">
            <v>26908.29</v>
          </cell>
          <cell r="N50">
            <v>0</v>
          </cell>
          <cell r="O50">
            <v>120425.11</v>
          </cell>
          <cell r="P50">
            <v>26908.29</v>
          </cell>
          <cell r="Q50">
            <v>533.79999999999905</v>
          </cell>
          <cell r="R50">
            <v>120958.91</v>
          </cell>
          <cell r="S50">
            <v>26374.49</v>
          </cell>
        </row>
        <row r="51">
          <cell r="A51" t="str">
            <v>1000/1401       NPK 6-20-30</v>
          </cell>
          <cell r="B51" t="str">
            <v>1001701    INTRAT-BRZ</v>
          </cell>
          <cell r="C51" t="str">
            <v>KC Centra dystrybucji</v>
          </cell>
          <cell r="D51">
            <v>14627.25</v>
          </cell>
          <cell r="E51">
            <v>15</v>
          </cell>
          <cell r="F51">
            <v>11976.2</v>
          </cell>
          <cell r="G51">
            <v>608.75</v>
          </cell>
          <cell r="H51">
            <v>196.81</v>
          </cell>
          <cell r="I51">
            <v>0</v>
          </cell>
          <cell r="J51">
            <v>0</v>
          </cell>
          <cell r="K51">
            <v>196.81</v>
          </cell>
          <cell r="L51">
            <v>12781.76</v>
          </cell>
          <cell r="M51">
            <v>1845.49</v>
          </cell>
          <cell r="N51">
            <v>0</v>
          </cell>
          <cell r="O51">
            <v>12781.76</v>
          </cell>
          <cell r="P51">
            <v>1845.49</v>
          </cell>
          <cell r="Q51">
            <v>56.8599999999999</v>
          </cell>
          <cell r="R51">
            <v>12838.62</v>
          </cell>
          <cell r="S51">
            <v>1788.63</v>
          </cell>
        </row>
        <row r="52">
          <cell r="A52" t="str">
            <v>1000/1401       NPK 6-20-30</v>
          </cell>
          <cell r="B52" t="str">
            <v>1001871    ROLPOL</v>
          </cell>
          <cell r="C52" t="str">
            <v>KC Centra dystrybucji</v>
          </cell>
          <cell r="D52">
            <v>60190.400000000001</v>
          </cell>
          <cell r="E52">
            <v>61</v>
          </cell>
          <cell r="F52">
            <v>47143.41</v>
          </cell>
          <cell r="G52">
            <v>2505.04</v>
          </cell>
          <cell r="H52">
            <v>800.35</v>
          </cell>
          <cell r="I52">
            <v>0</v>
          </cell>
          <cell r="J52">
            <v>0</v>
          </cell>
          <cell r="K52">
            <v>800.35</v>
          </cell>
          <cell r="L52">
            <v>50448.800000000003</v>
          </cell>
          <cell r="M52">
            <v>9741.6</v>
          </cell>
          <cell r="N52">
            <v>0</v>
          </cell>
          <cell r="O52">
            <v>50448.800000000003</v>
          </cell>
          <cell r="P52">
            <v>9741.6</v>
          </cell>
          <cell r="Q52">
            <v>223.83</v>
          </cell>
          <cell r="R52">
            <v>50672.629999999903</v>
          </cell>
          <cell r="S52">
            <v>9517.77</v>
          </cell>
        </row>
        <row r="53">
          <cell r="A53" t="str">
            <v>1000/1401       NPK 6-20-30</v>
          </cell>
          <cell r="B53" t="str">
            <v>1001983    FAZOT</v>
          </cell>
          <cell r="C53" t="str">
            <v>KB Sprzed. bezpośrednia</v>
          </cell>
          <cell r="D53">
            <v>71486.52</v>
          </cell>
          <cell r="E53">
            <v>72</v>
          </cell>
          <cell r="F53">
            <v>52576.01</v>
          </cell>
          <cell r="G53">
            <v>2975.1999999999898</v>
          </cell>
          <cell r="H53">
            <v>944.67999999999904</v>
          </cell>
          <cell r="I53">
            <v>2401.92</v>
          </cell>
          <cell r="J53">
            <v>0</v>
          </cell>
          <cell r="K53">
            <v>3346.5999999999899</v>
          </cell>
          <cell r="L53">
            <v>58897.809999999903</v>
          </cell>
          <cell r="M53">
            <v>12588.709999999901</v>
          </cell>
          <cell r="N53">
            <v>0</v>
          </cell>
          <cell r="O53">
            <v>58897.809999999903</v>
          </cell>
          <cell r="P53">
            <v>12588.709999999901</v>
          </cell>
          <cell r="Q53">
            <v>249.62</v>
          </cell>
          <cell r="R53">
            <v>59147.43</v>
          </cell>
          <cell r="S53">
            <v>12339.09</v>
          </cell>
        </row>
        <row r="54">
          <cell r="A54" t="str">
            <v>1000/1401       NPK 6-20-30</v>
          </cell>
          <cell r="B54" t="str">
            <v>1001983    FAZOT</v>
          </cell>
          <cell r="C54" t="str">
            <v>KC Centra dystrybucji</v>
          </cell>
          <cell r="D54">
            <v>13652.1</v>
          </cell>
          <cell r="E54">
            <v>14</v>
          </cell>
          <cell r="F54">
            <v>10819.799999999899</v>
          </cell>
          <cell r="G54">
            <v>568.17999999999904</v>
          </cell>
          <cell r="H54">
            <v>183.68</v>
          </cell>
          <cell r="I54">
            <v>0</v>
          </cell>
          <cell r="J54">
            <v>0</v>
          </cell>
          <cell r="K54">
            <v>183.68</v>
          </cell>
          <cell r="L54">
            <v>11571.66</v>
          </cell>
          <cell r="M54">
            <v>2080.44</v>
          </cell>
          <cell r="N54">
            <v>0</v>
          </cell>
          <cell r="O54">
            <v>11571.66</v>
          </cell>
          <cell r="P54">
            <v>2080.44</v>
          </cell>
          <cell r="Q54">
            <v>51.369999999999898</v>
          </cell>
          <cell r="R54">
            <v>11623.03</v>
          </cell>
          <cell r="S54">
            <v>2029.0699999999899</v>
          </cell>
        </row>
        <row r="55">
          <cell r="A55" t="str">
            <v>1000/1401       NPK 6-20-30</v>
          </cell>
          <cell r="B55" t="str">
            <v>1001988    ROLNIK-KOŚCIAN</v>
          </cell>
          <cell r="C55" t="str">
            <v>KB Sprzed. bezpośrednia</v>
          </cell>
          <cell r="D55">
            <v>511526.91999999899</v>
          </cell>
          <cell r="E55">
            <v>493</v>
          </cell>
          <cell r="F55">
            <v>360328.7</v>
          </cell>
          <cell r="G55">
            <v>21289.34</v>
          </cell>
          <cell r="H55">
            <v>6468.4099999999899</v>
          </cell>
          <cell r="I55">
            <v>11794.48</v>
          </cell>
          <cell r="J55">
            <v>0</v>
          </cell>
          <cell r="K55">
            <v>18262.889999999901</v>
          </cell>
          <cell r="L55">
            <v>399880.929999999</v>
          </cell>
          <cell r="M55">
            <v>111645.99</v>
          </cell>
          <cell r="N55">
            <v>0</v>
          </cell>
          <cell r="O55">
            <v>399880.929999999</v>
          </cell>
          <cell r="P55">
            <v>111645.99</v>
          </cell>
          <cell r="Q55">
            <v>1710.76</v>
          </cell>
          <cell r="R55">
            <v>401591.69</v>
          </cell>
          <cell r="S55">
            <v>109935.23</v>
          </cell>
        </row>
        <row r="56">
          <cell r="A56" t="str">
            <v>1000/1401       NPK 6-20-30</v>
          </cell>
          <cell r="B56" t="str">
            <v>1001991    WAMEX</v>
          </cell>
          <cell r="C56" t="str">
            <v>KB Sprzed. bezpośrednia</v>
          </cell>
          <cell r="D56">
            <v>23880.84</v>
          </cell>
          <cell r="E56">
            <v>24</v>
          </cell>
          <cell r="F56">
            <v>16820.459999999901</v>
          </cell>
          <cell r="G56">
            <v>993.89999999999895</v>
          </cell>
          <cell r="H56">
            <v>314.88999999999902</v>
          </cell>
          <cell r="I56">
            <v>907.91999999999905</v>
          </cell>
          <cell r="J56">
            <v>0</v>
          </cell>
          <cell r="K56">
            <v>1222.8099999999899</v>
          </cell>
          <cell r="L56">
            <v>19037.1699999999</v>
          </cell>
          <cell r="M56">
            <v>4843.67</v>
          </cell>
          <cell r="N56">
            <v>0</v>
          </cell>
          <cell r="O56">
            <v>19037.1699999999</v>
          </cell>
          <cell r="P56">
            <v>4843.67</v>
          </cell>
          <cell r="Q56">
            <v>79.8599999999999</v>
          </cell>
          <cell r="R56">
            <v>19117.029999999901</v>
          </cell>
          <cell r="S56">
            <v>4763.8100000000004</v>
          </cell>
        </row>
        <row r="57">
          <cell r="A57" t="str">
            <v>1000/1401       NPK 6-20-30</v>
          </cell>
          <cell r="B57" t="str">
            <v>1001991    WAMEX</v>
          </cell>
          <cell r="C57" t="str">
            <v>KC Centra dystrybucji</v>
          </cell>
          <cell r="D57">
            <v>122760</v>
          </cell>
          <cell r="E57">
            <v>120</v>
          </cell>
          <cell r="F57">
            <v>87633.949999999895</v>
          </cell>
          <cell r="G57">
            <v>5109.1499999999896</v>
          </cell>
          <cell r="H57">
            <v>1574.46</v>
          </cell>
          <cell r="I57">
            <v>8541.1200000000008</v>
          </cell>
          <cell r="J57">
            <v>0</v>
          </cell>
          <cell r="K57">
            <v>10115.58</v>
          </cell>
          <cell r="L57">
            <v>102858.679999999</v>
          </cell>
          <cell r="M57">
            <v>19901.32</v>
          </cell>
          <cell r="N57">
            <v>0</v>
          </cell>
          <cell r="O57">
            <v>102858.679999999</v>
          </cell>
          <cell r="P57">
            <v>19901.32</v>
          </cell>
          <cell r="Q57">
            <v>416.08999999999901</v>
          </cell>
          <cell r="R57">
            <v>103274.77</v>
          </cell>
          <cell r="S57">
            <v>19485.23</v>
          </cell>
        </row>
        <row r="58">
          <cell r="A58" t="str">
            <v>1000/1401       NPK 6-20-30</v>
          </cell>
          <cell r="B58" t="str">
            <v>1001992    PLON Pastuszka Kazał</v>
          </cell>
          <cell r="C58" t="str">
            <v>KB Sprzed. bezpośrednia</v>
          </cell>
          <cell r="D58">
            <v>-49.829999999999899</v>
          </cell>
          <cell r="E58">
            <v>-0.05</v>
          </cell>
          <cell r="F58">
            <v>-35.049999999999898</v>
          </cell>
          <cell r="G58">
            <v>-2.04</v>
          </cell>
          <cell r="H58">
            <v>-0.65</v>
          </cell>
          <cell r="I58">
            <v>0</v>
          </cell>
          <cell r="J58">
            <v>0</v>
          </cell>
          <cell r="K58">
            <v>-0.65</v>
          </cell>
          <cell r="L58">
            <v>-37.74</v>
          </cell>
          <cell r="M58">
            <v>-12.09</v>
          </cell>
          <cell r="N58">
            <v>0</v>
          </cell>
          <cell r="O58">
            <v>-37.74</v>
          </cell>
          <cell r="P58">
            <v>-12.09</v>
          </cell>
          <cell r="Q58">
            <v>-0.16</v>
          </cell>
          <cell r="R58">
            <v>-37.899999999999899</v>
          </cell>
          <cell r="S58">
            <v>-11.93</v>
          </cell>
        </row>
        <row r="59">
          <cell r="A59" t="str">
            <v>1000/1401       NPK 6-20-30</v>
          </cell>
          <cell r="B59" t="str">
            <v>1001994    SKR-STRZELCE</v>
          </cell>
          <cell r="C59" t="str">
            <v>KB Sprzed. bezpośrednia</v>
          </cell>
          <cell r="D59">
            <v>187608.31</v>
          </cell>
          <cell r="E59">
            <v>191</v>
          </cell>
          <cell r="F59">
            <v>134303.45000000001</v>
          </cell>
          <cell r="G59">
            <v>7808.0699999999897</v>
          </cell>
          <cell r="H59">
            <v>2506</v>
          </cell>
          <cell r="I59">
            <v>6083.85</v>
          </cell>
          <cell r="J59">
            <v>0</v>
          </cell>
          <cell r="K59">
            <v>8589.85</v>
          </cell>
          <cell r="L59">
            <v>150701.37</v>
          </cell>
          <cell r="M59">
            <v>36906.94</v>
          </cell>
          <cell r="N59">
            <v>0</v>
          </cell>
          <cell r="O59">
            <v>150701.37</v>
          </cell>
          <cell r="P59">
            <v>36906.94</v>
          </cell>
          <cell r="Q59">
            <v>637.63999999999896</v>
          </cell>
          <cell r="R59">
            <v>151339.01</v>
          </cell>
          <cell r="S59">
            <v>36269.300000000003</v>
          </cell>
        </row>
        <row r="60">
          <cell r="A60" t="str">
            <v>1000/1401       NPK 6-20-30</v>
          </cell>
          <cell r="B60" t="str">
            <v>1002004    AZOT</v>
          </cell>
          <cell r="C60" t="str">
            <v>KB Sprzed. bezpośrednia</v>
          </cell>
          <cell r="D60">
            <v>24116.400000000001</v>
          </cell>
          <cell r="E60">
            <v>24</v>
          </cell>
          <cell r="F60">
            <v>16820.47</v>
          </cell>
          <cell r="G60">
            <v>1003.67</v>
          </cell>
          <cell r="H60">
            <v>314.88999999999902</v>
          </cell>
          <cell r="I60">
            <v>1379.76</v>
          </cell>
          <cell r="J60">
            <v>0</v>
          </cell>
          <cell r="K60">
            <v>1694.65</v>
          </cell>
          <cell r="L60">
            <v>19518.79</v>
          </cell>
          <cell r="M60">
            <v>4597.6099999999897</v>
          </cell>
          <cell r="N60">
            <v>0</v>
          </cell>
          <cell r="O60">
            <v>19518.79</v>
          </cell>
          <cell r="P60">
            <v>4597.6099999999897</v>
          </cell>
          <cell r="Q60">
            <v>79.8599999999999</v>
          </cell>
          <cell r="R60">
            <v>19598.650000000001</v>
          </cell>
          <cell r="S60">
            <v>4517.75</v>
          </cell>
        </row>
        <row r="61">
          <cell r="A61" t="str">
            <v>1000/1401       NPK 6-20-30</v>
          </cell>
          <cell r="B61" t="str">
            <v>1002005    LAMCH-TOMI</v>
          </cell>
          <cell r="C61" t="str">
            <v>KB Sprzed. bezpośrednia</v>
          </cell>
          <cell r="D61">
            <v>23748.5999999999</v>
          </cell>
          <cell r="E61">
            <v>24</v>
          </cell>
          <cell r="F61">
            <v>16820.459999999901</v>
          </cell>
          <cell r="G61">
            <v>988.42999999999904</v>
          </cell>
          <cell r="H61">
            <v>314.88999999999902</v>
          </cell>
          <cell r="I61">
            <v>650.39999999999895</v>
          </cell>
          <cell r="J61">
            <v>0</v>
          </cell>
          <cell r="K61">
            <v>965.28999999999905</v>
          </cell>
          <cell r="L61">
            <v>18774.18</v>
          </cell>
          <cell r="M61">
            <v>4974.42</v>
          </cell>
          <cell r="N61">
            <v>0</v>
          </cell>
          <cell r="O61">
            <v>18774.18</v>
          </cell>
          <cell r="P61">
            <v>4974.42</v>
          </cell>
          <cell r="Q61">
            <v>79.8599999999999</v>
          </cell>
          <cell r="R61">
            <v>18854.04</v>
          </cell>
          <cell r="S61">
            <v>4894.5600000000004</v>
          </cell>
        </row>
        <row r="62">
          <cell r="A62" t="str">
            <v>1000/1401       NPK 6-20-30</v>
          </cell>
          <cell r="B62" t="str">
            <v>1002009    AGROTECHNI</v>
          </cell>
          <cell r="C62" t="str">
            <v>KB Sprzed. bezpośrednia</v>
          </cell>
          <cell r="D62">
            <v>60673.43</v>
          </cell>
          <cell r="E62">
            <v>61</v>
          </cell>
          <cell r="F62">
            <v>42752.019999999902</v>
          </cell>
          <cell r="G62">
            <v>2525.1399999999899</v>
          </cell>
          <cell r="H62">
            <v>800.35</v>
          </cell>
          <cell r="I62">
            <v>4644.13</v>
          </cell>
          <cell r="J62">
            <v>0</v>
          </cell>
          <cell r="K62">
            <v>5444.4799999999896</v>
          </cell>
          <cell r="L62">
            <v>50721.639999999898</v>
          </cell>
          <cell r="M62">
            <v>9951.7900000000009</v>
          </cell>
          <cell r="N62">
            <v>0</v>
          </cell>
          <cell r="O62">
            <v>50721.639999999898</v>
          </cell>
          <cell r="P62">
            <v>9951.7900000000009</v>
          </cell>
          <cell r="Q62">
            <v>202.96</v>
          </cell>
          <cell r="R62">
            <v>50924.599999999897</v>
          </cell>
          <cell r="S62">
            <v>9748.8299999999908</v>
          </cell>
        </row>
        <row r="63">
          <cell r="A63" t="str">
            <v>1000/1401       NPK 6-20-30</v>
          </cell>
          <cell r="B63" t="str">
            <v>1002056    GS-Koronowo</v>
          </cell>
          <cell r="C63" t="str">
            <v>KB Sprzed. bezpośrednia</v>
          </cell>
          <cell r="D63">
            <v>12059.4</v>
          </cell>
          <cell r="E63">
            <v>12</v>
          </cell>
          <cell r="F63">
            <v>8410.2299999999905</v>
          </cell>
          <cell r="G63">
            <v>501.89999999999901</v>
          </cell>
          <cell r="H63">
            <v>157.44999999999899</v>
          </cell>
          <cell r="I63">
            <v>408.6</v>
          </cell>
          <cell r="J63">
            <v>0</v>
          </cell>
          <cell r="K63">
            <v>566.04999999999905</v>
          </cell>
          <cell r="L63">
            <v>9478.18</v>
          </cell>
          <cell r="M63">
            <v>2581.2199999999898</v>
          </cell>
          <cell r="N63">
            <v>0</v>
          </cell>
          <cell r="O63">
            <v>9478.18</v>
          </cell>
          <cell r="P63">
            <v>2581.2199999999898</v>
          </cell>
          <cell r="Q63">
            <v>39.92</v>
          </cell>
          <cell r="R63">
            <v>9518.1</v>
          </cell>
          <cell r="S63">
            <v>2541.3000000000002</v>
          </cell>
        </row>
        <row r="64">
          <cell r="A64" t="str">
            <v>1000/1401       NPK 6-20-30</v>
          </cell>
          <cell r="B64" t="str">
            <v>1002058    GS-Gardeja</v>
          </cell>
          <cell r="C64" t="str">
            <v>KC Centra dystrybucji</v>
          </cell>
          <cell r="D64">
            <v>9751.5</v>
          </cell>
          <cell r="E64">
            <v>10</v>
          </cell>
          <cell r="F64">
            <v>7959.7399999999898</v>
          </cell>
          <cell r="G64">
            <v>405.81999999999903</v>
          </cell>
          <cell r="H64">
            <v>131.19999999999899</v>
          </cell>
          <cell r="I64">
            <v>0</v>
          </cell>
          <cell r="J64">
            <v>0</v>
          </cell>
          <cell r="K64">
            <v>131.19999999999899</v>
          </cell>
          <cell r="L64">
            <v>8496.76</v>
          </cell>
          <cell r="M64">
            <v>1254.74</v>
          </cell>
          <cell r="N64">
            <v>0</v>
          </cell>
          <cell r="O64">
            <v>8496.76</v>
          </cell>
          <cell r="P64">
            <v>1254.74</v>
          </cell>
          <cell r="Q64">
            <v>37.799999999999898</v>
          </cell>
          <cell r="R64">
            <v>8534.5599999999904</v>
          </cell>
          <cell r="S64">
            <v>1216.94</v>
          </cell>
        </row>
        <row r="65">
          <cell r="A65" t="str">
            <v>1000/1401       NPK 6-20-30</v>
          </cell>
          <cell r="B65" t="str">
            <v>1002151    "AGRO-HANDEL"</v>
          </cell>
          <cell r="C65" t="str">
            <v>KB Sprzed. bezpośrednia</v>
          </cell>
          <cell r="D65">
            <v>36943.72</v>
          </cell>
          <cell r="E65">
            <v>37</v>
          </cell>
          <cell r="F65">
            <v>25931.549999999901</v>
          </cell>
          <cell r="G65">
            <v>1537.54</v>
          </cell>
          <cell r="H65">
            <v>485.45999999999901</v>
          </cell>
          <cell r="I65">
            <v>2778.13</v>
          </cell>
          <cell r="J65">
            <v>0</v>
          </cell>
          <cell r="K65">
            <v>3263.59</v>
          </cell>
          <cell r="L65">
            <v>30732.68</v>
          </cell>
          <cell r="M65">
            <v>6211.04</v>
          </cell>
          <cell r="N65">
            <v>0</v>
          </cell>
          <cell r="O65">
            <v>30732.68</v>
          </cell>
          <cell r="P65">
            <v>6211.04</v>
          </cell>
          <cell r="Q65">
            <v>123.12</v>
          </cell>
          <cell r="R65">
            <v>30855.799999999901</v>
          </cell>
          <cell r="S65">
            <v>6087.92</v>
          </cell>
        </row>
        <row r="66">
          <cell r="A66" t="str">
            <v>1000/1401       NPK 6-20-30</v>
          </cell>
          <cell r="B66" t="str">
            <v>1002407    ROLBUD</v>
          </cell>
          <cell r="C66" t="str">
            <v>KB Sprzed. bezpośrednia</v>
          </cell>
          <cell r="D66">
            <v>91305.119999999893</v>
          </cell>
          <cell r="E66">
            <v>94.5</v>
          </cell>
          <cell r="F66">
            <v>66230.589999999895</v>
          </cell>
          <cell r="G66">
            <v>3800.05</v>
          </cell>
          <cell r="H66">
            <v>1239.8800000000001</v>
          </cell>
          <cell r="I66">
            <v>0</v>
          </cell>
          <cell r="J66">
            <v>0</v>
          </cell>
          <cell r="K66">
            <v>1239.8800000000001</v>
          </cell>
          <cell r="L66">
            <v>71270.52</v>
          </cell>
          <cell r="M66">
            <v>20034.5999999999</v>
          </cell>
          <cell r="N66">
            <v>0</v>
          </cell>
          <cell r="O66">
            <v>71270.52</v>
          </cell>
          <cell r="P66">
            <v>20034.5999999999</v>
          </cell>
          <cell r="Q66">
            <v>314.47000000000003</v>
          </cell>
          <cell r="R66">
            <v>71584.990000000005</v>
          </cell>
          <cell r="S66">
            <v>19720.13</v>
          </cell>
        </row>
        <row r="67">
          <cell r="A67" t="str">
            <v>1000/1401       NPK 6-20-30</v>
          </cell>
          <cell r="B67" t="str">
            <v>1002556    "AGROPLON" SP. Z O.O</v>
          </cell>
          <cell r="C67" t="str">
            <v>KB Sprzed. bezpośrednia</v>
          </cell>
          <cell r="D67">
            <v>23512.799999999901</v>
          </cell>
          <cell r="E67">
            <v>24</v>
          </cell>
          <cell r="F67">
            <v>17877.810000000001</v>
          </cell>
          <cell r="G67">
            <v>978.54999999999905</v>
          </cell>
          <cell r="H67">
            <v>314.88999999999902</v>
          </cell>
          <cell r="I67">
            <v>0</v>
          </cell>
          <cell r="J67">
            <v>0</v>
          </cell>
          <cell r="K67">
            <v>314.88999999999902</v>
          </cell>
          <cell r="L67">
            <v>19171.25</v>
          </cell>
          <cell r="M67">
            <v>4341.55</v>
          </cell>
          <cell r="N67">
            <v>0</v>
          </cell>
          <cell r="O67">
            <v>19171.25</v>
          </cell>
          <cell r="P67">
            <v>4341.55</v>
          </cell>
          <cell r="Q67">
            <v>84.87</v>
          </cell>
          <cell r="R67">
            <v>19256.119999999901</v>
          </cell>
          <cell r="S67">
            <v>4256.68</v>
          </cell>
        </row>
        <row r="68">
          <cell r="A68" t="str">
            <v>1000/1401       NPK 6-20-30</v>
          </cell>
          <cell r="B68" t="str">
            <v>1002657    "AGROFIRMA"-TOMASZ W</v>
          </cell>
          <cell r="C68" t="str">
            <v>KB Sprzed. bezpośrednia</v>
          </cell>
          <cell r="D68">
            <v>81665.399999999907</v>
          </cell>
          <cell r="E68">
            <v>84</v>
          </cell>
          <cell r="F68">
            <v>60986.32</v>
          </cell>
          <cell r="G68">
            <v>3398.86</v>
          </cell>
          <cell r="H68">
            <v>1102.1300000000001</v>
          </cell>
          <cell r="I68">
            <v>0</v>
          </cell>
          <cell r="J68">
            <v>0</v>
          </cell>
          <cell r="K68">
            <v>1102.1300000000001</v>
          </cell>
          <cell r="L68">
            <v>65487.309999999903</v>
          </cell>
          <cell r="M68">
            <v>16178.09</v>
          </cell>
          <cell r="N68">
            <v>0</v>
          </cell>
          <cell r="O68">
            <v>65487.309999999903</v>
          </cell>
          <cell r="P68">
            <v>16178.09</v>
          </cell>
          <cell r="Q68">
            <v>289.55</v>
          </cell>
          <cell r="R68">
            <v>65776.86</v>
          </cell>
          <cell r="S68">
            <v>15888.54</v>
          </cell>
        </row>
        <row r="69">
          <cell r="A69" t="str">
            <v>1000/1401       NPK 6-20-30</v>
          </cell>
          <cell r="B69" t="str">
            <v>1002790    AGRO-SKŁAD SZYMON NO</v>
          </cell>
          <cell r="C69" t="str">
            <v>KB Sprzed. bezpośrednia</v>
          </cell>
          <cell r="D69">
            <v>34854.36</v>
          </cell>
          <cell r="E69">
            <v>36</v>
          </cell>
          <cell r="F69">
            <v>25230.7</v>
          </cell>
          <cell r="G69">
            <v>1450.5699999999899</v>
          </cell>
          <cell r="H69">
            <v>472.33999999999901</v>
          </cell>
          <cell r="I69">
            <v>0</v>
          </cell>
          <cell r="J69">
            <v>0</v>
          </cell>
          <cell r="K69">
            <v>472.33999999999901</v>
          </cell>
          <cell r="L69">
            <v>27153.61</v>
          </cell>
          <cell r="M69">
            <v>7700.75</v>
          </cell>
          <cell r="N69">
            <v>0</v>
          </cell>
          <cell r="O69">
            <v>27153.61</v>
          </cell>
          <cell r="P69">
            <v>7700.75</v>
          </cell>
          <cell r="Q69">
            <v>119.79</v>
          </cell>
          <cell r="R69">
            <v>27273.4</v>
          </cell>
          <cell r="S69">
            <v>7580.96</v>
          </cell>
        </row>
        <row r="70">
          <cell r="A70" t="str">
            <v>1000/1401       NPK 6-20-30</v>
          </cell>
          <cell r="B70" t="str">
            <v>1002956    MIROSŁAW ULENBERG "U</v>
          </cell>
          <cell r="C70" t="str">
            <v>KB Sprzed. bezpośrednia</v>
          </cell>
          <cell r="D70">
            <v>47328.959999999897</v>
          </cell>
          <cell r="E70">
            <v>48</v>
          </cell>
          <cell r="F70">
            <v>33640.94</v>
          </cell>
          <cell r="G70">
            <v>1969.78</v>
          </cell>
          <cell r="H70">
            <v>629.78999999999905</v>
          </cell>
          <cell r="I70">
            <v>798.96</v>
          </cell>
          <cell r="J70">
            <v>0</v>
          </cell>
          <cell r="K70">
            <v>1428.75</v>
          </cell>
          <cell r="L70">
            <v>37039.47</v>
          </cell>
          <cell r="M70">
            <v>10289.49</v>
          </cell>
          <cell r="N70">
            <v>0</v>
          </cell>
          <cell r="O70">
            <v>37039.47</v>
          </cell>
          <cell r="P70">
            <v>10289.49</v>
          </cell>
          <cell r="Q70">
            <v>159.71</v>
          </cell>
          <cell r="R70">
            <v>37199.18</v>
          </cell>
          <cell r="S70">
            <v>10129.780000000001</v>
          </cell>
        </row>
        <row r="71">
          <cell r="A71" t="str">
            <v>1000/1401       NPK 6-20-30</v>
          </cell>
          <cell r="B71" t="str">
            <v>1003056    LECHPOL SP. Z O.O.</v>
          </cell>
          <cell r="C71" t="str">
            <v>KB Sprzed. bezpośrednia</v>
          </cell>
          <cell r="D71">
            <v>254558.459999999</v>
          </cell>
          <cell r="E71">
            <v>263</v>
          </cell>
          <cell r="F71">
            <v>188840.03</v>
          </cell>
          <cell r="G71">
            <v>10594.44</v>
          </cell>
          <cell r="H71">
            <v>3450.6799999999898</v>
          </cell>
          <cell r="I71">
            <v>1590</v>
          </cell>
          <cell r="J71">
            <v>0</v>
          </cell>
          <cell r="K71">
            <v>5040.68</v>
          </cell>
          <cell r="L71">
            <v>204475.149999999</v>
          </cell>
          <cell r="M71">
            <v>50083.309999999903</v>
          </cell>
          <cell r="N71">
            <v>0</v>
          </cell>
          <cell r="O71">
            <v>204475.149999999</v>
          </cell>
          <cell r="P71">
            <v>50083.309999999903</v>
          </cell>
          <cell r="Q71">
            <v>896.59</v>
          </cell>
          <cell r="R71">
            <v>205371.739999999</v>
          </cell>
          <cell r="S71">
            <v>49186.720000000001</v>
          </cell>
        </row>
        <row r="72">
          <cell r="A72" t="str">
            <v>1000/1401       NPK 6-20-30</v>
          </cell>
          <cell r="B72" t="str">
            <v>1003315    ZAKŁAD OBROTU ROLNEG</v>
          </cell>
          <cell r="C72" t="str">
            <v>KB Sprzed. bezpośrednia</v>
          </cell>
          <cell r="D72">
            <v>24626.25</v>
          </cell>
          <cell r="E72">
            <v>25</v>
          </cell>
          <cell r="F72">
            <v>17521.32</v>
          </cell>
          <cell r="G72">
            <v>1024.9100000000001</v>
          </cell>
          <cell r="H72">
            <v>328.00999999999902</v>
          </cell>
          <cell r="I72">
            <v>1855.01</v>
          </cell>
          <cell r="J72">
            <v>0</v>
          </cell>
          <cell r="K72">
            <v>2183.02</v>
          </cell>
          <cell r="L72">
            <v>20729.25</v>
          </cell>
          <cell r="M72">
            <v>3897</v>
          </cell>
          <cell r="N72">
            <v>0</v>
          </cell>
          <cell r="O72">
            <v>20729.25</v>
          </cell>
          <cell r="P72">
            <v>3897</v>
          </cell>
          <cell r="Q72">
            <v>83.189999999999898</v>
          </cell>
          <cell r="R72">
            <v>20812.4399999999</v>
          </cell>
          <cell r="S72">
            <v>3813.8099999999899</v>
          </cell>
        </row>
        <row r="73">
          <cell r="A73" t="str">
            <v>1000/1401       NPK 6-20-30</v>
          </cell>
          <cell r="B73" t="str">
            <v>1003315    ZAKŁAD OBROTU ROLNEG</v>
          </cell>
          <cell r="C73" t="str">
            <v>KC Centra dystrybucji</v>
          </cell>
          <cell r="D73">
            <v>27333.799999999901</v>
          </cell>
          <cell r="E73">
            <v>28</v>
          </cell>
          <cell r="F73">
            <v>19623.88</v>
          </cell>
          <cell r="G73">
            <v>1137.6199999999899</v>
          </cell>
          <cell r="H73">
            <v>367.38</v>
          </cell>
          <cell r="I73">
            <v>0</v>
          </cell>
          <cell r="J73">
            <v>0</v>
          </cell>
          <cell r="K73">
            <v>367.38</v>
          </cell>
          <cell r="L73">
            <v>21128.880000000001</v>
          </cell>
          <cell r="M73">
            <v>6204.92</v>
          </cell>
          <cell r="N73">
            <v>0</v>
          </cell>
          <cell r="O73">
            <v>21128.880000000001</v>
          </cell>
          <cell r="P73">
            <v>6204.92</v>
          </cell>
          <cell r="Q73">
            <v>93.159999999999897</v>
          </cell>
          <cell r="R73">
            <v>21222.04</v>
          </cell>
          <cell r="S73">
            <v>6111.76</v>
          </cell>
        </row>
        <row r="74">
          <cell r="A74" t="str">
            <v>1000/1401       NPK 6-20-30</v>
          </cell>
          <cell r="B74" t="str">
            <v>1003365    "EUROL"</v>
          </cell>
          <cell r="C74" t="str">
            <v>KB Sprzed. bezpośrednia</v>
          </cell>
          <cell r="D74">
            <v>12021.719999999899</v>
          </cell>
          <cell r="E74">
            <v>12</v>
          </cell>
          <cell r="F74">
            <v>8410.2299999999905</v>
          </cell>
          <cell r="G74">
            <v>500.36</v>
          </cell>
          <cell r="H74">
            <v>157.44999999999899</v>
          </cell>
          <cell r="I74">
            <v>926.39999999999895</v>
          </cell>
          <cell r="J74">
            <v>0</v>
          </cell>
          <cell r="K74">
            <v>1083.8499999999899</v>
          </cell>
          <cell r="L74">
            <v>9994.44</v>
          </cell>
          <cell r="M74">
            <v>2027.28</v>
          </cell>
          <cell r="N74">
            <v>0</v>
          </cell>
          <cell r="O74">
            <v>9994.44</v>
          </cell>
          <cell r="P74">
            <v>2027.28</v>
          </cell>
          <cell r="Q74">
            <v>39.92</v>
          </cell>
          <cell r="R74">
            <v>10034.36</v>
          </cell>
          <cell r="S74">
            <v>1987.3599999999899</v>
          </cell>
        </row>
        <row r="75">
          <cell r="A75" t="str">
            <v>1000/1401       NPK 6-20-30</v>
          </cell>
          <cell r="B75" t="str">
            <v>1003605    "AGROMUND"</v>
          </cell>
          <cell r="C75" t="str">
            <v>KC Centra dystrybucji</v>
          </cell>
          <cell r="D75">
            <v>89076.5</v>
          </cell>
          <cell r="E75">
            <v>91</v>
          </cell>
          <cell r="F75">
            <v>70179.69</v>
          </cell>
          <cell r="G75">
            <v>3707.26</v>
          </cell>
          <cell r="H75">
            <v>1193.97</v>
          </cell>
          <cell r="I75">
            <v>0</v>
          </cell>
          <cell r="J75">
            <v>0</v>
          </cell>
          <cell r="K75">
            <v>1193.97</v>
          </cell>
          <cell r="L75">
            <v>75080.919999999896</v>
          </cell>
          <cell r="M75">
            <v>13995.58</v>
          </cell>
          <cell r="N75">
            <v>0</v>
          </cell>
          <cell r="O75">
            <v>75080.919999999896</v>
          </cell>
          <cell r="P75">
            <v>13995.58</v>
          </cell>
          <cell r="Q75">
            <v>333.20999999999901</v>
          </cell>
          <cell r="R75">
            <v>75414.13</v>
          </cell>
          <cell r="S75">
            <v>13662.37</v>
          </cell>
        </row>
        <row r="76">
          <cell r="A76" t="str">
            <v>1000/1401       NPK 6-20-30</v>
          </cell>
          <cell r="B76" t="str">
            <v>1003857    EDMAR</v>
          </cell>
          <cell r="C76" t="str">
            <v>KB Sprzed. bezpośrednia</v>
          </cell>
          <cell r="D76">
            <v>296535.03000000003</v>
          </cell>
          <cell r="E76">
            <v>297</v>
          </cell>
          <cell r="F76">
            <v>207806.07</v>
          </cell>
          <cell r="G76">
            <v>12341.51</v>
          </cell>
          <cell r="H76">
            <v>3896.79</v>
          </cell>
          <cell r="I76">
            <v>16060.53</v>
          </cell>
          <cell r="J76">
            <v>0</v>
          </cell>
          <cell r="K76">
            <v>19957.32</v>
          </cell>
          <cell r="L76">
            <v>240104.899999999</v>
          </cell>
          <cell r="M76">
            <v>56430.129999999903</v>
          </cell>
          <cell r="N76">
            <v>0</v>
          </cell>
          <cell r="O76">
            <v>240104.899999999</v>
          </cell>
          <cell r="P76">
            <v>56430.129999999903</v>
          </cell>
          <cell r="Q76">
            <v>986.62</v>
          </cell>
          <cell r="R76">
            <v>241091.519999999</v>
          </cell>
          <cell r="S76">
            <v>55443.51</v>
          </cell>
        </row>
        <row r="77">
          <cell r="A77" t="str">
            <v>1000/1401       NPK 6-20-30</v>
          </cell>
          <cell r="B77" t="str">
            <v>1003981    GRUPA POLSKIE SKŁADY</v>
          </cell>
          <cell r="C77" t="str">
            <v>KB Sprzed. bezpośrednia</v>
          </cell>
          <cell r="D77">
            <v>45954.720000000001</v>
          </cell>
          <cell r="E77">
            <v>48</v>
          </cell>
          <cell r="F77">
            <v>33640.94</v>
          </cell>
          <cell r="G77">
            <v>1912.6199999999899</v>
          </cell>
          <cell r="H77">
            <v>629.78999999999905</v>
          </cell>
          <cell r="I77">
            <v>0</v>
          </cell>
          <cell r="J77">
            <v>0</v>
          </cell>
          <cell r="K77">
            <v>629.78999999999905</v>
          </cell>
          <cell r="L77">
            <v>36183.349999999897</v>
          </cell>
          <cell r="M77">
            <v>9771.3700000000008</v>
          </cell>
          <cell r="N77">
            <v>0</v>
          </cell>
          <cell r="O77">
            <v>36183.349999999897</v>
          </cell>
          <cell r="P77">
            <v>9771.3700000000008</v>
          </cell>
          <cell r="Q77">
            <v>159.71</v>
          </cell>
          <cell r="R77">
            <v>36343.059999999903</v>
          </cell>
          <cell r="S77">
            <v>9611.6599999999908</v>
          </cell>
        </row>
        <row r="78">
          <cell r="A78" t="str">
            <v>1000/1401       NPK 6-20-30</v>
          </cell>
          <cell r="B78" t="str">
            <v>1003988    BLENDING Sp.z o.o.</v>
          </cell>
          <cell r="C78" t="str">
            <v>KB Sprzed. bezpośrednia</v>
          </cell>
          <cell r="D78">
            <v>72209.240000000005</v>
          </cell>
          <cell r="E78">
            <v>73</v>
          </cell>
          <cell r="F78">
            <v>51162.26</v>
          </cell>
          <cell r="G78">
            <v>3005.32</v>
          </cell>
          <cell r="H78">
            <v>957.77999999999895</v>
          </cell>
          <cell r="I78">
            <v>2944.1399999999899</v>
          </cell>
          <cell r="J78">
            <v>0</v>
          </cell>
          <cell r="K78">
            <v>3901.92</v>
          </cell>
          <cell r="L78">
            <v>58069.5</v>
          </cell>
          <cell r="M78">
            <v>14139.74</v>
          </cell>
          <cell r="N78">
            <v>0</v>
          </cell>
          <cell r="O78">
            <v>58069.5</v>
          </cell>
          <cell r="P78">
            <v>14139.74</v>
          </cell>
          <cell r="Q78">
            <v>242.91</v>
          </cell>
          <cell r="R78">
            <v>58312.41</v>
          </cell>
          <cell r="S78">
            <v>13896.83</v>
          </cell>
        </row>
        <row r="79">
          <cell r="A79" t="str">
            <v>1000/1401       NPK 6-20-30</v>
          </cell>
          <cell r="B79" t="str">
            <v>1004168    "OSADKOWSKI" SPÓŁKA</v>
          </cell>
          <cell r="C79" t="str">
            <v>KB Sprzed. bezpośrednia</v>
          </cell>
          <cell r="D79">
            <v>70780.320000000007</v>
          </cell>
          <cell r="E79">
            <v>72</v>
          </cell>
          <cell r="F79">
            <v>50461.41</v>
          </cell>
          <cell r="G79">
            <v>2945.84</v>
          </cell>
          <cell r="H79">
            <v>944.67999999999904</v>
          </cell>
          <cell r="I79">
            <v>1253.52</v>
          </cell>
          <cell r="J79">
            <v>0</v>
          </cell>
          <cell r="K79">
            <v>2198.1999999999898</v>
          </cell>
          <cell r="L79">
            <v>55605.449999999903</v>
          </cell>
          <cell r="M79">
            <v>15174.87</v>
          </cell>
          <cell r="N79">
            <v>0</v>
          </cell>
          <cell r="O79">
            <v>55605.449999999903</v>
          </cell>
          <cell r="P79">
            <v>15174.87</v>
          </cell>
          <cell r="Q79">
            <v>239.569999999999</v>
          </cell>
          <cell r="R79">
            <v>55845.019999999902</v>
          </cell>
          <cell r="S79">
            <v>14935.299999999899</v>
          </cell>
        </row>
        <row r="80">
          <cell r="A80" t="str">
            <v>1000/1401       NPK 6-20-30</v>
          </cell>
          <cell r="B80" t="str">
            <v>1004168    "OSADKOWSKI" SPÓŁKA</v>
          </cell>
          <cell r="C80" t="str">
            <v>KC Centra dystrybucji</v>
          </cell>
          <cell r="D80">
            <v>47067.360000000001</v>
          </cell>
          <cell r="E80">
            <v>48</v>
          </cell>
          <cell r="F80">
            <v>37066.050000000003</v>
          </cell>
          <cell r="G80">
            <v>1958.91</v>
          </cell>
          <cell r="H80">
            <v>629.76999999999896</v>
          </cell>
          <cell r="I80">
            <v>0</v>
          </cell>
          <cell r="J80">
            <v>0</v>
          </cell>
          <cell r="K80">
            <v>629.76999999999896</v>
          </cell>
          <cell r="L80">
            <v>39654.730000000003</v>
          </cell>
          <cell r="M80">
            <v>7412.63</v>
          </cell>
          <cell r="N80">
            <v>0</v>
          </cell>
          <cell r="O80">
            <v>39654.730000000003</v>
          </cell>
          <cell r="P80">
            <v>7412.63</v>
          </cell>
          <cell r="Q80">
            <v>175.979999999999</v>
          </cell>
          <cell r="R80">
            <v>39830.709999999897</v>
          </cell>
          <cell r="S80">
            <v>7236.6499999999896</v>
          </cell>
        </row>
        <row r="81">
          <cell r="A81" t="str">
            <v>1000/1401       NPK 6-20-30</v>
          </cell>
          <cell r="B81" t="str">
            <v>1004208    Morawski-Sprzed.Art.</v>
          </cell>
          <cell r="C81" t="str">
            <v>KC Centra dystrybucji</v>
          </cell>
          <cell r="D81">
            <v>24551</v>
          </cell>
          <cell r="E81">
            <v>25</v>
          </cell>
          <cell r="F81">
            <v>19321.07</v>
          </cell>
          <cell r="G81">
            <v>1021.78</v>
          </cell>
          <cell r="H81">
            <v>328.00999999999902</v>
          </cell>
          <cell r="I81">
            <v>0</v>
          </cell>
          <cell r="J81">
            <v>0</v>
          </cell>
          <cell r="K81">
            <v>328.00999999999902</v>
          </cell>
          <cell r="L81">
            <v>20670.86</v>
          </cell>
          <cell r="M81">
            <v>3880.1399999999899</v>
          </cell>
          <cell r="N81">
            <v>0</v>
          </cell>
          <cell r="O81">
            <v>20670.86</v>
          </cell>
          <cell r="P81">
            <v>3880.1399999999899</v>
          </cell>
          <cell r="Q81">
            <v>91.73</v>
          </cell>
          <cell r="R81">
            <v>20762.59</v>
          </cell>
          <cell r="S81">
            <v>3788.4099999999899</v>
          </cell>
        </row>
        <row r="82">
          <cell r="A82" t="str">
            <v>1000/1401       NPK 6-20-30</v>
          </cell>
          <cell r="B82" t="str">
            <v>1004709    PRZEDSIĘBIORSTWO PRO</v>
          </cell>
          <cell r="C82" t="str">
            <v>KB Sprzed. bezpośrednia</v>
          </cell>
          <cell r="D82">
            <v>24551.5</v>
          </cell>
          <cell r="E82">
            <v>25</v>
          </cell>
          <cell r="F82">
            <v>17521.32</v>
          </cell>
          <cell r="G82">
            <v>1021.8099999999901</v>
          </cell>
          <cell r="H82">
            <v>328.00999999999902</v>
          </cell>
          <cell r="I82">
            <v>924.40999999999894</v>
          </cell>
          <cell r="J82">
            <v>0</v>
          </cell>
          <cell r="K82">
            <v>1252.42</v>
          </cell>
          <cell r="L82">
            <v>19795.549999999901</v>
          </cell>
          <cell r="M82">
            <v>4755.9499999999898</v>
          </cell>
          <cell r="N82">
            <v>0</v>
          </cell>
          <cell r="O82">
            <v>19795.549999999901</v>
          </cell>
          <cell r="P82">
            <v>4755.9499999999898</v>
          </cell>
          <cell r="Q82">
            <v>83.189999999999898</v>
          </cell>
          <cell r="R82">
            <v>19878.740000000002</v>
          </cell>
          <cell r="S82">
            <v>4672.76</v>
          </cell>
        </row>
        <row r="83">
          <cell r="A83" t="str">
            <v>1000/1401       NPK 6-20-30</v>
          </cell>
          <cell r="B83" t="str">
            <v>1004710    "AGRICOLA-LUBLIN" SP</v>
          </cell>
          <cell r="C83" t="str">
            <v>KB Sprzed. bezpośrednia</v>
          </cell>
          <cell r="D83">
            <v>11701.799999999899</v>
          </cell>
          <cell r="E83">
            <v>12</v>
          </cell>
          <cell r="F83">
            <v>8410.2299999999905</v>
          </cell>
          <cell r="G83">
            <v>486.99</v>
          </cell>
          <cell r="H83">
            <v>157.44999999999899</v>
          </cell>
          <cell r="I83">
            <v>0</v>
          </cell>
          <cell r="J83">
            <v>0</v>
          </cell>
          <cell r="K83">
            <v>157.44999999999899</v>
          </cell>
          <cell r="L83">
            <v>9054.67</v>
          </cell>
          <cell r="M83">
            <v>2647.13</v>
          </cell>
          <cell r="N83">
            <v>0</v>
          </cell>
          <cell r="O83">
            <v>9054.67</v>
          </cell>
          <cell r="P83">
            <v>2647.13</v>
          </cell>
          <cell r="Q83">
            <v>39.92</v>
          </cell>
          <cell r="R83">
            <v>9094.59</v>
          </cell>
          <cell r="S83">
            <v>2607.21</v>
          </cell>
        </row>
        <row r="84">
          <cell r="A84" t="str">
            <v>1000/1401       NPK 6-20-30</v>
          </cell>
          <cell r="B84" t="str">
            <v>1004713    AGRI TRADING SP. Z O</v>
          </cell>
          <cell r="C84" t="str">
            <v>KB Sprzed. bezpośrednia</v>
          </cell>
          <cell r="D84">
            <v>22977.360000000001</v>
          </cell>
          <cell r="E84">
            <v>24</v>
          </cell>
          <cell r="F84">
            <v>16820.47</v>
          </cell>
          <cell r="G84">
            <v>956.29999999999905</v>
          </cell>
          <cell r="H84">
            <v>314.88999999999902</v>
          </cell>
          <cell r="I84">
            <v>0</v>
          </cell>
          <cell r="J84">
            <v>0</v>
          </cell>
          <cell r="K84">
            <v>314.88999999999902</v>
          </cell>
          <cell r="L84">
            <v>18091.66</v>
          </cell>
          <cell r="M84">
            <v>4885.6999999999898</v>
          </cell>
          <cell r="N84">
            <v>0</v>
          </cell>
          <cell r="O84">
            <v>18091.66</v>
          </cell>
          <cell r="P84">
            <v>4885.6999999999898</v>
          </cell>
          <cell r="Q84">
            <v>79.8599999999999</v>
          </cell>
          <cell r="R84">
            <v>18171.52</v>
          </cell>
          <cell r="S84">
            <v>4805.84</v>
          </cell>
        </row>
        <row r="85">
          <cell r="A85" t="str">
            <v>1000/1401       NPK 6-20-30</v>
          </cell>
          <cell r="B85" t="str">
            <v>1004737    PH-U"AGRO-PLON"</v>
          </cell>
          <cell r="C85" t="str">
            <v>KB Sprzed. bezpośrednia</v>
          </cell>
          <cell r="D85">
            <v>23832</v>
          </cell>
          <cell r="E85">
            <v>24</v>
          </cell>
          <cell r="F85">
            <v>16820.47</v>
          </cell>
          <cell r="G85">
            <v>991.89999999999895</v>
          </cell>
          <cell r="H85">
            <v>314.81</v>
          </cell>
          <cell r="I85">
            <v>0</v>
          </cell>
          <cell r="J85">
            <v>0</v>
          </cell>
          <cell r="K85">
            <v>314.81</v>
          </cell>
          <cell r="L85">
            <v>18127.18</v>
          </cell>
          <cell r="M85">
            <v>5704.8199999999897</v>
          </cell>
          <cell r="N85">
            <v>0</v>
          </cell>
          <cell r="O85">
            <v>18127.18</v>
          </cell>
          <cell r="P85">
            <v>5704.8199999999897</v>
          </cell>
          <cell r="Q85">
            <v>79.8599999999999</v>
          </cell>
          <cell r="R85">
            <v>18207.04</v>
          </cell>
          <cell r="S85">
            <v>5624.96</v>
          </cell>
        </row>
        <row r="86">
          <cell r="A86" t="str">
            <v>1000/1401       NPK 6-20-30</v>
          </cell>
          <cell r="B86" t="str">
            <v>1004753    AMBROŻY SP. Z O.O.</v>
          </cell>
          <cell r="C86" t="str">
            <v>KB Sprzed. bezpośrednia</v>
          </cell>
          <cell r="D86">
            <v>44856.9</v>
          </cell>
          <cell r="E86">
            <v>46</v>
          </cell>
          <cell r="F86">
            <v>35550.76</v>
          </cell>
          <cell r="G86">
            <v>1866.9</v>
          </cell>
          <cell r="H86">
            <v>603.52999999999895</v>
          </cell>
          <cell r="I86">
            <v>0</v>
          </cell>
          <cell r="J86">
            <v>0</v>
          </cell>
          <cell r="K86">
            <v>603.52999999999895</v>
          </cell>
          <cell r="L86">
            <v>38021.19</v>
          </cell>
          <cell r="M86">
            <v>6835.71</v>
          </cell>
          <cell r="N86">
            <v>0</v>
          </cell>
          <cell r="O86">
            <v>38021.19</v>
          </cell>
          <cell r="P86">
            <v>6835.71</v>
          </cell>
          <cell r="Q86">
            <v>168.789999999999</v>
          </cell>
          <cell r="R86">
            <v>38189.980000000003</v>
          </cell>
          <cell r="S86">
            <v>6666.92</v>
          </cell>
        </row>
        <row r="87">
          <cell r="A87" t="str">
            <v>1000/1402       NPK 8-24-24</v>
          </cell>
          <cell r="B87" t="str">
            <v>Nieprzypisane</v>
          </cell>
          <cell r="C87" t="str">
            <v>Nieprzypisane</v>
          </cell>
          <cell r="D87">
            <v>0</v>
          </cell>
          <cell r="E87">
            <v>0</v>
          </cell>
          <cell r="F87">
            <v>-50.729999999999897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-50.729999999999897</v>
          </cell>
          <cell r="M87">
            <v>50.729999999999897</v>
          </cell>
          <cell r="N87">
            <v>0</v>
          </cell>
          <cell r="O87">
            <v>-50.729999999999897</v>
          </cell>
          <cell r="P87">
            <v>50.729999999999897</v>
          </cell>
          <cell r="Q87">
            <v>0</v>
          </cell>
          <cell r="R87">
            <v>-50.729999999999897</v>
          </cell>
          <cell r="S87">
            <v>50.729999999999897</v>
          </cell>
        </row>
        <row r="88">
          <cell r="A88" t="str">
            <v>1000/1402       NPK 8-24-24</v>
          </cell>
          <cell r="B88" t="str">
            <v>1000060    CIECH S.A.</v>
          </cell>
          <cell r="C88" t="str">
            <v>KB Sprzed. bezpośrednia</v>
          </cell>
          <cell r="D88">
            <v>24333.119999999901</v>
          </cell>
          <cell r="E88">
            <v>24</v>
          </cell>
          <cell r="F88">
            <v>17422.4399999999</v>
          </cell>
          <cell r="G88">
            <v>1012.72</v>
          </cell>
          <cell r="H88">
            <v>372.5</v>
          </cell>
          <cell r="I88">
            <v>1030.0799999999899</v>
          </cell>
          <cell r="J88">
            <v>0</v>
          </cell>
          <cell r="K88">
            <v>1402.5799999999899</v>
          </cell>
          <cell r="L88">
            <v>19837.740000000002</v>
          </cell>
          <cell r="M88">
            <v>4495.38</v>
          </cell>
          <cell r="N88">
            <v>0</v>
          </cell>
          <cell r="O88">
            <v>19837.740000000002</v>
          </cell>
          <cell r="P88">
            <v>4495.38</v>
          </cell>
          <cell r="Q88">
            <v>82.709999999999894</v>
          </cell>
          <cell r="R88">
            <v>19920.45</v>
          </cell>
          <cell r="S88">
            <v>4412.67</v>
          </cell>
        </row>
        <row r="89">
          <cell r="A89" t="str">
            <v>1000/1402       NPK 8-24-24</v>
          </cell>
          <cell r="B89" t="str">
            <v>1000080    CN-KIELCE</v>
          </cell>
          <cell r="C89" t="str">
            <v>KB Sprzed. bezpośrednia</v>
          </cell>
          <cell r="D89">
            <v>24651.360000000001</v>
          </cell>
          <cell r="E89">
            <v>24</v>
          </cell>
          <cell r="F89">
            <v>17422.4399999999</v>
          </cell>
          <cell r="G89">
            <v>1025.98</v>
          </cell>
          <cell r="H89">
            <v>372.5</v>
          </cell>
          <cell r="I89">
            <v>1637.28</v>
          </cell>
          <cell r="J89">
            <v>0</v>
          </cell>
          <cell r="K89">
            <v>2009.78</v>
          </cell>
          <cell r="L89">
            <v>20458.2</v>
          </cell>
          <cell r="M89">
            <v>4193.1599999999899</v>
          </cell>
          <cell r="N89">
            <v>0</v>
          </cell>
          <cell r="O89">
            <v>20458.2</v>
          </cell>
          <cell r="P89">
            <v>4193.1599999999899</v>
          </cell>
          <cell r="Q89">
            <v>82.709999999999894</v>
          </cell>
          <cell r="R89">
            <v>20540.91</v>
          </cell>
          <cell r="S89">
            <v>4110.4499999999898</v>
          </cell>
        </row>
        <row r="90">
          <cell r="A90" t="str">
            <v>1000/1402       NPK 8-24-24</v>
          </cell>
          <cell r="B90" t="str">
            <v>1000080    CN-KIELCE</v>
          </cell>
          <cell r="C90" t="str">
            <v>KC Centra dystrybucji</v>
          </cell>
          <cell r="D90">
            <v>24406.560000000001</v>
          </cell>
          <cell r="E90">
            <v>24</v>
          </cell>
          <cell r="F90">
            <v>18261.299999999901</v>
          </cell>
          <cell r="G90">
            <v>1015.75</v>
          </cell>
          <cell r="H90">
            <v>372.5</v>
          </cell>
          <cell r="I90">
            <v>1568.16</v>
          </cell>
          <cell r="J90">
            <v>0</v>
          </cell>
          <cell r="K90">
            <v>1940.66</v>
          </cell>
          <cell r="L90">
            <v>21217.709999999901</v>
          </cell>
          <cell r="M90">
            <v>3188.8499999999899</v>
          </cell>
          <cell r="N90">
            <v>0</v>
          </cell>
          <cell r="O90">
            <v>21217.709999999901</v>
          </cell>
          <cell r="P90">
            <v>3188.8499999999899</v>
          </cell>
          <cell r="Q90">
            <v>86.7</v>
          </cell>
          <cell r="R90">
            <v>21304.41</v>
          </cell>
          <cell r="S90">
            <v>3102.15</v>
          </cell>
        </row>
        <row r="91">
          <cell r="A91" t="str">
            <v>1000/1402       NPK 8-24-24</v>
          </cell>
          <cell r="B91" t="str">
            <v>1000117    SKIBA</v>
          </cell>
          <cell r="C91" t="str">
            <v>KB Sprzed. bezpośrednia</v>
          </cell>
          <cell r="D91">
            <v>12203.28</v>
          </cell>
          <cell r="E91">
            <v>12</v>
          </cell>
          <cell r="F91">
            <v>8711.2199999999903</v>
          </cell>
          <cell r="G91">
            <v>507.87</v>
          </cell>
          <cell r="H91">
            <v>186.259999999999</v>
          </cell>
          <cell r="I91">
            <v>965.75999999999897</v>
          </cell>
          <cell r="J91">
            <v>0</v>
          </cell>
          <cell r="K91">
            <v>1152.02</v>
          </cell>
          <cell r="L91">
            <v>10371.11</v>
          </cell>
          <cell r="M91">
            <v>1832.17</v>
          </cell>
          <cell r="N91">
            <v>0</v>
          </cell>
          <cell r="O91">
            <v>10371.11</v>
          </cell>
          <cell r="P91">
            <v>1832.17</v>
          </cell>
          <cell r="Q91">
            <v>41.35</v>
          </cell>
          <cell r="R91">
            <v>10412.459999999901</v>
          </cell>
          <cell r="S91">
            <v>1790.8199999999899</v>
          </cell>
        </row>
        <row r="92">
          <cell r="A92" t="str">
            <v>1000/1402       NPK 8-24-24</v>
          </cell>
          <cell r="B92" t="str">
            <v>1000117    SKIBA</v>
          </cell>
          <cell r="C92" t="str">
            <v>KC Centra dystrybucji</v>
          </cell>
          <cell r="D92">
            <v>11808.719999999899</v>
          </cell>
          <cell r="E92">
            <v>12</v>
          </cell>
          <cell r="F92">
            <v>9637.2900000000009</v>
          </cell>
          <cell r="G92">
            <v>491.48</v>
          </cell>
          <cell r="H92">
            <v>186.259999999999</v>
          </cell>
          <cell r="I92">
            <v>0</v>
          </cell>
          <cell r="J92">
            <v>0</v>
          </cell>
          <cell r="K92">
            <v>186.259999999999</v>
          </cell>
          <cell r="L92">
            <v>10315.030000000001</v>
          </cell>
          <cell r="M92">
            <v>1493.69</v>
          </cell>
          <cell r="N92">
            <v>0</v>
          </cell>
          <cell r="O92">
            <v>10315.030000000001</v>
          </cell>
          <cell r="P92">
            <v>1493.69</v>
          </cell>
          <cell r="Q92">
            <v>45.77</v>
          </cell>
          <cell r="R92">
            <v>10360.799999999899</v>
          </cell>
          <cell r="S92">
            <v>1447.92</v>
          </cell>
        </row>
        <row r="93">
          <cell r="A93" t="str">
            <v>1000/1402       NPK 8-24-24</v>
          </cell>
          <cell r="B93" t="str">
            <v>1000120    GS-PABIANICE</v>
          </cell>
          <cell r="C93" t="str">
            <v>KB Sprzed. bezpośrednia</v>
          </cell>
          <cell r="D93">
            <v>24333.119999999901</v>
          </cell>
          <cell r="E93">
            <v>24</v>
          </cell>
          <cell r="F93">
            <v>17422.4399999999</v>
          </cell>
          <cell r="G93">
            <v>1012.72</v>
          </cell>
          <cell r="H93">
            <v>372.5</v>
          </cell>
          <cell r="I93">
            <v>1300.8</v>
          </cell>
          <cell r="J93">
            <v>0</v>
          </cell>
          <cell r="K93">
            <v>1673.3</v>
          </cell>
          <cell r="L93">
            <v>20108.459999999901</v>
          </cell>
          <cell r="M93">
            <v>4224.6599999999899</v>
          </cell>
          <cell r="N93">
            <v>0</v>
          </cell>
          <cell r="O93">
            <v>20108.459999999901</v>
          </cell>
          <cell r="P93">
            <v>4224.6599999999899</v>
          </cell>
          <cell r="Q93">
            <v>82.709999999999894</v>
          </cell>
          <cell r="R93">
            <v>20191.1699999999</v>
          </cell>
          <cell r="S93">
            <v>4141.9499999999898</v>
          </cell>
        </row>
        <row r="94">
          <cell r="A94" t="str">
            <v>1000/1402       NPK 8-24-24</v>
          </cell>
          <cell r="B94" t="str">
            <v>1000141    SKR-Łaszczów</v>
          </cell>
          <cell r="C94" t="str">
            <v>KB Sprzed. bezpośrednia</v>
          </cell>
          <cell r="D94">
            <v>24406.560000000001</v>
          </cell>
          <cell r="E94">
            <v>24</v>
          </cell>
          <cell r="F94">
            <v>17422.4399999999</v>
          </cell>
          <cell r="G94">
            <v>1015.75</v>
          </cell>
          <cell r="H94">
            <v>372.5</v>
          </cell>
          <cell r="I94">
            <v>2076.2399999999898</v>
          </cell>
          <cell r="J94">
            <v>0</v>
          </cell>
          <cell r="K94">
            <v>2448.7399999999898</v>
          </cell>
          <cell r="L94">
            <v>20886.93</v>
          </cell>
          <cell r="M94">
            <v>3519.63</v>
          </cell>
          <cell r="N94">
            <v>0</v>
          </cell>
          <cell r="O94">
            <v>20886.93</v>
          </cell>
          <cell r="P94">
            <v>3519.63</v>
          </cell>
          <cell r="Q94">
            <v>82.709999999999894</v>
          </cell>
          <cell r="R94">
            <v>20969.639999999901</v>
          </cell>
          <cell r="S94">
            <v>3436.92</v>
          </cell>
        </row>
        <row r="95">
          <cell r="A95" t="str">
            <v>1000/1402       NPK 8-24-24</v>
          </cell>
          <cell r="B95" t="str">
            <v>1000142    ZSHP-ZŁOTOW</v>
          </cell>
          <cell r="C95" t="str">
            <v>KB Sprzed. bezpośrednia</v>
          </cell>
          <cell r="D95">
            <v>24406.560000000001</v>
          </cell>
          <cell r="E95">
            <v>24</v>
          </cell>
          <cell r="F95">
            <v>17422.4399999999</v>
          </cell>
          <cell r="G95">
            <v>1015.75</v>
          </cell>
          <cell r="H95">
            <v>372.5</v>
          </cell>
          <cell r="I95">
            <v>675.36</v>
          </cell>
          <cell r="J95">
            <v>0</v>
          </cell>
          <cell r="K95">
            <v>1047.8599999999899</v>
          </cell>
          <cell r="L95">
            <v>19486.049999999901</v>
          </cell>
          <cell r="M95">
            <v>4920.51</v>
          </cell>
          <cell r="N95">
            <v>0</v>
          </cell>
          <cell r="O95">
            <v>19486.049999999901</v>
          </cell>
          <cell r="P95">
            <v>4920.51</v>
          </cell>
          <cell r="Q95">
            <v>82.709999999999894</v>
          </cell>
          <cell r="R95">
            <v>19568.7599999999</v>
          </cell>
          <cell r="S95">
            <v>4837.8</v>
          </cell>
        </row>
        <row r="96">
          <cell r="A96" t="str">
            <v>1000/1402       NPK 8-24-24</v>
          </cell>
          <cell r="B96" t="str">
            <v>1000150    GS-GRODZIS</v>
          </cell>
          <cell r="C96" t="str">
            <v>KB Sprzed. bezpośrednia</v>
          </cell>
          <cell r="D96">
            <v>24406.560000000001</v>
          </cell>
          <cell r="E96">
            <v>24</v>
          </cell>
          <cell r="F96">
            <v>17422.4399999999</v>
          </cell>
          <cell r="G96">
            <v>1015.75</v>
          </cell>
          <cell r="H96">
            <v>372.5</v>
          </cell>
          <cell r="I96">
            <v>1999.3199999999899</v>
          </cell>
          <cell r="J96">
            <v>0</v>
          </cell>
          <cell r="K96">
            <v>2371.8200000000002</v>
          </cell>
          <cell r="L96">
            <v>20810.0099999999</v>
          </cell>
          <cell r="M96">
            <v>3596.55</v>
          </cell>
          <cell r="N96">
            <v>0</v>
          </cell>
          <cell r="O96">
            <v>20810.0099999999</v>
          </cell>
          <cell r="P96">
            <v>3596.55</v>
          </cell>
          <cell r="Q96">
            <v>82.709999999999894</v>
          </cell>
          <cell r="R96">
            <v>20892.72</v>
          </cell>
          <cell r="S96">
            <v>3513.84</v>
          </cell>
        </row>
        <row r="97">
          <cell r="A97" t="str">
            <v>1000/1402       NPK 8-24-24</v>
          </cell>
          <cell r="B97" t="str">
            <v>1000182    AGRA NOWA</v>
          </cell>
          <cell r="C97" t="str">
            <v>KB Sprzed. bezpośrednia</v>
          </cell>
          <cell r="D97">
            <v>24750</v>
          </cell>
          <cell r="E97">
            <v>25</v>
          </cell>
          <cell r="F97">
            <v>18148.38</v>
          </cell>
          <cell r="G97">
            <v>1030.1300000000001</v>
          </cell>
          <cell r="H97">
            <v>388.00999999999902</v>
          </cell>
          <cell r="I97">
            <v>1390.18</v>
          </cell>
          <cell r="J97">
            <v>0</v>
          </cell>
          <cell r="K97">
            <v>1778.19</v>
          </cell>
          <cell r="L97">
            <v>20956.7</v>
          </cell>
          <cell r="M97">
            <v>3793.3</v>
          </cell>
          <cell r="N97">
            <v>0</v>
          </cell>
          <cell r="O97">
            <v>20956.7</v>
          </cell>
          <cell r="P97">
            <v>3793.3</v>
          </cell>
          <cell r="Q97">
            <v>86.15</v>
          </cell>
          <cell r="R97">
            <v>21042.8499999999</v>
          </cell>
          <cell r="S97">
            <v>3707.15</v>
          </cell>
        </row>
        <row r="98">
          <cell r="A98" t="str">
            <v>1000/1402       NPK 8-24-24</v>
          </cell>
          <cell r="B98" t="str">
            <v>1000182    AGRA NOWA</v>
          </cell>
          <cell r="C98" t="str">
            <v>KC Centra dystrybucji</v>
          </cell>
          <cell r="D98">
            <v>9045</v>
          </cell>
          <cell r="E98">
            <v>9</v>
          </cell>
          <cell r="F98">
            <v>7227.97</v>
          </cell>
          <cell r="G98">
            <v>376.43</v>
          </cell>
          <cell r="H98">
            <v>139.69</v>
          </cell>
          <cell r="I98">
            <v>0</v>
          </cell>
          <cell r="J98">
            <v>0</v>
          </cell>
          <cell r="K98">
            <v>139.69</v>
          </cell>
          <cell r="L98">
            <v>7744.09</v>
          </cell>
          <cell r="M98">
            <v>1300.9100000000001</v>
          </cell>
          <cell r="N98">
            <v>0</v>
          </cell>
          <cell r="O98">
            <v>7744.09</v>
          </cell>
          <cell r="P98">
            <v>1300.9100000000001</v>
          </cell>
          <cell r="Q98">
            <v>34.329999999999899</v>
          </cell>
          <cell r="R98">
            <v>7778.42</v>
          </cell>
          <cell r="S98">
            <v>1266.5799999999899</v>
          </cell>
        </row>
        <row r="99">
          <cell r="A99" t="str">
            <v>1000/1402       NPK 8-24-24</v>
          </cell>
          <cell r="B99" t="str">
            <v>1000192    ROLBUD</v>
          </cell>
          <cell r="C99" t="str">
            <v>KB Sprzed. bezpośrednia</v>
          </cell>
          <cell r="D99">
            <v>48470.400000000001</v>
          </cell>
          <cell r="E99">
            <v>48</v>
          </cell>
          <cell r="F99">
            <v>34844.879999999903</v>
          </cell>
          <cell r="G99">
            <v>2017.3199999999899</v>
          </cell>
          <cell r="H99">
            <v>744.98</v>
          </cell>
          <cell r="I99">
            <v>2969.76</v>
          </cell>
          <cell r="J99">
            <v>0</v>
          </cell>
          <cell r="K99">
            <v>3714.7399999999898</v>
          </cell>
          <cell r="L99">
            <v>40576.94</v>
          </cell>
          <cell r="M99">
            <v>7893.46</v>
          </cell>
          <cell r="N99">
            <v>0</v>
          </cell>
          <cell r="O99">
            <v>40576.94</v>
          </cell>
          <cell r="P99">
            <v>7893.46</v>
          </cell>
          <cell r="Q99">
            <v>165.44</v>
          </cell>
          <cell r="R99">
            <v>40742.379999999903</v>
          </cell>
          <cell r="S99">
            <v>7728.02</v>
          </cell>
        </row>
        <row r="100">
          <cell r="A100" t="str">
            <v>1000/1402       NPK 8-24-24</v>
          </cell>
          <cell r="B100" t="str">
            <v>1000204    FLORA Sp. z o.o. PRA</v>
          </cell>
          <cell r="C100" t="str">
            <v>KB Sprzed. bezpośrednia</v>
          </cell>
          <cell r="D100">
            <v>48323.519999999902</v>
          </cell>
          <cell r="E100">
            <v>48</v>
          </cell>
          <cell r="F100">
            <v>36522.599999999897</v>
          </cell>
          <cell r="G100">
            <v>2011.2</v>
          </cell>
          <cell r="H100">
            <v>744.98</v>
          </cell>
          <cell r="I100">
            <v>2301.5999999999899</v>
          </cell>
          <cell r="J100">
            <v>0</v>
          </cell>
          <cell r="K100">
            <v>3046.5799999999899</v>
          </cell>
          <cell r="L100">
            <v>41580.379999999903</v>
          </cell>
          <cell r="M100">
            <v>6743.14</v>
          </cell>
          <cell r="N100">
            <v>0</v>
          </cell>
          <cell r="O100">
            <v>41580.379999999903</v>
          </cell>
          <cell r="P100">
            <v>6743.14</v>
          </cell>
          <cell r="Q100">
            <v>173.4</v>
          </cell>
          <cell r="R100">
            <v>41753.779999999897</v>
          </cell>
          <cell r="S100">
            <v>6569.7399999999898</v>
          </cell>
        </row>
        <row r="101">
          <cell r="A101" t="str">
            <v>1000/1402       NPK 8-24-24</v>
          </cell>
          <cell r="B101" t="str">
            <v>1000205    SKŁODOWSKI</v>
          </cell>
          <cell r="C101" t="str">
            <v>KB Sprzed. bezpośrednia</v>
          </cell>
          <cell r="D101">
            <v>65093.239999999903</v>
          </cell>
          <cell r="E101">
            <v>65</v>
          </cell>
          <cell r="F101">
            <v>48708.98</v>
          </cell>
          <cell r="G101">
            <v>2709.11</v>
          </cell>
          <cell r="H101">
            <v>1008.86</v>
          </cell>
          <cell r="I101">
            <v>4866.29</v>
          </cell>
          <cell r="J101">
            <v>0</v>
          </cell>
          <cell r="K101">
            <v>5875.1499999999896</v>
          </cell>
          <cell r="L101">
            <v>57293.239999999903</v>
          </cell>
          <cell r="M101">
            <v>7800</v>
          </cell>
          <cell r="N101">
            <v>0</v>
          </cell>
          <cell r="O101">
            <v>57293.239999999903</v>
          </cell>
          <cell r="P101">
            <v>7800</v>
          </cell>
          <cell r="Q101">
            <v>231.24</v>
          </cell>
          <cell r="R101">
            <v>57524.480000000003</v>
          </cell>
          <cell r="S101">
            <v>7568.76</v>
          </cell>
        </row>
        <row r="102">
          <cell r="A102" t="str">
            <v>1000/1402       NPK 8-24-24</v>
          </cell>
          <cell r="B102" t="str">
            <v>1000205    SKŁODOWSKI</v>
          </cell>
          <cell r="C102" t="str">
            <v>KC Centra dystrybucji</v>
          </cell>
          <cell r="D102">
            <v>690921</v>
          </cell>
          <cell r="E102">
            <v>700</v>
          </cell>
          <cell r="F102">
            <v>508154.609999999</v>
          </cell>
          <cell r="G102">
            <v>28755.48</v>
          </cell>
          <cell r="H102">
            <v>10864.37</v>
          </cell>
          <cell r="I102">
            <v>0</v>
          </cell>
          <cell r="J102">
            <v>0</v>
          </cell>
          <cell r="K102">
            <v>10864.37</v>
          </cell>
          <cell r="L102">
            <v>547774.45999999903</v>
          </cell>
          <cell r="M102">
            <v>143146.54</v>
          </cell>
          <cell r="N102">
            <v>0</v>
          </cell>
          <cell r="O102">
            <v>547774.45999999903</v>
          </cell>
          <cell r="P102">
            <v>143146.54</v>
          </cell>
          <cell r="Q102">
            <v>2412.65</v>
          </cell>
          <cell r="R102">
            <v>550187.10999999905</v>
          </cell>
          <cell r="S102">
            <v>140733.89000000001</v>
          </cell>
        </row>
        <row r="103">
          <cell r="A103" t="str">
            <v>1000/1402       NPK 8-24-24</v>
          </cell>
          <cell r="B103" t="str">
            <v>1000210    ROLTEX Sp. z o.o.</v>
          </cell>
          <cell r="C103" t="str">
            <v>KB Sprzed. bezpośrednia</v>
          </cell>
          <cell r="D103">
            <v>24750</v>
          </cell>
          <cell r="E103">
            <v>25</v>
          </cell>
          <cell r="F103">
            <v>18148.38</v>
          </cell>
          <cell r="G103">
            <v>1030.1300000000001</v>
          </cell>
          <cell r="H103">
            <v>388.00999999999902</v>
          </cell>
          <cell r="I103">
            <v>2063.2199999999898</v>
          </cell>
          <cell r="J103">
            <v>0</v>
          </cell>
          <cell r="K103">
            <v>2451.23</v>
          </cell>
          <cell r="L103">
            <v>21629.74</v>
          </cell>
          <cell r="M103">
            <v>3120.26</v>
          </cell>
          <cell r="N103">
            <v>0</v>
          </cell>
          <cell r="O103">
            <v>21629.74</v>
          </cell>
          <cell r="P103">
            <v>3120.26</v>
          </cell>
          <cell r="Q103">
            <v>86.15</v>
          </cell>
          <cell r="R103">
            <v>21715.889999999901</v>
          </cell>
          <cell r="S103">
            <v>3034.11</v>
          </cell>
        </row>
        <row r="104">
          <cell r="A104" t="str">
            <v>1000/1402       NPK 8-24-24</v>
          </cell>
          <cell r="B104" t="str">
            <v>1000219    BUTOR</v>
          </cell>
          <cell r="C104" t="str">
            <v>KC Centra dystrybucji</v>
          </cell>
          <cell r="D104">
            <v>47615.040000000001</v>
          </cell>
          <cell r="E104">
            <v>48</v>
          </cell>
          <cell r="F104">
            <v>38549.18</v>
          </cell>
          <cell r="G104">
            <v>1981.69</v>
          </cell>
          <cell r="H104">
            <v>744.98</v>
          </cell>
          <cell r="I104">
            <v>0</v>
          </cell>
          <cell r="J104">
            <v>0</v>
          </cell>
          <cell r="K104">
            <v>744.98</v>
          </cell>
          <cell r="L104">
            <v>41275.849999999897</v>
          </cell>
          <cell r="M104">
            <v>6339.1899999999896</v>
          </cell>
          <cell r="N104">
            <v>0</v>
          </cell>
          <cell r="O104">
            <v>41275.849999999897</v>
          </cell>
          <cell r="P104">
            <v>6339.1899999999896</v>
          </cell>
          <cell r="Q104">
            <v>183.009999999999</v>
          </cell>
          <cell r="R104">
            <v>41458.86</v>
          </cell>
          <cell r="S104">
            <v>6156.18</v>
          </cell>
        </row>
        <row r="105">
          <cell r="A105" t="str">
            <v>1000/1402       NPK 8-24-24</v>
          </cell>
          <cell r="B105" t="str">
            <v>1000222    ROLPOL</v>
          </cell>
          <cell r="C105" t="str">
            <v>KB Sprzed. bezpośrednia</v>
          </cell>
          <cell r="D105">
            <v>49500</v>
          </cell>
          <cell r="E105">
            <v>50</v>
          </cell>
          <cell r="F105">
            <v>36296.76</v>
          </cell>
          <cell r="G105">
            <v>2060.1399999999899</v>
          </cell>
          <cell r="H105">
            <v>776.02999999999895</v>
          </cell>
          <cell r="I105">
            <v>4284.6000000000004</v>
          </cell>
          <cell r="J105">
            <v>0</v>
          </cell>
          <cell r="K105">
            <v>5060.63</v>
          </cell>
          <cell r="L105">
            <v>43417.529999999897</v>
          </cell>
          <cell r="M105">
            <v>6082.47</v>
          </cell>
          <cell r="N105">
            <v>0</v>
          </cell>
          <cell r="O105">
            <v>43417.529999999897</v>
          </cell>
          <cell r="P105">
            <v>6082.47</v>
          </cell>
          <cell r="Q105">
            <v>172.33</v>
          </cell>
          <cell r="R105">
            <v>43589.86</v>
          </cell>
          <cell r="S105">
            <v>5910.14</v>
          </cell>
        </row>
        <row r="106">
          <cell r="A106" t="str">
            <v>1000/1402       NPK 8-24-24</v>
          </cell>
          <cell r="B106" t="str">
            <v>1000222    ROLPOL</v>
          </cell>
          <cell r="C106" t="str">
            <v>KC Centra dystrybucji</v>
          </cell>
          <cell r="D106">
            <v>175883.399999999</v>
          </cell>
          <cell r="E106">
            <v>180</v>
          </cell>
          <cell r="F106">
            <v>130668.33</v>
          </cell>
          <cell r="G106">
            <v>7320.1099999999897</v>
          </cell>
          <cell r="H106">
            <v>2793.71</v>
          </cell>
          <cell r="I106">
            <v>0</v>
          </cell>
          <cell r="J106">
            <v>0</v>
          </cell>
          <cell r="K106">
            <v>2793.71</v>
          </cell>
          <cell r="L106">
            <v>140782.149999999</v>
          </cell>
          <cell r="M106">
            <v>35101.25</v>
          </cell>
          <cell r="N106">
            <v>0</v>
          </cell>
          <cell r="O106">
            <v>140782.149999999</v>
          </cell>
          <cell r="P106">
            <v>35101.25</v>
          </cell>
          <cell r="Q106">
            <v>620.39999999999895</v>
          </cell>
          <cell r="R106">
            <v>141402.549999999</v>
          </cell>
          <cell r="S106">
            <v>34480.849999999897</v>
          </cell>
        </row>
        <row r="107">
          <cell r="A107" t="str">
            <v>1000/1402       NPK 8-24-24</v>
          </cell>
          <cell r="B107" t="str">
            <v>1000235    ROLNIK</v>
          </cell>
          <cell r="C107" t="str">
            <v>KC Centra dystrybucji</v>
          </cell>
          <cell r="D107">
            <v>9801</v>
          </cell>
          <cell r="E107">
            <v>10</v>
          </cell>
          <cell r="F107">
            <v>8031.0799999999899</v>
          </cell>
          <cell r="G107">
            <v>407.89999999999901</v>
          </cell>
          <cell r="H107">
            <v>155.19999999999899</v>
          </cell>
          <cell r="I107">
            <v>0</v>
          </cell>
          <cell r="J107">
            <v>0</v>
          </cell>
          <cell r="K107">
            <v>155.19999999999899</v>
          </cell>
          <cell r="L107">
            <v>8594.18</v>
          </cell>
          <cell r="M107">
            <v>1206.8199999999899</v>
          </cell>
          <cell r="N107">
            <v>0</v>
          </cell>
          <cell r="O107">
            <v>8594.18</v>
          </cell>
          <cell r="P107">
            <v>1206.8199999999899</v>
          </cell>
          <cell r="Q107">
            <v>38.14</v>
          </cell>
          <cell r="R107">
            <v>8632.3199999999906</v>
          </cell>
          <cell r="S107">
            <v>1168.68</v>
          </cell>
        </row>
        <row r="108">
          <cell r="A108" t="str">
            <v>1000/1402       NPK 8-24-24</v>
          </cell>
          <cell r="B108" t="str">
            <v>1000252    AGROSKŁAD</v>
          </cell>
          <cell r="C108" t="str">
            <v>KB Sprzed. bezpośrednia</v>
          </cell>
          <cell r="D108">
            <v>157078.28</v>
          </cell>
          <cell r="E108">
            <v>157</v>
          </cell>
          <cell r="F108">
            <v>115151.16</v>
          </cell>
          <cell r="G108">
            <v>6537.42</v>
          </cell>
          <cell r="H108">
            <v>2436.73</v>
          </cell>
          <cell r="I108">
            <v>9307.6</v>
          </cell>
          <cell r="J108">
            <v>0</v>
          </cell>
          <cell r="K108">
            <v>11744.33</v>
          </cell>
          <cell r="L108">
            <v>133432.91</v>
          </cell>
          <cell r="M108">
            <v>23645.369999999901</v>
          </cell>
          <cell r="N108">
            <v>0</v>
          </cell>
          <cell r="O108">
            <v>133432.91</v>
          </cell>
          <cell r="P108">
            <v>23645.369999999901</v>
          </cell>
          <cell r="Q108">
            <v>546.73</v>
          </cell>
          <cell r="R108">
            <v>133979.64000000001</v>
          </cell>
          <cell r="S108">
            <v>23098.639999999901</v>
          </cell>
        </row>
        <row r="109">
          <cell r="A109" t="str">
            <v>1000/1402       NPK 8-24-24</v>
          </cell>
          <cell r="B109" t="str">
            <v>1000252    AGROSKŁAD</v>
          </cell>
          <cell r="C109" t="str">
            <v>KC Centra dystrybucji</v>
          </cell>
          <cell r="D109">
            <v>302276.7</v>
          </cell>
          <cell r="E109">
            <v>308.5</v>
          </cell>
          <cell r="F109">
            <v>241534.209999999</v>
          </cell>
          <cell r="G109">
            <v>12580.45</v>
          </cell>
          <cell r="H109">
            <v>4788.09</v>
          </cell>
          <cell r="I109">
            <v>0</v>
          </cell>
          <cell r="J109">
            <v>0</v>
          </cell>
          <cell r="K109">
            <v>4788.09</v>
          </cell>
          <cell r="L109">
            <v>258902.75</v>
          </cell>
          <cell r="M109">
            <v>43373.949999999903</v>
          </cell>
          <cell r="N109">
            <v>0</v>
          </cell>
          <cell r="O109">
            <v>258902.75</v>
          </cell>
          <cell r="P109">
            <v>43373.949999999903</v>
          </cell>
          <cell r="Q109">
            <v>1146.76</v>
          </cell>
          <cell r="R109">
            <v>260049.51</v>
          </cell>
          <cell r="S109">
            <v>42227.19</v>
          </cell>
        </row>
        <row r="110">
          <cell r="A110" t="str">
            <v>1000/1402       NPK 8-24-24</v>
          </cell>
          <cell r="B110" t="str">
            <v>1000256    TYMIŃSKA</v>
          </cell>
          <cell r="C110" t="str">
            <v>KB Sprzed. bezpośrednia</v>
          </cell>
          <cell r="D110">
            <v>12117.6</v>
          </cell>
          <cell r="E110">
            <v>12</v>
          </cell>
          <cell r="F110">
            <v>8711.2199999999903</v>
          </cell>
          <cell r="G110">
            <v>504.31999999999903</v>
          </cell>
          <cell r="H110">
            <v>186.259999999999</v>
          </cell>
          <cell r="I110">
            <v>667.55999999999904</v>
          </cell>
          <cell r="J110">
            <v>0</v>
          </cell>
          <cell r="K110">
            <v>853.82</v>
          </cell>
          <cell r="L110">
            <v>10069.36</v>
          </cell>
          <cell r="M110">
            <v>2048.2399999999898</v>
          </cell>
          <cell r="N110">
            <v>0</v>
          </cell>
          <cell r="O110">
            <v>10069.36</v>
          </cell>
          <cell r="P110">
            <v>2048.2399999999898</v>
          </cell>
          <cell r="Q110">
            <v>41.35</v>
          </cell>
          <cell r="R110">
            <v>10110.709999999901</v>
          </cell>
          <cell r="S110">
            <v>2006.89</v>
          </cell>
        </row>
        <row r="111">
          <cell r="A111" t="str">
            <v>1000/1402       NPK 8-24-24</v>
          </cell>
          <cell r="B111" t="str">
            <v>1000257    MAGROL</v>
          </cell>
          <cell r="C111" t="str">
            <v>KC Centra dystrybucji</v>
          </cell>
          <cell r="D111">
            <v>51248.339999999902</v>
          </cell>
          <cell r="E111">
            <v>52</v>
          </cell>
          <cell r="F111">
            <v>41761.620000000003</v>
          </cell>
          <cell r="G111">
            <v>2132.9099999999899</v>
          </cell>
          <cell r="H111">
            <v>807.07</v>
          </cell>
          <cell r="I111">
            <v>0</v>
          </cell>
          <cell r="J111">
            <v>0</v>
          </cell>
          <cell r="K111">
            <v>807.07</v>
          </cell>
          <cell r="L111">
            <v>44701.599999999897</v>
          </cell>
          <cell r="M111">
            <v>6546.7399999999898</v>
          </cell>
          <cell r="N111">
            <v>0</v>
          </cell>
          <cell r="O111">
            <v>44701.599999999897</v>
          </cell>
          <cell r="P111">
            <v>6546.7399999999898</v>
          </cell>
          <cell r="Q111">
            <v>198.27</v>
          </cell>
          <cell r="R111">
            <v>44899.87</v>
          </cell>
          <cell r="S111">
            <v>6348.47</v>
          </cell>
        </row>
        <row r="112">
          <cell r="A112" t="str">
            <v>1000/1402       NPK 8-24-24</v>
          </cell>
          <cell r="B112" t="str">
            <v>1000263    PRO-AGRO</v>
          </cell>
          <cell r="C112" t="str">
            <v>KC Centra dystrybucji</v>
          </cell>
          <cell r="D112">
            <v>23617.4399999999</v>
          </cell>
          <cell r="E112">
            <v>24</v>
          </cell>
          <cell r="F112">
            <v>17422.11</v>
          </cell>
          <cell r="G112">
            <v>982.94</v>
          </cell>
          <cell r="H112">
            <v>372.5</v>
          </cell>
          <cell r="I112">
            <v>0</v>
          </cell>
          <cell r="J112">
            <v>0</v>
          </cell>
          <cell r="K112">
            <v>372.5</v>
          </cell>
          <cell r="L112">
            <v>18777.549999999901</v>
          </cell>
          <cell r="M112">
            <v>4839.8900000000003</v>
          </cell>
          <cell r="N112">
            <v>0</v>
          </cell>
          <cell r="O112">
            <v>18777.549999999901</v>
          </cell>
          <cell r="P112">
            <v>4839.8900000000003</v>
          </cell>
          <cell r="Q112">
            <v>82.709999999999894</v>
          </cell>
          <cell r="R112">
            <v>18860.2599999999</v>
          </cell>
          <cell r="S112">
            <v>4757.18</v>
          </cell>
        </row>
        <row r="113">
          <cell r="A113" t="str">
            <v>1000/1402       NPK 8-24-24</v>
          </cell>
          <cell r="B113" t="str">
            <v>1000276    JAN GACH FIRMA HANDL</v>
          </cell>
          <cell r="C113" t="str">
            <v>KC Centra dystrybucji</v>
          </cell>
          <cell r="D113">
            <v>27546.75</v>
          </cell>
          <cell r="E113">
            <v>28</v>
          </cell>
          <cell r="F113">
            <v>22459.52</v>
          </cell>
          <cell r="G113">
            <v>1146.48</v>
          </cell>
          <cell r="H113">
            <v>434.57999999999902</v>
          </cell>
          <cell r="I113">
            <v>0</v>
          </cell>
          <cell r="J113">
            <v>0</v>
          </cell>
          <cell r="K113">
            <v>434.57999999999902</v>
          </cell>
          <cell r="L113">
            <v>24040.58</v>
          </cell>
          <cell r="M113">
            <v>3506.17</v>
          </cell>
          <cell r="N113">
            <v>0</v>
          </cell>
          <cell r="O113">
            <v>24040.58</v>
          </cell>
          <cell r="P113">
            <v>3506.17</v>
          </cell>
          <cell r="Q113">
            <v>106.64</v>
          </cell>
          <cell r="R113">
            <v>24147.22</v>
          </cell>
          <cell r="S113">
            <v>3399.53</v>
          </cell>
        </row>
        <row r="114">
          <cell r="A114" t="str">
            <v>1000/1402       NPK 8-24-24</v>
          </cell>
          <cell r="B114" t="str">
            <v>1000277    ATRANS</v>
          </cell>
          <cell r="C114" t="str">
            <v>KB Sprzed. bezpośrednia</v>
          </cell>
          <cell r="D114">
            <v>86086.44</v>
          </cell>
          <cell r="E114">
            <v>86</v>
          </cell>
          <cell r="F114">
            <v>62430.41</v>
          </cell>
          <cell r="G114">
            <v>3582.84</v>
          </cell>
          <cell r="H114">
            <v>1334.77</v>
          </cell>
          <cell r="I114">
            <v>4091.6199999999899</v>
          </cell>
          <cell r="J114">
            <v>0</v>
          </cell>
          <cell r="K114">
            <v>5426.39</v>
          </cell>
          <cell r="L114">
            <v>71439.639999999898</v>
          </cell>
          <cell r="M114">
            <v>14646.799999999899</v>
          </cell>
          <cell r="N114">
            <v>0</v>
          </cell>
          <cell r="O114">
            <v>71439.639999999898</v>
          </cell>
          <cell r="P114">
            <v>14646.799999999899</v>
          </cell>
          <cell r="Q114">
            <v>296.39999999999901</v>
          </cell>
          <cell r="R114">
            <v>71736.039999999906</v>
          </cell>
          <cell r="S114">
            <v>14350.4</v>
          </cell>
        </row>
        <row r="115">
          <cell r="A115" t="str">
            <v>1000/1402       NPK 8-24-24</v>
          </cell>
          <cell r="B115" t="str">
            <v>1000277    ATRANS</v>
          </cell>
          <cell r="C115" t="str">
            <v>KC Centra dystrybucji</v>
          </cell>
          <cell r="D115">
            <v>19770.299999999901</v>
          </cell>
          <cell r="E115">
            <v>20</v>
          </cell>
          <cell r="F115">
            <v>16062.16</v>
          </cell>
          <cell r="G115">
            <v>822.83</v>
          </cell>
          <cell r="H115">
            <v>310.41000000000003</v>
          </cell>
          <cell r="I115">
            <v>0</v>
          </cell>
          <cell r="J115">
            <v>0</v>
          </cell>
          <cell r="K115">
            <v>310.41000000000003</v>
          </cell>
          <cell r="L115">
            <v>17195.400000000001</v>
          </cell>
          <cell r="M115">
            <v>2574.9</v>
          </cell>
          <cell r="N115">
            <v>0</v>
          </cell>
          <cell r="O115">
            <v>17195.400000000001</v>
          </cell>
          <cell r="P115">
            <v>2574.9</v>
          </cell>
          <cell r="Q115">
            <v>76.239999999999895</v>
          </cell>
          <cell r="R115">
            <v>17271.639999999901</v>
          </cell>
          <cell r="S115">
            <v>2498.6599999999899</v>
          </cell>
        </row>
        <row r="116">
          <cell r="A116" t="str">
            <v>1000/1402       NPK 8-24-24</v>
          </cell>
          <cell r="B116" t="str">
            <v>1000289    PLON A.Darzyński</v>
          </cell>
          <cell r="C116" t="str">
            <v>KB Sprzed. bezpośrednia</v>
          </cell>
          <cell r="D116">
            <v>48886.559999999903</v>
          </cell>
          <cell r="E116">
            <v>48</v>
          </cell>
          <cell r="F116">
            <v>34844.879999999903</v>
          </cell>
          <cell r="G116">
            <v>2034.63</v>
          </cell>
          <cell r="H116">
            <v>744.98</v>
          </cell>
          <cell r="I116">
            <v>2667.36</v>
          </cell>
          <cell r="J116">
            <v>0</v>
          </cell>
          <cell r="K116">
            <v>3412.34</v>
          </cell>
          <cell r="L116">
            <v>40291.849999999897</v>
          </cell>
          <cell r="M116">
            <v>8594.70999999999</v>
          </cell>
          <cell r="N116">
            <v>0</v>
          </cell>
          <cell r="O116">
            <v>40291.849999999897</v>
          </cell>
          <cell r="P116">
            <v>8594.70999999999</v>
          </cell>
          <cell r="Q116">
            <v>165.44</v>
          </cell>
          <cell r="R116">
            <v>40457.29</v>
          </cell>
          <cell r="S116">
            <v>8429.27</v>
          </cell>
        </row>
        <row r="117">
          <cell r="A117" t="str">
            <v>1000/1402       NPK 8-24-24</v>
          </cell>
          <cell r="B117" t="str">
            <v>1000289    PLON A.Darzyński</v>
          </cell>
          <cell r="C117" t="str">
            <v>KC Centra dystrybucji</v>
          </cell>
          <cell r="D117">
            <v>63860.94</v>
          </cell>
          <cell r="E117">
            <v>65</v>
          </cell>
          <cell r="F117">
            <v>47185.79</v>
          </cell>
          <cell r="G117">
            <v>2657.8699999999899</v>
          </cell>
          <cell r="H117">
            <v>1008.83</v>
          </cell>
          <cell r="I117">
            <v>0</v>
          </cell>
          <cell r="J117">
            <v>0</v>
          </cell>
          <cell r="K117">
            <v>1008.83</v>
          </cell>
          <cell r="L117">
            <v>50852.489999999903</v>
          </cell>
          <cell r="M117">
            <v>13008.45</v>
          </cell>
          <cell r="N117">
            <v>0</v>
          </cell>
          <cell r="O117">
            <v>50852.489999999903</v>
          </cell>
          <cell r="P117">
            <v>13008.45</v>
          </cell>
          <cell r="Q117">
            <v>224.03</v>
          </cell>
          <cell r="R117">
            <v>51076.519999999902</v>
          </cell>
          <cell r="S117">
            <v>12784.42</v>
          </cell>
        </row>
        <row r="118">
          <cell r="A118" t="str">
            <v>1000/1402       NPK 8-24-24</v>
          </cell>
          <cell r="B118" t="str">
            <v>1000293    PHM CHEMAT  M.Richte</v>
          </cell>
          <cell r="C118" t="str">
            <v>KB Sprzed. bezpośrednia</v>
          </cell>
          <cell r="D118">
            <v>23285.279999999901</v>
          </cell>
          <cell r="E118">
            <v>24</v>
          </cell>
          <cell r="F118">
            <v>18601.82</v>
          </cell>
          <cell r="G118">
            <v>969.09</v>
          </cell>
          <cell r="H118">
            <v>372.5</v>
          </cell>
          <cell r="I118">
            <v>0</v>
          </cell>
          <cell r="J118">
            <v>0</v>
          </cell>
          <cell r="K118">
            <v>372.5</v>
          </cell>
          <cell r="L118">
            <v>19943.41</v>
          </cell>
          <cell r="M118">
            <v>3341.8699999999899</v>
          </cell>
          <cell r="N118">
            <v>0</v>
          </cell>
          <cell r="O118">
            <v>19943.41</v>
          </cell>
          <cell r="P118">
            <v>3341.8699999999899</v>
          </cell>
          <cell r="Q118">
            <v>88.319999999999894</v>
          </cell>
          <cell r="R118">
            <v>20031.73</v>
          </cell>
          <cell r="S118">
            <v>3253.55</v>
          </cell>
        </row>
        <row r="119">
          <cell r="A119" t="str">
            <v>1000/1402       NPK 8-24-24</v>
          </cell>
          <cell r="B119" t="str">
            <v>1000307    P.TRANSBUD</v>
          </cell>
          <cell r="C119" t="str">
            <v>KC Centra dystrybucji</v>
          </cell>
          <cell r="D119">
            <v>12261.959999999901</v>
          </cell>
          <cell r="E119">
            <v>12</v>
          </cell>
          <cell r="F119">
            <v>9300.8999999999905</v>
          </cell>
          <cell r="G119">
            <v>510.31999999999903</v>
          </cell>
          <cell r="H119">
            <v>186.259999999999</v>
          </cell>
          <cell r="I119">
            <v>952.55999999999904</v>
          </cell>
          <cell r="J119">
            <v>0</v>
          </cell>
          <cell r="K119">
            <v>1138.8199999999899</v>
          </cell>
          <cell r="L119">
            <v>10950.04</v>
          </cell>
          <cell r="M119">
            <v>1311.92</v>
          </cell>
          <cell r="N119">
            <v>0</v>
          </cell>
          <cell r="O119">
            <v>10950.04</v>
          </cell>
          <cell r="P119">
            <v>1311.92</v>
          </cell>
          <cell r="Q119">
            <v>44.149999999999899</v>
          </cell>
          <cell r="R119">
            <v>10994.19</v>
          </cell>
          <cell r="S119">
            <v>1267.77</v>
          </cell>
        </row>
        <row r="120">
          <cell r="A120" t="str">
            <v>1000/1402       NPK 8-24-24</v>
          </cell>
          <cell r="B120" t="str">
            <v>1000403    SOBIANEK</v>
          </cell>
          <cell r="C120" t="str">
            <v>KB Sprzed. bezpośrednia</v>
          </cell>
          <cell r="D120">
            <v>47484.36</v>
          </cell>
          <cell r="E120">
            <v>48</v>
          </cell>
          <cell r="F120">
            <v>34844.879999999903</v>
          </cell>
          <cell r="G120">
            <v>1976.27</v>
          </cell>
          <cell r="H120">
            <v>744.98</v>
          </cell>
          <cell r="I120">
            <v>1038.1199999999899</v>
          </cell>
          <cell r="J120">
            <v>0</v>
          </cell>
          <cell r="K120">
            <v>1783.0999999999899</v>
          </cell>
          <cell r="L120">
            <v>38604.25</v>
          </cell>
          <cell r="M120">
            <v>8880.11</v>
          </cell>
          <cell r="N120">
            <v>0</v>
          </cell>
          <cell r="O120">
            <v>38604.25</v>
          </cell>
          <cell r="P120">
            <v>8880.11</v>
          </cell>
          <cell r="Q120">
            <v>165.44</v>
          </cell>
          <cell r="R120">
            <v>38769.69</v>
          </cell>
          <cell r="S120">
            <v>8714.67</v>
          </cell>
        </row>
        <row r="121">
          <cell r="A121" t="str">
            <v>1000/1402       NPK 8-24-24</v>
          </cell>
          <cell r="B121" t="str">
            <v>1000403    SOBIANEK</v>
          </cell>
          <cell r="C121" t="str">
            <v>KC Centra dystrybucji</v>
          </cell>
          <cell r="D121">
            <v>47962.529999999897</v>
          </cell>
          <cell r="E121">
            <v>49</v>
          </cell>
          <cell r="F121">
            <v>35570.82</v>
          </cell>
          <cell r="G121">
            <v>1996.15</v>
          </cell>
          <cell r="H121">
            <v>760.5</v>
          </cell>
          <cell r="I121">
            <v>0</v>
          </cell>
          <cell r="J121">
            <v>0</v>
          </cell>
          <cell r="K121">
            <v>760.5</v>
          </cell>
          <cell r="L121">
            <v>38327.47</v>
          </cell>
          <cell r="M121">
            <v>9635.0599999999904</v>
          </cell>
          <cell r="N121">
            <v>0</v>
          </cell>
          <cell r="O121">
            <v>38327.47</v>
          </cell>
          <cell r="P121">
            <v>9635.0599999999904</v>
          </cell>
          <cell r="Q121">
            <v>168.88</v>
          </cell>
          <cell r="R121">
            <v>38496.349999999897</v>
          </cell>
          <cell r="S121">
            <v>9466.18</v>
          </cell>
        </row>
        <row r="122">
          <cell r="A122" t="str">
            <v>1000/1402       NPK 8-24-24</v>
          </cell>
          <cell r="B122" t="str">
            <v>1000506    AUREPIO SP. Z O.O.</v>
          </cell>
          <cell r="C122" t="str">
            <v>KB Sprzed. bezpośrednia</v>
          </cell>
          <cell r="D122">
            <v>12080.879999999899</v>
          </cell>
          <cell r="E122">
            <v>12</v>
          </cell>
          <cell r="F122">
            <v>8711.2199999999903</v>
          </cell>
          <cell r="G122">
            <v>502.79</v>
          </cell>
          <cell r="H122">
            <v>186.259999999999</v>
          </cell>
          <cell r="I122">
            <v>650.39999999999895</v>
          </cell>
          <cell r="J122">
            <v>0</v>
          </cell>
          <cell r="K122">
            <v>836.65999999999894</v>
          </cell>
          <cell r="L122">
            <v>10050.67</v>
          </cell>
          <cell r="M122">
            <v>2030.21</v>
          </cell>
          <cell r="N122">
            <v>0</v>
          </cell>
          <cell r="O122">
            <v>10050.67</v>
          </cell>
          <cell r="P122">
            <v>2030.21</v>
          </cell>
          <cell r="Q122">
            <v>41.35</v>
          </cell>
          <cell r="R122">
            <v>10092.02</v>
          </cell>
          <cell r="S122">
            <v>1988.8599999999899</v>
          </cell>
        </row>
        <row r="123">
          <cell r="A123" t="str">
            <v>1000/1402       NPK 8-24-24</v>
          </cell>
          <cell r="B123" t="str">
            <v>1000506    AUREPIO SP. Z O.O.</v>
          </cell>
          <cell r="C123" t="str">
            <v>KC Centra dystrybucji</v>
          </cell>
          <cell r="D123">
            <v>24428.25</v>
          </cell>
          <cell r="E123">
            <v>25</v>
          </cell>
          <cell r="F123">
            <v>18148.38</v>
          </cell>
          <cell r="G123">
            <v>1016.69</v>
          </cell>
          <cell r="H123">
            <v>388.00999999999902</v>
          </cell>
          <cell r="I123">
            <v>0</v>
          </cell>
          <cell r="J123">
            <v>0</v>
          </cell>
          <cell r="K123">
            <v>388.00999999999902</v>
          </cell>
          <cell r="L123">
            <v>19553.080000000002</v>
          </cell>
          <cell r="M123">
            <v>4875.17</v>
          </cell>
          <cell r="N123">
            <v>0</v>
          </cell>
          <cell r="O123">
            <v>19553.080000000002</v>
          </cell>
          <cell r="P123">
            <v>4875.17</v>
          </cell>
          <cell r="Q123">
            <v>86.15</v>
          </cell>
          <cell r="R123">
            <v>19639.23</v>
          </cell>
          <cell r="S123">
            <v>4789.0200000000004</v>
          </cell>
        </row>
        <row r="124">
          <cell r="A124" t="str">
            <v>1000/1402       NPK 8-24-24</v>
          </cell>
          <cell r="B124" t="str">
            <v>1000524    "CHEMIROL" SP. Z O.O</v>
          </cell>
          <cell r="C124" t="str">
            <v>KB Sprzed. bezpośrednia</v>
          </cell>
          <cell r="D124">
            <v>97920</v>
          </cell>
          <cell r="E124">
            <v>96</v>
          </cell>
          <cell r="F124">
            <v>69689.759999999893</v>
          </cell>
          <cell r="G124">
            <v>4075.3299999999899</v>
          </cell>
          <cell r="H124">
            <v>1489.97</v>
          </cell>
          <cell r="I124">
            <v>4877.76</v>
          </cell>
          <cell r="J124">
            <v>0</v>
          </cell>
          <cell r="K124">
            <v>6367.7299999999896</v>
          </cell>
          <cell r="L124">
            <v>80132.820000000007</v>
          </cell>
          <cell r="M124">
            <v>17787.18</v>
          </cell>
          <cell r="N124">
            <v>0</v>
          </cell>
          <cell r="O124">
            <v>80132.820000000007</v>
          </cell>
          <cell r="P124">
            <v>17787.18</v>
          </cell>
          <cell r="Q124">
            <v>330.88999999999902</v>
          </cell>
          <cell r="R124">
            <v>80463.710000000006</v>
          </cell>
          <cell r="S124">
            <v>17456.29</v>
          </cell>
        </row>
        <row r="125">
          <cell r="A125" t="str">
            <v>1000/1402       NPK 8-24-24</v>
          </cell>
          <cell r="B125" t="str">
            <v>1000524    "CHEMIROL" SP. Z O.O</v>
          </cell>
          <cell r="C125" t="str">
            <v>KC Centra dystrybucji</v>
          </cell>
          <cell r="D125">
            <v>47575.919999999896</v>
          </cell>
          <cell r="E125">
            <v>48</v>
          </cell>
          <cell r="F125">
            <v>36522.639999999898</v>
          </cell>
          <cell r="G125">
            <v>1980.05</v>
          </cell>
          <cell r="H125">
            <v>744.98</v>
          </cell>
          <cell r="I125">
            <v>1150.8</v>
          </cell>
          <cell r="J125">
            <v>0</v>
          </cell>
          <cell r="K125">
            <v>1895.78</v>
          </cell>
          <cell r="L125">
            <v>40398.47</v>
          </cell>
          <cell r="M125">
            <v>7177.4499999999898</v>
          </cell>
          <cell r="N125">
            <v>0</v>
          </cell>
          <cell r="O125">
            <v>40398.47</v>
          </cell>
          <cell r="P125">
            <v>7177.4499999999898</v>
          </cell>
          <cell r="Q125">
            <v>173.4</v>
          </cell>
          <cell r="R125">
            <v>40571.870000000003</v>
          </cell>
          <cell r="S125">
            <v>7004.05</v>
          </cell>
        </row>
        <row r="126">
          <cell r="A126" t="str">
            <v>1000/1402       NPK 8-24-24</v>
          </cell>
          <cell r="B126" t="str">
            <v>1000662    SZYMAŃSCY</v>
          </cell>
          <cell r="C126" t="str">
            <v>KB Sprzed. bezpośrednia</v>
          </cell>
          <cell r="D126">
            <v>16205.76</v>
          </cell>
          <cell r="E126">
            <v>16</v>
          </cell>
          <cell r="F126">
            <v>11614.959999999901</v>
          </cell>
          <cell r="G126">
            <v>674.40999999999894</v>
          </cell>
          <cell r="H126">
            <v>248.319999999999</v>
          </cell>
          <cell r="I126">
            <v>651.67999999999904</v>
          </cell>
          <cell r="J126">
            <v>0</v>
          </cell>
          <cell r="K126">
            <v>900</v>
          </cell>
          <cell r="L126">
            <v>13189.37</v>
          </cell>
          <cell r="M126">
            <v>3016.3899999999899</v>
          </cell>
          <cell r="N126">
            <v>0</v>
          </cell>
          <cell r="O126">
            <v>13189.37</v>
          </cell>
          <cell r="P126">
            <v>3016.3899999999899</v>
          </cell>
          <cell r="Q126">
            <v>55.14</v>
          </cell>
          <cell r="R126">
            <v>13244.51</v>
          </cell>
          <cell r="S126">
            <v>2961.25</v>
          </cell>
        </row>
        <row r="127">
          <cell r="A127" t="str">
            <v>1000/1402       NPK 8-24-24</v>
          </cell>
          <cell r="B127" t="str">
            <v>1000662    SZYMAŃSCY</v>
          </cell>
          <cell r="C127" t="str">
            <v>KC Centra dystrybucji</v>
          </cell>
          <cell r="D127">
            <v>192202.57</v>
          </cell>
          <cell r="E127">
            <v>195</v>
          </cell>
          <cell r="F127">
            <v>149995.57</v>
          </cell>
          <cell r="G127">
            <v>7999.3299999999899</v>
          </cell>
          <cell r="H127">
            <v>3026.52</v>
          </cell>
          <cell r="I127">
            <v>0</v>
          </cell>
          <cell r="J127">
            <v>0</v>
          </cell>
          <cell r="K127">
            <v>3026.52</v>
          </cell>
          <cell r="L127">
            <v>161021.42000000001</v>
          </cell>
          <cell r="M127">
            <v>31181.15</v>
          </cell>
          <cell r="N127">
            <v>0</v>
          </cell>
          <cell r="O127">
            <v>161021.42000000001</v>
          </cell>
          <cell r="P127">
            <v>31181.15</v>
          </cell>
          <cell r="Q127">
            <v>712.14999999999895</v>
          </cell>
          <cell r="R127">
            <v>161733.57</v>
          </cell>
          <cell r="S127">
            <v>30469</v>
          </cell>
        </row>
        <row r="128">
          <cell r="A128" t="str">
            <v>1000/1402       NPK 8-24-24</v>
          </cell>
          <cell r="B128" t="str">
            <v>1000675    Zaopatrz.Roln. Andrz</v>
          </cell>
          <cell r="C128" t="str">
            <v>KB Sprzed. bezpośrednia</v>
          </cell>
          <cell r="D128">
            <v>24337.200000000001</v>
          </cell>
          <cell r="E128">
            <v>24</v>
          </cell>
          <cell r="F128">
            <v>17422.4399999999</v>
          </cell>
          <cell r="G128">
            <v>1012.89</v>
          </cell>
          <cell r="H128">
            <v>372.5</v>
          </cell>
          <cell r="I128">
            <v>1748.8</v>
          </cell>
          <cell r="J128">
            <v>0</v>
          </cell>
          <cell r="K128">
            <v>2121.3000000000002</v>
          </cell>
          <cell r="L128">
            <v>20556.63</v>
          </cell>
          <cell r="M128">
            <v>3780.57</v>
          </cell>
          <cell r="N128">
            <v>0</v>
          </cell>
          <cell r="O128">
            <v>20556.63</v>
          </cell>
          <cell r="P128">
            <v>3780.57</v>
          </cell>
          <cell r="Q128">
            <v>82.709999999999894</v>
          </cell>
          <cell r="R128">
            <v>20639.34</v>
          </cell>
          <cell r="S128">
            <v>3697.86</v>
          </cell>
        </row>
        <row r="129">
          <cell r="A129" t="str">
            <v>1000/1402       NPK 8-24-24</v>
          </cell>
          <cell r="B129" t="str">
            <v>1000675    Zaopatrz.Roln. Andrz</v>
          </cell>
          <cell r="C129" t="str">
            <v>KC Centra dystrybucji</v>
          </cell>
          <cell r="D129">
            <v>29561.4</v>
          </cell>
          <cell r="E129">
            <v>30</v>
          </cell>
          <cell r="F129">
            <v>24040.3499999999</v>
          </cell>
          <cell r="G129">
            <v>1230.3599999999899</v>
          </cell>
          <cell r="H129">
            <v>465.62</v>
          </cell>
          <cell r="I129">
            <v>0</v>
          </cell>
          <cell r="J129">
            <v>0</v>
          </cell>
          <cell r="K129">
            <v>465.62</v>
          </cell>
          <cell r="L129">
            <v>25736.33</v>
          </cell>
          <cell r="M129">
            <v>3825.07</v>
          </cell>
          <cell r="N129">
            <v>0</v>
          </cell>
          <cell r="O129">
            <v>25736.33</v>
          </cell>
          <cell r="P129">
            <v>3825.07</v>
          </cell>
          <cell r="Q129">
            <v>114.16</v>
          </cell>
          <cell r="R129">
            <v>25850.49</v>
          </cell>
          <cell r="S129">
            <v>3710.9099999999899</v>
          </cell>
        </row>
        <row r="130">
          <cell r="A130" t="str">
            <v>1000/1402       NPK 8-24-24</v>
          </cell>
          <cell r="B130" t="str">
            <v>1000680    Giełda Rolna ZOLA Sp</v>
          </cell>
          <cell r="C130" t="str">
            <v>KB Sprzed. bezpośrednia</v>
          </cell>
          <cell r="D130">
            <v>24675</v>
          </cell>
          <cell r="E130">
            <v>25</v>
          </cell>
          <cell r="F130">
            <v>18148.38</v>
          </cell>
          <cell r="G130">
            <v>1026.96</v>
          </cell>
          <cell r="H130">
            <v>388.00999999999902</v>
          </cell>
          <cell r="I130">
            <v>1443.93</v>
          </cell>
          <cell r="J130">
            <v>0</v>
          </cell>
          <cell r="K130">
            <v>1831.94</v>
          </cell>
          <cell r="L130">
            <v>21007.279999999901</v>
          </cell>
          <cell r="M130">
            <v>3667.7199999999898</v>
          </cell>
          <cell r="N130">
            <v>0</v>
          </cell>
          <cell r="O130">
            <v>21007.279999999901</v>
          </cell>
          <cell r="P130">
            <v>3667.7199999999898</v>
          </cell>
          <cell r="Q130">
            <v>86.15</v>
          </cell>
          <cell r="R130">
            <v>21093.43</v>
          </cell>
          <cell r="S130">
            <v>3581.57</v>
          </cell>
        </row>
        <row r="131">
          <cell r="A131" t="str">
            <v>1000/1402       NPK 8-24-24</v>
          </cell>
          <cell r="B131" t="str">
            <v>1000982    TORAL Elżbieta Krupa</v>
          </cell>
          <cell r="C131" t="str">
            <v>KC Centra dystrybucji</v>
          </cell>
          <cell r="D131">
            <v>23617.4399999999</v>
          </cell>
          <cell r="E131">
            <v>24</v>
          </cell>
          <cell r="F131">
            <v>19274.57</v>
          </cell>
          <cell r="G131">
            <v>982.94</v>
          </cell>
          <cell r="H131">
            <v>372.5</v>
          </cell>
          <cell r="I131">
            <v>0</v>
          </cell>
          <cell r="J131">
            <v>0</v>
          </cell>
          <cell r="K131">
            <v>372.5</v>
          </cell>
          <cell r="L131">
            <v>20630.0099999999</v>
          </cell>
          <cell r="M131">
            <v>2987.4299999999898</v>
          </cell>
          <cell r="N131">
            <v>0</v>
          </cell>
          <cell r="O131">
            <v>20630.0099999999</v>
          </cell>
          <cell r="P131">
            <v>2987.4299999999898</v>
          </cell>
          <cell r="Q131">
            <v>91.519999999999897</v>
          </cell>
          <cell r="R131">
            <v>20721.529999999901</v>
          </cell>
          <cell r="S131">
            <v>2895.9099999999899</v>
          </cell>
        </row>
        <row r="132">
          <cell r="A132" t="str">
            <v>1000/1402       NPK 8-24-24</v>
          </cell>
          <cell r="B132" t="str">
            <v>1001024    TALAGA</v>
          </cell>
          <cell r="C132" t="str">
            <v>KC Centra dystrybucji</v>
          </cell>
          <cell r="D132">
            <v>62652.15</v>
          </cell>
          <cell r="E132">
            <v>64</v>
          </cell>
          <cell r="F132">
            <v>51398.91</v>
          </cell>
          <cell r="G132">
            <v>2607.52</v>
          </cell>
          <cell r="H132">
            <v>993.32</v>
          </cell>
          <cell r="I132">
            <v>0</v>
          </cell>
          <cell r="J132">
            <v>0</v>
          </cell>
          <cell r="K132">
            <v>993.32</v>
          </cell>
          <cell r="L132">
            <v>54999.75</v>
          </cell>
          <cell r="M132">
            <v>7652.3999999999896</v>
          </cell>
          <cell r="N132">
            <v>0</v>
          </cell>
          <cell r="O132">
            <v>54999.75</v>
          </cell>
          <cell r="P132">
            <v>7652.3999999999896</v>
          </cell>
          <cell r="Q132">
            <v>244.03</v>
          </cell>
          <cell r="R132">
            <v>55243.779999999897</v>
          </cell>
          <cell r="S132">
            <v>7408.3699999999899</v>
          </cell>
        </row>
        <row r="133">
          <cell r="A133" t="str">
            <v>1000/1402       NPK 8-24-24</v>
          </cell>
          <cell r="B133" t="str">
            <v>1001253    ROL-MECH SP. Z O.O.</v>
          </cell>
          <cell r="C133" t="str">
            <v>KB Sprzed. bezpośrednia</v>
          </cell>
          <cell r="D133">
            <v>48727.44</v>
          </cell>
          <cell r="E133">
            <v>48</v>
          </cell>
          <cell r="F133">
            <v>34844.879999999903</v>
          </cell>
          <cell r="G133">
            <v>2027.97</v>
          </cell>
          <cell r="H133">
            <v>744.98</v>
          </cell>
          <cell r="I133">
            <v>4099.92</v>
          </cell>
          <cell r="J133">
            <v>0</v>
          </cell>
          <cell r="K133">
            <v>4844.8999999999896</v>
          </cell>
          <cell r="L133">
            <v>41717.75</v>
          </cell>
          <cell r="M133">
            <v>7009.6899999999896</v>
          </cell>
          <cell r="N133">
            <v>0</v>
          </cell>
          <cell r="O133">
            <v>41717.75</v>
          </cell>
          <cell r="P133">
            <v>7009.6899999999896</v>
          </cell>
          <cell r="Q133">
            <v>165.44</v>
          </cell>
          <cell r="R133">
            <v>41883.19</v>
          </cell>
          <cell r="S133">
            <v>6844.25</v>
          </cell>
        </row>
        <row r="134">
          <cell r="A134" t="str">
            <v>1000/1402       NPK 8-24-24</v>
          </cell>
          <cell r="B134" t="str">
            <v>1001481    Hurt.Śr.Ochr.Roślin-</v>
          </cell>
          <cell r="C134" t="str">
            <v>KB Sprzed. bezpośrednia</v>
          </cell>
          <cell r="D134">
            <v>24235.200000000001</v>
          </cell>
          <cell r="E134">
            <v>24</v>
          </cell>
          <cell r="F134">
            <v>17422.4399999999</v>
          </cell>
          <cell r="G134">
            <v>1008.63</v>
          </cell>
          <cell r="H134">
            <v>372.5</v>
          </cell>
          <cell r="I134">
            <v>1779.1199999999899</v>
          </cell>
          <cell r="J134">
            <v>0</v>
          </cell>
          <cell r="K134">
            <v>2151.6199999999899</v>
          </cell>
          <cell r="L134">
            <v>20582.6899999999</v>
          </cell>
          <cell r="M134">
            <v>3652.51</v>
          </cell>
          <cell r="N134">
            <v>0</v>
          </cell>
          <cell r="O134">
            <v>20582.6899999999</v>
          </cell>
          <cell r="P134">
            <v>3652.51</v>
          </cell>
          <cell r="Q134">
            <v>82.709999999999894</v>
          </cell>
          <cell r="R134">
            <v>20665.400000000001</v>
          </cell>
          <cell r="S134">
            <v>3569.8</v>
          </cell>
        </row>
        <row r="135">
          <cell r="A135" t="str">
            <v>1000/1402       NPK 8-24-24</v>
          </cell>
          <cell r="B135" t="str">
            <v>1001494    AGROLOK Sp. z o.o.</v>
          </cell>
          <cell r="C135" t="str">
            <v>KB Sprzed. bezpośrednia</v>
          </cell>
          <cell r="D135">
            <v>108847.8</v>
          </cell>
          <cell r="E135">
            <v>108</v>
          </cell>
          <cell r="F135">
            <v>79327.05</v>
          </cell>
          <cell r="G135">
            <v>4530.17</v>
          </cell>
          <cell r="H135">
            <v>1676.23</v>
          </cell>
          <cell r="I135">
            <v>7416.1199999999899</v>
          </cell>
          <cell r="J135">
            <v>0</v>
          </cell>
          <cell r="K135">
            <v>9092.35</v>
          </cell>
          <cell r="L135">
            <v>92949.57</v>
          </cell>
          <cell r="M135">
            <v>15898.23</v>
          </cell>
          <cell r="N135">
            <v>0</v>
          </cell>
          <cell r="O135">
            <v>92949.57</v>
          </cell>
          <cell r="P135">
            <v>15898.23</v>
          </cell>
          <cell r="Q135">
            <v>376.66</v>
          </cell>
          <cell r="R135">
            <v>93326.229999999894</v>
          </cell>
          <cell r="S135">
            <v>15521.57</v>
          </cell>
        </row>
        <row r="136">
          <cell r="A136" t="str">
            <v>1000/1402       NPK 8-24-24</v>
          </cell>
          <cell r="B136" t="str">
            <v>1001494    AGROLOK Sp. z o.o.</v>
          </cell>
          <cell r="C136" t="str">
            <v>KC Centra dystrybucji</v>
          </cell>
          <cell r="D136">
            <v>24502.5</v>
          </cell>
          <cell r="E136">
            <v>25</v>
          </cell>
          <cell r="F136">
            <v>18199.11</v>
          </cell>
          <cell r="G136">
            <v>1019.8</v>
          </cell>
          <cell r="H136">
            <v>388.00999999999902</v>
          </cell>
          <cell r="I136">
            <v>0</v>
          </cell>
          <cell r="J136">
            <v>0</v>
          </cell>
          <cell r="K136">
            <v>388.00999999999902</v>
          </cell>
          <cell r="L136">
            <v>19606.9199999999</v>
          </cell>
          <cell r="M136">
            <v>4895.5799999999899</v>
          </cell>
          <cell r="N136">
            <v>0</v>
          </cell>
          <cell r="O136">
            <v>19606.9199999999</v>
          </cell>
          <cell r="P136">
            <v>4895.5799999999899</v>
          </cell>
          <cell r="Q136">
            <v>86.379999999999896</v>
          </cell>
          <cell r="R136">
            <v>19693.299999999901</v>
          </cell>
          <cell r="S136">
            <v>4809.1999999999898</v>
          </cell>
        </row>
        <row r="137">
          <cell r="A137" t="str">
            <v>1000/1402       NPK 8-24-24</v>
          </cell>
          <cell r="B137" t="str">
            <v>1001522    AGRO-BIT</v>
          </cell>
          <cell r="C137" t="str">
            <v>KB Sprzed. bezpośrednia</v>
          </cell>
          <cell r="D137">
            <v>12325.68</v>
          </cell>
          <cell r="E137">
            <v>12</v>
          </cell>
          <cell r="F137">
            <v>8711.2199999999903</v>
          </cell>
          <cell r="G137">
            <v>512.98</v>
          </cell>
          <cell r="H137">
            <v>186.259999999999</v>
          </cell>
          <cell r="I137">
            <v>985.55999999999904</v>
          </cell>
          <cell r="J137">
            <v>0</v>
          </cell>
          <cell r="K137">
            <v>1171.8199999999899</v>
          </cell>
          <cell r="L137">
            <v>10396.02</v>
          </cell>
          <cell r="M137">
            <v>1929.66</v>
          </cell>
          <cell r="N137">
            <v>0</v>
          </cell>
          <cell r="O137">
            <v>10396.02</v>
          </cell>
          <cell r="P137">
            <v>1929.66</v>
          </cell>
          <cell r="Q137">
            <v>41.35</v>
          </cell>
          <cell r="R137">
            <v>10437.370000000001</v>
          </cell>
          <cell r="S137">
            <v>1888.3099999999899</v>
          </cell>
        </row>
        <row r="138">
          <cell r="A138" t="str">
            <v>1000/1402       NPK 8-24-24</v>
          </cell>
          <cell r="B138" t="str">
            <v>1001649    CDN</v>
          </cell>
          <cell r="C138" t="str">
            <v>KC Centra dystrybucji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19105.8499999999</v>
          </cell>
          <cell r="J138">
            <v>0</v>
          </cell>
          <cell r="K138">
            <v>19105.8499999999</v>
          </cell>
          <cell r="L138">
            <v>19105.8499999999</v>
          </cell>
          <cell r="M138">
            <v>-19105.8499999999</v>
          </cell>
          <cell r="N138">
            <v>0</v>
          </cell>
          <cell r="O138">
            <v>19105.8499999999</v>
          </cell>
          <cell r="P138">
            <v>-19105.8499999999</v>
          </cell>
          <cell r="Q138">
            <v>0</v>
          </cell>
          <cell r="R138">
            <v>19105.8499999999</v>
          </cell>
          <cell r="S138">
            <v>-19105.8499999999</v>
          </cell>
        </row>
        <row r="139">
          <cell r="A139" t="str">
            <v>1000/1402       NPK 8-24-24</v>
          </cell>
          <cell r="B139" t="str">
            <v>1001662    AMPOL-MEROL Sp. z o.</v>
          </cell>
          <cell r="C139" t="str">
            <v>KB Sprzed. bezpośrednia</v>
          </cell>
          <cell r="D139">
            <v>120235.92</v>
          </cell>
          <cell r="E139">
            <v>120</v>
          </cell>
          <cell r="F139">
            <v>87112.199999999895</v>
          </cell>
          <cell r="G139">
            <v>5004.1099999999897</v>
          </cell>
          <cell r="H139">
            <v>1862.46</v>
          </cell>
          <cell r="I139">
            <v>5902.3199999999897</v>
          </cell>
          <cell r="J139">
            <v>0</v>
          </cell>
          <cell r="K139">
            <v>7764.7799999999897</v>
          </cell>
          <cell r="L139">
            <v>99881.089999999895</v>
          </cell>
          <cell r="M139">
            <v>20354.830000000002</v>
          </cell>
          <cell r="N139">
            <v>0</v>
          </cell>
          <cell r="O139">
            <v>99881.089999999895</v>
          </cell>
          <cell r="P139">
            <v>20354.830000000002</v>
          </cell>
          <cell r="Q139">
            <v>413.6</v>
          </cell>
          <cell r="R139">
            <v>100294.69</v>
          </cell>
          <cell r="S139">
            <v>19941.23</v>
          </cell>
        </row>
        <row r="140">
          <cell r="A140" t="str">
            <v>1000/1402       NPK 8-24-24</v>
          </cell>
          <cell r="B140" t="str">
            <v>1001662    AMPOL-MEROL Sp. z o.</v>
          </cell>
          <cell r="C140" t="str">
            <v>KC Centra dystrybucji</v>
          </cell>
          <cell r="D140">
            <v>66040.919999999896</v>
          </cell>
          <cell r="E140">
            <v>67</v>
          </cell>
          <cell r="F140">
            <v>54041.4</v>
          </cell>
          <cell r="G140">
            <v>2748.51</v>
          </cell>
          <cell r="H140">
            <v>1039.8800000000001</v>
          </cell>
          <cell r="I140">
            <v>0</v>
          </cell>
          <cell r="J140">
            <v>0</v>
          </cell>
          <cell r="K140">
            <v>1039.8800000000001</v>
          </cell>
          <cell r="L140">
            <v>57829.79</v>
          </cell>
          <cell r="M140">
            <v>8211.1299999999901</v>
          </cell>
          <cell r="N140">
            <v>0</v>
          </cell>
          <cell r="O140">
            <v>57829.79</v>
          </cell>
          <cell r="P140">
            <v>8211.1299999999901</v>
          </cell>
          <cell r="Q140">
            <v>256.56999999999903</v>
          </cell>
          <cell r="R140">
            <v>58086.36</v>
          </cell>
          <cell r="S140">
            <v>7954.56</v>
          </cell>
        </row>
        <row r="141">
          <cell r="A141" t="str">
            <v>1000/1402       NPK 8-24-24</v>
          </cell>
          <cell r="B141" t="str">
            <v>1001701    INTRAT-BRZ</v>
          </cell>
          <cell r="C141" t="str">
            <v>KB Sprzed. bezpośrednia</v>
          </cell>
          <cell r="D141">
            <v>24406.560000000001</v>
          </cell>
          <cell r="E141">
            <v>24</v>
          </cell>
          <cell r="F141">
            <v>17422.4399999999</v>
          </cell>
          <cell r="G141">
            <v>1015.75</v>
          </cell>
          <cell r="H141">
            <v>372.5</v>
          </cell>
          <cell r="I141">
            <v>1327.2</v>
          </cell>
          <cell r="J141">
            <v>0</v>
          </cell>
          <cell r="K141">
            <v>1699.7</v>
          </cell>
          <cell r="L141">
            <v>20137.889999999901</v>
          </cell>
          <cell r="M141">
            <v>4268.67</v>
          </cell>
          <cell r="N141">
            <v>0</v>
          </cell>
          <cell r="O141">
            <v>20137.889999999901</v>
          </cell>
          <cell r="P141">
            <v>4268.67</v>
          </cell>
          <cell r="Q141">
            <v>82.709999999999894</v>
          </cell>
          <cell r="R141">
            <v>20220.5999999999</v>
          </cell>
          <cell r="S141">
            <v>4185.96</v>
          </cell>
        </row>
        <row r="142">
          <cell r="A142" t="str">
            <v>1000/1402       NPK 8-24-24</v>
          </cell>
          <cell r="B142" t="str">
            <v>1001701    INTRAT-BRZ</v>
          </cell>
          <cell r="C142" t="str">
            <v>KC Centra dystrybucji</v>
          </cell>
          <cell r="D142">
            <v>10781.1</v>
          </cell>
          <cell r="E142">
            <v>11</v>
          </cell>
          <cell r="F142">
            <v>8881.69</v>
          </cell>
          <cell r="G142">
            <v>448.74</v>
          </cell>
          <cell r="H142">
            <v>170.72</v>
          </cell>
          <cell r="I142">
            <v>0</v>
          </cell>
          <cell r="J142">
            <v>0</v>
          </cell>
          <cell r="K142">
            <v>170.72</v>
          </cell>
          <cell r="L142">
            <v>9501.1499999999905</v>
          </cell>
          <cell r="M142">
            <v>1279.95</v>
          </cell>
          <cell r="N142">
            <v>0</v>
          </cell>
          <cell r="O142">
            <v>9501.1499999999905</v>
          </cell>
          <cell r="P142">
            <v>1279.95</v>
          </cell>
          <cell r="Q142">
            <v>42.159999999999897</v>
          </cell>
          <cell r="R142">
            <v>9543.3099999999904</v>
          </cell>
          <cell r="S142">
            <v>1237.79</v>
          </cell>
        </row>
        <row r="143">
          <cell r="A143" t="str">
            <v>1000/1402       NPK 8-24-24</v>
          </cell>
          <cell r="B143" t="str">
            <v>1001705    AGROSTART</v>
          </cell>
          <cell r="C143" t="str">
            <v>KB Sprzed. bezpośrednia</v>
          </cell>
          <cell r="D143">
            <v>48323.519999999902</v>
          </cell>
          <cell r="E143">
            <v>48</v>
          </cell>
          <cell r="F143">
            <v>34844.879999999903</v>
          </cell>
          <cell r="G143">
            <v>2011.2</v>
          </cell>
          <cell r="H143">
            <v>744.98</v>
          </cell>
          <cell r="I143">
            <v>3085.44</v>
          </cell>
          <cell r="J143">
            <v>0</v>
          </cell>
          <cell r="K143">
            <v>3830.42</v>
          </cell>
          <cell r="L143">
            <v>40686.5</v>
          </cell>
          <cell r="M143">
            <v>7637.02</v>
          </cell>
          <cell r="N143">
            <v>0</v>
          </cell>
          <cell r="O143">
            <v>40686.5</v>
          </cell>
          <cell r="P143">
            <v>7637.02</v>
          </cell>
          <cell r="Q143">
            <v>165.44</v>
          </cell>
          <cell r="R143">
            <v>40851.94</v>
          </cell>
          <cell r="S143">
            <v>7471.5799999999899</v>
          </cell>
        </row>
        <row r="144">
          <cell r="A144" t="str">
            <v>1000/1402       NPK 8-24-24</v>
          </cell>
          <cell r="B144" t="str">
            <v>1001871    ROLPOL</v>
          </cell>
          <cell r="C144" t="str">
            <v>KC Centra dystrybucji</v>
          </cell>
          <cell r="D144">
            <v>13860</v>
          </cell>
          <cell r="E144">
            <v>14</v>
          </cell>
          <cell r="F144">
            <v>11242.85</v>
          </cell>
          <cell r="G144">
            <v>576.85</v>
          </cell>
          <cell r="H144">
            <v>217.289999999999</v>
          </cell>
          <cell r="I144">
            <v>0</v>
          </cell>
          <cell r="J144">
            <v>0</v>
          </cell>
          <cell r="K144">
            <v>217.289999999999</v>
          </cell>
          <cell r="L144">
            <v>12036.99</v>
          </cell>
          <cell r="M144">
            <v>1823.01</v>
          </cell>
          <cell r="N144">
            <v>0</v>
          </cell>
          <cell r="O144">
            <v>12036.99</v>
          </cell>
          <cell r="P144">
            <v>1823.01</v>
          </cell>
          <cell r="Q144">
            <v>53.38</v>
          </cell>
          <cell r="R144">
            <v>12090.37</v>
          </cell>
          <cell r="S144">
            <v>1769.63</v>
          </cell>
        </row>
        <row r="145">
          <cell r="A145" t="str">
            <v>1000/1402       NPK 8-24-24</v>
          </cell>
          <cell r="B145" t="str">
            <v>1001983    FAZOT</v>
          </cell>
          <cell r="C145" t="str">
            <v>KB Sprzed. bezpośrednia</v>
          </cell>
          <cell r="D145">
            <v>107077.56</v>
          </cell>
          <cell r="E145">
            <v>108</v>
          </cell>
          <cell r="F145">
            <v>78400.979999999894</v>
          </cell>
          <cell r="G145">
            <v>4456.4499999999898</v>
          </cell>
          <cell r="H145">
            <v>1676.23</v>
          </cell>
          <cell r="I145">
            <v>4099.5600000000004</v>
          </cell>
          <cell r="J145">
            <v>0</v>
          </cell>
          <cell r="K145">
            <v>5775.79</v>
          </cell>
          <cell r="L145">
            <v>88633.22</v>
          </cell>
          <cell r="M145">
            <v>18444.34</v>
          </cell>
          <cell r="N145">
            <v>0</v>
          </cell>
          <cell r="O145">
            <v>88633.22</v>
          </cell>
          <cell r="P145">
            <v>18444.34</v>
          </cell>
          <cell r="Q145">
            <v>372.23</v>
          </cell>
          <cell r="R145">
            <v>89005.449999999895</v>
          </cell>
          <cell r="S145">
            <v>18072.11</v>
          </cell>
        </row>
        <row r="146">
          <cell r="A146" t="str">
            <v>1000/1402       NPK 8-24-24</v>
          </cell>
          <cell r="B146" t="str">
            <v>1001988    ROLNIK-KOŚCIAN</v>
          </cell>
          <cell r="C146" t="str">
            <v>KB Sprzed. bezpośrednia</v>
          </cell>
          <cell r="D146">
            <v>470324.9</v>
          </cell>
          <cell r="E146">
            <v>453</v>
          </cell>
          <cell r="F146">
            <v>342071.75</v>
          </cell>
          <cell r="G146">
            <v>19574.4399999999</v>
          </cell>
          <cell r="H146">
            <v>7030.8199999999897</v>
          </cell>
          <cell r="I146">
            <v>9226.1599999999908</v>
          </cell>
          <cell r="J146">
            <v>0</v>
          </cell>
          <cell r="K146">
            <v>16256.98</v>
          </cell>
          <cell r="L146">
            <v>377903.16999999899</v>
          </cell>
          <cell r="M146">
            <v>92421.729999999894</v>
          </cell>
          <cell r="N146">
            <v>0</v>
          </cell>
          <cell r="O146">
            <v>377903.16999999899</v>
          </cell>
          <cell r="P146">
            <v>92421.729999999894</v>
          </cell>
          <cell r="Q146">
            <v>1624.1199999999899</v>
          </cell>
          <cell r="R146">
            <v>379527.28999999899</v>
          </cell>
          <cell r="S146">
            <v>90797.61</v>
          </cell>
        </row>
        <row r="147">
          <cell r="A147" t="str">
            <v>1000/1402       NPK 8-24-24</v>
          </cell>
          <cell r="B147" t="str">
            <v>1001991    WAMEX</v>
          </cell>
          <cell r="C147" t="str">
            <v>KB Sprzed. bezpośrednia</v>
          </cell>
          <cell r="D147">
            <v>109658.16</v>
          </cell>
          <cell r="E147">
            <v>108</v>
          </cell>
          <cell r="F147">
            <v>78400.979999999894</v>
          </cell>
          <cell r="G147">
            <v>4563.8699999999899</v>
          </cell>
          <cell r="H147">
            <v>1676.23</v>
          </cell>
          <cell r="I147">
            <v>8003.2799999999897</v>
          </cell>
          <cell r="J147">
            <v>0</v>
          </cell>
          <cell r="K147">
            <v>9679.51</v>
          </cell>
          <cell r="L147">
            <v>92644.36</v>
          </cell>
          <cell r="M147">
            <v>17013.799999999901</v>
          </cell>
          <cell r="N147">
            <v>0</v>
          </cell>
          <cell r="O147">
            <v>92644.36</v>
          </cell>
          <cell r="P147">
            <v>17013.799999999901</v>
          </cell>
          <cell r="Q147">
            <v>372.23</v>
          </cell>
          <cell r="R147">
            <v>93016.589999999895</v>
          </cell>
          <cell r="S147">
            <v>16641.57</v>
          </cell>
        </row>
        <row r="148">
          <cell r="A148" t="str">
            <v>1000/1402       NPK 8-24-24</v>
          </cell>
          <cell r="B148" t="str">
            <v>1001994    SKR-STRZELCE</v>
          </cell>
          <cell r="C148" t="str">
            <v>KB Sprzed. bezpośrednia</v>
          </cell>
          <cell r="D148">
            <v>24235.200000000001</v>
          </cell>
          <cell r="E148">
            <v>24</v>
          </cell>
          <cell r="F148">
            <v>17422.4399999999</v>
          </cell>
          <cell r="G148">
            <v>1008.63</v>
          </cell>
          <cell r="H148">
            <v>372.5</v>
          </cell>
          <cell r="I148">
            <v>2076.2399999999898</v>
          </cell>
          <cell r="J148">
            <v>0</v>
          </cell>
          <cell r="K148">
            <v>2448.7399999999898</v>
          </cell>
          <cell r="L148">
            <v>20879.810000000001</v>
          </cell>
          <cell r="M148">
            <v>3355.3899999999899</v>
          </cell>
          <cell r="N148">
            <v>0</v>
          </cell>
          <cell r="O148">
            <v>20879.810000000001</v>
          </cell>
          <cell r="P148">
            <v>3355.3899999999899</v>
          </cell>
          <cell r="Q148">
            <v>82.709999999999894</v>
          </cell>
          <cell r="R148">
            <v>20962.52</v>
          </cell>
          <cell r="S148">
            <v>3272.6799999999898</v>
          </cell>
        </row>
        <row r="149">
          <cell r="A149" t="str">
            <v>1000/1402       NPK 8-24-24</v>
          </cell>
          <cell r="B149" t="str">
            <v>1002004    AZOT</v>
          </cell>
          <cell r="C149" t="str">
            <v>KB Sprzed. bezpośrednia</v>
          </cell>
          <cell r="D149">
            <v>12117.6</v>
          </cell>
          <cell r="E149">
            <v>12</v>
          </cell>
          <cell r="F149">
            <v>8711.2199999999903</v>
          </cell>
          <cell r="G149">
            <v>504.31999999999903</v>
          </cell>
          <cell r="H149">
            <v>186.259999999999</v>
          </cell>
          <cell r="I149">
            <v>689.88</v>
          </cell>
          <cell r="J149">
            <v>0</v>
          </cell>
          <cell r="K149">
            <v>876.13999999999896</v>
          </cell>
          <cell r="L149">
            <v>10091.68</v>
          </cell>
          <cell r="M149">
            <v>2025.92</v>
          </cell>
          <cell r="N149">
            <v>0</v>
          </cell>
          <cell r="O149">
            <v>10091.68</v>
          </cell>
          <cell r="P149">
            <v>2025.92</v>
          </cell>
          <cell r="Q149">
            <v>41.35</v>
          </cell>
          <cell r="R149">
            <v>10133.030000000001</v>
          </cell>
          <cell r="S149">
            <v>1984.5699999999899</v>
          </cell>
        </row>
        <row r="150">
          <cell r="A150" t="str">
            <v>1000/1402       NPK 8-24-24</v>
          </cell>
          <cell r="B150" t="str">
            <v>1002004    AZOT</v>
          </cell>
          <cell r="C150" t="str">
            <v>KC Centra dystrybucji</v>
          </cell>
          <cell r="D150">
            <v>35259.839999999902</v>
          </cell>
          <cell r="E150">
            <v>36</v>
          </cell>
          <cell r="F150">
            <v>28911.88</v>
          </cell>
          <cell r="G150">
            <v>1467.46</v>
          </cell>
          <cell r="H150">
            <v>558.75</v>
          </cell>
          <cell r="I150">
            <v>0</v>
          </cell>
          <cell r="J150">
            <v>0</v>
          </cell>
          <cell r="K150">
            <v>558.75</v>
          </cell>
          <cell r="L150">
            <v>30938.09</v>
          </cell>
          <cell r="M150">
            <v>4321.75</v>
          </cell>
          <cell r="N150">
            <v>0</v>
          </cell>
          <cell r="O150">
            <v>30938.09</v>
          </cell>
          <cell r="P150">
            <v>4321.75</v>
          </cell>
          <cell r="Q150">
            <v>137.259999999999</v>
          </cell>
          <cell r="R150">
            <v>31075.3499999999</v>
          </cell>
          <cell r="S150">
            <v>4184.4899999999898</v>
          </cell>
        </row>
        <row r="151">
          <cell r="A151" t="str">
            <v>1000/1402       NPK 8-24-24</v>
          </cell>
          <cell r="B151" t="str">
            <v>1002005    LAMCH-TOMI</v>
          </cell>
          <cell r="C151" t="str">
            <v>KB Sprzed. bezpośrednia</v>
          </cell>
          <cell r="D151">
            <v>8160</v>
          </cell>
          <cell r="E151">
            <v>8</v>
          </cell>
          <cell r="F151">
            <v>5807.4799999999896</v>
          </cell>
          <cell r="G151">
            <v>339.57999999999902</v>
          </cell>
          <cell r="H151">
            <v>124.17</v>
          </cell>
          <cell r="I151">
            <v>459.92</v>
          </cell>
          <cell r="J151">
            <v>0</v>
          </cell>
          <cell r="K151">
            <v>584.09</v>
          </cell>
          <cell r="L151">
            <v>6731.1499999999896</v>
          </cell>
          <cell r="M151">
            <v>1428.8499999999899</v>
          </cell>
          <cell r="N151">
            <v>0</v>
          </cell>
          <cell r="O151">
            <v>6731.1499999999896</v>
          </cell>
          <cell r="P151">
            <v>1428.8499999999899</v>
          </cell>
          <cell r="Q151">
            <v>27.579999999999899</v>
          </cell>
          <cell r="R151">
            <v>6758.7299999999896</v>
          </cell>
          <cell r="S151">
            <v>1401.27</v>
          </cell>
        </row>
        <row r="152">
          <cell r="A152" t="str">
            <v>1000/1402       NPK 8-24-24</v>
          </cell>
          <cell r="B152" t="str">
            <v>1002009    AGROTECHNI</v>
          </cell>
          <cell r="C152" t="str">
            <v>KB Sprzed. bezpośrednia</v>
          </cell>
          <cell r="D152">
            <v>74128.25</v>
          </cell>
          <cell r="E152">
            <v>75</v>
          </cell>
          <cell r="F152">
            <v>54445.139999999898</v>
          </cell>
          <cell r="G152">
            <v>3085.1399999999899</v>
          </cell>
          <cell r="H152">
            <v>1164.03</v>
          </cell>
          <cell r="I152">
            <v>4014.28</v>
          </cell>
          <cell r="J152">
            <v>0</v>
          </cell>
          <cell r="K152">
            <v>5178.3100000000004</v>
          </cell>
          <cell r="L152">
            <v>62708.589999999902</v>
          </cell>
          <cell r="M152">
            <v>11419.66</v>
          </cell>
          <cell r="N152">
            <v>0</v>
          </cell>
          <cell r="O152">
            <v>62708.589999999902</v>
          </cell>
          <cell r="P152">
            <v>11419.66</v>
          </cell>
          <cell r="Q152">
            <v>258.49</v>
          </cell>
          <cell r="R152">
            <v>62967.08</v>
          </cell>
          <cell r="S152">
            <v>11161.17</v>
          </cell>
        </row>
        <row r="153">
          <cell r="A153" t="str">
            <v>1000/1402       NPK 8-24-24</v>
          </cell>
          <cell r="B153" t="str">
            <v>1002047    Chempest</v>
          </cell>
          <cell r="C153" t="str">
            <v>KB Sprzed. bezpośrednia</v>
          </cell>
          <cell r="D153">
            <v>24577.9199999999</v>
          </cell>
          <cell r="E153">
            <v>24</v>
          </cell>
          <cell r="F153">
            <v>17422.4399999999</v>
          </cell>
          <cell r="G153">
            <v>1022.98</v>
          </cell>
          <cell r="H153">
            <v>372.5</v>
          </cell>
          <cell r="I153">
            <v>1379.76</v>
          </cell>
          <cell r="J153">
            <v>0</v>
          </cell>
          <cell r="K153">
            <v>1752.26</v>
          </cell>
          <cell r="L153">
            <v>20197.68</v>
          </cell>
          <cell r="M153">
            <v>4380.2399999999898</v>
          </cell>
          <cell r="N153">
            <v>0</v>
          </cell>
          <cell r="O153">
            <v>20197.68</v>
          </cell>
          <cell r="P153">
            <v>4380.2399999999898</v>
          </cell>
          <cell r="Q153">
            <v>82.709999999999894</v>
          </cell>
          <cell r="R153">
            <v>20280.389999999901</v>
          </cell>
          <cell r="S153">
            <v>4297.5299999999897</v>
          </cell>
        </row>
        <row r="154">
          <cell r="A154" t="str">
            <v>1000/1402       NPK 8-24-24</v>
          </cell>
          <cell r="B154" t="str">
            <v>1002050    "SYLWEK"</v>
          </cell>
          <cell r="C154" t="str">
            <v>KB Sprzed. bezpośrednia</v>
          </cell>
          <cell r="D154">
            <v>24925</v>
          </cell>
          <cell r="E154">
            <v>25</v>
          </cell>
          <cell r="F154">
            <v>18148.38</v>
          </cell>
          <cell r="G154">
            <v>1037.3499999999899</v>
          </cell>
          <cell r="H154">
            <v>388.00999999999902</v>
          </cell>
          <cell r="I154">
            <v>2201.9899999999898</v>
          </cell>
          <cell r="J154">
            <v>0</v>
          </cell>
          <cell r="K154">
            <v>2590</v>
          </cell>
          <cell r="L154">
            <v>21775.73</v>
          </cell>
          <cell r="M154">
            <v>3149.27</v>
          </cell>
          <cell r="N154">
            <v>0</v>
          </cell>
          <cell r="O154">
            <v>21775.73</v>
          </cell>
          <cell r="P154">
            <v>3149.27</v>
          </cell>
          <cell r="Q154">
            <v>86.15</v>
          </cell>
          <cell r="R154">
            <v>21861.88</v>
          </cell>
          <cell r="S154">
            <v>3063.1199999999899</v>
          </cell>
        </row>
        <row r="155">
          <cell r="A155" t="str">
            <v>1000/1402       NPK 8-24-24</v>
          </cell>
          <cell r="B155" t="str">
            <v>1002407    ROLBUD</v>
          </cell>
          <cell r="C155" t="str">
            <v>KB Sprzed. bezpośrednia</v>
          </cell>
          <cell r="D155">
            <v>46402.32</v>
          </cell>
          <cell r="E155">
            <v>48</v>
          </cell>
          <cell r="F155">
            <v>34844.879999999903</v>
          </cell>
          <cell r="G155">
            <v>1931.26</v>
          </cell>
          <cell r="H155">
            <v>744.98</v>
          </cell>
          <cell r="I155">
            <v>0</v>
          </cell>
          <cell r="J155">
            <v>0</v>
          </cell>
          <cell r="K155">
            <v>744.98</v>
          </cell>
          <cell r="L155">
            <v>37521.120000000003</v>
          </cell>
          <cell r="M155">
            <v>8881.2000000000007</v>
          </cell>
          <cell r="N155">
            <v>0</v>
          </cell>
          <cell r="O155">
            <v>37521.120000000003</v>
          </cell>
          <cell r="P155">
            <v>8881.2000000000007</v>
          </cell>
          <cell r="Q155">
            <v>165.44</v>
          </cell>
          <cell r="R155">
            <v>37686.559999999903</v>
          </cell>
          <cell r="S155">
            <v>8715.76</v>
          </cell>
        </row>
        <row r="156">
          <cell r="A156" t="str">
            <v>1000/1402       NPK 8-24-24</v>
          </cell>
          <cell r="B156" t="str">
            <v>1002657    "AGROFIRMA"-TOMASZ W</v>
          </cell>
          <cell r="C156" t="str">
            <v>KB Sprzed. bezpośrednia</v>
          </cell>
          <cell r="D156">
            <v>13609.12</v>
          </cell>
          <cell r="E156">
            <v>14</v>
          </cell>
          <cell r="F156">
            <v>10163.09</v>
          </cell>
          <cell r="G156">
            <v>566.38999999999896</v>
          </cell>
          <cell r="H156">
            <v>217.289999999999</v>
          </cell>
          <cell r="I156">
            <v>0</v>
          </cell>
          <cell r="J156">
            <v>0</v>
          </cell>
          <cell r="K156">
            <v>217.289999999999</v>
          </cell>
          <cell r="L156">
            <v>10946.77</v>
          </cell>
          <cell r="M156">
            <v>2662.3499999999899</v>
          </cell>
          <cell r="N156">
            <v>0</v>
          </cell>
          <cell r="O156">
            <v>10946.77</v>
          </cell>
          <cell r="P156">
            <v>2662.3499999999899</v>
          </cell>
          <cell r="Q156">
            <v>48.24</v>
          </cell>
          <cell r="R156">
            <v>10995.01</v>
          </cell>
          <cell r="S156">
            <v>2614.11</v>
          </cell>
        </row>
        <row r="157">
          <cell r="A157" t="str">
            <v>1000/1402       NPK 8-24-24</v>
          </cell>
          <cell r="B157" t="str">
            <v>1002790    AGRO-SKŁAD SZYMON NO</v>
          </cell>
          <cell r="C157" t="str">
            <v>KB Sprzed. bezpośrednia</v>
          </cell>
          <cell r="D157">
            <v>34716.839999999902</v>
          </cell>
          <cell r="E157">
            <v>36</v>
          </cell>
          <cell r="F157">
            <v>26133.66</v>
          </cell>
          <cell r="G157">
            <v>1444.91</v>
          </cell>
          <cell r="H157">
            <v>558.75</v>
          </cell>
          <cell r="I157">
            <v>0</v>
          </cell>
          <cell r="J157">
            <v>0</v>
          </cell>
          <cell r="K157">
            <v>558.75</v>
          </cell>
          <cell r="L157">
            <v>28137.32</v>
          </cell>
          <cell r="M157">
            <v>6579.52</v>
          </cell>
          <cell r="N157">
            <v>0</v>
          </cell>
          <cell r="O157">
            <v>28137.32</v>
          </cell>
          <cell r="P157">
            <v>6579.52</v>
          </cell>
          <cell r="Q157">
            <v>124.069999999999</v>
          </cell>
          <cell r="R157">
            <v>28261.389999999901</v>
          </cell>
          <cell r="S157">
            <v>6455.4499999999898</v>
          </cell>
        </row>
        <row r="158">
          <cell r="A158" t="str">
            <v>1000/1402       NPK 8-24-24</v>
          </cell>
          <cell r="B158" t="str">
            <v>1003056    LECHPOL SP. Z O.O.</v>
          </cell>
          <cell r="C158" t="str">
            <v>KB Sprzed. bezpośrednia</v>
          </cell>
          <cell r="D158">
            <v>96210</v>
          </cell>
          <cell r="E158">
            <v>96</v>
          </cell>
          <cell r="F158">
            <v>72887.339999999895</v>
          </cell>
          <cell r="G158">
            <v>4004.17</v>
          </cell>
          <cell r="H158">
            <v>1489.98</v>
          </cell>
          <cell r="I158">
            <v>2950.8</v>
          </cell>
          <cell r="J158">
            <v>0</v>
          </cell>
          <cell r="K158">
            <v>4440.7799999999897</v>
          </cell>
          <cell r="L158">
            <v>81332.289999999906</v>
          </cell>
          <cell r="M158">
            <v>14877.709999999901</v>
          </cell>
          <cell r="N158">
            <v>0</v>
          </cell>
          <cell r="O158">
            <v>81332.289999999906</v>
          </cell>
          <cell r="P158">
            <v>14877.709999999901</v>
          </cell>
          <cell r="Q158">
            <v>346.06</v>
          </cell>
          <cell r="R158">
            <v>81678.350000000006</v>
          </cell>
          <cell r="S158">
            <v>14531.65</v>
          </cell>
        </row>
        <row r="159">
          <cell r="A159" t="str">
            <v>1000/1402       NPK 8-24-24</v>
          </cell>
          <cell r="B159" t="str">
            <v>1003315    ZAKŁAD OBROTU ROLNEG</v>
          </cell>
          <cell r="C159" t="str">
            <v>KB Sprzed. bezpośrednia</v>
          </cell>
          <cell r="D159">
            <v>49500</v>
          </cell>
          <cell r="E159">
            <v>50</v>
          </cell>
          <cell r="F159">
            <v>36296.76</v>
          </cell>
          <cell r="G159">
            <v>2060.1399999999899</v>
          </cell>
          <cell r="H159">
            <v>776.02999999999895</v>
          </cell>
          <cell r="I159">
            <v>3669.5999999999899</v>
          </cell>
          <cell r="J159">
            <v>0</v>
          </cell>
          <cell r="K159">
            <v>4445.63</v>
          </cell>
          <cell r="L159">
            <v>42802.529999999897</v>
          </cell>
          <cell r="M159">
            <v>6697.47</v>
          </cell>
          <cell r="N159">
            <v>0</v>
          </cell>
          <cell r="O159">
            <v>42802.529999999897</v>
          </cell>
          <cell r="P159">
            <v>6697.47</v>
          </cell>
          <cell r="Q159">
            <v>172.33</v>
          </cell>
          <cell r="R159">
            <v>42974.86</v>
          </cell>
          <cell r="S159">
            <v>6525.14</v>
          </cell>
        </row>
        <row r="160">
          <cell r="A160" t="str">
            <v>1000/1402       NPK 8-24-24</v>
          </cell>
          <cell r="B160" t="str">
            <v>1003315    ZAKŁAD OBROTU ROLNEG</v>
          </cell>
          <cell r="C160" t="str">
            <v>KC Centra dystrybucji</v>
          </cell>
          <cell r="D160">
            <v>31392.9</v>
          </cell>
          <cell r="E160">
            <v>32</v>
          </cell>
          <cell r="F160">
            <v>23229.9199999999</v>
          </cell>
          <cell r="G160">
            <v>1306.54</v>
          </cell>
          <cell r="H160">
            <v>496.64999999999901</v>
          </cell>
          <cell r="I160">
            <v>0</v>
          </cell>
          <cell r="J160">
            <v>0</v>
          </cell>
          <cell r="K160">
            <v>496.64999999999901</v>
          </cell>
          <cell r="L160">
            <v>25033.11</v>
          </cell>
          <cell r="M160">
            <v>6359.79</v>
          </cell>
          <cell r="N160">
            <v>0</v>
          </cell>
          <cell r="O160">
            <v>25033.11</v>
          </cell>
          <cell r="P160">
            <v>6359.79</v>
          </cell>
          <cell r="Q160">
            <v>110.31</v>
          </cell>
          <cell r="R160">
            <v>25143.4199999999</v>
          </cell>
          <cell r="S160">
            <v>6249.4799999999896</v>
          </cell>
        </row>
        <row r="161">
          <cell r="A161" t="str">
            <v>1000/1402       NPK 8-24-24</v>
          </cell>
          <cell r="B161" t="str">
            <v>1003365    "EUROL"</v>
          </cell>
          <cell r="C161" t="str">
            <v>KB Sprzed. bezpośrednia</v>
          </cell>
          <cell r="D161">
            <v>38320.83</v>
          </cell>
          <cell r="E161">
            <v>39</v>
          </cell>
          <cell r="F161">
            <v>28311.47</v>
          </cell>
          <cell r="G161">
            <v>1594.88</v>
          </cell>
          <cell r="H161">
            <v>605.29999999999905</v>
          </cell>
          <cell r="I161">
            <v>926.39999999999895</v>
          </cell>
          <cell r="J161">
            <v>0</v>
          </cell>
          <cell r="K161">
            <v>1531.7</v>
          </cell>
          <cell r="L161">
            <v>31438.049999999901</v>
          </cell>
          <cell r="M161">
            <v>6882.7799999999897</v>
          </cell>
          <cell r="N161">
            <v>0</v>
          </cell>
          <cell r="O161">
            <v>31438.049999999901</v>
          </cell>
          <cell r="P161">
            <v>6882.7799999999897</v>
          </cell>
          <cell r="Q161">
            <v>134.41999999999899</v>
          </cell>
          <cell r="R161">
            <v>31572.47</v>
          </cell>
          <cell r="S161">
            <v>6748.3599999999897</v>
          </cell>
        </row>
        <row r="162">
          <cell r="A162" t="str">
            <v>1000/1402       NPK 8-24-24</v>
          </cell>
          <cell r="B162" t="str">
            <v>1003605    "AGROMUND"</v>
          </cell>
          <cell r="C162" t="str">
            <v>KC Centra dystrybucji</v>
          </cell>
          <cell r="D162">
            <v>24750</v>
          </cell>
          <cell r="E162">
            <v>25</v>
          </cell>
          <cell r="F162">
            <v>20077.7</v>
          </cell>
          <cell r="G162">
            <v>1030.1300000000001</v>
          </cell>
          <cell r="H162">
            <v>388.00999999999902</v>
          </cell>
          <cell r="I162">
            <v>0</v>
          </cell>
          <cell r="J162">
            <v>0</v>
          </cell>
          <cell r="K162">
            <v>388.00999999999902</v>
          </cell>
          <cell r="L162">
            <v>21495.84</v>
          </cell>
          <cell r="M162">
            <v>3254.1599999999899</v>
          </cell>
          <cell r="N162">
            <v>0</v>
          </cell>
          <cell r="O162">
            <v>21495.84</v>
          </cell>
          <cell r="P162">
            <v>3254.1599999999899</v>
          </cell>
          <cell r="Q162">
            <v>95.329999999999899</v>
          </cell>
          <cell r="R162">
            <v>21591.1699999999</v>
          </cell>
          <cell r="S162">
            <v>3158.8299999999899</v>
          </cell>
        </row>
        <row r="163">
          <cell r="A163" t="str">
            <v>1000/1402       NPK 8-24-24</v>
          </cell>
          <cell r="B163" t="str">
            <v>1003857    EDMAR</v>
          </cell>
          <cell r="C163" t="str">
            <v>KB Sprzed. bezpośrednia</v>
          </cell>
          <cell r="D163">
            <v>339142.56</v>
          </cell>
          <cell r="E163">
            <v>336</v>
          </cell>
          <cell r="F163">
            <v>243914.179999999</v>
          </cell>
          <cell r="G163">
            <v>14114.77</v>
          </cell>
          <cell r="H163">
            <v>5214.8900000000003</v>
          </cell>
          <cell r="I163">
            <v>23206.2</v>
          </cell>
          <cell r="J163">
            <v>0</v>
          </cell>
          <cell r="K163">
            <v>28421.09</v>
          </cell>
          <cell r="L163">
            <v>286450.03999999899</v>
          </cell>
          <cell r="M163">
            <v>52692.519999999902</v>
          </cell>
          <cell r="N163">
            <v>0</v>
          </cell>
          <cell r="O163">
            <v>286450.03999999899</v>
          </cell>
          <cell r="P163">
            <v>52692.519999999902</v>
          </cell>
          <cell r="Q163">
            <v>1158.0799999999899</v>
          </cell>
          <cell r="R163">
            <v>287608.12</v>
          </cell>
          <cell r="S163">
            <v>51534.44</v>
          </cell>
        </row>
        <row r="164">
          <cell r="A164" t="str">
            <v>1000/1402       NPK 8-24-24</v>
          </cell>
          <cell r="B164" t="str">
            <v>1003857    EDMAR</v>
          </cell>
          <cell r="C164" t="str">
            <v>KC Centra dystrybucji</v>
          </cell>
          <cell r="D164">
            <v>48364.47</v>
          </cell>
          <cell r="E164">
            <v>49</v>
          </cell>
          <cell r="F164">
            <v>39352.29</v>
          </cell>
          <cell r="G164">
            <v>2012.8499999999899</v>
          </cell>
          <cell r="H164">
            <v>760.5</v>
          </cell>
          <cell r="I164">
            <v>0</v>
          </cell>
          <cell r="J164">
            <v>0</v>
          </cell>
          <cell r="K164">
            <v>760.5</v>
          </cell>
          <cell r="L164">
            <v>42125.639999999898</v>
          </cell>
          <cell r="M164">
            <v>6238.8299999999899</v>
          </cell>
          <cell r="N164">
            <v>0</v>
          </cell>
          <cell r="O164">
            <v>42125.639999999898</v>
          </cell>
          <cell r="P164">
            <v>6238.8299999999899</v>
          </cell>
          <cell r="Q164">
            <v>186.83</v>
          </cell>
          <cell r="R164">
            <v>42312.47</v>
          </cell>
          <cell r="S164">
            <v>6052</v>
          </cell>
        </row>
        <row r="165">
          <cell r="A165" t="str">
            <v>1000/1402       NPK 8-24-24</v>
          </cell>
          <cell r="B165" t="str">
            <v>1003904    "AGROCHEMIK"</v>
          </cell>
          <cell r="C165" t="str">
            <v>KC Centra dystrybucji</v>
          </cell>
          <cell r="D165">
            <v>34303.5</v>
          </cell>
          <cell r="E165">
            <v>35</v>
          </cell>
          <cell r="F165">
            <v>25407.73</v>
          </cell>
          <cell r="G165">
            <v>1427.71</v>
          </cell>
          <cell r="H165">
            <v>543.21</v>
          </cell>
          <cell r="I165">
            <v>0</v>
          </cell>
          <cell r="J165">
            <v>0</v>
          </cell>
          <cell r="K165">
            <v>543.21</v>
          </cell>
          <cell r="L165">
            <v>27378.65</v>
          </cell>
          <cell r="M165">
            <v>6924.85</v>
          </cell>
          <cell r="N165">
            <v>0</v>
          </cell>
          <cell r="O165">
            <v>27378.65</v>
          </cell>
          <cell r="P165">
            <v>6924.85</v>
          </cell>
          <cell r="Q165">
            <v>120.63</v>
          </cell>
          <cell r="R165">
            <v>27499.279999999901</v>
          </cell>
          <cell r="S165">
            <v>6804.22</v>
          </cell>
        </row>
        <row r="166">
          <cell r="A166" t="str">
            <v>1000/1402       NPK 8-24-24</v>
          </cell>
          <cell r="B166" t="str">
            <v>1003907    "MAJA"</v>
          </cell>
          <cell r="C166" t="str">
            <v>KB Sprzed. bezpośrednia</v>
          </cell>
          <cell r="D166">
            <v>48161.760000000002</v>
          </cell>
          <cell r="E166">
            <v>48</v>
          </cell>
          <cell r="F166">
            <v>34844.879999999903</v>
          </cell>
          <cell r="G166">
            <v>2004.46</v>
          </cell>
          <cell r="H166">
            <v>744.98</v>
          </cell>
          <cell r="I166">
            <v>1902.48</v>
          </cell>
          <cell r="J166">
            <v>0</v>
          </cell>
          <cell r="K166">
            <v>2647.46</v>
          </cell>
          <cell r="L166">
            <v>39496.800000000003</v>
          </cell>
          <cell r="M166">
            <v>8664.95999999999</v>
          </cell>
          <cell r="N166">
            <v>0</v>
          </cell>
          <cell r="O166">
            <v>39496.800000000003</v>
          </cell>
          <cell r="P166">
            <v>8664.95999999999</v>
          </cell>
          <cell r="Q166">
            <v>165.44</v>
          </cell>
          <cell r="R166">
            <v>39662.239999999903</v>
          </cell>
          <cell r="S166">
            <v>8499.52</v>
          </cell>
        </row>
        <row r="167">
          <cell r="A167" t="str">
            <v>1000/1402       NPK 8-24-24</v>
          </cell>
          <cell r="B167" t="str">
            <v>1003981    GRUPA POLSKIE SKŁADY</v>
          </cell>
          <cell r="C167" t="str">
            <v>KB Sprzed. bezpośrednia</v>
          </cell>
          <cell r="D167">
            <v>75298.320000000007</v>
          </cell>
          <cell r="E167">
            <v>78</v>
          </cell>
          <cell r="F167">
            <v>56965.099999999897</v>
          </cell>
          <cell r="G167">
            <v>3133.92</v>
          </cell>
          <cell r="H167">
            <v>1210.5999999999899</v>
          </cell>
          <cell r="I167">
            <v>0</v>
          </cell>
          <cell r="J167">
            <v>0</v>
          </cell>
          <cell r="K167">
            <v>1210.5999999999899</v>
          </cell>
          <cell r="L167">
            <v>61309.62</v>
          </cell>
          <cell r="M167">
            <v>13988.7</v>
          </cell>
          <cell r="N167">
            <v>0</v>
          </cell>
          <cell r="O167">
            <v>61309.62</v>
          </cell>
          <cell r="P167">
            <v>13988.7</v>
          </cell>
          <cell r="Q167">
            <v>270.47000000000003</v>
          </cell>
          <cell r="R167">
            <v>61580.089999999902</v>
          </cell>
          <cell r="S167">
            <v>13718.23</v>
          </cell>
        </row>
        <row r="168">
          <cell r="A168" t="str">
            <v>1000/1402       NPK 8-24-24</v>
          </cell>
          <cell r="B168" t="str">
            <v>1003988    BLENDING Sp.z o.o.</v>
          </cell>
          <cell r="C168" t="str">
            <v>KB Sprzed. bezpośrednia</v>
          </cell>
          <cell r="D168">
            <v>47736.480000000003</v>
          </cell>
          <cell r="E168">
            <v>48</v>
          </cell>
          <cell r="F168">
            <v>34844.879999999903</v>
          </cell>
          <cell r="G168">
            <v>1986.74</v>
          </cell>
          <cell r="H168">
            <v>744.98</v>
          </cell>
          <cell r="I168">
            <v>1542.72</v>
          </cell>
          <cell r="J168">
            <v>0</v>
          </cell>
          <cell r="K168">
            <v>2287.6999999999898</v>
          </cell>
          <cell r="L168">
            <v>39119.32</v>
          </cell>
          <cell r="M168">
            <v>8617.1599999999908</v>
          </cell>
          <cell r="N168">
            <v>0</v>
          </cell>
          <cell r="O168">
            <v>39119.32</v>
          </cell>
          <cell r="P168">
            <v>8617.1599999999908</v>
          </cell>
          <cell r="Q168">
            <v>165.44</v>
          </cell>
          <cell r="R168">
            <v>39284.76</v>
          </cell>
          <cell r="S168">
            <v>8451.7199999999903</v>
          </cell>
        </row>
        <row r="169">
          <cell r="A169" t="str">
            <v>1000/1402       NPK 8-24-24</v>
          </cell>
          <cell r="B169" t="str">
            <v>1004534    FIRMA HANDLOWA "ROLB</v>
          </cell>
          <cell r="C169" t="str">
            <v>KB Sprzed. bezpośrednia</v>
          </cell>
          <cell r="D169">
            <v>24333.119999999901</v>
          </cell>
          <cell r="E169">
            <v>24</v>
          </cell>
          <cell r="F169">
            <v>17422.4399999999</v>
          </cell>
          <cell r="G169">
            <v>1012.72</v>
          </cell>
          <cell r="H169">
            <v>372.5</v>
          </cell>
          <cell r="I169">
            <v>1542.72</v>
          </cell>
          <cell r="J169">
            <v>0</v>
          </cell>
          <cell r="K169">
            <v>1915.22</v>
          </cell>
          <cell r="L169">
            <v>20350.38</v>
          </cell>
          <cell r="M169">
            <v>3982.7399999999898</v>
          </cell>
          <cell r="N169">
            <v>0</v>
          </cell>
          <cell r="O169">
            <v>20350.38</v>
          </cell>
          <cell r="P169">
            <v>3982.7399999999898</v>
          </cell>
          <cell r="Q169">
            <v>82.709999999999894</v>
          </cell>
          <cell r="R169">
            <v>20433.09</v>
          </cell>
          <cell r="S169">
            <v>3900.03</v>
          </cell>
        </row>
        <row r="170">
          <cell r="A170" t="str">
            <v>1000/1402       NPK 8-24-24</v>
          </cell>
          <cell r="B170" t="str">
            <v>1004709    PRZEDSIĘBIORSTWO PRO</v>
          </cell>
          <cell r="C170" t="str">
            <v>KB Sprzed. bezpośrednia</v>
          </cell>
          <cell r="D170">
            <v>24675</v>
          </cell>
          <cell r="E170">
            <v>25</v>
          </cell>
          <cell r="F170">
            <v>18148.38</v>
          </cell>
          <cell r="G170">
            <v>1026.96</v>
          </cell>
          <cell r="H170">
            <v>388.00999999999902</v>
          </cell>
          <cell r="I170">
            <v>924.40999999999894</v>
          </cell>
          <cell r="J170">
            <v>0</v>
          </cell>
          <cell r="K170">
            <v>1312.42</v>
          </cell>
          <cell r="L170">
            <v>20487.7599999999</v>
          </cell>
          <cell r="M170">
            <v>4187.2399999999898</v>
          </cell>
          <cell r="N170">
            <v>0</v>
          </cell>
          <cell r="O170">
            <v>20487.7599999999</v>
          </cell>
          <cell r="P170">
            <v>4187.2399999999898</v>
          </cell>
          <cell r="Q170">
            <v>86.15</v>
          </cell>
          <cell r="R170">
            <v>20573.91</v>
          </cell>
          <cell r="S170">
            <v>4101.09</v>
          </cell>
        </row>
        <row r="171">
          <cell r="A171" t="str">
            <v>1000/1402       NPK 8-24-24</v>
          </cell>
          <cell r="B171" t="str">
            <v>1004737    PH-U"AGRO-PLON"</v>
          </cell>
          <cell r="C171" t="str">
            <v>KB Sprzed. bezpośrednia</v>
          </cell>
          <cell r="D171">
            <v>23951.279999999901</v>
          </cell>
          <cell r="E171">
            <v>24</v>
          </cell>
          <cell r="F171">
            <v>17422.4399999999</v>
          </cell>
          <cell r="G171">
            <v>996.84</v>
          </cell>
          <cell r="H171">
            <v>372.5</v>
          </cell>
          <cell r="I171">
            <v>0</v>
          </cell>
          <cell r="J171">
            <v>0</v>
          </cell>
          <cell r="K171">
            <v>372.5</v>
          </cell>
          <cell r="L171">
            <v>18791.779999999901</v>
          </cell>
          <cell r="M171">
            <v>5159.5</v>
          </cell>
          <cell r="N171">
            <v>0</v>
          </cell>
          <cell r="O171">
            <v>18791.779999999901</v>
          </cell>
          <cell r="P171">
            <v>5159.5</v>
          </cell>
          <cell r="Q171">
            <v>82.709999999999894</v>
          </cell>
          <cell r="R171">
            <v>18874.490000000002</v>
          </cell>
          <cell r="S171">
            <v>5076.79</v>
          </cell>
        </row>
        <row r="172">
          <cell r="A172" t="str">
            <v>1000/1402       NPK 8-24-24</v>
          </cell>
          <cell r="B172" t="str">
            <v>3000000    ZBIORCZY</v>
          </cell>
          <cell r="C172" t="str">
            <v>KB Sprzed. bezpośrednia</v>
          </cell>
          <cell r="D172">
            <v>4291.2799999999897</v>
          </cell>
          <cell r="E172">
            <v>4</v>
          </cell>
          <cell r="F172">
            <v>3131.8499999999899</v>
          </cell>
          <cell r="G172">
            <v>178.55</v>
          </cell>
          <cell r="H172">
            <v>62.03</v>
          </cell>
          <cell r="I172">
            <v>0</v>
          </cell>
          <cell r="J172">
            <v>0</v>
          </cell>
          <cell r="K172">
            <v>62.03</v>
          </cell>
          <cell r="L172">
            <v>3372.4299999999898</v>
          </cell>
          <cell r="M172">
            <v>918.85</v>
          </cell>
          <cell r="N172">
            <v>0</v>
          </cell>
          <cell r="O172">
            <v>3372.4299999999898</v>
          </cell>
          <cell r="P172">
            <v>918.85</v>
          </cell>
          <cell r="Q172">
            <v>14.8699999999999</v>
          </cell>
          <cell r="R172">
            <v>3387.3</v>
          </cell>
          <cell r="S172">
            <v>903.98</v>
          </cell>
        </row>
        <row r="173">
          <cell r="A173" t="str">
            <v>1000/1403       POLIMAG 305</v>
          </cell>
          <cell r="B173" t="str">
            <v>Nieprzypisane</v>
          </cell>
          <cell r="C173" t="str">
            <v>Nieprzypisane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6866.3999999999896</v>
          </cell>
          <cell r="I173">
            <v>0</v>
          </cell>
          <cell r="J173">
            <v>0</v>
          </cell>
          <cell r="K173">
            <v>6866.3999999999896</v>
          </cell>
          <cell r="L173">
            <v>6866.3999999999896</v>
          </cell>
          <cell r="M173">
            <v>-6866.3999999999896</v>
          </cell>
          <cell r="N173">
            <v>0</v>
          </cell>
          <cell r="O173">
            <v>6866.3999999999896</v>
          </cell>
          <cell r="P173">
            <v>-6866.3999999999896</v>
          </cell>
          <cell r="Q173">
            <v>0</v>
          </cell>
          <cell r="R173">
            <v>6866.3999999999896</v>
          </cell>
          <cell r="S173">
            <v>-6866.3999999999896</v>
          </cell>
        </row>
        <row r="174">
          <cell r="A174" t="str">
            <v>1000/1409       NPK 4-12-32</v>
          </cell>
          <cell r="B174" t="str">
            <v>1000080    CN-KIELCE</v>
          </cell>
          <cell r="C174" t="str">
            <v>KB Sprzed. bezpośrednia</v>
          </cell>
          <cell r="D174">
            <v>41085.599999999897</v>
          </cell>
          <cell r="E174">
            <v>48</v>
          </cell>
          <cell r="F174">
            <v>29139.799999999901</v>
          </cell>
          <cell r="G174">
            <v>1709.95</v>
          </cell>
          <cell r="H174">
            <v>1025.53</v>
          </cell>
          <cell r="I174">
            <v>3274.5599999999899</v>
          </cell>
          <cell r="J174">
            <v>0</v>
          </cell>
          <cell r="K174">
            <v>4300.09</v>
          </cell>
          <cell r="L174">
            <v>35149.839999999902</v>
          </cell>
          <cell r="M174">
            <v>5935.76</v>
          </cell>
          <cell r="N174">
            <v>0</v>
          </cell>
          <cell r="O174">
            <v>35149.839999999902</v>
          </cell>
          <cell r="P174">
            <v>5935.76</v>
          </cell>
          <cell r="Q174">
            <v>138.349999999999</v>
          </cell>
          <cell r="R174">
            <v>35288.19</v>
          </cell>
          <cell r="S174">
            <v>5797.4099999999899</v>
          </cell>
        </row>
        <row r="175">
          <cell r="A175" t="str">
            <v>1000/1409       NPK 4-12-32</v>
          </cell>
          <cell r="B175" t="str">
            <v>1000205    SKŁODOWSKI</v>
          </cell>
          <cell r="C175" t="str">
            <v>KB Sprzed. bezpośrednia</v>
          </cell>
          <cell r="D175">
            <v>20614.799999999901</v>
          </cell>
          <cell r="E175">
            <v>24</v>
          </cell>
          <cell r="F175">
            <v>14569.9</v>
          </cell>
          <cell r="G175">
            <v>857.95</v>
          </cell>
          <cell r="H175">
            <v>512.75</v>
          </cell>
          <cell r="I175">
            <v>1484.88</v>
          </cell>
          <cell r="J175">
            <v>0</v>
          </cell>
          <cell r="K175">
            <v>1997.63</v>
          </cell>
          <cell r="L175">
            <v>17425.48</v>
          </cell>
          <cell r="M175">
            <v>3189.32</v>
          </cell>
          <cell r="N175">
            <v>0</v>
          </cell>
          <cell r="O175">
            <v>17425.48</v>
          </cell>
          <cell r="P175">
            <v>3189.32</v>
          </cell>
          <cell r="Q175">
            <v>69.17</v>
          </cell>
          <cell r="R175">
            <v>17494.650000000001</v>
          </cell>
          <cell r="S175">
            <v>3120.15</v>
          </cell>
        </row>
        <row r="176">
          <cell r="A176" t="str">
            <v>1000/1409       NPK 4-12-32</v>
          </cell>
          <cell r="B176" t="str">
            <v>1000205    SKŁODOWSKI</v>
          </cell>
          <cell r="C176" t="str">
            <v>KC Centra dystrybucji</v>
          </cell>
          <cell r="D176">
            <v>163508</v>
          </cell>
          <cell r="E176">
            <v>200</v>
          </cell>
          <cell r="F176">
            <v>121415.81</v>
          </cell>
          <cell r="G176">
            <v>6805.0799999999899</v>
          </cell>
          <cell r="H176">
            <v>4272.9799999999896</v>
          </cell>
          <cell r="I176">
            <v>0</v>
          </cell>
          <cell r="J176">
            <v>0</v>
          </cell>
          <cell r="K176">
            <v>4272.9799999999896</v>
          </cell>
          <cell r="L176">
            <v>132493.87</v>
          </cell>
          <cell r="M176">
            <v>31014.13</v>
          </cell>
          <cell r="N176">
            <v>0</v>
          </cell>
          <cell r="O176">
            <v>132493.87</v>
          </cell>
          <cell r="P176">
            <v>31014.13</v>
          </cell>
          <cell r="Q176">
            <v>576.47</v>
          </cell>
          <cell r="R176">
            <v>133070.34</v>
          </cell>
          <cell r="S176">
            <v>30437.66</v>
          </cell>
        </row>
        <row r="177">
          <cell r="A177" t="str">
            <v>1000/1409       NPK 4-12-32</v>
          </cell>
          <cell r="B177" t="str">
            <v>1000235    ROLNIK</v>
          </cell>
          <cell r="C177" t="str">
            <v>KC Centra dystrybucji</v>
          </cell>
          <cell r="D177">
            <v>19483.2</v>
          </cell>
          <cell r="E177">
            <v>24</v>
          </cell>
          <cell r="F177">
            <v>16373.58</v>
          </cell>
          <cell r="G177">
            <v>810.89999999999895</v>
          </cell>
          <cell r="H177">
            <v>512.75</v>
          </cell>
          <cell r="I177">
            <v>0</v>
          </cell>
          <cell r="J177">
            <v>0</v>
          </cell>
          <cell r="K177">
            <v>512.75</v>
          </cell>
          <cell r="L177">
            <v>17697.23</v>
          </cell>
          <cell r="M177">
            <v>1785.97</v>
          </cell>
          <cell r="N177">
            <v>0</v>
          </cell>
          <cell r="O177">
            <v>17697.23</v>
          </cell>
          <cell r="P177">
            <v>1785.97</v>
          </cell>
          <cell r="Q177">
            <v>77.719999999999899</v>
          </cell>
          <cell r="R177">
            <v>17774.95</v>
          </cell>
          <cell r="S177">
            <v>1708.25</v>
          </cell>
        </row>
        <row r="178">
          <cell r="A178" t="str">
            <v>1000/1409       NPK 4-12-32</v>
          </cell>
          <cell r="B178" t="str">
            <v>1000248    DYMNY</v>
          </cell>
          <cell r="C178" t="str">
            <v>KB Sprzed. bezpośrednia</v>
          </cell>
          <cell r="D178">
            <v>57019.919999999896</v>
          </cell>
          <cell r="E178">
            <v>72</v>
          </cell>
          <cell r="F178">
            <v>45419.629999999903</v>
          </cell>
          <cell r="G178">
            <v>2373.0700000000002</v>
          </cell>
          <cell r="H178">
            <v>1538.25</v>
          </cell>
          <cell r="I178">
            <v>0</v>
          </cell>
          <cell r="J178">
            <v>0</v>
          </cell>
          <cell r="K178">
            <v>1538.25</v>
          </cell>
          <cell r="L178">
            <v>49330.949999999903</v>
          </cell>
          <cell r="M178">
            <v>7688.97</v>
          </cell>
          <cell r="N178">
            <v>0</v>
          </cell>
          <cell r="O178">
            <v>49330.949999999903</v>
          </cell>
          <cell r="P178">
            <v>7688.97</v>
          </cell>
          <cell r="Q178">
            <v>215.63</v>
          </cell>
          <cell r="R178">
            <v>49546.58</v>
          </cell>
          <cell r="S178">
            <v>7473.34</v>
          </cell>
        </row>
        <row r="179">
          <cell r="A179" t="str">
            <v>1000/1409       NPK 4-12-32</v>
          </cell>
          <cell r="B179" t="str">
            <v>1000252    AGROSKŁAD</v>
          </cell>
          <cell r="C179" t="str">
            <v>KB Sprzed. bezpośrednia</v>
          </cell>
          <cell r="D179">
            <v>38867.099999999897</v>
          </cell>
          <cell r="E179">
            <v>46</v>
          </cell>
          <cell r="F179">
            <v>27925.639999999901</v>
          </cell>
          <cell r="G179">
            <v>1617.5799999999899</v>
          </cell>
          <cell r="H179">
            <v>982.78999999999905</v>
          </cell>
          <cell r="I179">
            <v>3206.6199999999899</v>
          </cell>
          <cell r="J179">
            <v>0</v>
          </cell>
          <cell r="K179">
            <v>4189.4099999999899</v>
          </cell>
          <cell r="L179">
            <v>33732.629999999903</v>
          </cell>
          <cell r="M179">
            <v>5134.47</v>
          </cell>
          <cell r="N179">
            <v>0</v>
          </cell>
          <cell r="O179">
            <v>33732.629999999903</v>
          </cell>
          <cell r="P179">
            <v>5134.47</v>
          </cell>
          <cell r="Q179">
            <v>132.599999999999</v>
          </cell>
          <cell r="R179">
            <v>33865.230000000003</v>
          </cell>
          <cell r="S179">
            <v>5001.8699999999899</v>
          </cell>
        </row>
        <row r="180">
          <cell r="A180" t="str">
            <v>1000/1409       NPK 4-12-32</v>
          </cell>
          <cell r="B180" t="str">
            <v>1000252    AGROSKŁAD</v>
          </cell>
          <cell r="C180" t="str">
            <v>KC Centra dystrybucji</v>
          </cell>
          <cell r="D180">
            <v>109577.42</v>
          </cell>
          <cell r="E180">
            <v>135</v>
          </cell>
          <cell r="F180">
            <v>91610.539999999906</v>
          </cell>
          <cell r="G180">
            <v>4560.55</v>
          </cell>
          <cell r="H180">
            <v>2884.25</v>
          </cell>
          <cell r="I180">
            <v>0</v>
          </cell>
          <cell r="J180">
            <v>0</v>
          </cell>
          <cell r="K180">
            <v>2884.25</v>
          </cell>
          <cell r="L180">
            <v>99055.339999999895</v>
          </cell>
          <cell r="M180">
            <v>10522.08</v>
          </cell>
          <cell r="N180">
            <v>0</v>
          </cell>
          <cell r="O180">
            <v>99055.339999999895</v>
          </cell>
          <cell r="P180">
            <v>10522.08</v>
          </cell>
          <cell r="Q180">
            <v>434.93</v>
          </cell>
          <cell r="R180">
            <v>99490.27</v>
          </cell>
          <cell r="S180">
            <v>10087.15</v>
          </cell>
        </row>
        <row r="181">
          <cell r="A181" t="str">
            <v>1000/1409       NPK 4-12-32</v>
          </cell>
          <cell r="B181" t="str">
            <v>1000257    MAGROL</v>
          </cell>
          <cell r="C181" t="str">
            <v>KC Centra dystrybucji</v>
          </cell>
          <cell r="D181">
            <v>19620.959999999901</v>
          </cell>
          <cell r="E181">
            <v>24</v>
          </cell>
          <cell r="F181">
            <v>16373.58</v>
          </cell>
          <cell r="G181">
            <v>816.61</v>
          </cell>
          <cell r="H181">
            <v>512.75</v>
          </cell>
          <cell r="I181">
            <v>0</v>
          </cell>
          <cell r="J181">
            <v>0</v>
          </cell>
          <cell r="K181">
            <v>512.75</v>
          </cell>
          <cell r="L181">
            <v>17702.9399999999</v>
          </cell>
          <cell r="M181">
            <v>1918.02</v>
          </cell>
          <cell r="N181">
            <v>0</v>
          </cell>
          <cell r="O181">
            <v>17702.9399999999</v>
          </cell>
          <cell r="P181">
            <v>1918.02</v>
          </cell>
          <cell r="Q181">
            <v>77.719999999999899</v>
          </cell>
          <cell r="R181">
            <v>17780.66</v>
          </cell>
          <cell r="S181">
            <v>1840.3</v>
          </cell>
        </row>
        <row r="182">
          <cell r="A182" t="str">
            <v>1000/1409       NPK 4-12-32</v>
          </cell>
          <cell r="B182" t="str">
            <v>1000263    PRO-AGRO</v>
          </cell>
          <cell r="C182" t="str">
            <v>KC Centra dystrybucji</v>
          </cell>
          <cell r="D182">
            <v>9938.3999999999905</v>
          </cell>
          <cell r="E182">
            <v>12</v>
          </cell>
          <cell r="F182">
            <v>7284.9499999999898</v>
          </cell>
          <cell r="G182">
            <v>413.61</v>
          </cell>
          <cell r="H182">
            <v>256.37</v>
          </cell>
          <cell r="I182">
            <v>0</v>
          </cell>
          <cell r="J182">
            <v>0</v>
          </cell>
          <cell r="K182">
            <v>256.37</v>
          </cell>
          <cell r="L182">
            <v>7954.93</v>
          </cell>
          <cell r="M182">
            <v>1983.47</v>
          </cell>
          <cell r="N182">
            <v>0</v>
          </cell>
          <cell r="O182">
            <v>7954.93</v>
          </cell>
          <cell r="P182">
            <v>1983.47</v>
          </cell>
          <cell r="Q182">
            <v>34.590000000000003</v>
          </cell>
          <cell r="R182">
            <v>7989.52</v>
          </cell>
          <cell r="S182">
            <v>1948.88</v>
          </cell>
        </row>
        <row r="183">
          <cell r="A183" t="str">
            <v>1000/1409       NPK 4-12-32</v>
          </cell>
          <cell r="B183" t="str">
            <v>1000273    FILIPOWSKA</v>
          </cell>
          <cell r="C183" t="str">
            <v>KB Sprzed. bezpośrednia</v>
          </cell>
          <cell r="D183">
            <v>10009.44</v>
          </cell>
          <cell r="E183">
            <v>12</v>
          </cell>
          <cell r="F183">
            <v>7284.9499999999898</v>
          </cell>
          <cell r="G183">
            <v>416.55</v>
          </cell>
          <cell r="H183">
            <v>256.37</v>
          </cell>
          <cell r="I183">
            <v>600.48</v>
          </cell>
          <cell r="J183">
            <v>0</v>
          </cell>
          <cell r="K183">
            <v>856.85</v>
          </cell>
          <cell r="L183">
            <v>8558.35</v>
          </cell>
          <cell r="M183">
            <v>1451.0899999999899</v>
          </cell>
          <cell r="N183">
            <v>0</v>
          </cell>
          <cell r="O183">
            <v>8558.35</v>
          </cell>
          <cell r="P183">
            <v>1451.0899999999899</v>
          </cell>
          <cell r="Q183">
            <v>34.590000000000003</v>
          </cell>
          <cell r="R183">
            <v>8592.94</v>
          </cell>
          <cell r="S183">
            <v>1416.5</v>
          </cell>
        </row>
        <row r="184">
          <cell r="A184" t="str">
            <v>1000/1409       NPK 4-12-32</v>
          </cell>
          <cell r="B184" t="str">
            <v>1000273    FILIPOWSKA</v>
          </cell>
          <cell r="C184" t="str">
            <v>KC Centra dystrybucji</v>
          </cell>
          <cell r="D184">
            <v>30917.279999999901</v>
          </cell>
          <cell r="E184">
            <v>38</v>
          </cell>
          <cell r="F184">
            <v>25924.84</v>
          </cell>
          <cell r="G184">
            <v>1286.75</v>
          </cell>
          <cell r="H184">
            <v>811.86</v>
          </cell>
          <cell r="I184">
            <v>0</v>
          </cell>
          <cell r="J184">
            <v>0</v>
          </cell>
          <cell r="K184">
            <v>811.86</v>
          </cell>
          <cell r="L184">
            <v>28023.45</v>
          </cell>
          <cell r="M184">
            <v>2893.8299999999899</v>
          </cell>
          <cell r="N184">
            <v>0</v>
          </cell>
          <cell r="O184">
            <v>28023.45</v>
          </cell>
          <cell r="P184">
            <v>2893.8299999999899</v>
          </cell>
          <cell r="Q184">
            <v>123.08</v>
          </cell>
          <cell r="R184">
            <v>28146.529999999901</v>
          </cell>
          <cell r="S184">
            <v>2770.75</v>
          </cell>
        </row>
        <row r="185">
          <cell r="A185" t="str">
            <v>1000/1409       NPK 4-12-32</v>
          </cell>
          <cell r="B185" t="str">
            <v>1000277    ATRANS</v>
          </cell>
          <cell r="C185" t="str">
            <v>KB Sprzed. bezpośrednia</v>
          </cell>
          <cell r="D185">
            <v>20338.799999999901</v>
          </cell>
          <cell r="E185">
            <v>24</v>
          </cell>
          <cell r="F185">
            <v>14569.9</v>
          </cell>
          <cell r="G185">
            <v>846.5</v>
          </cell>
          <cell r="H185">
            <v>512.75</v>
          </cell>
          <cell r="I185">
            <v>1566.3599999999899</v>
          </cell>
          <cell r="J185">
            <v>0</v>
          </cell>
          <cell r="K185">
            <v>2079.11</v>
          </cell>
          <cell r="L185">
            <v>17495.5099999999</v>
          </cell>
          <cell r="M185">
            <v>2843.29</v>
          </cell>
          <cell r="N185">
            <v>0</v>
          </cell>
          <cell r="O185">
            <v>17495.5099999999</v>
          </cell>
          <cell r="P185">
            <v>2843.29</v>
          </cell>
          <cell r="Q185">
            <v>69.17</v>
          </cell>
          <cell r="R185">
            <v>17564.68</v>
          </cell>
          <cell r="S185">
            <v>2774.1199999999899</v>
          </cell>
        </row>
        <row r="186">
          <cell r="A186" t="str">
            <v>1000/1409       NPK 4-12-32</v>
          </cell>
          <cell r="B186" t="str">
            <v>1000289    PLON A.Darzyński</v>
          </cell>
          <cell r="C186" t="str">
            <v>KB Sprzed. bezpośrednia</v>
          </cell>
          <cell r="D186">
            <v>39837.239999999903</v>
          </cell>
          <cell r="E186">
            <v>49</v>
          </cell>
          <cell r="F186">
            <v>34054.949999999903</v>
          </cell>
          <cell r="G186">
            <v>1658.0599999999899</v>
          </cell>
          <cell r="H186">
            <v>1046.8599999999899</v>
          </cell>
          <cell r="I186">
            <v>0</v>
          </cell>
          <cell r="J186">
            <v>0</v>
          </cell>
          <cell r="K186">
            <v>1046.8599999999899</v>
          </cell>
          <cell r="L186">
            <v>36759.870000000003</v>
          </cell>
          <cell r="M186">
            <v>3077.3699999999899</v>
          </cell>
          <cell r="N186">
            <v>0</v>
          </cell>
          <cell r="O186">
            <v>36759.870000000003</v>
          </cell>
          <cell r="P186">
            <v>3077.3699999999899</v>
          </cell>
          <cell r="Q186">
            <v>161.69</v>
          </cell>
          <cell r="R186">
            <v>36921.559999999903</v>
          </cell>
          <cell r="S186">
            <v>2915.6799999999898</v>
          </cell>
        </row>
        <row r="187">
          <cell r="A187" t="str">
            <v>1000/1409       NPK 4-12-32</v>
          </cell>
          <cell r="B187" t="str">
            <v>1000289    PLON A.Darzyński</v>
          </cell>
          <cell r="C187" t="str">
            <v>KC Centra dystrybucji</v>
          </cell>
          <cell r="D187">
            <v>19483.2</v>
          </cell>
          <cell r="E187">
            <v>24</v>
          </cell>
          <cell r="F187">
            <v>16447.16</v>
          </cell>
          <cell r="G187">
            <v>810.89999999999895</v>
          </cell>
          <cell r="H187">
            <v>512.75</v>
          </cell>
          <cell r="I187">
            <v>0</v>
          </cell>
          <cell r="J187">
            <v>0</v>
          </cell>
          <cell r="K187">
            <v>512.75</v>
          </cell>
          <cell r="L187">
            <v>17770.810000000001</v>
          </cell>
          <cell r="M187">
            <v>1712.39</v>
          </cell>
          <cell r="N187">
            <v>0</v>
          </cell>
          <cell r="O187">
            <v>17770.810000000001</v>
          </cell>
          <cell r="P187">
            <v>1712.39</v>
          </cell>
          <cell r="Q187">
            <v>78.099999999999895</v>
          </cell>
          <cell r="R187">
            <v>17848.91</v>
          </cell>
          <cell r="S187">
            <v>1634.29</v>
          </cell>
        </row>
        <row r="188">
          <cell r="A188" t="str">
            <v>1000/1409       NPK 4-12-32</v>
          </cell>
          <cell r="B188" t="str">
            <v>1000291    "AGRO-BIZNES" SP.J.</v>
          </cell>
          <cell r="C188" t="str">
            <v>KB Sprzed. bezpośrednia</v>
          </cell>
          <cell r="D188">
            <v>25579.84</v>
          </cell>
          <cell r="E188">
            <v>32</v>
          </cell>
          <cell r="F188">
            <v>19426.529999999901</v>
          </cell>
          <cell r="G188">
            <v>1064.5999999999899</v>
          </cell>
          <cell r="H188">
            <v>683.66999999999905</v>
          </cell>
          <cell r="I188">
            <v>0</v>
          </cell>
          <cell r="J188">
            <v>0</v>
          </cell>
          <cell r="K188">
            <v>683.66999999999905</v>
          </cell>
          <cell r="L188">
            <v>21174.799999999901</v>
          </cell>
          <cell r="M188">
            <v>4405.04</v>
          </cell>
          <cell r="N188">
            <v>0</v>
          </cell>
          <cell r="O188">
            <v>21174.799999999901</v>
          </cell>
          <cell r="P188">
            <v>4405.04</v>
          </cell>
          <cell r="Q188">
            <v>92.219999999999899</v>
          </cell>
          <cell r="R188">
            <v>21267.02</v>
          </cell>
          <cell r="S188">
            <v>4312.8199999999897</v>
          </cell>
        </row>
        <row r="189">
          <cell r="A189" t="str">
            <v>1000/1409       NPK 4-12-32</v>
          </cell>
          <cell r="B189" t="str">
            <v>1000415    GÓRKA</v>
          </cell>
          <cell r="C189" t="str">
            <v>KC Centra dystrybucji</v>
          </cell>
          <cell r="D189">
            <v>21042.84</v>
          </cell>
          <cell r="E189">
            <v>26</v>
          </cell>
          <cell r="F189">
            <v>15784.049999999899</v>
          </cell>
          <cell r="G189">
            <v>875.77999999999895</v>
          </cell>
          <cell r="H189">
            <v>555.49</v>
          </cell>
          <cell r="I189">
            <v>0</v>
          </cell>
          <cell r="J189">
            <v>0</v>
          </cell>
          <cell r="K189">
            <v>555.49</v>
          </cell>
          <cell r="L189">
            <v>17215.32</v>
          </cell>
          <cell r="M189">
            <v>3827.52</v>
          </cell>
          <cell r="N189">
            <v>0</v>
          </cell>
          <cell r="O189">
            <v>17215.32</v>
          </cell>
          <cell r="P189">
            <v>3827.52</v>
          </cell>
          <cell r="Q189">
            <v>74.95</v>
          </cell>
          <cell r="R189">
            <v>17290.27</v>
          </cell>
          <cell r="S189">
            <v>3752.57</v>
          </cell>
        </row>
        <row r="190">
          <cell r="A190" t="str">
            <v>1000/1409       NPK 4-12-32</v>
          </cell>
          <cell r="B190" t="str">
            <v>1000592    NOŻYŃSKI</v>
          </cell>
          <cell r="C190" t="str">
            <v>KB Sprzed. bezpośrednia</v>
          </cell>
          <cell r="D190">
            <v>10200</v>
          </cell>
          <cell r="E190">
            <v>12</v>
          </cell>
          <cell r="F190">
            <v>7284.9499999999898</v>
          </cell>
          <cell r="G190">
            <v>424.49</v>
          </cell>
          <cell r="H190">
            <v>256.37</v>
          </cell>
          <cell r="I190">
            <v>946.08</v>
          </cell>
          <cell r="J190">
            <v>0</v>
          </cell>
          <cell r="K190">
            <v>1202.45</v>
          </cell>
          <cell r="L190">
            <v>8911.8899999999903</v>
          </cell>
          <cell r="M190">
            <v>1288.1099999999899</v>
          </cell>
          <cell r="N190">
            <v>0</v>
          </cell>
          <cell r="O190">
            <v>8911.8899999999903</v>
          </cell>
          <cell r="P190">
            <v>1288.1099999999899</v>
          </cell>
          <cell r="Q190">
            <v>34.590000000000003</v>
          </cell>
          <cell r="R190">
            <v>8946.4799999999905</v>
          </cell>
          <cell r="S190">
            <v>1253.52</v>
          </cell>
        </row>
        <row r="191">
          <cell r="A191" t="str">
            <v>1000/1409       NPK 4-12-32</v>
          </cell>
          <cell r="B191" t="str">
            <v>1000607    POGES</v>
          </cell>
          <cell r="C191" t="str">
            <v>KB Sprzed. bezpośrednia</v>
          </cell>
          <cell r="D191">
            <v>19262.16</v>
          </cell>
          <cell r="E191">
            <v>24</v>
          </cell>
          <cell r="F191">
            <v>14569.9</v>
          </cell>
          <cell r="G191">
            <v>801.64999999999895</v>
          </cell>
          <cell r="H191">
            <v>512.75</v>
          </cell>
          <cell r="I191">
            <v>0</v>
          </cell>
          <cell r="J191">
            <v>0</v>
          </cell>
          <cell r="K191">
            <v>512.75</v>
          </cell>
          <cell r="L191">
            <v>15884.299999999899</v>
          </cell>
          <cell r="M191">
            <v>3377.86</v>
          </cell>
          <cell r="N191">
            <v>0</v>
          </cell>
          <cell r="O191">
            <v>15884.299999999899</v>
          </cell>
          <cell r="P191">
            <v>3377.86</v>
          </cell>
          <cell r="Q191">
            <v>69.17</v>
          </cell>
          <cell r="R191">
            <v>15953.469999999899</v>
          </cell>
          <cell r="S191">
            <v>3308.69</v>
          </cell>
        </row>
        <row r="192">
          <cell r="A192" t="str">
            <v>1000/1409       NPK 4-12-32</v>
          </cell>
          <cell r="B192" t="str">
            <v>1000662    SZYMAŃSCY</v>
          </cell>
          <cell r="C192" t="str">
            <v>KB Sprzed. bezpośrednia</v>
          </cell>
          <cell r="D192">
            <v>20196</v>
          </cell>
          <cell r="E192">
            <v>24</v>
          </cell>
          <cell r="F192">
            <v>14569.9</v>
          </cell>
          <cell r="G192">
            <v>840.50999999999897</v>
          </cell>
          <cell r="H192">
            <v>512.75</v>
          </cell>
          <cell r="I192">
            <v>1542.72</v>
          </cell>
          <cell r="J192">
            <v>0</v>
          </cell>
          <cell r="K192">
            <v>2055.4699999999898</v>
          </cell>
          <cell r="L192">
            <v>17465.88</v>
          </cell>
          <cell r="M192">
            <v>2730.1199999999899</v>
          </cell>
          <cell r="N192">
            <v>0</v>
          </cell>
          <cell r="O192">
            <v>17465.88</v>
          </cell>
          <cell r="P192">
            <v>2730.1199999999899</v>
          </cell>
          <cell r="Q192">
            <v>69.17</v>
          </cell>
          <cell r="R192">
            <v>17535.049999999901</v>
          </cell>
          <cell r="S192">
            <v>2660.9499999999898</v>
          </cell>
        </row>
        <row r="193">
          <cell r="A193" t="str">
            <v>1000/1409       NPK 4-12-32</v>
          </cell>
          <cell r="B193" t="str">
            <v>1000662    SZYMAŃSCY</v>
          </cell>
          <cell r="C193" t="str">
            <v>KC Centra dystrybucji</v>
          </cell>
          <cell r="D193">
            <v>21111.72</v>
          </cell>
          <cell r="E193">
            <v>26</v>
          </cell>
          <cell r="F193">
            <v>16685.889999999901</v>
          </cell>
          <cell r="G193">
            <v>878.71</v>
          </cell>
          <cell r="H193">
            <v>555.48</v>
          </cell>
          <cell r="I193">
            <v>0</v>
          </cell>
          <cell r="J193">
            <v>0</v>
          </cell>
          <cell r="K193">
            <v>555.48</v>
          </cell>
          <cell r="L193">
            <v>18120.080000000002</v>
          </cell>
          <cell r="M193">
            <v>2991.6399999999899</v>
          </cell>
          <cell r="N193">
            <v>0</v>
          </cell>
          <cell r="O193">
            <v>18120.080000000002</v>
          </cell>
          <cell r="P193">
            <v>2991.6399999999899</v>
          </cell>
          <cell r="Q193">
            <v>79.2</v>
          </cell>
          <cell r="R193">
            <v>18199.279999999901</v>
          </cell>
          <cell r="S193">
            <v>2912.44</v>
          </cell>
        </row>
        <row r="194">
          <cell r="A194" t="str">
            <v>1000/1409       NPK 4-12-32</v>
          </cell>
          <cell r="B194" t="str">
            <v>1000675    Zaopatrz.Roln. Andrz</v>
          </cell>
          <cell r="C194" t="str">
            <v>KB Sprzed. bezpośrednia</v>
          </cell>
          <cell r="D194">
            <v>23645.299999999901</v>
          </cell>
          <cell r="E194">
            <v>28</v>
          </cell>
          <cell r="F194">
            <v>16998.22</v>
          </cell>
          <cell r="G194">
            <v>984.11</v>
          </cell>
          <cell r="H194">
            <v>598.21</v>
          </cell>
          <cell r="I194">
            <v>2016</v>
          </cell>
          <cell r="J194">
            <v>0</v>
          </cell>
          <cell r="K194">
            <v>2614.21</v>
          </cell>
          <cell r="L194">
            <v>20596.54</v>
          </cell>
          <cell r="M194">
            <v>3048.76</v>
          </cell>
          <cell r="N194">
            <v>0</v>
          </cell>
          <cell r="O194">
            <v>20596.54</v>
          </cell>
          <cell r="P194">
            <v>3048.76</v>
          </cell>
          <cell r="Q194">
            <v>80.73</v>
          </cell>
          <cell r="R194">
            <v>20677.27</v>
          </cell>
          <cell r="S194">
            <v>2968.03</v>
          </cell>
        </row>
        <row r="195">
          <cell r="A195" t="str">
            <v>1000/1409       NPK 4-12-32</v>
          </cell>
          <cell r="B195" t="str">
            <v>1000675    Zaopatrz.Roln. Andrz</v>
          </cell>
          <cell r="C195" t="str">
            <v>KC Centra dystrybucji</v>
          </cell>
          <cell r="D195">
            <v>20295</v>
          </cell>
          <cell r="E195">
            <v>25</v>
          </cell>
          <cell r="F195">
            <v>17055.810000000001</v>
          </cell>
          <cell r="G195">
            <v>844.67999999999904</v>
          </cell>
          <cell r="H195">
            <v>534.11</v>
          </cell>
          <cell r="I195">
            <v>0</v>
          </cell>
          <cell r="J195">
            <v>0</v>
          </cell>
          <cell r="K195">
            <v>534.11</v>
          </cell>
          <cell r="L195">
            <v>18434.5999999999</v>
          </cell>
          <cell r="M195">
            <v>1860.4</v>
          </cell>
          <cell r="N195">
            <v>0</v>
          </cell>
          <cell r="O195">
            <v>18434.5999999999</v>
          </cell>
          <cell r="P195">
            <v>1860.4</v>
          </cell>
          <cell r="Q195">
            <v>80.98</v>
          </cell>
          <cell r="R195">
            <v>18515.580000000002</v>
          </cell>
          <cell r="S195">
            <v>1779.42</v>
          </cell>
        </row>
        <row r="196">
          <cell r="A196" t="str">
            <v>1000/1409       NPK 4-12-32</v>
          </cell>
          <cell r="B196" t="str">
            <v>1000725    SGS-LUBLIN</v>
          </cell>
          <cell r="C196" t="str">
            <v>KB Sprzed. bezpośrednia</v>
          </cell>
          <cell r="D196">
            <v>10169.4</v>
          </cell>
          <cell r="E196">
            <v>12</v>
          </cell>
          <cell r="F196">
            <v>7284.9499999999898</v>
          </cell>
          <cell r="G196">
            <v>423.27999999999901</v>
          </cell>
          <cell r="H196">
            <v>256.37</v>
          </cell>
          <cell r="I196">
            <v>913.55999999999904</v>
          </cell>
          <cell r="J196">
            <v>0</v>
          </cell>
          <cell r="K196">
            <v>1169.93</v>
          </cell>
          <cell r="L196">
            <v>8878.1599999999908</v>
          </cell>
          <cell r="M196">
            <v>1291.24</v>
          </cell>
          <cell r="N196">
            <v>0</v>
          </cell>
          <cell r="O196">
            <v>8878.1599999999908</v>
          </cell>
          <cell r="P196">
            <v>1291.24</v>
          </cell>
          <cell r="Q196">
            <v>34.590000000000003</v>
          </cell>
          <cell r="R196">
            <v>8912.75</v>
          </cell>
          <cell r="S196">
            <v>1256.6500000000001</v>
          </cell>
        </row>
        <row r="197">
          <cell r="A197" t="str">
            <v>1000/1409       NPK 4-12-32</v>
          </cell>
          <cell r="B197" t="str">
            <v>1000808    TERRA Sp. z o.o.</v>
          </cell>
          <cell r="C197" t="str">
            <v>KB Sprzed. bezpośrednia</v>
          </cell>
          <cell r="D197">
            <v>19126.799999999901</v>
          </cell>
          <cell r="E197">
            <v>24</v>
          </cell>
          <cell r="F197">
            <v>15612.66</v>
          </cell>
          <cell r="G197">
            <v>796.02999999999895</v>
          </cell>
          <cell r="H197">
            <v>512.75</v>
          </cell>
          <cell r="I197">
            <v>0</v>
          </cell>
          <cell r="J197">
            <v>0</v>
          </cell>
          <cell r="K197">
            <v>512.75</v>
          </cell>
          <cell r="L197">
            <v>16921.4399999999</v>
          </cell>
          <cell r="M197">
            <v>2205.36</v>
          </cell>
          <cell r="N197">
            <v>0</v>
          </cell>
          <cell r="O197">
            <v>16921.4399999999</v>
          </cell>
          <cell r="P197">
            <v>2205.36</v>
          </cell>
          <cell r="Q197">
            <v>74.1099999999999</v>
          </cell>
          <cell r="R197">
            <v>16995.549999999901</v>
          </cell>
          <cell r="S197">
            <v>2131.25</v>
          </cell>
        </row>
        <row r="198">
          <cell r="A198" t="str">
            <v>1000/1409       NPK 4-12-32</v>
          </cell>
          <cell r="B198" t="str">
            <v>1000982    TORAL Elżbieta Krupa</v>
          </cell>
          <cell r="C198" t="str">
            <v>KB Sprzed. bezpośrednia</v>
          </cell>
          <cell r="D198">
            <v>79425.320000000007</v>
          </cell>
          <cell r="E198">
            <v>95</v>
          </cell>
          <cell r="F198">
            <v>60528.349999999897</v>
          </cell>
          <cell r="G198">
            <v>3305.6199999999899</v>
          </cell>
          <cell r="H198">
            <v>2029.66</v>
          </cell>
          <cell r="I198">
            <v>2460.1199999999899</v>
          </cell>
          <cell r="J198">
            <v>0</v>
          </cell>
          <cell r="K198">
            <v>4489.7799999999897</v>
          </cell>
          <cell r="L198">
            <v>68323.75</v>
          </cell>
          <cell r="M198">
            <v>11101.57</v>
          </cell>
          <cell r="N198">
            <v>0</v>
          </cell>
          <cell r="O198">
            <v>68323.75</v>
          </cell>
          <cell r="P198">
            <v>11101.57</v>
          </cell>
          <cell r="Q198">
            <v>287.38</v>
          </cell>
          <cell r="R198">
            <v>68611.13</v>
          </cell>
          <cell r="S198">
            <v>10814.19</v>
          </cell>
        </row>
        <row r="199">
          <cell r="A199" t="str">
            <v>1000/1409       NPK 4-12-32</v>
          </cell>
          <cell r="B199" t="str">
            <v>1001253    ROL-MECH SP. Z O.O.</v>
          </cell>
          <cell r="C199" t="str">
            <v>KB Sprzed. bezpośrednia</v>
          </cell>
          <cell r="D199">
            <v>20338.799999999901</v>
          </cell>
          <cell r="E199">
            <v>24</v>
          </cell>
          <cell r="F199">
            <v>14569.9</v>
          </cell>
          <cell r="G199">
            <v>846.5</v>
          </cell>
          <cell r="H199">
            <v>512.75</v>
          </cell>
          <cell r="I199">
            <v>2124.2399999999898</v>
          </cell>
          <cell r="J199">
            <v>0</v>
          </cell>
          <cell r="K199">
            <v>2636.9899999999898</v>
          </cell>
          <cell r="L199">
            <v>18053.389999999901</v>
          </cell>
          <cell r="M199">
            <v>2285.4099999999899</v>
          </cell>
          <cell r="N199">
            <v>0</v>
          </cell>
          <cell r="O199">
            <v>18053.389999999901</v>
          </cell>
          <cell r="P199">
            <v>2285.4099999999899</v>
          </cell>
          <cell r="Q199">
            <v>69.17</v>
          </cell>
          <cell r="R199">
            <v>18122.560000000001</v>
          </cell>
          <cell r="S199">
            <v>2216.2399999999898</v>
          </cell>
        </row>
        <row r="200">
          <cell r="A200" t="str">
            <v>1000/1409       NPK 4-12-32</v>
          </cell>
          <cell r="B200" t="str">
            <v>1001522    AGRO-BIT</v>
          </cell>
          <cell r="C200" t="str">
            <v>KB Sprzed. bezpośrednia</v>
          </cell>
          <cell r="D200">
            <v>30959.15</v>
          </cell>
          <cell r="E200">
            <v>37</v>
          </cell>
          <cell r="F200">
            <v>22461.93</v>
          </cell>
          <cell r="G200">
            <v>1288.51</v>
          </cell>
          <cell r="H200">
            <v>790.5</v>
          </cell>
          <cell r="I200">
            <v>3261.82</v>
          </cell>
          <cell r="J200">
            <v>0</v>
          </cell>
          <cell r="K200">
            <v>4052.32</v>
          </cell>
          <cell r="L200">
            <v>27802.7599999999</v>
          </cell>
          <cell r="M200">
            <v>3156.3899999999899</v>
          </cell>
          <cell r="N200">
            <v>0</v>
          </cell>
          <cell r="O200">
            <v>27802.7599999999</v>
          </cell>
          <cell r="P200">
            <v>3156.3899999999899</v>
          </cell>
          <cell r="Q200">
            <v>106.65</v>
          </cell>
          <cell r="R200">
            <v>27909.41</v>
          </cell>
          <cell r="S200">
            <v>3049.7399999999898</v>
          </cell>
        </row>
        <row r="201">
          <cell r="A201" t="str">
            <v>1000/1409       NPK 4-12-32</v>
          </cell>
          <cell r="B201" t="str">
            <v>1001649    CDN</v>
          </cell>
          <cell r="C201" t="str">
            <v>KC Centra dystrybucji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19407.97</v>
          </cell>
          <cell r="J201">
            <v>0</v>
          </cell>
          <cell r="K201">
            <v>19407.97</v>
          </cell>
          <cell r="L201">
            <v>19407.97</v>
          </cell>
          <cell r="M201">
            <v>-19407.97</v>
          </cell>
          <cell r="N201">
            <v>0</v>
          </cell>
          <cell r="O201">
            <v>19407.97</v>
          </cell>
          <cell r="P201">
            <v>-19407.97</v>
          </cell>
          <cell r="Q201">
            <v>0</v>
          </cell>
          <cell r="R201">
            <v>19407.97</v>
          </cell>
          <cell r="S201">
            <v>-19407.97</v>
          </cell>
        </row>
        <row r="202">
          <cell r="A202" t="str">
            <v>1000/1409       NPK 4-12-32</v>
          </cell>
          <cell r="B202" t="str">
            <v>1001662    AMPOL-MEROL Sp. z o.</v>
          </cell>
          <cell r="C202" t="str">
            <v>KB Sprzed. bezpośrednia</v>
          </cell>
          <cell r="D202">
            <v>173978.239999999</v>
          </cell>
          <cell r="E202">
            <v>199</v>
          </cell>
          <cell r="F202">
            <v>120808.74</v>
          </cell>
          <cell r="G202">
            <v>7240.77</v>
          </cell>
          <cell r="H202">
            <v>4251.6199999999899</v>
          </cell>
          <cell r="I202">
            <v>9081.6299999999901</v>
          </cell>
          <cell r="J202">
            <v>0</v>
          </cell>
          <cell r="K202">
            <v>13333.25</v>
          </cell>
          <cell r="L202">
            <v>141382.76</v>
          </cell>
          <cell r="M202">
            <v>32595.48</v>
          </cell>
          <cell r="N202">
            <v>0</v>
          </cell>
          <cell r="O202">
            <v>141382.76</v>
          </cell>
          <cell r="P202">
            <v>32595.48</v>
          </cell>
          <cell r="Q202">
            <v>573.59</v>
          </cell>
          <cell r="R202">
            <v>141956.35</v>
          </cell>
          <cell r="S202">
            <v>32021.889999999901</v>
          </cell>
        </row>
        <row r="203">
          <cell r="A203" t="str">
            <v>1000/1409       NPK 4-12-32</v>
          </cell>
          <cell r="B203" t="str">
            <v>1001662    AMPOL-MEROL Sp. z o.</v>
          </cell>
          <cell r="C203" t="str">
            <v>KC Centra dystrybucji</v>
          </cell>
          <cell r="D203">
            <v>329661.95</v>
          </cell>
          <cell r="E203">
            <v>379.55</v>
          </cell>
          <cell r="F203">
            <v>262215.429999999</v>
          </cell>
          <cell r="G203">
            <v>13720.209999999901</v>
          </cell>
          <cell r="H203">
            <v>8109.0299999999897</v>
          </cell>
          <cell r="I203">
            <v>0</v>
          </cell>
          <cell r="J203">
            <v>0</v>
          </cell>
          <cell r="K203">
            <v>8109.0299999999897</v>
          </cell>
          <cell r="L203">
            <v>284044.66999999899</v>
          </cell>
          <cell r="M203">
            <v>45617.279999999897</v>
          </cell>
          <cell r="N203">
            <v>0</v>
          </cell>
          <cell r="O203">
            <v>284044.66999999899</v>
          </cell>
          <cell r="P203">
            <v>45617.279999999897</v>
          </cell>
          <cell r="Q203">
            <v>1244.95</v>
          </cell>
          <cell r="R203">
            <v>285289.62</v>
          </cell>
          <cell r="S203">
            <v>44372.33</v>
          </cell>
        </row>
        <row r="204">
          <cell r="A204" t="str">
            <v>1000/1409       NPK 4-12-32</v>
          </cell>
          <cell r="B204" t="str">
            <v>1001701    INTRAT-BRZ</v>
          </cell>
          <cell r="C204" t="str">
            <v>KC Centra dystrybucji</v>
          </cell>
          <cell r="D204">
            <v>11365.2</v>
          </cell>
          <cell r="E204">
            <v>14</v>
          </cell>
          <cell r="F204">
            <v>9860.3700000000008</v>
          </cell>
          <cell r="G204">
            <v>472.98</v>
          </cell>
          <cell r="H204">
            <v>299.11</v>
          </cell>
          <cell r="I204">
            <v>0</v>
          </cell>
          <cell r="J204">
            <v>0</v>
          </cell>
          <cell r="K204">
            <v>299.11</v>
          </cell>
          <cell r="L204">
            <v>10632.459999999901</v>
          </cell>
          <cell r="M204">
            <v>732.74</v>
          </cell>
          <cell r="N204">
            <v>0</v>
          </cell>
          <cell r="O204">
            <v>10632.459999999901</v>
          </cell>
          <cell r="P204">
            <v>732.74</v>
          </cell>
          <cell r="Q204">
            <v>46.82</v>
          </cell>
          <cell r="R204">
            <v>10679.28</v>
          </cell>
          <cell r="S204">
            <v>685.91999999999905</v>
          </cell>
        </row>
        <row r="205">
          <cell r="A205" t="str">
            <v>1000/1409       NPK 4-12-32</v>
          </cell>
          <cell r="B205" t="str">
            <v>1001871    ROLPOL</v>
          </cell>
          <cell r="C205" t="str">
            <v>KC Centra dystrybucji</v>
          </cell>
          <cell r="D205">
            <v>21533.200000000001</v>
          </cell>
          <cell r="E205">
            <v>26</v>
          </cell>
          <cell r="F205">
            <v>17738.049999999901</v>
          </cell>
          <cell r="G205">
            <v>896.22</v>
          </cell>
          <cell r="H205">
            <v>555.49</v>
          </cell>
          <cell r="I205">
            <v>0</v>
          </cell>
          <cell r="J205">
            <v>0</v>
          </cell>
          <cell r="K205">
            <v>555.49</v>
          </cell>
          <cell r="L205">
            <v>19189.7599999999</v>
          </cell>
          <cell r="M205">
            <v>2343.44</v>
          </cell>
          <cell r="N205">
            <v>0</v>
          </cell>
          <cell r="O205">
            <v>19189.7599999999</v>
          </cell>
          <cell r="P205">
            <v>2343.44</v>
          </cell>
          <cell r="Q205">
            <v>84.209999999999894</v>
          </cell>
          <cell r="R205">
            <v>19273.97</v>
          </cell>
          <cell r="S205">
            <v>2259.23</v>
          </cell>
        </row>
        <row r="206">
          <cell r="A206" t="str">
            <v>1000/1409       NPK 4-12-32</v>
          </cell>
          <cell r="B206" t="str">
            <v>1001983    FAZOT</v>
          </cell>
          <cell r="C206" t="str">
            <v>KB Sprzed. bezpośrednia</v>
          </cell>
          <cell r="D206">
            <v>80539.199999999895</v>
          </cell>
          <cell r="E206">
            <v>96</v>
          </cell>
          <cell r="F206">
            <v>60948.279999999897</v>
          </cell>
          <cell r="G206">
            <v>3351.98</v>
          </cell>
          <cell r="H206">
            <v>2051.02</v>
          </cell>
          <cell r="I206">
            <v>4531.1999999999898</v>
          </cell>
          <cell r="J206">
            <v>0</v>
          </cell>
          <cell r="K206">
            <v>6582.22</v>
          </cell>
          <cell r="L206">
            <v>70882.479999999894</v>
          </cell>
          <cell r="M206">
            <v>9656.7199999999903</v>
          </cell>
          <cell r="N206">
            <v>0</v>
          </cell>
          <cell r="O206">
            <v>70882.479999999894</v>
          </cell>
          <cell r="P206">
            <v>9656.7199999999903</v>
          </cell>
          <cell r="Q206">
            <v>289.38999999999902</v>
          </cell>
          <cell r="R206">
            <v>71171.869999999893</v>
          </cell>
          <cell r="S206">
            <v>9367.3299999999908</v>
          </cell>
        </row>
        <row r="207">
          <cell r="A207" t="str">
            <v>1000/1409       NPK 4-12-32</v>
          </cell>
          <cell r="B207" t="str">
            <v>1001988    ROLNIK-KOŚCIAN</v>
          </cell>
          <cell r="C207" t="str">
            <v>KB Sprzed. bezpośrednia</v>
          </cell>
          <cell r="D207">
            <v>783034.77</v>
          </cell>
          <cell r="E207">
            <v>915.5</v>
          </cell>
          <cell r="F207">
            <v>591347.32999999903</v>
          </cell>
          <cell r="G207">
            <v>32589.22</v>
          </cell>
          <cell r="H207">
            <v>19559.580000000002</v>
          </cell>
          <cell r="I207">
            <v>15249.12</v>
          </cell>
          <cell r="J207">
            <v>0</v>
          </cell>
          <cell r="K207">
            <v>34808.699999999903</v>
          </cell>
          <cell r="L207">
            <v>658745.25</v>
          </cell>
          <cell r="M207">
            <v>124289.52</v>
          </cell>
          <cell r="N207">
            <v>0</v>
          </cell>
          <cell r="O207">
            <v>658745.25</v>
          </cell>
          <cell r="P207">
            <v>124289.52</v>
          </cell>
          <cell r="Q207">
            <v>2807.59</v>
          </cell>
          <cell r="R207">
            <v>661552.83999999904</v>
          </cell>
          <cell r="S207">
            <v>121481.929999999</v>
          </cell>
        </row>
        <row r="208">
          <cell r="A208" t="str">
            <v>1000/1409       NPK 4-12-32</v>
          </cell>
          <cell r="B208" t="str">
            <v>1001992    PLON Pastuszka Kazał</v>
          </cell>
          <cell r="C208" t="str">
            <v>KB Sprzed. bezpośrednia</v>
          </cell>
          <cell r="D208">
            <v>20338.799999999901</v>
          </cell>
          <cell r="E208">
            <v>24</v>
          </cell>
          <cell r="F208">
            <v>14569.9</v>
          </cell>
          <cell r="G208">
            <v>846.5</v>
          </cell>
          <cell r="H208">
            <v>512.75</v>
          </cell>
          <cell r="I208">
            <v>1518.96</v>
          </cell>
          <cell r="J208">
            <v>0</v>
          </cell>
          <cell r="K208">
            <v>2031.71</v>
          </cell>
          <cell r="L208">
            <v>17448.11</v>
          </cell>
          <cell r="M208">
            <v>2890.69</v>
          </cell>
          <cell r="N208">
            <v>0</v>
          </cell>
          <cell r="O208">
            <v>17448.11</v>
          </cell>
          <cell r="P208">
            <v>2890.69</v>
          </cell>
          <cell r="Q208">
            <v>69.17</v>
          </cell>
          <cell r="R208">
            <v>17517.279999999901</v>
          </cell>
          <cell r="S208">
            <v>2821.52</v>
          </cell>
        </row>
        <row r="209">
          <cell r="A209" t="str">
            <v>1000/1409       NPK 4-12-32</v>
          </cell>
          <cell r="B209" t="str">
            <v>1001994    SKR-STRZELCE</v>
          </cell>
          <cell r="C209" t="str">
            <v>KB Sprzed. bezpośrednia</v>
          </cell>
          <cell r="D209">
            <v>69141.36</v>
          </cell>
          <cell r="E209">
            <v>84</v>
          </cell>
          <cell r="F209">
            <v>51896.489999999903</v>
          </cell>
          <cell r="G209">
            <v>2877.51</v>
          </cell>
          <cell r="H209">
            <v>1794.63</v>
          </cell>
          <cell r="I209">
            <v>3369.1199999999899</v>
          </cell>
          <cell r="J209">
            <v>0</v>
          </cell>
          <cell r="K209">
            <v>5163.75</v>
          </cell>
          <cell r="L209">
            <v>59937.75</v>
          </cell>
          <cell r="M209">
            <v>9203.61</v>
          </cell>
          <cell r="N209">
            <v>0</v>
          </cell>
          <cell r="O209">
            <v>59937.75</v>
          </cell>
          <cell r="P209">
            <v>9203.61</v>
          </cell>
          <cell r="Q209">
            <v>246.38999999999899</v>
          </cell>
          <cell r="R209">
            <v>60184.139999999898</v>
          </cell>
          <cell r="S209">
            <v>8957.2199999999903</v>
          </cell>
        </row>
        <row r="210">
          <cell r="A210" t="str">
            <v>1000/1409       NPK 4-12-32</v>
          </cell>
          <cell r="B210" t="str">
            <v>1002005    LAMCH-TOMI</v>
          </cell>
          <cell r="C210" t="str">
            <v>KB Sprzed. bezpośrednia</v>
          </cell>
          <cell r="D210">
            <v>9631.0799999999908</v>
          </cell>
          <cell r="E210">
            <v>12</v>
          </cell>
          <cell r="F210">
            <v>7284.9499999999898</v>
          </cell>
          <cell r="G210">
            <v>400.81</v>
          </cell>
          <cell r="H210">
            <v>256.37</v>
          </cell>
          <cell r="I210">
            <v>0</v>
          </cell>
          <cell r="J210">
            <v>0</v>
          </cell>
          <cell r="K210">
            <v>256.37</v>
          </cell>
          <cell r="L210">
            <v>7942.13</v>
          </cell>
          <cell r="M210">
            <v>1688.95</v>
          </cell>
          <cell r="N210">
            <v>0</v>
          </cell>
          <cell r="O210">
            <v>7942.13</v>
          </cell>
          <cell r="P210">
            <v>1688.95</v>
          </cell>
          <cell r="Q210">
            <v>34.590000000000003</v>
          </cell>
          <cell r="R210">
            <v>7976.72</v>
          </cell>
          <cell r="S210">
            <v>1654.3599999999899</v>
          </cell>
        </row>
        <row r="211">
          <cell r="A211" t="str">
            <v>1000/1409       NPK 4-12-32</v>
          </cell>
          <cell r="B211" t="str">
            <v>1002009    AGROTECHNI</v>
          </cell>
          <cell r="C211" t="str">
            <v>KB Sprzed. bezpośrednia</v>
          </cell>
          <cell r="D211">
            <v>10380</v>
          </cell>
          <cell r="E211">
            <v>12</v>
          </cell>
          <cell r="F211">
            <v>7284.9499999999898</v>
          </cell>
          <cell r="G211">
            <v>432.02999999999901</v>
          </cell>
          <cell r="H211">
            <v>256.37</v>
          </cell>
          <cell r="I211">
            <v>600.48</v>
          </cell>
          <cell r="J211">
            <v>0</v>
          </cell>
          <cell r="K211">
            <v>856.85</v>
          </cell>
          <cell r="L211">
            <v>8573.8299999999908</v>
          </cell>
          <cell r="M211">
            <v>1806.17</v>
          </cell>
          <cell r="N211">
            <v>0</v>
          </cell>
          <cell r="O211">
            <v>8573.8299999999908</v>
          </cell>
          <cell r="P211">
            <v>1806.17</v>
          </cell>
          <cell r="Q211">
            <v>34.590000000000003</v>
          </cell>
          <cell r="R211">
            <v>8608.42</v>
          </cell>
          <cell r="S211">
            <v>1771.5799999999899</v>
          </cell>
        </row>
        <row r="212">
          <cell r="A212" t="str">
            <v>1000/1409       NPK 4-12-32</v>
          </cell>
          <cell r="B212" t="str">
            <v>1002058    GS-Gardeja</v>
          </cell>
          <cell r="C212" t="str">
            <v>KC Centra dystrybucji</v>
          </cell>
          <cell r="D212">
            <v>4870.8</v>
          </cell>
          <cell r="E212">
            <v>6</v>
          </cell>
          <cell r="F212">
            <v>4111.79</v>
          </cell>
          <cell r="G212">
            <v>202.72</v>
          </cell>
          <cell r="H212">
            <v>128.19</v>
          </cell>
          <cell r="I212">
            <v>0</v>
          </cell>
          <cell r="J212">
            <v>0</v>
          </cell>
          <cell r="K212">
            <v>128.19</v>
          </cell>
          <cell r="L212">
            <v>4442.6999999999898</v>
          </cell>
          <cell r="M212">
            <v>428.1</v>
          </cell>
          <cell r="N212">
            <v>0</v>
          </cell>
          <cell r="O212">
            <v>4442.6999999999898</v>
          </cell>
          <cell r="P212">
            <v>428.1</v>
          </cell>
          <cell r="Q212">
            <v>19.52</v>
          </cell>
          <cell r="R212">
            <v>4462.22</v>
          </cell>
          <cell r="S212">
            <v>408.57999999999902</v>
          </cell>
        </row>
        <row r="213">
          <cell r="A213" t="str">
            <v>1000/1409       NPK 4-12-32</v>
          </cell>
          <cell r="B213" t="str">
            <v>1002151    "AGRO-HANDEL"</v>
          </cell>
          <cell r="C213" t="str">
            <v>KB Sprzed. bezpośrednia</v>
          </cell>
          <cell r="D213">
            <v>10169.4</v>
          </cell>
          <cell r="E213">
            <v>12</v>
          </cell>
          <cell r="F213">
            <v>7284.9499999999898</v>
          </cell>
          <cell r="G213">
            <v>423.27999999999901</v>
          </cell>
          <cell r="H213">
            <v>256.37</v>
          </cell>
          <cell r="I213">
            <v>842.27999999999895</v>
          </cell>
          <cell r="J213">
            <v>0</v>
          </cell>
          <cell r="K213">
            <v>1098.6500000000001</v>
          </cell>
          <cell r="L213">
            <v>8806.8799999999901</v>
          </cell>
          <cell r="M213">
            <v>1362.52</v>
          </cell>
          <cell r="N213">
            <v>0</v>
          </cell>
          <cell r="O213">
            <v>8806.8799999999901</v>
          </cell>
          <cell r="P213">
            <v>1362.52</v>
          </cell>
          <cell r="Q213">
            <v>34.590000000000003</v>
          </cell>
          <cell r="R213">
            <v>8841.4699999999903</v>
          </cell>
          <cell r="S213">
            <v>1327.93</v>
          </cell>
        </row>
        <row r="214">
          <cell r="A214" t="str">
            <v>1000/1409       NPK 4-12-32</v>
          </cell>
          <cell r="B214" t="str">
            <v>1002657    "AGROFIRMA"-TOMASZ W</v>
          </cell>
          <cell r="C214" t="str">
            <v>KB Sprzed. bezpośrednia</v>
          </cell>
          <cell r="D214">
            <v>16051.799999999899</v>
          </cell>
          <cell r="E214">
            <v>20</v>
          </cell>
          <cell r="F214">
            <v>13010.549999999899</v>
          </cell>
          <cell r="G214">
            <v>668.11</v>
          </cell>
          <cell r="H214">
            <v>427.3</v>
          </cell>
          <cell r="I214">
            <v>0</v>
          </cell>
          <cell r="J214">
            <v>0</v>
          </cell>
          <cell r="K214">
            <v>427.3</v>
          </cell>
          <cell r="L214">
            <v>14105.959999999901</v>
          </cell>
          <cell r="M214">
            <v>1945.8399999999899</v>
          </cell>
          <cell r="N214">
            <v>0</v>
          </cell>
          <cell r="O214">
            <v>14105.959999999901</v>
          </cell>
          <cell r="P214">
            <v>1945.8399999999899</v>
          </cell>
          <cell r="Q214">
            <v>61.78</v>
          </cell>
          <cell r="R214">
            <v>14167.74</v>
          </cell>
          <cell r="S214">
            <v>1884.0599999999899</v>
          </cell>
        </row>
        <row r="215">
          <cell r="A215" t="str">
            <v>1000/1409       NPK 4-12-32</v>
          </cell>
          <cell r="B215" t="str">
            <v>1002912    "SOMIR" SP. Z O.O.</v>
          </cell>
          <cell r="C215" t="str">
            <v>KB Sprzed. bezpośrednia</v>
          </cell>
          <cell r="D215">
            <v>19184.88</v>
          </cell>
          <cell r="E215">
            <v>24</v>
          </cell>
          <cell r="F215">
            <v>14569.9</v>
          </cell>
          <cell r="G215">
            <v>798.46</v>
          </cell>
          <cell r="H215">
            <v>512.75</v>
          </cell>
          <cell r="I215">
            <v>0</v>
          </cell>
          <cell r="J215">
            <v>0</v>
          </cell>
          <cell r="K215">
            <v>512.75</v>
          </cell>
          <cell r="L215">
            <v>15881.11</v>
          </cell>
          <cell r="M215">
            <v>3303.77</v>
          </cell>
          <cell r="N215">
            <v>0</v>
          </cell>
          <cell r="O215">
            <v>15881.11</v>
          </cell>
          <cell r="P215">
            <v>3303.77</v>
          </cell>
          <cell r="Q215">
            <v>69.17</v>
          </cell>
          <cell r="R215">
            <v>15950.28</v>
          </cell>
          <cell r="S215">
            <v>3234.5999999999899</v>
          </cell>
        </row>
        <row r="216">
          <cell r="A216" t="str">
            <v>1000/1409       NPK 4-12-32</v>
          </cell>
          <cell r="B216" t="str">
            <v>1003056    LECHPOL SP. Z O.O.</v>
          </cell>
          <cell r="C216" t="str">
            <v>KB Sprzed. bezpośrednia</v>
          </cell>
          <cell r="D216">
            <v>192196.079999999</v>
          </cell>
          <cell r="E216">
            <v>240</v>
          </cell>
          <cell r="F216">
            <v>147784.519999999</v>
          </cell>
          <cell r="G216">
            <v>7998.9899999999898</v>
          </cell>
          <cell r="H216">
            <v>5127.59</v>
          </cell>
          <cell r="I216">
            <v>0</v>
          </cell>
          <cell r="J216">
            <v>0</v>
          </cell>
          <cell r="K216">
            <v>5127.59</v>
          </cell>
          <cell r="L216">
            <v>160911.1</v>
          </cell>
          <cell r="M216">
            <v>31284.98</v>
          </cell>
          <cell r="N216">
            <v>0</v>
          </cell>
          <cell r="O216">
            <v>160911.1</v>
          </cell>
          <cell r="P216">
            <v>31284.98</v>
          </cell>
          <cell r="Q216">
            <v>701.66999999999905</v>
          </cell>
          <cell r="R216">
            <v>161612.769999999</v>
          </cell>
          <cell r="S216">
            <v>30583.31</v>
          </cell>
        </row>
        <row r="217">
          <cell r="A217" t="str">
            <v>1000/1409       NPK 4-12-32</v>
          </cell>
          <cell r="B217" t="str">
            <v>1003315    ZAKŁAD OBROTU ROLNEG</v>
          </cell>
          <cell r="C217" t="str">
            <v>KC Centra dystrybucji</v>
          </cell>
          <cell r="D217">
            <v>34061.160000000003</v>
          </cell>
          <cell r="E217">
            <v>42</v>
          </cell>
          <cell r="F217">
            <v>25497.32</v>
          </cell>
          <cell r="G217">
            <v>1417.5999999999899</v>
          </cell>
          <cell r="H217">
            <v>897.33</v>
          </cell>
          <cell r="I217">
            <v>0</v>
          </cell>
          <cell r="J217">
            <v>0</v>
          </cell>
          <cell r="K217">
            <v>897.33</v>
          </cell>
          <cell r="L217">
            <v>27812.25</v>
          </cell>
          <cell r="M217">
            <v>6248.9099999999899</v>
          </cell>
          <cell r="N217">
            <v>0</v>
          </cell>
          <cell r="O217">
            <v>27812.25</v>
          </cell>
          <cell r="P217">
            <v>6248.9099999999899</v>
          </cell>
          <cell r="Q217">
            <v>121.069999999999</v>
          </cell>
          <cell r="R217">
            <v>27933.32</v>
          </cell>
          <cell r="S217">
            <v>6127.84</v>
          </cell>
        </row>
        <row r="218">
          <cell r="A218" t="str">
            <v>1000/1409       NPK 4-12-32</v>
          </cell>
          <cell r="B218" t="str">
            <v>1003605    "AGROMUND"</v>
          </cell>
          <cell r="C218" t="str">
            <v>KB Sprzed. bezpośrednia</v>
          </cell>
          <cell r="D218">
            <v>19680</v>
          </cell>
          <cell r="E218">
            <v>24</v>
          </cell>
          <cell r="F218">
            <v>15612.66</v>
          </cell>
          <cell r="G218">
            <v>819.07</v>
          </cell>
          <cell r="H218">
            <v>512.75</v>
          </cell>
          <cell r="I218">
            <v>0</v>
          </cell>
          <cell r="J218">
            <v>0</v>
          </cell>
          <cell r="K218">
            <v>512.75</v>
          </cell>
          <cell r="L218">
            <v>16944.48</v>
          </cell>
          <cell r="M218">
            <v>2735.52</v>
          </cell>
          <cell r="N218">
            <v>0</v>
          </cell>
          <cell r="O218">
            <v>16944.48</v>
          </cell>
          <cell r="P218">
            <v>2735.52</v>
          </cell>
          <cell r="Q218">
            <v>74.1099999999999</v>
          </cell>
          <cell r="R218">
            <v>17018.59</v>
          </cell>
          <cell r="S218">
            <v>2661.4099999999899</v>
          </cell>
        </row>
        <row r="219">
          <cell r="A219" t="str">
            <v>1000/1409       NPK 4-12-32</v>
          </cell>
          <cell r="B219" t="str">
            <v>1003773    "NIRO"</v>
          </cell>
          <cell r="C219" t="str">
            <v>KB Sprzed. bezpośrednia</v>
          </cell>
          <cell r="D219">
            <v>19184.88</v>
          </cell>
          <cell r="E219">
            <v>24</v>
          </cell>
          <cell r="F219">
            <v>14569.9</v>
          </cell>
          <cell r="G219">
            <v>798.46</v>
          </cell>
          <cell r="H219">
            <v>512.75</v>
          </cell>
          <cell r="I219">
            <v>0</v>
          </cell>
          <cell r="J219">
            <v>0</v>
          </cell>
          <cell r="K219">
            <v>512.75</v>
          </cell>
          <cell r="L219">
            <v>15881.11</v>
          </cell>
          <cell r="M219">
            <v>3303.77</v>
          </cell>
          <cell r="N219">
            <v>0</v>
          </cell>
          <cell r="O219">
            <v>15881.11</v>
          </cell>
          <cell r="P219">
            <v>3303.77</v>
          </cell>
          <cell r="Q219">
            <v>69.17</v>
          </cell>
          <cell r="R219">
            <v>15950.28</v>
          </cell>
          <cell r="S219">
            <v>3234.5999999999899</v>
          </cell>
        </row>
        <row r="220">
          <cell r="A220" t="str">
            <v>1000/1409       NPK 4-12-32</v>
          </cell>
          <cell r="B220" t="str">
            <v>1003857    EDMAR</v>
          </cell>
          <cell r="C220" t="str">
            <v>KB Sprzed. bezpośrednia</v>
          </cell>
          <cell r="D220">
            <v>98640.27</v>
          </cell>
          <cell r="E220">
            <v>117</v>
          </cell>
          <cell r="F220">
            <v>71028.259999999893</v>
          </cell>
          <cell r="G220">
            <v>4105.3100000000004</v>
          </cell>
          <cell r="H220">
            <v>2499.69</v>
          </cell>
          <cell r="I220">
            <v>8671.67</v>
          </cell>
          <cell r="J220">
            <v>0</v>
          </cell>
          <cell r="K220">
            <v>11171.36</v>
          </cell>
          <cell r="L220">
            <v>86304.929999999906</v>
          </cell>
          <cell r="M220">
            <v>12335.34</v>
          </cell>
          <cell r="N220">
            <v>0</v>
          </cell>
          <cell r="O220">
            <v>86304.929999999906</v>
          </cell>
          <cell r="P220">
            <v>12335.34</v>
          </cell>
          <cell r="Q220">
            <v>337.22</v>
          </cell>
          <cell r="R220">
            <v>86642.149999999907</v>
          </cell>
          <cell r="S220">
            <v>11998.12</v>
          </cell>
        </row>
        <row r="221">
          <cell r="A221" t="str">
            <v>1000/1409       NPK 4-12-32</v>
          </cell>
          <cell r="B221" t="str">
            <v>1003857    EDMAR</v>
          </cell>
          <cell r="C221" t="str">
            <v>KC Centra dystrybucji</v>
          </cell>
          <cell r="D221">
            <v>9780.95999999999</v>
          </cell>
          <cell r="E221">
            <v>12</v>
          </cell>
          <cell r="F221">
            <v>8223.5799999999908</v>
          </cell>
          <cell r="G221">
            <v>407.06999999999903</v>
          </cell>
          <cell r="H221">
            <v>256.37</v>
          </cell>
          <cell r="I221">
            <v>0</v>
          </cell>
          <cell r="J221">
            <v>0</v>
          </cell>
          <cell r="K221">
            <v>256.37</v>
          </cell>
          <cell r="L221">
            <v>8887.02</v>
          </cell>
          <cell r="M221">
            <v>893.94</v>
          </cell>
          <cell r="N221">
            <v>0</v>
          </cell>
          <cell r="O221">
            <v>8887.02</v>
          </cell>
          <cell r="P221">
            <v>893.94</v>
          </cell>
          <cell r="Q221">
            <v>39.03</v>
          </cell>
          <cell r="R221">
            <v>8926.0499999999902</v>
          </cell>
          <cell r="S221">
            <v>854.90999999999894</v>
          </cell>
        </row>
        <row r="222">
          <cell r="A222" t="str">
            <v>1000/1409       NPK 4-12-32</v>
          </cell>
          <cell r="B222" t="str">
            <v>1003907    "MAJA"</v>
          </cell>
          <cell r="C222" t="str">
            <v>KB Sprzed. bezpośrednia</v>
          </cell>
          <cell r="D222">
            <v>20196</v>
          </cell>
          <cell r="E222">
            <v>24</v>
          </cell>
          <cell r="F222">
            <v>14569.9</v>
          </cell>
          <cell r="G222">
            <v>840.50999999999897</v>
          </cell>
          <cell r="H222">
            <v>512.75</v>
          </cell>
          <cell r="I222">
            <v>924.96</v>
          </cell>
          <cell r="J222">
            <v>0</v>
          </cell>
          <cell r="K222">
            <v>1437.71</v>
          </cell>
          <cell r="L222">
            <v>16848.119999999901</v>
          </cell>
          <cell r="M222">
            <v>3347.88</v>
          </cell>
          <cell r="N222">
            <v>0</v>
          </cell>
          <cell r="O222">
            <v>16848.119999999901</v>
          </cell>
          <cell r="P222">
            <v>3347.88</v>
          </cell>
          <cell r="Q222">
            <v>69.17</v>
          </cell>
          <cell r="R222">
            <v>16917.29</v>
          </cell>
          <cell r="S222">
            <v>3278.71</v>
          </cell>
        </row>
        <row r="223">
          <cell r="A223" t="str">
            <v>1000/1409       NPK 4-12-32</v>
          </cell>
          <cell r="B223" t="str">
            <v>1003988    BLENDING Sp.z o.o.</v>
          </cell>
          <cell r="C223" t="str">
            <v>KB Sprzed. bezpośrednia</v>
          </cell>
          <cell r="D223">
            <v>79219.279999999897</v>
          </cell>
          <cell r="E223">
            <v>97</v>
          </cell>
          <cell r="F223">
            <v>64297.72</v>
          </cell>
          <cell r="G223">
            <v>3297.07</v>
          </cell>
          <cell r="H223">
            <v>2072.3699999999899</v>
          </cell>
          <cell r="I223">
            <v>1118.52</v>
          </cell>
          <cell r="J223">
            <v>0</v>
          </cell>
          <cell r="K223">
            <v>3190.8899999999899</v>
          </cell>
          <cell r="L223">
            <v>70785.679999999906</v>
          </cell>
          <cell r="M223">
            <v>8433.6</v>
          </cell>
          <cell r="N223">
            <v>0</v>
          </cell>
          <cell r="O223">
            <v>70785.679999999906</v>
          </cell>
          <cell r="P223">
            <v>8433.6</v>
          </cell>
          <cell r="Q223">
            <v>305.26999999999902</v>
          </cell>
          <cell r="R223">
            <v>71090.949999999895</v>
          </cell>
          <cell r="S223">
            <v>8128.3299999999899</v>
          </cell>
        </row>
        <row r="224">
          <cell r="A224" t="str">
            <v>1000/1409       NPK 4-12-32</v>
          </cell>
          <cell r="B224" t="str">
            <v>1004168    "OSADKOWSKI" SPÓŁKA</v>
          </cell>
          <cell r="C224" t="str">
            <v>KB Sprzed. bezpośrednia</v>
          </cell>
          <cell r="D224">
            <v>39418.800000000003</v>
          </cell>
          <cell r="E224">
            <v>48</v>
          </cell>
          <cell r="F224">
            <v>29139.799999999901</v>
          </cell>
          <cell r="G224">
            <v>1640.5999999999899</v>
          </cell>
          <cell r="H224">
            <v>1025.53</v>
          </cell>
          <cell r="I224">
            <v>780.48</v>
          </cell>
          <cell r="J224">
            <v>0</v>
          </cell>
          <cell r="K224">
            <v>1806.01</v>
          </cell>
          <cell r="L224">
            <v>32586.41</v>
          </cell>
          <cell r="M224">
            <v>6832.39</v>
          </cell>
          <cell r="N224">
            <v>0</v>
          </cell>
          <cell r="O224">
            <v>32586.41</v>
          </cell>
          <cell r="P224">
            <v>6832.39</v>
          </cell>
          <cell r="Q224">
            <v>138.349999999999</v>
          </cell>
          <cell r="R224">
            <v>32724.7599999999</v>
          </cell>
          <cell r="S224">
            <v>6694.04</v>
          </cell>
        </row>
        <row r="225">
          <cell r="A225" t="str">
            <v>1000/1409       NPK 4-12-32</v>
          </cell>
          <cell r="B225" t="str">
            <v>1004710    "AGRICOLA-LUBLIN" SP</v>
          </cell>
          <cell r="C225" t="str">
            <v>KB Sprzed. bezpośrednia</v>
          </cell>
          <cell r="D225">
            <v>24132.04</v>
          </cell>
          <cell r="E225">
            <v>29</v>
          </cell>
          <cell r="F225">
            <v>18517.709999999901</v>
          </cell>
          <cell r="G225">
            <v>1004.33</v>
          </cell>
          <cell r="H225">
            <v>619.82000000000005</v>
          </cell>
          <cell r="I225">
            <v>1516</v>
          </cell>
          <cell r="J225">
            <v>0</v>
          </cell>
          <cell r="K225">
            <v>2135.8200000000002</v>
          </cell>
          <cell r="L225">
            <v>21657.86</v>
          </cell>
          <cell r="M225">
            <v>2474.1799999999898</v>
          </cell>
          <cell r="N225">
            <v>0</v>
          </cell>
          <cell r="O225">
            <v>21657.86</v>
          </cell>
          <cell r="P225">
            <v>2474.1799999999898</v>
          </cell>
          <cell r="Q225">
            <v>87.939999999999898</v>
          </cell>
          <cell r="R225">
            <v>21745.799999999901</v>
          </cell>
          <cell r="S225">
            <v>2386.2399999999898</v>
          </cell>
        </row>
        <row r="226">
          <cell r="A226" t="str">
            <v>1000/1411       NPK MG 5-15-30-2</v>
          </cell>
          <cell r="B226" t="str">
            <v>1000150    GS-GRODZIS</v>
          </cell>
          <cell r="C226" t="str">
            <v>KB Sprzed. bezpośrednia</v>
          </cell>
          <cell r="D226">
            <v>20937.119999999901</v>
          </cell>
          <cell r="E226">
            <v>24</v>
          </cell>
          <cell r="F226">
            <v>14483.28</v>
          </cell>
          <cell r="G226">
            <v>871.38</v>
          </cell>
          <cell r="H226">
            <v>270.69999999999902</v>
          </cell>
          <cell r="I226">
            <v>1979.52</v>
          </cell>
          <cell r="J226">
            <v>0</v>
          </cell>
          <cell r="K226">
            <v>2250.2199999999898</v>
          </cell>
          <cell r="L226">
            <v>17604.88</v>
          </cell>
          <cell r="M226">
            <v>3332.2399999999898</v>
          </cell>
          <cell r="N226">
            <v>0</v>
          </cell>
          <cell r="O226">
            <v>17604.88</v>
          </cell>
          <cell r="P226">
            <v>3332.2399999999898</v>
          </cell>
          <cell r="Q226">
            <v>68.75</v>
          </cell>
          <cell r="R226">
            <v>17673.63</v>
          </cell>
          <cell r="S226">
            <v>3263.4899999999898</v>
          </cell>
        </row>
        <row r="227">
          <cell r="A227" t="str">
            <v>1000/1411       NPK MG 5-15-30-2</v>
          </cell>
          <cell r="B227" t="str">
            <v>1000182    AGRA NOWA</v>
          </cell>
          <cell r="C227" t="str">
            <v>KB Sprzed. bezpośrednia</v>
          </cell>
          <cell r="D227">
            <v>21310.75</v>
          </cell>
          <cell r="E227">
            <v>25</v>
          </cell>
          <cell r="F227">
            <v>15086.76</v>
          </cell>
          <cell r="G227">
            <v>886.98</v>
          </cell>
          <cell r="H227">
            <v>281.95999999999901</v>
          </cell>
          <cell r="I227">
            <v>1426.97</v>
          </cell>
          <cell r="J227">
            <v>0</v>
          </cell>
          <cell r="K227">
            <v>1708.93</v>
          </cell>
          <cell r="L227">
            <v>17682.6699999999</v>
          </cell>
          <cell r="M227">
            <v>3628.0799999999899</v>
          </cell>
          <cell r="N227">
            <v>0</v>
          </cell>
          <cell r="O227">
            <v>17682.6699999999</v>
          </cell>
          <cell r="P227">
            <v>3628.0799999999899</v>
          </cell>
          <cell r="Q227">
            <v>71.629999999999896</v>
          </cell>
          <cell r="R227">
            <v>17754.299999999901</v>
          </cell>
          <cell r="S227">
            <v>3556.4499999999898</v>
          </cell>
        </row>
        <row r="228">
          <cell r="A228" t="str">
            <v>1000/1411       NPK MG 5-15-30-2</v>
          </cell>
          <cell r="B228" t="str">
            <v>1000204    FLORA Sp. z o.o. PRA</v>
          </cell>
          <cell r="C228" t="str">
            <v>KB Sprzed. bezpośrednia</v>
          </cell>
          <cell r="D228">
            <v>41727.120000000003</v>
          </cell>
          <cell r="E228">
            <v>48</v>
          </cell>
          <cell r="F228">
            <v>30468.889999999901</v>
          </cell>
          <cell r="G228">
            <v>1736.63</v>
          </cell>
          <cell r="H228">
            <v>541.39999999999895</v>
          </cell>
          <cell r="I228">
            <v>2554.3200000000002</v>
          </cell>
          <cell r="J228">
            <v>0</v>
          </cell>
          <cell r="K228">
            <v>3095.7199999999898</v>
          </cell>
          <cell r="L228">
            <v>35301.239999999903</v>
          </cell>
          <cell r="M228">
            <v>6425.88</v>
          </cell>
          <cell r="N228">
            <v>0</v>
          </cell>
          <cell r="O228">
            <v>35301.239999999903</v>
          </cell>
          <cell r="P228">
            <v>6425.88</v>
          </cell>
          <cell r="Q228">
            <v>144.66</v>
          </cell>
          <cell r="R228">
            <v>35445.9</v>
          </cell>
          <cell r="S228">
            <v>6281.22</v>
          </cell>
        </row>
        <row r="229">
          <cell r="A229" t="str">
            <v>1000/1411       NPK MG 5-15-30-2</v>
          </cell>
          <cell r="B229" t="str">
            <v>1000205    SKŁODOWSKI</v>
          </cell>
          <cell r="C229" t="str">
            <v>KB Sprzed. bezpośrednia</v>
          </cell>
          <cell r="D229">
            <v>40636.800000000003</v>
          </cell>
          <cell r="E229">
            <v>48</v>
          </cell>
          <cell r="F229">
            <v>28966.560000000001</v>
          </cell>
          <cell r="G229">
            <v>1691.29</v>
          </cell>
          <cell r="H229">
            <v>541.38999999999896</v>
          </cell>
          <cell r="I229">
            <v>3421.44</v>
          </cell>
          <cell r="J229">
            <v>0</v>
          </cell>
          <cell r="K229">
            <v>3962.8299999999899</v>
          </cell>
          <cell r="L229">
            <v>34620.68</v>
          </cell>
          <cell r="M229">
            <v>6016.1199999999899</v>
          </cell>
          <cell r="N229">
            <v>0</v>
          </cell>
          <cell r="O229">
            <v>34620.68</v>
          </cell>
          <cell r="P229">
            <v>6016.1199999999899</v>
          </cell>
          <cell r="Q229">
            <v>137.53</v>
          </cell>
          <cell r="R229">
            <v>34758.209999999897</v>
          </cell>
          <cell r="S229">
            <v>5878.59</v>
          </cell>
        </row>
        <row r="230">
          <cell r="A230" t="str">
            <v>1000/1411       NPK MG 5-15-30-2</v>
          </cell>
          <cell r="B230" t="str">
            <v>1000226    MAŁECCY</v>
          </cell>
          <cell r="C230" t="str">
            <v>KB Sprzed. bezpośrednia</v>
          </cell>
          <cell r="D230">
            <v>19860.240000000002</v>
          </cell>
          <cell r="E230">
            <v>24</v>
          </cell>
          <cell r="F230">
            <v>14483.29</v>
          </cell>
          <cell r="G230">
            <v>826.51999999999896</v>
          </cell>
          <cell r="H230">
            <v>270.69999999999902</v>
          </cell>
          <cell r="I230">
            <v>0</v>
          </cell>
          <cell r="J230">
            <v>0</v>
          </cell>
          <cell r="K230">
            <v>270.69999999999902</v>
          </cell>
          <cell r="L230">
            <v>15580.51</v>
          </cell>
          <cell r="M230">
            <v>4279.7299999999896</v>
          </cell>
          <cell r="N230">
            <v>0</v>
          </cell>
          <cell r="O230">
            <v>15580.51</v>
          </cell>
          <cell r="P230">
            <v>4279.7299999999896</v>
          </cell>
          <cell r="Q230">
            <v>68.75</v>
          </cell>
          <cell r="R230">
            <v>15649.26</v>
          </cell>
          <cell r="S230">
            <v>4210.9799999999896</v>
          </cell>
        </row>
        <row r="231">
          <cell r="A231" t="str">
            <v>1000/1411       NPK MG 5-15-30-2</v>
          </cell>
          <cell r="B231" t="str">
            <v>1000252    AGROSKŁAD</v>
          </cell>
          <cell r="C231" t="str">
            <v>KB Sprzed. bezpośrednia</v>
          </cell>
          <cell r="D231">
            <v>90042.75</v>
          </cell>
          <cell r="E231">
            <v>105</v>
          </cell>
          <cell r="F231">
            <v>65842.949999999895</v>
          </cell>
          <cell r="G231">
            <v>3747.51</v>
          </cell>
          <cell r="H231">
            <v>1184.3</v>
          </cell>
          <cell r="I231">
            <v>6658.4399999999896</v>
          </cell>
          <cell r="J231">
            <v>0</v>
          </cell>
          <cell r="K231">
            <v>7842.7399999999898</v>
          </cell>
          <cell r="L231">
            <v>77433.199999999895</v>
          </cell>
          <cell r="M231">
            <v>12609.549999999899</v>
          </cell>
          <cell r="N231">
            <v>0</v>
          </cell>
          <cell r="O231">
            <v>77433.199999999895</v>
          </cell>
          <cell r="P231">
            <v>12609.549999999899</v>
          </cell>
          <cell r="Q231">
            <v>312.58999999999901</v>
          </cell>
          <cell r="R231">
            <v>77745.789999999906</v>
          </cell>
          <cell r="S231">
            <v>12296.959999999901</v>
          </cell>
        </row>
        <row r="232">
          <cell r="A232" t="str">
            <v>1000/1411       NPK MG 5-15-30-2</v>
          </cell>
          <cell r="B232" t="str">
            <v>1000276    JAN GACH FIRMA HANDL</v>
          </cell>
          <cell r="C232" t="str">
            <v>KB Sprzed. bezpośrednia</v>
          </cell>
          <cell r="D232">
            <v>56525.5</v>
          </cell>
          <cell r="E232">
            <v>69</v>
          </cell>
          <cell r="F232">
            <v>45958.599999999897</v>
          </cell>
          <cell r="G232">
            <v>2352.54</v>
          </cell>
          <cell r="H232">
            <v>778.25999999999897</v>
          </cell>
          <cell r="I232">
            <v>0</v>
          </cell>
          <cell r="J232">
            <v>0</v>
          </cell>
          <cell r="K232">
            <v>778.25999999999897</v>
          </cell>
          <cell r="L232">
            <v>49089.4</v>
          </cell>
          <cell r="M232">
            <v>7436.1</v>
          </cell>
          <cell r="N232">
            <v>0</v>
          </cell>
          <cell r="O232">
            <v>49089.4</v>
          </cell>
          <cell r="P232">
            <v>7436.1</v>
          </cell>
          <cell r="Q232">
            <v>218.19999999999899</v>
          </cell>
          <cell r="R232">
            <v>49307.599999999897</v>
          </cell>
          <cell r="S232">
            <v>7217.8999999999896</v>
          </cell>
        </row>
        <row r="233">
          <cell r="A233" t="str">
            <v>1000/1411       NPK MG 5-15-30-2</v>
          </cell>
          <cell r="B233" t="str">
            <v>1000289    PLON A.Darzyński</v>
          </cell>
          <cell r="C233" t="str">
            <v>KB Sprzed. bezpośrednia</v>
          </cell>
          <cell r="D233">
            <v>51867</v>
          </cell>
          <cell r="E233">
            <v>60</v>
          </cell>
          <cell r="F233">
            <v>37710.529999999897</v>
          </cell>
          <cell r="G233">
            <v>2158.6199999999899</v>
          </cell>
          <cell r="H233">
            <v>676.75</v>
          </cell>
          <cell r="I233">
            <v>3211.5599999999899</v>
          </cell>
          <cell r="J233">
            <v>0</v>
          </cell>
          <cell r="K233">
            <v>3888.3099999999899</v>
          </cell>
          <cell r="L233">
            <v>43757.459999999897</v>
          </cell>
          <cell r="M233">
            <v>8109.54</v>
          </cell>
          <cell r="N233">
            <v>0</v>
          </cell>
          <cell r="O233">
            <v>43757.459999999897</v>
          </cell>
          <cell r="P233">
            <v>8109.54</v>
          </cell>
          <cell r="Q233">
            <v>179.069999999999</v>
          </cell>
          <cell r="R233">
            <v>43936.529999999897</v>
          </cell>
          <cell r="S233">
            <v>7930.47</v>
          </cell>
        </row>
        <row r="234">
          <cell r="A234" t="str">
            <v>1000/1411       NPK MG 5-15-30-2</v>
          </cell>
          <cell r="B234" t="str">
            <v>1000293    PHM CHEMAT  M.Richte</v>
          </cell>
          <cell r="C234" t="str">
            <v>KB Sprzed. bezpośrednia</v>
          </cell>
          <cell r="D234">
            <v>9830.52</v>
          </cell>
          <cell r="E234">
            <v>12</v>
          </cell>
          <cell r="F234">
            <v>7241.64</v>
          </cell>
          <cell r="G234">
            <v>409.11</v>
          </cell>
          <cell r="H234">
            <v>135.349999999999</v>
          </cell>
          <cell r="I234">
            <v>0</v>
          </cell>
          <cell r="J234">
            <v>0</v>
          </cell>
          <cell r="K234">
            <v>135.349999999999</v>
          </cell>
          <cell r="L234">
            <v>7786.1</v>
          </cell>
          <cell r="M234">
            <v>2044.42</v>
          </cell>
          <cell r="N234">
            <v>0</v>
          </cell>
          <cell r="O234">
            <v>7786.1</v>
          </cell>
          <cell r="P234">
            <v>2044.42</v>
          </cell>
          <cell r="Q234">
            <v>34.380000000000003</v>
          </cell>
          <cell r="R234">
            <v>7820.4799999999896</v>
          </cell>
          <cell r="S234">
            <v>2010.04</v>
          </cell>
        </row>
        <row r="235">
          <cell r="A235" t="str">
            <v>1000/1411       NPK MG 5-15-30-2</v>
          </cell>
          <cell r="B235" t="str">
            <v>1000524    "CHEMIROL" SP. Z O.O</v>
          </cell>
          <cell r="C235" t="str">
            <v>KB Sprzed. bezpośrednia</v>
          </cell>
          <cell r="D235">
            <v>81730.559999999896</v>
          </cell>
          <cell r="E235">
            <v>96</v>
          </cell>
          <cell r="F235">
            <v>60937.779999999897</v>
          </cell>
          <cell r="G235">
            <v>3401.5</v>
          </cell>
          <cell r="H235">
            <v>1082.78</v>
          </cell>
          <cell r="I235">
            <v>2420.4</v>
          </cell>
          <cell r="J235">
            <v>0</v>
          </cell>
          <cell r="K235">
            <v>3503.1799999999898</v>
          </cell>
          <cell r="L235">
            <v>67842.460000000006</v>
          </cell>
          <cell r="M235">
            <v>13888.1</v>
          </cell>
          <cell r="N235">
            <v>0</v>
          </cell>
          <cell r="O235">
            <v>67842.460000000006</v>
          </cell>
          <cell r="P235">
            <v>13888.1</v>
          </cell>
          <cell r="Q235">
            <v>289.31</v>
          </cell>
          <cell r="R235">
            <v>68131.77</v>
          </cell>
          <cell r="S235">
            <v>13598.79</v>
          </cell>
        </row>
        <row r="236">
          <cell r="A236" t="str">
            <v>1000/1411       NPK MG 5-15-30-2</v>
          </cell>
          <cell r="B236" t="str">
            <v>1000662    SZYMAŃSCY</v>
          </cell>
          <cell r="C236" t="str">
            <v>KB Sprzed. bezpośrednia</v>
          </cell>
          <cell r="D236">
            <v>19661.04</v>
          </cell>
          <cell r="E236">
            <v>24</v>
          </cell>
          <cell r="F236">
            <v>14483.29</v>
          </cell>
          <cell r="G236">
            <v>818.29999999999905</v>
          </cell>
          <cell r="H236">
            <v>270.69999999999902</v>
          </cell>
          <cell r="I236">
            <v>0</v>
          </cell>
          <cell r="J236">
            <v>0</v>
          </cell>
          <cell r="K236">
            <v>270.69999999999902</v>
          </cell>
          <cell r="L236">
            <v>15572.29</v>
          </cell>
          <cell r="M236">
            <v>4088.75</v>
          </cell>
          <cell r="N236">
            <v>0</v>
          </cell>
          <cell r="O236">
            <v>15572.29</v>
          </cell>
          <cell r="P236">
            <v>4088.75</v>
          </cell>
          <cell r="Q236">
            <v>68.75</v>
          </cell>
          <cell r="R236">
            <v>15641.04</v>
          </cell>
          <cell r="S236">
            <v>4020</v>
          </cell>
        </row>
        <row r="237">
          <cell r="A237" t="str">
            <v>1000/1411       NPK MG 5-15-30-2</v>
          </cell>
          <cell r="B237" t="str">
            <v>1000662    SZYMAŃSCY</v>
          </cell>
          <cell r="C237" t="str">
            <v>KC Centra dystrybucji</v>
          </cell>
          <cell r="D237">
            <v>21128.400000000001</v>
          </cell>
          <cell r="E237">
            <v>24</v>
          </cell>
          <cell r="F237">
            <v>16280.059999999899</v>
          </cell>
          <cell r="G237">
            <v>879.32</v>
          </cell>
          <cell r="H237">
            <v>270.69999999999902</v>
          </cell>
          <cell r="I237">
            <v>1075.68</v>
          </cell>
          <cell r="J237">
            <v>0</v>
          </cell>
          <cell r="K237">
            <v>1346.38</v>
          </cell>
          <cell r="L237">
            <v>18505.7599999999</v>
          </cell>
          <cell r="M237">
            <v>2622.6399999999899</v>
          </cell>
          <cell r="N237">
            <v>0</v>
          </cell>
          <cell r="O237">
            <v>18505.7599999999</v>
          </cell>
          <cell r="P237">
            <v>2622.6399999999899</v>
          </cell>
          <cell r="Q237">
            <v>77.290000000000006</v>
          </cell>
          <cell r="R237">
            <v>18583.049999999901</v>
          </cell>
          <cell r="S237">
            <v>2545.3499999999899</v>
          </cell>
        </row>
        <row r="238">
          <cell r="A238" t="str">
            <v>1000/1411       NPK MG 5-15-30-2</v>
          </cell>
          <cell r="B238" t="str">
            <v>1000675    Zaopatrz.Roln. Andrz</v>
          </cell>
          <cell r="C238" t="str">
            <v>KB Sprzed. bezpośrednia</v>
          </cell>
          <cell r="D238">
            <v>20640</v>
          </cell>
          <cell r="E238">
            <v>24</v>
          </cell>
          <cell r="F238">
            <v>15985.6</v>
          </cell>
          <cell r="G238">
            <v>859.00999999999897</v>
          </cell>
          <cell r="H238">
            <v>270.69999999999902</v>
          </cell>
          <cell r="I238">
            <v>1109.04</v>
          </cell>
          <cell r="J238">
            <v>0</v>
          </cell>
          <cell r="K238">
            <v>1379.74</v>
          </cell>
          <cell r="L238">
            <v>18224.3499999999</v>
          </cell>
          <cell r="M238">
            <v>2415.65</v>
          </cell>
          <cell r="N238">
            <v>0</v>
          </cell>
          <cell r="O238">
            <v>18224.3499999999</v>
          </cell>
          <cell r="P238">
            <v>2415.65</v>
          </cell>
          <cell r="Q238">
            <v>75.909999999999897</v>
          </cell>
          <cell r="R238">
            <v>18300.2599999999</v>
          </cell>
          <cell r="S238">
            <v>2339.7399999999898</v>
          </cell>
        </row>
        <row r="239">
          <cell r="A239" t="str">
            <v>1000/1411       NPK MG 5-15-30-2</v>
          </cell>
          <cell r="B239" t="str">
            <v>1000858    BEISELEN - ATR Sp. z</v>
          </cell>
          <cell r="C239" t="str">
            <v>KB Sprzed. bezpośrednia</v>
          </cell>
          <cell r="D239">
            <v>19780.560000000001</v>
          </cell>
          <cell r="E239">
            <v>24</v>
          </cell>
          <cell r="F239">
            <v>14483.29</v>
          </cell>
          <cell r="G239">
            <v>823.22</v>
          </cell>
          <cell r="H239">
            <v>270.69999999999902</v>
          </cell>
          <cell r="I239">
            <v>0</v>
          </cell>
          <cell r="J239">
            <v>0</v>
          </cell>
          <cell r="K239">
            <v>270.69999999999902</v>
          </cell>
          <cell r="L239">
            <v>15577.209999999901</v>
          </cell>
          <cell r="M239">
            <v>4203.3500000000004</v>
          </cell>
          <cell r="N239">
            <v>0</v>
          </cell>
          <cell r="O239">
            <v>15577.209999999901</v>
          </cell>
          <cell r="P239">
            <v>4203.3500000000004</v>
          </cell>
          <cell r="Q239">
            <v>68.75</v>
          </cell>
          <cell r="R239">
            <v>15645.959999999901</v>
          </cell>
          <cell r="S239">
            <v>4134.6000000000004</v>
          </cell>
        </row>
        <row r="240">
          <cell r="A240" t="str">
            <v>1000/1411       NPK MG 5-15-30-2</v>
          </cell>
          <cell r="B240" t="str">
            <v>1000982    TORAL Elżbieta Krupa</v>
          </cell>
          <cell r="C240" t="str">
            <v>KB Sprzed. bezpośrednia</v>
          </cell>
          <cell r="D240">
            <v>21715</v>
          </cell>
          <cell r="E240">
            <v>25</v>
          </cell>
          <cell r="F240">
            <v>15086.76</v>
          </cell>
          <cell r="G240">
            <v>903.7</v>
          </cell>
          <cell r="H240">
            <v>281.95999999999901</v>
          </cell>
          <cell r="I240">
            <v>1098.18</v>
          </cell>
          <cell r="J240">
            <v>0</v>
          </cell>
          <cell r="K240">
            <v>1380.14</v>
          </cell>
          <cell r="L240">
            <v>17370.5999999999</v>
          </cell>
          <cell r="M240">
            <v>4344.3999999999896</v>
          </cell>
          <cell r="N240">
            <v>0</v>
          </cell>
          <cell r="O240">
            <v>17370.5999999999</v>
          </cell>
          <cell r="P240">
            <v>4344.3999999999896</v>
          </cell>
          <cell r="Q240">
            <v>71.629999999999896</v>
          </cell>
          <cell r="R240">
            <v>17442.23</v>
          </cell>
          <cell r="S240">
            <v>4272.7700000000004</v>
          </cell>
        </row>
        <row r="241">
          <cell r="A241" t="str">
            <v>1000/1411       NPK MG 5-15-30-2</v>
          </cell>
          <cell r="B241" t="str">
            <v>1001494    AGROLOK Sp. z o.o.</v>
          </cell>
          <cell r="C241" t="str">
            <v>KB Sprzed. bezpośrednia</v>
          </cell>
          <cell r="D241">
            <v>62370.239999999903</v>
          </cell>
          <cell r="E241">
            <v>72</v>
          </cell>
          <cell r="F241">
            <v>43449.86</v>
          </cell>
          <cell r="G241">
            <v>2595.7800000000002</v>
          </cell>
          <cell r="H241">
            <v>812.1</v>
          </cell>
          <cell r="I241">
            <v>5069.3999999999896</v>
          </cell>
          <cell r="J241">
            <v>0</v>
          </cell>
          <cell r="K241">
            <v>5881.5</v>
          </cell>
          <cell r="L241">
            <v>51927.139999999898</v>
          </cell>
          <cell r="M241">
            <v>10443.1</v>
          </cell>
          <cell r="N241">
            <v>0</v>
          </cell>
          <cell r="O241">
            <v>51927.139999999898</v>
          </cell>
          <cell r="P241">
            <v>10443.1</v>
          </cell>
          <cell r="Q241">
            <v>206.28</v>
          </cell>
          <cell r="R241">
            <v>52133.419999999896</v>
          </cell>
          <cell r="S241">
            <v>10236.82</v>
          </cell>
        </row>
        <row r="242">
          <cell r="A242" t="str">
            <v>1000/1411       NPK MG 5-15-30-2</v>
          </cell>
          <cell r="B242" t="str">
            <v>1001662    AMPOL-MEROL Sp. z o.</v>
          </cell>
          <cell r="C242" t="str">
            <v>KB Sprzed. bezpośrednia</v>
          </cell>
          <cell r="D242">
            <v>163017.84</v>
          </cell>
          <cell r="E242">
            <v>192</v>
          </cell>
          <cell r="F242">
            <v>123377.87</v>
          </cell>
          <cell r="G242">
            <v>6784.63</v>
          </cell>
          <cell r="H242">
            <v>2165.59</v>
          </cell>
          <cell r="I242">
            <v>2076.2399999999898</v>
          </cell>
          <cell r="J242">
            <v>0</v>
          </cell>
          <cell r="K242">
            <v>4241.8299999999899</v>
          </cell>
          <cell r="L242">
            <v>134404.329999999</v>
          </cell>
          <cell r="M242">
            <v>28613.5099999999</v>
          </cell>
          <cell r="N242">
            <v>0</v>
          </cell>
          <cell r="O242">
            <v>134404.329999999</v>
          </cell>
          <cell r="P242">
            <v>28613.5099999999</v>
          </cell>
          <cell r="Q242">
            <v>585.77999999999895</v>
          </cell>
          <cell r="R242">
            <v>134990.109999999</v>
          </cell>
          <cell r="S242">
            <v>28027.73</v>
          </cell>
        </row>
        <row r="243">
          <cell r="A243" t="str">
            <v>1000/1411       NPK MG 5-15-30-2</v>
          </cell>
          <cell r="B243" t="str">
            <v>1001983    FAZOT</v>
          </cell>
          <cell r="C243" t="str">
            <v>KB Sprzed. bezpośrednia</v>
          </cell>
          <cell r="D243">
            <v>9830.52</v>
          </cell>
          <cell r="E243">
            <v>12</v>
          </cell>
          <cell r="F243">
            <v>7241.64</v>
          </cell>
          <cell r="G243">
            <v>409.11</v>
          </cell>
          <cell r="H243">
            <v>135.349999999999</v>
          </cell>
          <cell r="I243">
            <v>0</v>
          </cell>
          <cell r="J243">
            <v>0</v>
          </cell>
          <cell r="K243">
            <v>135.349999999999</v>
          </cell>
          <cell r="L243">
            <v>7786.1</v>
          </cell>
          <cell r="M243">
            <v>2044.42</v>
          </cell>
          <cell r="N243">
            <v>0</v>
          </cell>
          <cell r="O243">
            <v>7786.1</v>
          </cell>
          <cell r="P243">
            <v>2044.42</v>
          </cell>
          <cell r="Q243">
            <v>34.380000000000003</v>
          </cell>
          <cell r="R243">
            <v>7820.4799999999896</v>
          </cell>
          <cell r="S243">
            <v>2010.04</v>
          </cell>
        </row>
        <row r="244">
          <cell r="A244" t="str">
            <v>1000/1411       NPK MG 5-15-30-2</v>
          </cell>
          <cell r="B244" t="str">
            <v>1001988    ROLNIK-KOŚCIAN</v>
          </cell>
          <cell r="C244" t="str">
            <v>KB Sprzed. bezpośrednia</v>
          </cell>
          <cell r="D244">
            <v>73360.320000000007</v>
          </cell>
          <cell r="E244">
            <v>84</v>
          </cell>
          <cell r="F244">
            <v>53433.099999999897</v>
          </cell>
          <cell r="G244">
            <v>3053.0799999999899</v>
          </cell>
          <cell r="H244">
            <v>947.45</v>
          </cell>
          <cell r="I244">
            <v>1184.6400000000001</v>
          </cell>
          <cell r="J244">
            <v>0</v>
          </cell>
          <cell r="K244">
            <v>2132.09</v>
          </cell>
          <cell r="L244">
            <v>58618.269999999902</v>
          </cell>
          <cell r="M244">
            <v>14742.049999999899</v>
          </cell>
          <cell r="N244">
            <v>0</v>
          </cell>
          <cell r="O244">
            <v>58618.269999999902</v>
          </cell>
          <cell r="P244">
            <v>14742.049999999899</v>
          </cell>
          <cell r="Q244">
            <v>253.72</v>
          </cell>
          <cell r="R244">
            <v>58871.989999999903</v>
          </cell>
          <cell r="S244">
            <v>14488.33</v>
          </cell>
        </row>
        <row r="245">
          <cell r="A245" t="str">
            <v>1000/1411       NPK MG 5-15-30-2</v>
          </cell>
          <cell r="B245" t="str">
            <v>1001994    SKR-STRZELCE</v>
          </cell>
          <cell r="C245" t="str">
            <v>KB Sprzed. bezpośrednia</v>
          </cell>
          <cell r="D245">
            <v>112431.3</v>
          </cell>
          <cell r="E245">
            <v>134</v>
          </cell>
          <cell r="F245">
            <v>80865.029999999897</v>
          </cell>
          <cell r="G245">
            <v>4679.3100000000004</v>
          </cell>
          <cell r="H245">
            <v>1511.38</v>
          </cell>
          <cell r="I245">
            <v>2947.1999999999898</v>
          </cell>
          <cell r="J245">
            <v>0</v>
          </cell>
          <cell r="K245">
            <v>4458.5799999999899</v>
          </cell>
          <cell r="L245">
            <v>90002.919999999896</v>
          </cell>
          <cell r="M245">
            <v>22428.38</v>
          </cell>
          <cell r="N245">
            <v>0</v>
          </cell>
          <cell r="O245">
            <v>90002.919999999896</v>
          </cell>
          <cell r="P245">
            <v>22428.38</v>
          </cell>
          <cell r="Q245">
            <v>383.95999999999901</v>
          </cell>
          <cell r="R245">
            <v>90386.880000000005</v>
          </cell>
          <cell r="S245">
            <v>22044.4199999999</v>
          </cell>
        </row>
        <row r="246">
          <cell r="A246" t="str">
            <v>1000/1411       NPK MG 5-15-30-2</v>
          </cell>
          <cell r="B246" t="str">
            <v>1002407    ROLBUD</v>
          </cell>
          <cell r="C246" t="str">
            <v>KB Sprzed. bezpośrednia</v>
          </cell>
          <cell r="D246">
            <v>39030.75</v>
          </cell>
          <cell r="E246">
            <v>47.5</v>
          </cell>
          <cell r="F246">
            <v>28664.8499999999</v>
          </cell>
          <cell r="G246">
            <v>1624.42</v>
          </cell>
          <cell r="H246">
            <v>535.75</v>
          </cell>
          <cell r="I246">
            <v>0</v>
          </cell>
          <cell r="J246">
            <v>0</v>
          </cell>
          <cell r="K246">
            <v>535.75</v>
          </cell>
          <cell r="L246">
            <v>30825.02</v>
          </cell>
          <cell r="M246">
            <v>8205.7299999999905</v>
          </cell>
          <cell r="N246">
            <v>0</v>
          </cell>
          <cell r="O246">
            <v>30825.02</v>
          </cell>
          <cell r="P246">
            <v>8205.7299999999905</v>
          </cell>
          <cell r="Q246">
            <v>136.069999999999</v>
          </cell>
          <cell r="R246">
            <v>30961.09</v>
          </cell>
          <cell r="S246">
            <v>8069.6599999999899</v>
          </cell>
        </row>
        <row r="247">
          <cell r="A247" t="str">
            <v>1000/1411       NPK MG 5-15-30-2</v>
          </cell>
          <cell r="B247" t="str">
            <v>1002556    "AGROPLON" SP. Z O.O</v>
          </cell>
          <cell r="C247" t="str">
            <v>KB Sprzed. bezpośrednia</v>
          </cell>
          <cell r="D247">
            <v>20059.4399999999</v>
          </cell>
          <cell r="E247">
            <v>24</v>
          </cell>
          <cell r="F247">
            <v>14483.29</v>
          </cell>
          <cell r="G247">
            <v>834.85</v>
          </cell>
          <cell r="H247">
            <v>270.69999999999902</v>
          </cell>
          <cell r="I247">
            <v>0</v>
          </cell>
          <cell r="J247">
            <v>0</v>
          </cell>
          <cell r="K247">
            <v>270.69999999999902</v>
          </cell>
          <cell r="L247">
            <v>15588.84</v>
          </cell>
          <cell r="M247">
            <v>4470.6000000000004</v>
          </cell>
          <cell r="N247">
            <v>0</v>
          </cell>
          <cell r="O247">
            <v>15588.84</v>
          </cell>
          <cell r="P247">
            <v>4470.6000000000004</v>
          </cell>
          <cell r="Q247">
            <v>68.75</v>
          </cell>
          <cell r="R247">
            <v>15657.59</v>
          </cell>
          <cell r="S247">
            <v>4401.8500000000004</v>
          </cell>
        </row>
        <row r="248">
          <cell r="A248" t="str">
            <v>1000/1411       NPK MG 5-15-30-2</v>
          </cell>
          <cell r="B248" t="str">
            <v>1002657    "AGROFIRMA"-TOMASZ W</v>
          </cell>
          <cell r="C248" t="str">
            <v>KB Sprzed. bezpośrednia</v>
          </cell>
          <cell r="D248">
            <v>19920</v>
          </cell>
          <cell r="E248">
            <v>24</v>
          </cell>
          <cell r="F248">
            <v>14483.29</v>
          </cell>
          <cell r="G248">
            <v>829.00999999999897</v>
          </cell>
          <cell r="H248">
            <v>270.69999999999902</v>
          </cell>
          <cell r="I248">
            <v>0</v>
          </cell>
          <cell r="J248">
            <v>0</v>
          </cell>
          <cell r="K248">
            <v>270.69999999999902</v>
          </cell>
          <cell r="L248">
            <v>15583</v>
          </cell>
          <cell r="M248">
            <v>4337</v>
          </cell>
          <cell r="N248">
            <v>0</v>
          </cell>
          <cell r="O248">
            <v>15583</v>
          </cell>
          <cell r="P248">
            <v>4337</v>
          </cell>
          <cell r="Q248">
            <v>68.75</v>
          </cell>
          <cell r="R248">
            <v>15651.75</v>
          </cell>
          <cell r="S248">
            <v>4268.25</v>
          </cell>
        </row>
        <row r="249">
          <cell r="A249" t="str">
            <v>1000/1411       NPK MG 5-15-30-2</v>
          </cell>
          <cell r="B249" t="str">
            <v>1002790    AGRO-SKŁAD SZYMON NO</v>
          </cell>
          <cell r="C249" t="str">
            <v>KB Sprzed. bezpośrednia</v>
          </cell>
          <cell r="D249">
            <v>59321.760000000002</v>
          </cell>
          <cell r="E249">
            <v>72</v>
          </cell>
          <cell r="F249">
            <v>44952.18</v>
          </cell>
          <cell r="G249">
            <v>2468.9299999999898</v>
          </cell>
          <cell r="H249">
            <v>812.09</v>
          </cell>
          <cell r="I249">
            <v>0</v>
          </cell>
          <cell r="J249">
            <v>0</v>
          </cell>
          <cell r="K249">
            <v>812.09</v>
          </cell>
          <cell r="L249">
            <v>48233.199999999903</v>
          </cell>
          <cell r="M249">
            <v>11088.559999999899</v>
          </cell>
          <cell r="N249">
            <v>0</v>
          </cell>
          <cell r="O249">
            <v>48233.199999999903</v>
          </cell>
          <cell r="P249">
            <v>11088.559999999899</v>
          </cell>
          <cell r="Q249">
            <v>213.44</v>
          </cell>
          <cell r="R249">
            <v>48446.639999999898</v>
          </cell>
          <cell r="S249">
            <v>10875.12</v>
          </cell>
        </row>
        <row r="250">
          <cell r="A250" t="str">
            <v>1000/1411       NPK MG 5-15-30-2</v>
          </cell>
          <cell r="B250" t="str">
            <v>1003056    LECHPOL SP. Z O.O.</v>
          </cell>
          <cell r="C250" t="str">
            <v>KB Sprzed. bezpośrednia</v>
          </cell>
          <cell r="D250">
            <v>217028.399999999</v>
          </cell>
          <cell r="E250">
            <v>264</v>
          </cell>
          <cell r="F250">
            <v>162320.81</v>
          </cell>
          <cell r="G250">
            <v>9032.4799999999905</v>
          </cell>
          <cell r="H250">
            <v>2977.67</v>
          </cell>
          <cell r="I250">
            <v>0</v>
          </cell>
          <cell r="J250">
            <v>0</v>
          </cell>
          <cell r="K250">
            <v>2977.67</v>
          </cell>
          <cell r="L250">
            <v>174330.959999999</v>
          </cell>
          <cell r="M250">
            <v>42697.440000000002</v>
          </cell>
          <cell r="N250">
            <v>0</v>
          </cell>
          <cell r="O250">
            <v>174330.959999999</v>
          </cell>
          <cell r="P250">
            <v>42697.440000000002</v>
          </cell>
          <cell r="Q250">
            <v>770.63999999999896</v>
          </cell>
          <cell r="R250">
            <v>175101.6</v>
          </cell>
          <cell r="S250">
            <v>41926.800000000003</v>
          </cell>
        </row>
        <row r="251">
          <cell r="A251" t="str">
            <v>1000/1411       NPK MG 5-15-30-2</v>
          </cell>
          <cell r="B251" t="str">
            <v>1003365    "EUROL"</v>
          </cell>
          <cell r="C251" t="str">
            <v>KB Sprzed. bezpośrednia</v>
          </cell>
          <cell r="D251">
            <v>12090.82</v>
          </cell>
          <cell r="E251">
            <v>14</v>
          </cell>
          <cell r="F251">
            <v>8448.59</v>
          </cell>
          <cell r="G251">
            <v>503.22</v>
          </cell>
          <cell r="H251">
            <v>157.9</v>
          </cell>
          <cell r="I251">
            <v>1080.8</v>
          </cell>
          <cell r="J251">
            <v>0</v>
          </cell>
          <cell r="K251">
            <v>1238.7</v>
          </cell>
          <cell r="L251">
            <v>10190.51</v>
          </cell>
          <cell r="M251">
            <v>1900.3099999999899</v>
          </cell>
          <cell r="N251">
            <v>0</v>
          </cell>
          <cell r="O251">
            <v>10190.51</v>
          </cell>
          <cell r="P251">
            <v>1900.3099999999899</v>
          </cell>
          <cell r="Q251">
            <v>40.090000000000003</v>
          </cell>
          <cell r="R251">
            <v>10230.6</v>
          </cell>
          <cell r="S251">
            <v>1860.22</v>
          </cell>
        </row>
        <row r="252">
          <cell r="A252" t="str">
            <v>1000/1411       NPK MG 5-15-30-2</v>
          </cell>
          <cell r="B252" t="str">
            <v>1003988    BLENDING Sp.z o.o.</v>
          </cell>
          <cell r="C252" t="str">
            <v>KB Sprzed. bezpośrednia</v>
          </cell>
          <cell r="D252">
            <v>39581.040000000001</v>
          </cell>
          <cell r="E252">
            <v>48</v>
          </cell>
          <cell r="F252">
            <v>30468.889999999901</v>
          </cell>
          <cell r="G252">
            <v>1647.3399999999899</v>
          </cell>
          <cell r="H252">
            <v>541.39999999999895</v>
          </cell>
          <cell r="I252">
            <v>0</v>
          </cell>
          <cell r="J252">
            <v>0</v>
          </cell>
          <cell r="K252">
            <v>541.39999999999895</v>
          </cell>
          <cell r="L252">
            <v>32657.63</v>
          </cell>
          <cell r="M252">
            <v>6923.4099999999899</v>
          </cell>
          <cell r="N252">
            <v>0</v>
          </cell>
          <cell r="O252">
            <v>32657.63</v>
          </cell>
          <cell r="P252">
            <v>6923.4099999999899</v>
          </cell>
          <cell r="Q252">
            <v>144.66</v>
          </cell>
          <cell r="R252">
            <v>32802.29</v>
          </cell>
          <cell r="S252">
            <v>6778.75</v>
          </cell>
        </row>
        <row r="253">
          <cell r="A253" t="str">
            <v>1000/1411       NPK MG 5-15-30-2</v>
          </cell>
          <cell r="B253" t="str">
            <v>1004168    "OSADKOWSKI" SPÓŁKA</v>
          </cell>
          <cell r="C253" t="str">
            <v>KB Sprzed. bezpośrednia</v>
          </cell>
          <cell r="D253">
            <v>509610.06</v>
          </cell>
          <cell r="E253">
            <v>594.5</v>
          </cell>
          <cell r="F253">
            <v>390217.77</v>
          </cell>
          <cell r="G253">
            <v>21209.48</v>
          </cell>
          <cell r="H253">
            <v>6705.2799999999897</v>
          </cell>
          <cell r="I253">
            <v>15753.469999999899</v>
          </cell>
          <cell r="J253">
            <v>0</v>
          </cell>
          <cell r="K253">
            <v>22458.75</v>
          </cell>
          <cell r="L253">
            <v>433886</v>
          </cell>
          <cell r="M253">
            <v>75724.059999999896</v>
          </cell>
          <cell r="N253">
            <v>0</v>
          </cell>
          <cell r="O253">
            <v>433886</v>
          </cell>
          <cell r="P253">
            <v>75724.059999999896</v>
          </cell>
          <cell r="Q253">
            <v>1852.71</v>
          </cell>
          <cell r="R253">
            <v>435738.71</v>
          </cell>
          <cell r="S253">
            <v>73871.350000000006</v>
          </cell>
        </row>
        <row r="254">
          <cell r="A254" t="str">
            <v>1000/1411       NPK MG 5-15-30-2</v>
          </cell>
          <cell r="B254" t="str">
            <v>1004168    "OSADKOWSKI" SPÓŁKA</v>
          </cell>
          <cell r="C254" t="str">
            <v>KC Centra dystrybucji</v>
          </cell>
          <cell r="D254">
            <v>105800.399999999</v>
          </cell>
          <cell r="E254">
            <v>120</v>
          </cell>
          <cell r="F254">
            <v>78612.850000000006</v>
          </cell>
          <cell r="G254">
            <v>4403.3</v>
          </cell>
          <cell r="H254">
            <v>1353.49</v>
          </cell>
          <cell r="I254">
            <v>4092.7199999999898</v>
          </cell>
          <cell r="J254">
            <v>0</v>
          </cell>
          <cell r="K254">
            <v>5446.21</v>
          </cell>
          <cell r="L254">
            <v>88462.36</v>
          </cell>
          <cell r="M254">
            <v>17338.04</v>
          </cell>
          <cell r="N254">
            <v>0</v>
          </cell>
          <cell r="O254">
            <v>88462.36</v>
          </cell>
          <cell r="P254">
            <v>17338.04</v>
          </cell>
          <cell r="Q254">
            <v>373.24</v>
          </cell>
          <cell r="R254">
            <v>88835.6</v>
          </cell>
          <cell r="S254">
            <v>16964.799999999901</v>
          </cell>
        </row>
        <row r="255">
          <cell r="A255" t="str">
            <v>1000/1412       NPK 4-20-20</v>
          </cell>
          <cell r="B255" t="str">
            <v>Nieprzypisane</v>
          </cell>
          <cell r="C255" t="str">
            <v>Nieprzypisane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144</v>
          </cell>
          <cell r="I255">
            <v>0</v>
          </cell>
          <cell r="J255">
            <v>0</v>
          </cell>
          <cell r="K255">
            <v>144</v>
          </cell>
          <cell r="L255">
            <v>144</v>
          </cell>
          <cell r="M255">
            <v>-144</v>
          </cell>
          <cell r="N255">
            <v>0</v>
          </cell>
          <cell r="O255">
            <v>144</v>
          </cell>
          <cell r="P255">
            <v>-144</v>
          </cell>
          <cell r="Q255">
            <v>0</v>
          </cell>
          <cell r="R255">
            <v>144</v>
          </cell>
          <cell r="S255">
            <v>-144</v>
          </cell>
        </row>
        <row r="256">
          <cell r="A256" t="str">
            <v>1000/1414       POLI.M 5-16-24-4</v>
          </cell>
          <cell r="B256" t="str">
            <v>1000080    CN-KIELCE</v>
          </cell>
          <cell r="C256" t="str">
            <v>KC Centra dystrybucji</v>
          </cell>
          <cell r="D256">
            <v>19040.48</v>
          </cell>
          <cell r="E256">
            <v>23</v>
          </cell>
          <cell r="F256">
            <v>15530.92</v>
          </cell>
          <cell r="G256">
            <v>792.44</v>
          </cell>
          <cell r="H256">
            <v>499.05</v>
          </cell>
          <cell r="I256">
            <v>0</v>
          </cell>
          <cell r="J256">
            <v>0</v>
          </cell>
          <cell r="K256">
            <v>499.05</v>
          </cell>
          <cell r="L256">
            <v>16822.41</v>
          </cell>
          <cell r="M256">
            <v>2218.0700000000002</v>
          </cell>
          <cell r="N256">
            <v>0</v>
          </cell>
          <cell r="O256">
            <v>16822.41</v>
          </cell>
          <cell r="P256">
            <v>2218.0700000000002</v>
          </cell>
          <cell r="Q256">
            <v>73.709999999999894</v>
          </cell>
          <cell r="R256">
            <v>16896.119999999901</v>
          </cell>
          <cell r="S256">
            <v>2144.36</v>
          </cell>
        </row>
        <row r="257">
          <cell r="A257" t="str">
            <v>1000/1414       POLI.M 5-16-24-4</v>
          </cell>
          <cell r="B257" t="str">
            <v>1000117    SKIBA</v>
          </cell>
          <cell r="C257" t="str">
            <v>KB Sprzed. bezpośrednia</v>
          </cell>
          <cell r="D257">
            <v>10186.74</v>
          </cell>
          <cell r="E257">
            <v>11.9499999999999</v>
          </cell>
          <cell r="F257">
            <v>7154.1</v>
          </cell>
          <cell r="G257">
            <v>423.97</v>
          </cell>
          <cell r="H257">
            <v>259.27999999999901</v>
          </cell>
          <cell r="I257">
            <v>1038.1199999999899</v>
          </cell>
          <cell r="J257">
            <v>0</v>
          </cell>
          <cell r="K257">
            <v>1297.4000000000001</v>
          </cell>
          <cell r="L257">
            <v>8875.4699999999903</v>
          </cell>
          <cell r="M257">
            <v>1311.27</v>
          </cell>
          <cell r="N257">
            <v>0</v>
          </cell>
          <cell r="O257">
            <v>8875.4699999999903</v>
          </cell>
          <cell r="P257">
            <v>1311.27</v>
          </cell>
          <cell r="Q257">
            <v>33.96</v>
          </cell>
          <cell r="R257">
            <v>8909.43</v>
          </cell>
          <cell r="S257">
            <v>1277.3099999999899</v>
          </cell>
        </row>
        <row r="258">
          <cell r="A258" t="str">
            <v>1000/1414       POLI.M 5-16-24-4</v>
          </cell>
          <cell r="B258" t="str">
            <v>1000117    SKIBA</v>
          </cell>
          <cell r="C258" t="str">
            <v>KC Centra dystrybucji</v>
          </cell>
          <cell r="D258">
            <v>29640.5999999999</v>
          </cell>
          <cell r="E258">
            <v>36</v>
          </cell>
          <cell r="F258">
            <v>24309.2599999999</v>
          </cell>
          <cell r="G258">
            <v>1233.5899999999899</v>
          </cell>
          <cell r="H258">
            <v>781.13</v>
          </cell>
          <cell r="I258">
            <v>0</v>
          </cell>
          <cell r="J258">
            <v>0</v>
          </cell>
          <cell r="K258">
            <v>781.13</v>
          </cell>
          <cell r="L258">
            <v>26323.98</v>
          </cell>
          <cell r="M258">
            <v>3316.6199999999899</v>
          </cell>
          <cell r="N258">
            <v>0</v>
          </cell>
          <cell r="O258">
            <v>26323.98</v>
          </cell>
          <cell r="P258">
            <v>3316.6199999999899</v>
          </cell>
          <cell r="Q258">
            <v>115.43</v>
          </cell>
          <cell r="R258">
            <v>26439.41</v>
          </cell>
          <cell r="S258">
            <v>3201.19</v>
          </cell>
        </row>
        <row r="259">
          <cell r="A259" t="str">
            <v>1000/1414       POLI.M 5-16-24-4</v>
          </cell>
          <cell r="B259" t="str">
            <v>1000142    ZSHP-ZŁOTOW</v>
          </cell>
          <cell r="C259" t="str">
            <v>KB Sprzed. bezpośrednia</v>
          </cell>
          <cell r="D259">
            <v>20812.25</v>
          </cell>
          <cell r="E259">
            <v>25</v>
          </cell>
          <cell r="F259">
            <v>14966.719999999899</v>
          </cell>
          <cell r="G259">
            <v>866.21</v>
          </cell>
          <cell r="H259">
            <v>542.45000000000005</v>
          </cell>
          <cell r="I259">
            <v>1103.98</v>
          </cell>
          <cell r="J259">
            <v>0</v>
          </cell>
          <cell r="K259">
            <v>1646.43</v>
          </cell>
          <cell r="L259">
            <v>17479.36</v>
          </cell>
          <cell r="M259">
            <v>3332.8899999999899</v>
          </cell>
          <cell r="N259">
            <v>0</v>
          </cell>
          <cell r="O259">
            <v>17479.36</v>
          </cell>
          <cell r="P259">
            <v>3332.8899999999899</v>
          </cell>
          <cell r="Q259">
            <v>71.049999999999898</v>
          </cell>
          <cell r="R259">
            <v>17550.41</v>
          </cell>
          <cell r="S259">
            <v>3261.84</v>
          </cell>
        </row>
        <row r="260">
          <cell r="A260" t="str">
            <v>1000/1414       POLI.M 5-16-24-4</v>
          </cell>
          <cell r="B260" t="str">
            <v>1000150    GS-GRODZIS</v>
          </cell>
          <cell r="C260" t="str">
            <v>KB Sprzed. bezpośrednia</v>
          </cell>
          <cell r="D260">
            <v>20314.799999999901</v>
          </cell>
          <cell r="E260">
            <v>24</v>
          </cell>
          <cell r="F260">
            <v>14368.049999999899</v>
          </cell>
          <cell r="G260">
            <v>845.44</v>
          </cell>
          <cell r="H260">
            <v>520.74</v>
          </cell>
          <cell r="I260">
            <v>1971.1199999999899</v>
          </cell>
          <cell r="J260">
            <v>0</v>
          </cell>
          <cell r="K260">
            <v>2491.86</v>
          </cell>
          <cell r="L260">
            <v>17705.3499999999</v>
          </cell>
          <cell r="M260">
            <v>2609.4499999999898</v>
          </cell>
          <cell r="N260">
            <v>0</v>
          </cell>
          <cell r="O260">
            <v>17705.3499999999</v>
          </cell>
          <cell r="P260">
            <v>2609.4499999999898</v>
          </cell>
          <cell r="Q260">
            <v>68.219999999999899</v>
          </cell>
          <cell r="R260">
            <v>17773.57</v>
          </cell>
          <cell r="S260">
            <v>2541.23</v>
          </cell>
        </row>
        <row r="261">
          <cell r="A261" t="str">
            <v>1000/1414       POLI.M 5-16-24-4</v>
          </cell>
          <cell r="B261" t="str">
            <v>1000182    AGRA NOWA</v>
          </cell>
          <cell r="C261" t="str">
            <v>KB Sprzed. bezpośrednia</v>
          </cell>
          <cell r="D261">
            <v>-300</v>
          </cell>
          <cell r="E261">
            <v>0</v>
          </cell>
          <cell r="F261">
            <v>0</v>
          </cell>
          <cell r="G261">
            <v>-12.46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-12.46</v>
          </cell>
          <cell r="M261">
            <v>-287.54000000000002</v>
          </cell>
          <cell r="N261">
            <v>0</v>
          </cell>
          <cell r="O261">
            <v>-12.46</v>
          </cell>
          <cell r="P261">
            <v>-287.54000000000002</v>
          </cell>
          <cell r="Q261">
            <v>0</v>
          </cell>
          <cell r="R261">
            <v>-12.46</v>
          </cell>
          <cell r="S261">
            <v>-287.54000000000002</v>
          </cell>
        </row>
        <row r="262">
          <cell r="A262" t="str">
            <v>1000/1414       POLI.M 5-16-24-4</v>
          </cell>
          <cell r="B262" t="str">
            <v>1000182    AGRA NOWA</v>
          </cell>
          <cell r="C262" t="str">
            <v>KC Centra dystrybucji</v>
          </cell>
          <cell r="D262">
            <v>20418.75</v>
          </cell>
          <cell r="E262">
            <v>25</v>
          </cell>
          <cell r="F262">
            <v>16881.43</v>
          </cell>
          <cell r="G262">
            <v>849.77999999999895</v>
          </cell>
          <cell r="H262">
            <v>542.45000000000005</v>
          </cell>
          <cell r="I262">
            <v>0</v>
          </cell>
          <cell r="J262">
            <v>0</v>
          </cell>
          <cell r="K262">
            <v>542.45000000000005</v>
          </cell>
          <cell r="L262">
            <v>18273.66</v>
          </cell>
          <cell r="M262">
            <v>2145.09</v>
          </cell>
          <cell r="N262">
            <v>0</v>
          </cell>
          <cell r="O262">
            <v>18273.66</v>
          </cell>
          <cell r="P262">
            <v>2145.09</v>
          </cell>
          <cell r="Q262">
            <v>80.159999999999897</v>
          </cell>
          <cell r="R262">
            <v>18353.82</v>
          </cell>
          <cell r="S262">
            <v>2064.9299999999898</v>
          </cell>
        </row>
        <row r="263">
          <cell r="A263" t="str">
            <v>1000/1414       POLI.M 5-16-24-4</v>
          </cell>
          <cell r="B263" t="str">
            <v>1000205    SKŁODOWSKI</v>
          </cell>
          <cell r="C263" t="str">
            <v>KC Centra dystrybucji</v>
          </cell>
          <cell r="D263">
            <v>164506</v>
          </cell>
          <cell r="E263">
            <v>200</v>
          </cell>
          <cell r="F263">
            <v>119733.75999999901</v>
          </cell>
          <cell r="G263">
            <v>6846.6099999999897</v>
          </cell>
          <cell r="H263">
            <v>4339.6099999999897</v>
          </cell>
          <cell r="I263">
            <v>0</v>
          </cell>
          <cell r="J263">
            <v>0</v>
          </cell>
          <cell r="K263">
            <v>4339.6099999999897</v>
          </cell>
          <cell r="L263">
            <v>130919.98</v>
          </cell>
          <cell r="M263">
            <v>33586.019999999902</v>
          </cell>
          <cell r="N263">
            <v>0</v>
          </cell>
          <cell r="O263">
            <v>130919.98</v>
          </cell>
          <cell r="P263">
            <v>33586.019999999902</v>
          </cell>
          <cell r="Q263">
            <v>568.48</v>
          </cell>
          <cell r="R263">
            <v>131488.459999999</v>
          </cell>
          <cell r="S263">
            <v>33017.54</v>
          </cell>
        </row>
        <row r="264">
          <cell r="A264" t="str">
            <v>1000/1414       POLI.M 5-16-24-4</v>
          </cell>
          <cell r="B264" t="str">
            <v>1000210    ROLTEX Sp. z o.o.</v>
          </cell>
          <cell r="C264" t="str">
            <v>KB Sprzed. bezpośrednia</v>
          </cell>
          <cell r="D264">
            <v>20666.25</v>
          </cell>
          <cell r="E264">
            <v>25</v>
          </cell>
          <cell r="F264">
            <v>14966.719999999899</v>
          </cell>
          <cell r="G264">
            <v>860.11</v>
          </cell>
          <cell r="H264">
            <v>542.45000000000005</v>
          </cell>
          <cell r="I264">
            <v>2149.3200000000002</v>
          </cell>
          <cell r="J264">
            <v>0</v>
          </cell>
          <cell r="K264">
            <v>2691.77</v>
          </cell>
          <cell r="L264">
            <v>18518.5999999999</v>
          </cell>
          <cell r="M264">
            <v>2147.65</v>
          </cell>
          <cell r="N264">
            <v>0</v>
          </cell>
          <cell r="O264">
            <v>18518.5999999999</v>
          </cell>
          <cell r="P264">
            <v>2147.65</v>
          </cell>
          <cell r="Q264">
            <v>71.049999999999898</v>
          </cell>
          <cell r="R264">
            <v>18589.650000000001</v>
          </cell>
          <cell r="S264">
            <v>2076.5999999999899</v>
          </cell>
        </row>
        <row r="265">
          <cell r="A265" t="str">
            <v>1000/1414       POLI.M 5-16-24-4</v>
          </cell>
          <cell r="B265" t="str">
            <v>1000219    BUTOR</v>
          </cell>
          <cell r="C265" t="str">
            <v>KC Centra dystrybucji</v>
          </cell>
          <cell r="D265">
            <v>19938.72</v>
          </cell>
          <cell r="E265">
            <v>24</v>
          </cell>
          <cell r="F265">
            <v>16206.17</v>
          </cell>
          <cell r="G265">
            <v>829.84</v>
          </cell>
          <cell r="H265">
            <v>520.74</v>
          </cell>
          <cell r="I265">
            <v>0</v>
          </cell>
          <cell r="J265">
            <v>0</v>
          </cell>
          <cell r="K265">
            <v>520.74</v>
          </cell>
          <cell r="L265">
            <v>17556.75</v>
          </cell>
          <cell r="M265">
            <v>2381.9699999999898</v>
          </cell>
          <cell r="N265">
            <v>0</v>
          </cell>
          <cell r="O265">
            <v>17556.75</v>
          </cell>
          <cell r="P265">
            <v>2381.9699999999898</v>
          </cell>
          <cell r="Q265">
            <v>76.939999999999898</v>
          </cell>
          <cell r="R265">
            <v>17633.6899999999</v>
          </cell>
          <cell r="S265">
            <v>2305.0300000000002</v>
          </cell>
        </row>
        <row r="266">
          <cell r="A266" t="str">
            <v>1000/1414       POLI.M 5-16-24-4</v>
          </cell>
          <cell r="B266" t="str">
            <v>1000222    ROLPOL</v>
          </cell>
          <cell r="C266" t="str">
            <v>KB Sprzed. bezpośrednia</v>
          </cell>
          <cell r="D266">
            <v>61998.75</v>
          </cell>
          <cell r="E266">
            <v>75</v>
          </cell>
          <cell r="F266">
            <v>44900.160000000003</v>
          </cell>
          <cell r="G266">
            <v>2580.3099999999899</v>
          </cell>
          <cell r="H266">
            <v>1627.3499999999899</v>
          </cell>
          <cell r="I266">
            <v>5493.8</v>
          </cell>
          <cell r="J266">
            <v>0</v>
          </cell>
          <cell r="K266">
            <v>7121.1499999999896</v>
          </cell>
          <cell r="L266">
            <v>54601.62</v>
          </cell>
          <cell r="M266">
            <v>7397.13</v>
          </cell>
          <cell r="N266">
            <v>0</v>
          </cell>
          <cell r="O266">
            <v>54601.62</v>
          </cell>
          <cell r="P266">
            <v>7397.13</v>
          </cell>
          <cell r="Q266">
            <v>213.16999999999899</v>
          </cell>
          <cell r="R266">
            <v>54814.79</v>
          </cell>
          <cell r="S266">
            <v>7183.96</v>
          </cell>
        </row>
        <row r="267">
          <cell r="A267" t="str">
            <v>1000/1414       POLI.M 5-16-24-4</v>
          </cell>
          <cell r="B267" t="str">
            <v>1000252    AGROSKŁAD</v>
          </cell>
          <cell r="C267" t="str">
            <v>KB Sprzed. bezpośrednia</v>
          </cell>
          <cell r="D267">
            <v>148449.38</v>
          </cell>
          <cell r="E267">
            <v>178</v>
          </cell>
          <cell r="F267">
            <v>106563.039999999</v>
          </cell>
          <cell r="G267">
            <v>6178.3699999999899</v>
          </cell>
          <cell r="H267">
            <v>3862.26</v>
          </cell>
          <cell r="I267">
            <v>10568.36</v>
          </cell>
          <cell r="J267">
            <v>0</v>
          </cell>
          <cell r="K267">
            <v>14430.62</v>
          </cell>
          <cell r="L267">
            <v>127172.03</v>
          </cell>
          <cell r="M267">
            <v>21277.3499999999</v>
          </cell>
          <cell r="N267">
            <v>0</v>
          </cell>
          <cell r="O267">
            <v>127172.03</v>
          </cell>
          <cell r="P267">
            <v>21277.3499999999</v>
          </cell>
          <cell r="Q267">
            <v>505.95999999999901</v>
          </cell>
          <cell r="R267">
            <v>127677.99</v>
          </cell>
          <cell r="S267">
            <v>20771.389999999901</v>
          </cell>
        </row>
        <row r="268">
          <cell r="A268" t="str">
            <v>1000/1414       POLI.M 5-16-24-4</v>
          </cell>
          <cell r="B268" t="str">
            <v>1000252    AGROSKŁAD</v>
          </cell>
          <cell r="C268" t="str">
            <v>KC Centra dystrybucji</v>
          </cell>
          <cell r="D268">
            <v>70153.919999999896</v>
          </cell>
          <cell r="E268">
            <v>86</v>
          </cell>
          <cell r="F268">
            <v>56387.19</v>
          </cell>
          <cell r="G268">
            <v>2919.8099999999899</v>
          </cell>
          <cell r="H268">
            <v>1866.03</v>
          </cell>
          <cell r="I268">
            <v>0</v>
          </cell>
          <cell r="J268">
            <v>0</v>
          </cell>
          <cell r="K268">
            <v>1866.03</v>
          </cell>
          <cell r="L268">
            <v>61173.029999999897</v>
          </cell>
          <cell r="M268">
            <v>8980.8899999999903</v>
          </cell>
          <cell r="N268">
            <v>0</v>
          </cell>
          <cell r="O268">
            <v>61173.029999999897</v>
          </cell>
          <cell r="P268">
            <v>8980.8899999999903</v>
          </cell>
          <cell r="Q268">
            <v>267.69999999999902</v>
          </cell>
          <cell r="R268">
            <v>61440.73</v>
          </cell>
          <cell r="S268">
            <v>8713.19</v>
          </cell>
        </row>
        <row r="269">
          <cell r="A269" t="str">
            <v>1000/1414       POLI.M 5-16-24-4</v>
          </cell>
          <cell r="B269" t="str">
            <v>1000257    MAGROL</v>
          </cell>
          <cell r="C269" t="str">
            <v>KC Centra dystrybucji</v>
          </cell>
          <cell r="D269">
            <v>10692.76</v>
          </cell>
          <cell r="E269">
            <v>13</v>
          </cell>
          <cell r="F269">
            <v>8778.34</v>
          </cell>
          <cell r="G269">
            <v>445.00999999999902</v>
          </cell>
          <cell r="H269">
            <v>282.07999999999902</v>
          </cell>
          <cell r="I269">
            <v>0</v>
          </cell>
          <cell r="J269">
            <v>0</v>
          </cell>
          <cell r="K269">
            <v>282.07999999999902</v>
          </cell>
          <cell r="L269">
            <v>9505.43</v>
          </cell>
          <cell r="M269">
            <v>1187.3299999999899</v>
          </cell>
          <cell r="N269">
            <v>0</v>
          </cell>
          <cell r="O269">
            <v>9505.43</v>
          </cell>
          <cell r="P269">
            <v>1187.3299999999899</v>
          </cell>
          <cell r="Q269">
            <v>41.68</v>
          </cell>
          <cell r="R269">
            <v>9547.11</v>
          </cell>
          <cell r="S269">
            <v>1145.6500000000001</v>
          </cell>
        </row>
        <row r="270">
          <cell r="A270" t="str">
            <v>1000/1414       POLI.M 5-16-24-4</v>
          </cell>
          <cell r="B270" t="str">
            <v>1000263    PRO-AGRO</v>
          </cell>
          <cell r="C270" t="str">
            <v>KB Sprzed. bezpośrednia</v>
          </cell>
          <cell r="D270">
            <v>11423.1</v>
          </cell>
          <cell r="E270">
            <v>13</v>
          </cell>
          <cell r="F270">
            <v>7782.6899999999896</v>
          </cell>
          <cell r="G270">
            <v>475.38999999999902</v>
          </cell>
          <cell r="H270">
            <v>282.07999999999902</v>
          </cell>
          <cell r="I270">
            <v>1024.92</v>
          </cell>
          <cell r="J270">
            <v>0</v>
          </cell>
          <cell r="K270">
            <v>1307</v>
          </cell>
          <cell r="L270">
            <v>9565.0799999999908</v>
          </cell>
          <cell r="M270">
            <v>1858.02</v>
          </cell>
          <cell r="N270">
            <v>0</v>
          </cell>
          <cell r="O270">
            <v>9565.0799999999908</v>
          </cell>
          <cell r="P270">
            <v>1858.02</v>
          </cell>
          <cell r="Q270">
            <v>36.96</v>
          </cell>
          <cell r="R270">
            <v>9602.0400000000009</v>
          </cell>
          <cell r="S270">
            <v>1821.0599999999899</v>
          </cell>
        </row>
        <row r="271">
          <cell r="A271" t="str">
            <v>1000/1414       POLI.M 5-16-24-4</v>
          </cell>
          <cell r="B271" t="str">
            <v>1000263    PRO-AGRO</v>
          </cell>
          <cell r="C271" t="str">
            <v>KC Centra dystrybucji</v>
          </cell>
          <cell r="D271">
            <v>24601.5</v>
          </cell>
          <cell r="E271">
            <v>30</v>
          </cell>
          <cell r="F271">
            <v>17960.13</v>
          </cell>
          <cell r="G271">
            <v>1023.87</v>
          </cell>
          <cell r="H271">
            <v>650.94000000000005</v>
          </cell>
          <cell r="I271">
            <v>0</v>
          </cell>
          <cell r="J271">
            <v>0</v>
          </cell>
          <cell r="K271">
            <v>650.94000000000005</v>
          </cell>
          <cell r="L271">
            <v>19634.9399999999</v>
          </cell>
          <cell r="M271">
            <v>4966.5600000000004</v>
          </cell>
          <cell r="N271">
            <v>0</v>
          </cell>
          <cell r="O271">
            <v>19634.9399999999</v>
          </cell>
          <cell r="P271">
            <v>4966.5600000000004</v>
          </cell>
          <cell r="Q271">
            <v>85.29</v>
          </cell>
          <cell r="R271">
            <v>19720.23</v>
          </cell>
          <cell r="S271">
            <v>4881.2700000000004</v>
          </cell>
        </row>
        <row r="272">
          <cell r="A272" t="str">
            <v>1000/1414       POLI.M 5-16-24-4</v>
          </cell>
          <cell r="B272" t="str">
            <v>1000276    JAN GACH FIRMA HANDL</v>
          </cell>
          <cell r="C272" t="str">
            <v>KB Sprzed. bezpośrednia</v>
          </cell>
          <cell r="D272">
            <v>12288.299999999899</v>
          </cell>
          <cell r="E272">
            <v>15</v>
          </cell>
          <cell r="F272">
            <v>10082.950000000001</v>
          </cell>
          <cell r="G272">
            <v>511.43</v>
          </cell>
          <cell r="H272">
            <v>325.47000000000003</v>
          </cell>
          <cell r="I272">
            <v>0</v>
          </cell>
          <cell r="J272">
            <v>0</v>
          </cell>
          <cell r="K272">
            <v>325.47000000000003</v>
          </cell>
          <cell r="L272">
            <v>10919.85</v>
          </cell>
          <cell r="M272">
            <v>1368.45</v>
          </cell>
          <cell r="N272">
            <v>0</v>
          </cell>
          <cell r="O272">
            <v>10919.85</v>
          </cell>
          <cell r="P272">
            <v>1368.45</v>
          </cell>
          <cell r="Q272">
            <v>47.869999999999898</v>
          </cell>
          <cell r="R272">
            <v>10967.719999999899</v>
          </cell>
          <cell r="S272">
            <v>1320.5799999999899</v>
          </cell>
        </row>
        <row r="273">
          <cell r="A273" t="str">
            <v>1000/1414       POLI.M 5-16-24-4</v>
          </cell>
          <cell r="B273" t="str">
            <v>1000276    JAN GACH FIRMA HANDL</v>
          </cell>
          <cell r="C273" t="str">
            <v>KC Centra dystrybucji</v>
          </cell>
          <cell r="D273">
            <v>40805.26</v>
          </cell>
          <cell r="E273">
            <v>50</v>
          </cell>
          <cell r="F273">
            <v>33683.269999999902</v>
          </cell>
          <cell r="G273">
            <v>1698.29</v>
          </cell>
          <cell r="H273">
            <v>1084.8900000000001</v>
          </cell>
          <cell r="I273">
            <v>0</v>
          </cell>
          <cell r="J273">
            <v>0</v>
          </cell>
          <cell r="K273">
            <v>1084.8900000000001</v>
          </cell>
          <cell r="L273">
            <v>36466.449999999903</v>
          </cell>
          <cell r="M273">
            <v>4338.8100000000004</v>
          </cell>
          <cell r="N273">
            <v>0</v>
          </cell>
          <cell r="O273">
            <v>36466.449999999903</v>
          </cell>
          <cell r="P273">
            <v>4338.8100000000004</v>
          </cell>
          <cell r="Q273">
            <v>159.91999999999899</v>
          </cell>
          <cell r="R273">
            <v>36626.370000000003</v>
          </cell>
          <cell r="S273">
            <v>4178.8900000000003</v>
          </cell>
        </row>
        <row r="274">
          <cell r="A274" t="str">
            <v>1000/1414       POLI.M 5-16-24-4</v>
          </cell>
          <cell r="B274" t="str">
            <v>1000289    PLON A.Darzyński</v>
          </cell>
          <cell r="C274" t="str">
            <v>KB Sprzed. bezpośrednia</v>
          </cell>
          <cell r="D274">
            <v>20520</v>
          </cell>
          <cell r="E274">
            <v>24</v>
          </cell>
          <cell r="F274">
            <v>14368.049999999899</v>
          </cell>
          <cell r="G274">
            <v>853.97</v>
          </cell>
          <cell r="H274">
            <v>520.74</v>
          </cell>
          <cell r="I274">
            <v>1200.96</v>
          </cell>
          <cell r="J274">
            <v>0</v>
          </cell>
          <cell r="K274">
            <v>1721.7</v>
          </cell>
          <cell r="L274">
            <v>16943.72</v>
          </cell>
          <cell r="M274">
            <v>3576.28</v>
          </cell>
          <cell r="N274">
            <v>0</v>
          </cell>
          <cell r="O274">
            <v>16943.72</v>
          </cell>
          <cell r="P274">
            <v>3576.28</v>
          </cell>
          <cell r="Q274">
            <v>68.219999999999899</v>
          </cell>
          <cell r="R274">
            <v>17011.9399999999</v>
          </cell>
          <cell r="S274">
            <v>3508.0599999999899</v>
          </cell>
        </row>
        <row r="275">
          <cell r="A275" t="str">
            <v>1000/1414       POLI.M 5-16-24-4</v>
          </cell>
          <cell r="B275" t="str">
            <v>1000289    PLON A.Darzyński</v>
          </cell>
          <cell r="C275" t="str">
            <v>KC Centra dystrybucji</v>
          </cell>
          <cell r="D275">
            <v>32808.720000000001</v>
          </cell>
          <cell r="E275">
            <v>40</v>
          </cell>
          <cell r="F275">
            <v>27445.779999999901</v>
          </cell>
          <cell r="G275">
            <v>1365.43</v>
          </cell>
          <cell r="H275">
            <v>867.92999999999904</v>
          </cell>
          <cell r="I275">
            <v>0</v>
          </cell>
          <cell r="J275">
            <v>0</v>
          </cell>
          <cell r="K275">
            <v>867.92999999999904</v>
          </cell>
          <cell r="L275">
            <v>29679.139999999901</v>
          </cell>
          <cell r="M275">
            <v>3129.5799999999899</v>
          </cell>
          <cell r="N275">
            <v>0</v>
          </cell>
          <cell r="O275">
            <v>29679.139999999901</v>
          </cell>
          <cell r="P275">
            <v>3129.5799999999899</v>
          </cell>
          <cell r="Q275">
            <v>130.30000000000001</v>
          </cell>
          <cell r="R275">
            <v>29809.4399999999</v>
          </cell>
          <cell r="S275">
            <v>2999.28</v>
          </cell>
        </row>
        <row r="276">
          <cell r="A276" t="str">
            <v>1000/1414       POLI.M 5-16-24-4</v>
          </cell>
          <cell r="B276" t="str">
            <v>1000403    SOBIANEK</v>
          </cell>
          <cell r="C276" t="str">
            <v>KB Sprzed. bezpośrednia</v>
          </cell>
          <cell r="D276">
            <v>76861.389999999898</v>
          </cell>
          <cell r="E276">
            <v>92</v>
          </cell>
          <cell r="F276">
            <v>55713.8</v>
          </cell>
          <cell r="G276">
            <v>3198.94</v>
          </cell>
          <cell r="H276">
            <v>1996.21</v>
          </cell>
          <cell r="I276">
            <v>6077.1</v>
          </cell>
          <cell r="J276">
            <v>0</v>
          </cell>
          <cell r="K276">
            <v>8073.31</v>
          </cell>
          <cell r="L276">
            <v>66986.05</v>
          </cell>
          <cell r="M276">
            <v>9875.34</v>
          </cell>
          <cell r="N276">
            <v>0</v>
          </cell>
          <cell r="O276">
            <v>66986.05</v>
          </cell>
          <cell r="P276">
            <v>9875.34</v>
          </cell>
          <cell r="Q276">
            <v>264.50999999999902</v>
          </cell>
          <cell r="R276">
            <v>67250.559999999896</v>
          </cell>
          <cell r="S276">
            <v>9610.8299999999908</v>
          </cell>
        </row>
        <row r="277">
          <cell r="A277" t="str">
            <v>1000/1414       POLI.M 5-16-24-4</v>
          </cell>
          <cell r="B277" t="str">
            <v>1000403    SOBIANEK</v>
          </cell>
          <cell r="C277" t="str">
            <v>KC Centra dystrybucji</v>
          </cell>
          <cell r="D277">
            <v>71740.279999999897</v>
          </cell>
          <cell r="E277">
            <v>88</v>
          </cell>
          <cell r="F277">
            <v>52682.86</v>
          </cell>
          <cell r="G277">
            <v>2985.7199999999898</v>
          </cell>
          <cell r="H277">
            <v>1909.42</v>
          </cell>
          <cell r="I277">
            <v>0</v>
          </cell>
          <cell r="J277">
            <v>0</v>
          </cell>
          <cell r="K277">
            <v>1909.42</v>
          </cell>
          <cell r="L277">
            <v>57578</v>
          </cell>
          <cell r="M277">
            <v>14162.28</v>
          </cell>
          <cell r="N277">
            <v>0</v>
          </cell>
          <cell r="O277">
            <v>57578</v>
          </cell>
          <cell r="P277">
            <v>14162.28</v>
          </cell>
          <cell r="Q277">
            <v>250.13</v>
          </cell>
          <cell r="R277">
            <v>57828.129999999903</v>
          </cell>
          <cell r="S277">
            <v>13912.15</v>
          </cell>
        </row>
        <row r="278">
          <cell r="A278" t="str">
            <v>1000/1414       POLI.M 5-16-24-4</v>
          </cell>
          <cell r="B278" t="str">
            <v>1000524    "CHEMIROL" SP. Z O.O</v>
          </cell>
          <cell r="C278" t="str">
            <v>KB Sprzed. bezpośrednia</v>
          </cell>
          <cell r="D278">
            <v>157415.76</v>
          </cell>
          <cell r="E278">
            <v>192</v>
          </cell>
          <cell r="F278">
            <v>116853.45</v>
          </cell>
          <cell r="G278">
            <v>6551.55</v>
          </cell>
          <cell r="H278">
            <v>4166.0299999999897</v>
          </cell>
          <cell r="I278">
            <v>2501.7600000000002</v>
          </cell>
          <cell r="J278">
            <v>0</v>
          </cell>
          <cell r="K278">
            <v>6667.79</v>
          </cell>
          <cell r="L278">
            <v>130072.789999999</v>
          </cell>
          <cell r="M278">
            <v>27342.97</v>
          </cell>
          <cell r="N278">
            <v>0</v>
          </cell>
          <cell r="O278">
            <v>130072.789999999</v>
          </cell>
          <cell r="P278">
            <v>27342.97</v>
          </cell>
          <cell r="Q278">
            <v>554.78999999999905</v>
          </cell>
          <cell r="R278">
            <v>130627.58</v>
          </cell>
          <cell r="S278">
            <v>26788.18</v>
          </cell>
        </row>
        <row r="279">
          <cell r="A279" t="str">
            <v>1000/1414       POLI.M 5-16-24-4</v>
          </cell>
          <cell r="B279" t="str">
            <v>1000524    "CHEMIROL" SP. Z O.O</v>
          </cell>
          <cell r="C279" t="str">
            <v>KC Centra dystrybucji</v>
          </cell>
          <cell r="D279">
            <v>78171.839999999895</v>
          </cell>
          <cell r="E279">
            <v>96</v>
          </cell>
          <cell r="F279">
            <v>60916.989999999903</v>
          </cell>
          <cell r="G279">
            <v>3253.46</v>
          </cell>
          <cell r="H279">
            <v>2083.02</v>
          </cell>
          <cell r="I279">
            <v>0</v>
          </cell>
          <cell r="J279">
            <v>0</v>
          </cell>
          <cell r="K279">
            <v>2083.02</v>
          </cell>
          <cell r="L279">
            <v>66253.47</v>
          </cell>
          <cell r="M279">
            <v>11918.37</v>
          </cell>
          <cell r="N279">
            <v>0</v>
          </cell>
          <cell r="O279">
            <v>66253.47</v>
          </cell>
          <cell r="P279">
            <v>11918.37</v>
          </cell>
          <cell r="Q279">
            <v>289.22000000000003</v>
          </cell>
          <cell r="R279">
            <v>66542.69</v>
          </cell>
          <cell r="S279">
            <v>11629.15</v>
          </cell>
        </row>
        <row r="280">
          <cell r="A280" t="str">
            <v>1000/1414       POLI.M 5-16-24-4</v>
          </cell>
          <cell r="B280" t="str">
            <v>1000534    BAZI</v>
          </cell>
          <cell r="C280" t="str">
            <v>KB Sprzed. bezpośrednia</v>
          </cell>
          <cell r="D280">
            <v>20663.7599999999</v>
          </cell>
          <cell r="E280">
            <v>24</v>
          </cell>
          <cell r="F280">
            <v>14368.049999999899</v>
          </cell>
          <cell r="G280">
            <v>859.94</v>
          </cell>
          <cell r="H280">
            <v>520.74</v>
          </cell>
          <cell r="I280">
            <v>1616.16</v>
          </cell>
          <cell r="J280">
            <v>0</v>
          </cell>
          <cell r="K280">
            <v>2136.9</v>
          </cell>
          <cell r="L280">
            <v>17364.889999999901</v>
          </cell>
          <cell r="M280">
            <v>3298.8699999999899</v>
          </cell>
          <cell r="N280">
            <v>0</v>
          </cell>
          <cell r="O280">
            <v>17364.889999999901</v>
          </cell>
          <cell r="P280">
            <v>3298.8699999999899</v>
          </cell>
          <cell r="Q280">
            <v>68.219999999999899</v>
          </cell>
          <cell r="R280">
            <v>17433.11</v>
          </cell>
          <cell r="S280">
            <v>3230.65</v>
          </cell>
        </row>
        <row r="281">
          <cell r="A281" t="str">
            <v>1000/1414       POLI.M 5-16-24-4</v>
          </cell>
          <cell r="B281" t="str">
            <v>1000662    SZYMAŃSCY</v>
          </cell>
          <cell r="C281" t="str">
            <v>KB Sprzed. bezpośrednia</v>
          </cell>
          <cell r="D281">
            <v>55251.3</v>
          </cell>
          <cell r="E281">
            <v>66</v>
          </cell>
          <cell r="F281">
            <v>39512.139999999898</v>
          </cell>
          <cell r="G281">
            <v>2299.52</v>
          </cell>
          <cell r="H281">
            <v>1432.0699999999899</v>
          </cell>
          <cell r="I281">
            <v>3456</v>
          </cell>
          <cell r="J281">
            <v>0</v>
          </cell>
          <cell r="K281">
            <v>4888.0699999999897</v>
          </cell>
          <cell r="L281">
            <v>46699.73</v>
          </cell>
          <cell r="M281">
            <v>8551.5699999999906</v>
          </cell>
          <cell r="N281">
            <v>0</v>
          </cell>
          <cell r="O281">
            <v>46699.73</v>
          </cell>
          <cell r="P281">
            <v>8551.5699999999906</v>
          </cell>
          <cell r="Q281">
            <v>187.59</v>
          </cell>
          <cell r="R281">
            <v>46887.32</v>
          </cell>
          <cell r="S281">
            <v>8363.9799999999905</v>
          </cell>
        </row>
        <row r="282">
          <cell r="A282" t="str">
            <v>1000/1414       POLI.M 5-16-24-4</v>
          </cell>
          <cell r="B282" t="str">
            <v>1000662    SZYMAŃSCY</v>
          </cell>
          <cell r="C282" t="str">
            <v>KC Centra dystrybucji</v>
          </cell>
          <cell r="D282">
            <v>54533.23</v>
          </cell>
          <cell r="E282">
            <v>67</v>
          </cell>
          <cell r="F282">
            <v>44016.82</v>
          </cell>
          <cell r="G282">
            <v>2269.5300000000002</v>
          </cell>
          <cell r="H282">
            <v>1453.77</v>
          </cell>
          <cell r="I282">
            <v>0</v>
          </cell>
          <cell r="J282">
            <v>0</v>
          </cell>
          <cell r="K282">
            <v>1453.77</v>
          </cell>
          <cell r="L282">
            <v>47740.12</v>
          </cell>
          <cell r="M282">
            <v>6793.1099999999897</v>
          </cell>
          <cell r="N282">
            <v>0</v>
          </cell>
          <cell r="O282">
            <v>47740.12</v>
          </cell>
          <cell r="P282">
            <v>6793.1099999999897</v>
          </cell>
          <cell r="Q282">
            <v>209.009999999999</v>
          </cell>
          <cell r="R282">
            <v>47949.129999999903</v>
          </cell>
          <cell r="S282">
            <v>6584.1</v>
          </cell>
        </row>
        <row r="283">
          <cell r="A283" t="str">
            <v>1000/1414       POLI.M 5-16-24-4</v>
          </cell>
          <cell r="B283" t="str">
            <v>1000675    Zaopatrz.Roln. Andrz</v>
          </cell>
          <cell r="C283" t="str">
            <v>KB Sprzed. bezpośrednia</v>
          </cell>
          <cell r="D283">
            <v>8550</v>
          </cell>
          <cell r="E283">
            <v>10</v>
          </cell>
          <cell r="F283">
            <v>5986.6899999999896</v>
          </cell>
          <cell r="G283">
            <v>355.83999999999901</v>
          </cell>
          <cell r="H283">
            <v>216.979999999999</v>
          </cell>
          <cell r="I283">
            <v>821.29999999999905</v>
          </cell>
          <cell r="J283">
            <v>0</v>
          </cell>
          <cell r="K283">
            <v>1038.28</v>
          </cell>
          <cell r="L283">
            <v>7380.81</v>
          </cell>
          <cell r="M283">
            <v>1169.19</v>
          </cell>
          <cell r="N283">
            <v>0</v>
          </cell>
          <cell r="O283">
            <v>7380.81</v>
          </cell>
          <cell r="P283">
            <v>1169.19</v>
          </cell>
          <cell r="Q283">
            <v>28.41</v>
          </cell>
          <cell r="R283">
            <v>7409.22</v>
          </cell>
          <cell r="S283">
            <v>1140.78</v>
          </cell>
        </row>
        <row r="284">
          <cell r="A284" t="str">
            <v>1000/1414       POLI.M 5-16-24-4</v>
          </cell>
          <cell r="B284" t="str">
            <v>1000675    Zaopatrz.Roln. Andrz</v>
          </cell>
          <cell r="C284" t="str">
            <v>KC Centra dystrybucji</v>
          </cell>
          <cell r="D284">
            <v>53989.48</v>
          </cell>
          <cell r="E284">
            <v>66</v>
          </cell>
          <cell r="F284">
            <v>44566.97</v>
          </cell>
          <cell r="G284">
            <v>2247.0300000000002</v>
          </cell>
          <cell r="H284">
            <v>1432.0699999999899</v>
          </cell>
          <cell r="I284">
            <v>0</v>
          </cell>
          <cell r="J284">
            <v>0</v>
          </cell>
          <cell r="K284">
            <v>1432.0699999999899</v>
          </cell>
          <cell r="L284">
            <v>48246.07</v>
          </cell>
          <cell r="M284">
            <v>5743.4099999999899</v>
          </cell>
          <cell r="N284">
            <v>0</v>
          </cell>
          <cell r="O284">
            <v>48246.07</v>
          </cell>
          <cell r="P284">
            <v>5743.4099999999899</v>
          </cell>
          <cell r="Q284">
            <v>211.599999999999</v>
          </cell>
          <cell r="R284">
            <v>48457.669999999896</v>
          </cell>
          <cell r="S284">
            <v>5531.81</v>
          </cell>
        </row>
        <row r="285">
          <cell r="A285" t="str">
            <v>1000/1414       POLI.M 5-16-24-4</v>
          </cell>
          <cell r="B285" t="str">
            <v>1000680    Giełda Rolna ZOLA Sp</v>
          </cell>
          <cell r="C285" t="str">
            <v>KB Sprzed. bezpośrednia</v>
          </cell>
          <cell r="D285">
            <v>20666.25</v>
          </cell>
          <cell r="E285">
            <v>25</v>
          </cell>
          <cell r="F285">
            <v>14966.719999999899</v>
          </cell>
          <cell r="G285">
            <v>860.11</v>
          </cell>
          <cell r="H285">
            <v>542.45000000000005</v>
          </cell>
          <cell r="I285">
            <v>1566.93</v>
          </cell>
          <cell r="J285">
            <v>0</v>
          </cell>
          <cell r="K285">
            <v>2109.38</v>
          </cell>
          <cell r="L285">
            <v>17936.209999999901</v>
          </cell>
          <cell r="M285">
            <v>2730.04</v>
          </cell>
          <cell r="N285">
            <v>0</v>
          </cell>
          <cell r="O285">
            <v>17936.209999999901</v>
          </cell>
          <cell r="P285">
            <v>2730.04</v>
          </cell>
          <cell r="Q285">
            <v>71.049999999999898</v>
          </cell>
          <cell r="R285">
            <v>18007.2599999999</v>
          </cell>
          <cell r="S285">
            <v>2658.9899999999898</v>
          </cell>
        </row>
        <row r="286">
          <cell r="A286" t="str">
            <v>1000/1414       POLI.M 5-16-24-4</v>
          </cell>
          <cell r="B286" t="str">
            <v>1000725    SGS-LUBLIN</v>
          </cell>
          <cell r="C286" t="str">
            <v>KB Sprzed. bezpośrednia</v>
          </cell>
          <cell r="D286">
            <v>10260</v>
          </cell>
          <cell r="E286">
            <v>12</v>
          </cell>
          <cell r="F286">
            <v>7184.0299999999897</v>
          </cell>
          <cell r="G286">
            <v>427</v>
          </cell>
          <cell r="H286">
            <v>260.38999999999902</v>
          </cell>
          <cell r="I286">
            <v>989.75999999999897</v>
          </cell>
          <cell r="J286">
            <v>0</v>
          </cell>
          <cell r="K286">
            <v>1250.1500000000001</v>
          </cell>
          <cell r="L286">
            <v>8861.18</v>
          </cell>
          <cell r="M286">
            <v>1398.8199999999899</v>
          </cell>
          <cell r="N286">
            <v>0</v>
          </cell>
          <cell r="O286">
            <v>8861.18</v>
          </cell>
          <cell r="P286">
            <v>1398.8199999999899</v>
          </cell>
          <cell r="Q286">
            <v>34.1</v>
          </cell>
          <cell r="R286">
            <v>8895.2800000000007</v>
          </cell>
          <cell r="S286">
            <v>1364.72</v>
          </cell>
        </row>
        <row r="287">
          <cell r="A287" t="str">
            <v>1000/1414       POLI.M 5-16-24-4</v>
          </cell>
          <cell r="B287" t="str">
            <v>1000858    BEISELEN - ATR Sp. z</v>
          </cell>
          <cell r="C287" t="str">
            <v>KB Sprzed. bezpośrednia</v>
          </cell>
          <cell r="D287">
            <v>19187.279999999901</v>
          </cell>
          <cell r="E287">
            <v>24</v>
          </cell>
          <cell r="F287">
            <v>15004.4</v>
          </cell>
          <cell r="G287">
            <v>798.53999999999905</v>
          </cell>
          <cell r="H287">
            <v>520.74</v>
          </cell>
          <cell r="I287">
            <v>0</v>
          </cell>
          <cell r="J287">
            <v>0</v>
          </cell>
          <cell r="K287">
            <v>520.74</v>
          </cell>
          <cell r="L287">
            <v>16323.68</v>
          </cell>
          <cell r="M287">
            <v>2863.5999999999899</v>
          </cell>
          <cell r="N287">
            <v>0</v>
          </cell>
          <cell r="O287">
            <v>16323.68</v>
          </cell>
          <cell r="P287">
            <v>2863.5999999999899</v>
          </cell>
          <cell r="Q287">
            <v>71.239999999999895</v>
          </cell>
          <cell r="R287">
            <v>16394.9199999999</v>
          </cell>
          <cell r="S287">
            <v>2792.36</v>
          </cell>
        </row>
        <row r="288">
          <cell r="A288" t="str">
            <v>1000/1414       POLI.M 5-16-24-4</v>
          </cell>
          <cell r="B288" t="str">
            <v>1001253    ROL-MECH SP. Z O.O.</v>
          </cell>
          <cell r="C288" t="str">
            <v>KB Sprzed. bezpośrednia</v>
          </cell>
          <cell r="D288">
            <v>20458.560000000001</v>
          </cell>
          <cell r="E288">
            <v>24</v>
          </cell>
          <cell r="F288">
            <v>14368.059999999899</v>
          </cell>
          <cell r="G288">
            <v>851.40999999999894</v>
          </cell>
          <cell r="H288">
            <v>520.74</v>
          </cell>
          <cell r="I288">
            <v>2076.2399999999898</v>
          </cell>
          <cell r="J288">
            <v>0</v>
          </cell>
          <cell r="K288">
            <v>2596.98</v>
          </cell>
          <cell r="L288">
            <v>17816.45</v>
          </cell>
          <cell r="M288">
            <v>2642.11</v>
          </cell>
          <cell r="N288">
            <v>0</v>
          </cell>
          <cell r="O288">
            <v>17816.45</v>
          </cell>
          <cell r="P288">
            <v>2642.11</v>
          </cell>
          <cell r="Q288">
            <v>68.219999999999899</v>
          </cell>
          <cell r="R288">
            <v>17884.6699999999</v>
          </cell>
          <cell r="S288">
            <v>2573.8899999999899</v>
          </cell>
        </row>
        <row r="289">
          <cell r="A289" t="str">
            <v>1000/1414       POLI.M 5-16-24-4</v>
          </cell>
          <cell r="B289" t="str">
            <v>1001481    Hurt.Śr.Ochr.Roślin-</v>
          </cell>
          <cell r="C289" t="str">
            <v>KB Sprzed. bezpośrednia</v>
          </cell>
          <cell r="D289">
            <v>81259.199999999895</v>
          </cell>
          <cell r="E289">
            <v>96</v>
          </cell>
          <cell r="F289">
            <v>57472.199999999903</v>
          </cell>
          <cell r="G289">
            <v>3381.92</v>
          </cell>
          <cell r="H289">
            <v>2083.02</v>
          </cell>
          <cell r="I289">
            <v>7116.4799999999896</v>
          </cell>
          <cell r="J289">
            <v>0</v>
          </cell>
          <cell r="K289">
            <v>9199.5</v>
          </cell>
          <cell r="L289">
            <v>70053.619999999893</v>
          </cell>
          <cell r="M289">
            <v>11205.58</v>
          </cell>
          <cell r="N289">
            <v>0</v>
          </cell>
          <cell r="O289">
            <v>70053.619999999893</v>
          </cell>
          <cell r="P289">
            <v>11205.58</v>
          </cell>
          <cell r="Q289">
            <v>272.88999999999902</v>
          </cell>
          <cell r="R289">
            <v>70326.509999999893</v>
          </cell>
          <cell r="S289">
            <v>10932.69</v>
          </cell>
        </row>
        <row r="290">
          <cell r="A290" t="str">
            <v>1000/1414       POLI.M 5-16-24-4</v>
          </cell>
          <cell r="B290" t="str">
            <v>1001519    "ARGOL" LESZEK KALIS</v>
          </cell>
          <cell r="C290" t="str">
            <v>KC Centra dystrybucji</v>
          </cell>
          <cell r="D290">
            <v>17640</v>
          </cell>
          <cell r="E290">
            <v>21</v>
          </cell>
          <cell r="F290">
            <v>14180.4</v>
          </cell>
          <cell r="G290">
            <v>734.16999999999905</v>
          </cell>
          <cell r="H290">
            <v>455.66</v>
          </cell>
          <cell r="I290">
            <v>0</v>
          </cell>
          <cell r="J290">
            <v>0</v>
          </cell>
          <cell r="K290">
            <v>455.66</v>
          </cell>
          <cell r="L290">
            <v>15370.23</v>
          </cell>
          <cell r="M290">
            <v>2269.77</v>
          </cell>
          <cell r="N290">
            <v>0</v>
          </cell>
          <cell r="O290">
            <v>15370.23</v>
          </cell>
          <cell r="P290">
            <v>2269.77</v>
          </cell>
          <cell r="Q290">
            <v>67.329999999999899</v>
          </cell>
          <cell r="R290">
            <v>15437.559999999899</v>
          </cell>
          <cell r="S290">
            <v>2202.44</v>
          </cell>
        </row>
        <row r="291">
          <cell r="A291" t="str">
            <v>1000/1414       POLI.M 5-16-24-4</v>
          </cell>
          <cell r="B291" t="str">
            <v>1001522    AGRO-BIT</v>
          </cell>
          <cell r="C291" t="str">
            <v>KB Sprzed. bezpośrednia</v>
          </cell>
          <cell r="D291">
            <v>63405.459999999897</v>
          </cell>
          <cell r="E291">
            <v>74</v>
          </cell>
          <cell r="F291">
            <v>44301.489999999903</v>
          </cell>
          <cell r="G291">
            <v>2638.8499999999899</v>
          </cell>
          <cell r="H291">
            <v>1605.65</v>
          </cell>
          <cell r="I291">
            <v>6077.6199999999899</v>
          </cell>
          <cell r="J291">
            <v>0</v>
          </cell>
          <cell r="K291">
            <v>7683.27</v>
          </cell>
          <cell r="L291">
            <v>54623.61</v>
          </cell>
          <cell r="M291">
            <v>8781.85</v>
          </cell>
          <cell r="N291">
            <v>0</v>
          </cell>
          <cell r="O291">
            <v>54623.61</v>
          </cell>
          <cell r="P291">
            <v>8781.85</v>
          </cell>
          <cell r="Q291">
            <v>210.34</v>
          </cell>
          <cell r="R291">
            <v>54833.949999999903</v>
          </cell>
          <cell r="S291">
            <v>8571.51</v>
          </cell>
        </row>
        <row r="292">
          <cell r="A292" t="str">
            <v>1000/1414       POLI.M 5-16-24-4</v>
          </cell>
          <cell r="B292" t="str">
            <v>1001649    CDN</v>
          </cell>
          <cell r="C292" t="str">
            <v>KC Centra dystrybucji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37816.79</v>
          </cell>
          <cell r="J292">
            <v>0</v>
          </cell>
          <cell r="K292">
            <v>37816.79</v>
          </cell>
          <cell r="L292">
            <v>37816.79</v>
          </cell>
          <cell r="M292">
            <v>-37816.79</v>
          </cell>
          <cell r="N292">
            <v>0</v>
          </cell>
          <cell r="O292">
            <v>37816.79</v>
          </cell>
          <cell r="P292">
            <v>-37816.79</v>
          </cell>
          <cell r="Q292">
            <v>0</v>
          </cell>
          <cell r="R292">
            <v>37816.79</v>
          </cell>
          <cell r="S292">
            <v>-37816.79</v>
          </cell>
        </row>
        <row r="293">
          <cell r="A293" t="str">
            <v>1000/1414       POLI.M 5-16-24-4</v>
          </cell>
          <cell r="B293" t="str">
            <v>1001662    AMPOL-MEROL Sp. z o.</v>
          </cell>
          <cell r="C293" t="str">
            <v>KB Sprzed. bezpośrednia</v>
          </cell>
          <cell r="D293">
            <v>134952.44</v>
          </cell>
          <cell r="E293">
            <v>166</v>
          </cell>
          <cell r="F293">
            <v>103197.12</v>
          </cell>
          <cell r="G293">
            <v>5616.64</v>
          </cell>
          <cell r="H293">
            <v>3601.88</v>
          </cell>
          <cell r="I293">
            <v>1921.76</v>
          </cell>
          <cell r="J293">
            <v>0</v>
          </cell>
          <cell r="K293">
            <v>5523.64</v>
          </cell>
          <cell r="L293">
            <v>114337.399999999</v>
          </cell>
          <cell r="M293">
            <v>20615.04</v>
          </cell>
          <cell r="N293">
            <v>0</v>
          </cell>
          <cell r="O293">
            <v>114337.399999999</v>
          </cell>
          <cell r="P293">
            <v>20615.04</v>
          </cell>
          <cell r="Q293">
            <v>489.92</v>
          </cell>
          <cell r="R293">
            <v>114827.32</v>
          </cell>
          <cell r="S293">
            <v>20125.119999999901</v>
          </cell>
        </row>
        <row r="294">
          <cell r="A294" t="str">
            <v>1000/1414       POLI.M 5-16-24-4</v>
          </cell>
          <cell r="B294" t="str">
            <v>1001662    AMPOL-MEROL Sp. z o.</v>
          </cell>
          <cell r="C294" t="str">
            <v>KC Centra dystrybucji</v>
          </cell>
          <cell r="D294">
            <v>131077.5</v>
          </cell>
          <cell r="E294">
            <v>150</v>
          </cell>
          <cell r="F294">
            <v>102921.72</v>
          </cell>
          <cell r="G294">
            <v>5455.3</v>
          </cell>
          <cell r="H294">
            <v>3254.71</v>
          </cell>
          <cell r="I294">
            <v>0</v>
          </cell>
          <cell r="J294">
            <v>0</v>
          </cell>
          <cell r="K294">
            <v>3254.71</v>
          </cell>
          <cell r="L294">
            <v>111631.73</v>
          </cell>
          <cell r="M294">
            <v>19445.77</v>
          </cell>
          <cell r="N294">
            <v>0</v>
          </cell>
          <cell r="O294">
            <v>111631.73</v>
          </cell>
          <cell r="P294">
            <v>19445.77</v>
          </cell>
          <cell r="Q294">
            <v>488.64999999999901</v>
          </cell>
          <cell r="R294">
            <v>112120.38</v>
          </cell>
          <cell r="S294">
            <v>18957.119999999901</v>
          </cell>
        </row>
        <row r="295">
          <cell r="A295" t="str">
            <v>1000/1414       POLI.M 5-16-24-4</v>
          </cell>
          <cell r="B295" t="str">
            <v>1001701    INTRAT-BRZ</v>
          </cell>
          <cell r="C295" t="str">
            <v>KC Centra dystrybucji</v>
          </cell>
          <cell r="D295">
            <v>61628.5</v>
          </cell>
          <cell r="E295">
            <v>75</v>
          </cell>
          <cell r="F295">
            <v>51370.25</v>
          </cell>
          <cell r="G295">
            <v>2564.9299999999898</v>
          </cell>
          <cell r="H295">
            <v>1627.3599999999899</v>
          </cell>
          <cell r="I295">
            <v>0</v>
          </cell>
          <cell r="J295">
            <v>0</v>
          </cell>
          <cell r="K295">
            <v>1627.3599999999899</v>
          </cell>
          <cell r="L295">
            <v>55562.54</v>
          </cell>
          <cell r="M295">
            <v>6065.96</v>
          </cell>
          <cell r="N295">
            <v>0</v>
          </cell>
          <cell r="O295">
            <v>55562.54</v>
          </cell>
          <cell r="P295">
            <v>6065.96</v>
          </cell>
          <cell r="Q295">
            <v>243.91</v>
          </cell>
          <cell r="R295">
            <v>55806.449999999903</v>
          </cell>
          <cell r="S295">
            <v>5822.05</v>
          </cell>
        </row>
        <row r="296">
          <cell r="A296" t="str">
            <v>1000/1414       POLI.M 5-16-24-4</v>
          </cell>
          <cell r="B296" t="str">
            <v>1001705    AGROSTART</v>
          </cell>
          <cell r="C296" t="str">
            <v>KB Sprzed. bezpośrednia</v>
          </cell>
          <cell r="D296">
            <v>47261.55</v>
          </cell>
          <cell r="E296">
            <v>57</v>
          </cell>
          <cell r="F296">
            <v>34124.120000000003</v>
          </cell>
          <cell r="G296">
            <v>1967</v>
          </cell>
          <cell r="H296">
            <v>1236.79</v>
          </cell>
          <cell r="I296">
            <v>3624.77</v>
          </cell>
          <cell r="J296">
            <v>0</v>
          </cell>
          <cell r="K296">
            <v>4861.5600000000004</v>
          </cell>
          <cell r="L296">
            <v>40952.68</v>
          </cell>
          <cell r="M296">
            <v>6308.8699999999899</v>
          </cell>
          <cell r="N296">
            <v>0</v>
          </cell>
          <cell r="O296">
            <v>40952.68</v>
          </cell>
          <cell r="P296">
            <v>6308.8699999999899</v>
          </cell>
          <cell r="Q296">
            <v>162.02000000000001</v>
          </cell>
          <cell r="R296">
            <v>41114.699999999903</v>
          </cell>
          <cell r="S296">
            <v>6146.85</v>
          </cell>
        </row>
        <row r="297">
          <cell r="A297" t="str">
            <v>1000/1414       POLI.M 5-16-24-4</v>
          </cell>
          <cell r="B297" t="str">
            <v>1001983    FAZOT</v>
          </cell>
          <cell r="C297" t="str">
            <v>KB Sprzed. bezpośrednia</v>
          </cell>
          <cell r="D297">
            <v>89072.979999999894</v>
          </cell>
          <cell r="E297">
            <v>106</v>
          </cell>
          <cell r="F297">
            <v>65645.789999999906</v>
          </cell>
          <cell r="G297">
            <v>3707.15</v>
          </cell>
          <cell r="H297">
            <v>2299.98</v>
          </cell>
          <cell r="I297">
            <v>3994.0799999999899</v>
          </cell>
          <cell r="J297">
            <v>0</v>
          </cell>
          <cell r="K297">
            <v>6294.06</v>
          </cell>
          <cell r="L297">
            <v>75647</v>
          </cell>
          <cell r="M297">
            <v>13425.98</v>
          </cell>
          <cell r="N297">
            <v>0</v>
          </cell>
          <cell r="O297">
            <v>75647</v>
          </cell>
          <cell r="P297">
            <v>13425.98</v>
          </cell>
          <cell r="Q297">
            <v>311.66000000000003</v>
          </cell>
          <cell r="R297">
            <v>75958.66</v>
          </cell>
          <cell r="S297">
            <v>13114.32</v>
          </cell>
        </row>
        <row r="298">
          <cell r="A298" t="str">
            <v>1000/1414       POLI.M 5-16-24-4</v>
          </cell>
          <cell r="B298" t="str">
            <v>1001988    ROLNIK-KOŚCIAN</v>
          </cell>
          <cell r="C298" t="str">
            <v>KB Sprzed. bezpośrednia</v>
          </cell>
          <cell r="D298">
            <v>36967.01</v>
          </cell>
          <cell r="E298">
            <v>43</v>
          </cell>
          <cell r="F298">
            <v>25742.7599999999</v>
          </cell>
          <cell r="G298">
            <v>1538.49</v>
          </cell>
          <cell r="H298">
            <v>933.00999999999897</v>
          </cell>
          <cell r="I298">
            <v>0</v>
          </cell>
          <cell r="J298">
            <v>0</v>
          </cell>
          <cell r="K298">
            <v>933.00999999999897</v>
          </cell>
          <cell r="L298">
            <v>28214.2599999999</v>
          </cell>
          <cell r="M298">
            <v>8752.75</v>
          </cell>
          <cell r="N298">
            <v>0</v>
          </cell>
          <cell r="O298">
            <v>28214.2599999999</v>
          </cell>
          <cell r="P298">
            <v>8752.75</v>
          </cell>
          <cell r="Q298">
            <v>122.239999999999</v>
          </cell>
          <cell r="R298">
            <v>28336.5</v>
          </cell>
          <cell r="S298">
            <v>8630.51</v>
          </cell>
        </row>
        <row r="299">
          <cell r="A299" t="str">
            <v>1000/1414       POLI.M 5-16-24-4</v>
          </cell>
          <cell r="B299" t="str">
            <v>1001991    WAMEX</v>
          </cell>
          <cell r="C299" t="str">
            <v>KB Sprzed. bezpośrednia</v>
          </cell>
          <cell r="D299">
            <v>83854.199999999895</v>
          </cell>
          <cell r="E299">
            <v>100</v>
          </cell>
          <cell r="F299">
            <v>59866.889999999898</v>
          </cell>
          <cell r="G299">
            <v>3489.9299999999898</v>
          </cell>
          <cell r="H299">
            <v>2169.8000000000002</v>
          </cell>
          <cell r="I299">
            <v>5337.3599999999897</v>
          </cell>
          <cell r="J299">
            <v>0</v>
          </cell>
          <cell r="K299">
            <v>7507.1599999999899</v>
          </cell>
          <cell r="L299">
            <v>70863.979999999894</v>
          </cell>
          <cell r="M299">
            <v>12990.219999999899</v>
          </cell>
          <cell r="N299">
            <v>0</v>
          </cell>
          <cell r="O299">
            <v>70863.979999999894</v>
          </cell>
          <cell r="P299">
            <v>12990.219999999899</v>
          </cell>
          <cell r="Q299">
            <v>284.23</v>
          </cell>
          <cell r="R299">
            <v>71148.210000000006</v>
          </cell>
          <cell r="S299">
            <v>12705.99</v>
          </cell>
        </row>
        <row r="300">
          <cell r="A300" t="str">
            <v>1000/1414       POLI.M 5-16-24-4</v>
          </cell>
          <cell r="B300" t="str">
            <v>1001992    PLON Pastuszka Kazał</v>
          </cell>
          <cell r="C300" t="str">
            <v>KB Sprzed. bezpośrednia</v>
          </cell>
          <cell r="D300">
            <v>20458.560000000001</v>
          </cell>
          <cell r="E300">
            <v>24</v>
          </cell>
          <cell r="F300">
            <v>14368.049999999899</v>
          </cell>
          <cell r="G300">
            <v>851.40999999999894</v>
          </cell>
          <cell r="H300">
            <v>520.74</v>
          </cell>
          <cell r="I300">
            <v>1518.96</v>
          </cell>
          <cell r="J300">
            <v>0</v>
          </cell>
          <cell r="K300">
            <v>2039.7</v>
          </cell>
          <cell r="L300">
            <v>17259.16</v>
          </cell>
          <cell r="M300">
            <v>3199.4</v>
          </cell>
          <cell r="N300">
            <v>0</v>
          </cell>
          <cell r="O300">
            <v>17259.16</v>
          </cell>
          <cell r="P300">
            <v>3199.4</v>
          </cell>
          <cell r="Q300">
            <v>68.219999999999899</v>
          </cell>
          <cell r="R300">
            <v>17327.38</v>
          </cell>
          <cell r="S300">
            <v>3131.1799999999898</v>
          </cell>
        </row>
        <row r="301">
          <cell r="A301" t="str">
            <v>1000/1414       POLI.M 5-16-24-4</v>
          </cell>
          <cell r="B301" t="str">
            <v>1001994    SKR-STRZELCE</v>
          </cell>
          <cell r="C301" t="str">
            <v>KB Sprzed. bezpośrednia</v>
          </cell>
          <cell r="D301">
            <v>129814.36</v>
          </cell>
          <cell r="E301">
            <v>158</v>
          </cell>
          <cell r="F301">
            <v>94589.669999999896</v>
          </cell>
          <cell r="G301">
            <v>5402.76</v>
          </cell>
          <cell r="H301">
            <v>3428.29</v>
          </cell>
          <cell r="I301">
            <v>3459.1799999999898</v>
          </cell>
          <cell r="J301">
            <v>0</v>
          </cell>
          <cell r="K301">
            <v>6887.47</v>
          </cell>
          <cell r="L301">
            <v>106879.899999999</v>
          </cell>
          <cell r="M301">
            <v>22934.459999999901</v>
          </cell>
          <cell r="N301">
            <v>0</v>
          </cell>
          <cell r="O301">
            <v>106879.899999999</v>
          </cell>
          <cell r="P301">
            <v>22934.459999999901</v>
          </cell>
          <cell r="Q301">
            <v>449.07999999999902</v>
          </cell>
          <cell r="R301">
            <v>107328.98</v>
          </cell>
          <cell r="S301">
            <v>22485.38</v>
          </cell>
        </row>
        <row r="302">
          <cell r="A302" t="str">
            <v>1000/1414       POLI.M 5-16-24-4</v>
          </cell>
          <cell r="B302" t="str">
            <v>1002005    LAMCH-TOMI</v>
          </cell>
          <cell r="C302" t="str">
            <v>KB Sprzed. bezpośrednia</v>
          </cell>
          <cell r="D302">
            <v>20386.68</v>
          </cell>
          <cell r="E302">
            <v>24</v>
          </cell>
          <cell r="F302">
            <v>14368.059999999899</v>
          </cell>
          <cell r="G302">
            <v>848.41999999999905</v>
          </cell>
          <cell r="H302">
            <v>520.74</v>
          </cell>
          <cell r="I302">
            <v>1359.96</v>
          </cell>
          <cell r="J302">
            <v>0</v>
          </cell>
          <cell r="K302">
            <v>1880.7</v>
          </cell>
          <cell r="L302">
            <v>17097.18</v>
          </cell>
          <cell r="M302">
            <v>3289.5</v>
          </cell>
          <cell r="N302">
            <v>0</v>
          </cell>
          <cell r="O302">
            <v>17097.18</v>
          </cell>
          <cell r="P302">
            <v>3289.5</v>
          </cell>
          <cell r="Q302">
            <v>68.219999999999899</v>
          </cell>
          <cell r="R302">
            <v>17165.400000000001</v>
          </cell>
          <cell r="S302">
            <v>3221.28</v>
          </cell>
        </row>
        <row r="303">
          <cell r="A303" t="str">
            <v>1000/1414       POLI.M 5-16-24-4</v>
          </cell>
          <cell r="B303" t="str">
            <v>1002007    STAMPOL</v>
          </cell>
          <cell r="C303" t="str">
            <v>KB Sprzed. bezpośrednia</v>
          </cell>
          <cell r="D303">
            <v>20663.7599999999</v>
          </cell>
          <cell r="E303">
            <v>24</v>
          </cell>
          <cell r="F303">
            <v>14368.049999999899</v>
          </cell>
          <cell r="G303">
            <v>859.94</v>
          </cell>
          <cell r="H303">
            <v>520.74</v>
          </cell>
          <cell r="I303">
            <v>1779.1199999999899</v>
          </cell>
          <cell r="J303">
            <v>0</v>
          </cell>
          <cell r="K303">
            <v>2299.86</v>
          </cell>
          <cell r="L303">
            <v>17527.8499999999</v>
          </cell>
          <cell r="M303">
            <v>3135.9099999999899</v>
          </cell>
          <cell r="N303">
            <v>0</v>
          </cell>
          <cell r="O303">
            <v>17527.8499999999</v>
          </cell>
          <cell r="P303">
            <v>3135.9099999999899</v>
          </cell>
          <cell r="Q303">
            <v>68.219999999999899</v>
          </cell>
          <cell r="R303">
            <v>17596.07</v>
          </cell>
          <cell r="S303">
            <v>3067.69</v>
          </cell>
        </row>
        <row r="304">
          <cell r="A304" t="str">
            <v>1000/1414       POLI.M 5-16-24-4</v>
          </cell>
          <cell r="B304" t="str">
            <v>1002009    AGROTECHNI</v>
          </cell>
          <cell r="C304" t="str">
            <v>KB Sprzed. bezpośrednia</v>
          </cell>
          <cell r="D304">
            <v>20158.32</v>
          </cell>
          <cell r="E304">
            <v>24</v>
          </cell>
          <cell r="F304">
            <v>14368.049999999899</v>
          </cell>
          <cell r="G304">
            <v>838.96</v>
          </cell>
          <cell r="H304">
            <v>520.74</v>
          </cell>
          <cell r="I304">
            <v>1805.52</v>
          </cell>
          <cell r="J304">
            <v>0</v>
          </cell>
          <cell r="K304">
            <v>2326.2600000000002</v>
          </cell>
          <cell r="L304">
            <v>17533.27</v>
          </cell>
          <cell r="M304">
            <v>2625.05</v>
          </cell>
          <cell r="N304">
            <v>0</v>
          </cell>
          <cell r="O304">
            <v>17533.27</v>
          </cell>
          <cell r="P304">
            <v>2625.05</v>
          </cell>
          <cell r="Q304">
            <v>68.219999999999899</v>
          </cell>
          <cell r="R304">
            <v>17601.490000000002</v>
          </cell>
          <cell r="S304">
            <v>2556.8299999999899</v>
          </cell>
        </row>
        <row r="305">
          <cell r="A305" t="str">
            <v>1000/1414       POLI.M 5-16-24-4</v>
          </cell>
          <cell r="B305" t="str">
            <v>1002012    SKR-CZAPLI</v>
          </cell>
          <cell r="C305" t="str">
            <v>KB Sprzed. bezpośrednia</v>
          </cell>
          <cell r="D305">
            <v>19634.400000000001</v>
          </cell>
          <cell r="E305">
            <v>24</v>
          </cell>
          <cell r="F305">
            <v>14368.049999999899</v>
          </cell>
          <cell r="G305">
            <v>817.17999999999904</v>
          </cell>
          <cell r="H305">
            <v>520.74</v>
          </cell>
          <cell r="I305">
            <v>0</v>
          </cell>
          <cell r="J305">
            <v>0</v>
          </cell>
          <cell r="K305">
            <v>520.74</v>
          </cell>
          <cell r="L305">
            <v>15705.969999999899</v>
          </cell>
          <cell r="M305">
            <v>3928.4299999999898</v>
          </cell>
          <cell r="N305">
            <v>0</v>
          </cell>
          <cell r="O305">
            <v>15705.969999999899</v>
          </cell>
          <cell r="P305">
            <v>3928.4299999999898</v>
          </cell>
          <cell r="Q305">
            <v>68.219999999999899</v>
          </cell>
          <cell r="R305">
            <v>15774.19</v>
          </cell>
          <cell r="S305">
            <v>3860.21</v>
          </cell>
        </row>
        <row r="306">
          <cell r="A306" t="str">
            <v>1000/1414       POLI.M 5-16-24-4</v>
          </cell>
          <cell r="B306" t="str">
            <v>1002047    Chempest</v>
          </cell>
          <cell r="C306" t="str">
            <v>KB Sprzed. bezpośrednia</v>
          </cell>
          <cell r="D306">
            <v>20663.7599999999</v>
          </cell>
          <cell r="E306">
            <v>24</v>
          </cell>
          <cell r="F306">
            <v>14368.049999999899</v>
          </cell>
          <cell r="G306">
            <v>859.94</v>
          </cell>
          <cell r="H306">
            <v>520.74</v>
          </cell>
          <cell r="I306">
            <v>1335.1199999999899</v>
          </cell>
          <cell r="J306">
            <v>0</v>
          </cell>
          <cell r="K306">
            <v>1855.8599999999899</v>
          </cell>
          <cell r="L306">
            <v>17083.8499999999</v>
          </cell>
          <cell r="M306">
            <v>3579.9099999999899</v>
          </cell>
          <cell r="N306">
            <v>0</v>
          </cell>
          <cell r="O306">
            <v>17083.8499999999</v>
          </cell>
          <cell r="P306">
            <v>3579.9099999999899</v>
          </cell>
          <cell r="Q306">
            <v>68.219999999999899</v>
          </cell>
          <cell r="R306">
            <v>17152.07</v>
          </cell>
          <cell r="S306">
            <v>3511.69</v>
          </cell>
        </row>
        <row r="307">
          <cell r="A307" t="str">
            <v>1000/1414       POLI.M 5-16-24-4</v>
          </cell>
          <cell r="B307" t="str">
            <v>1002056    GS-Koronowo</v>
          </cell>
          <cell r="C307" t="str">
            <v>KB Sprzed. bezpośrednia</v>
          </cell>
          <cell r="D307">
            <v>10079.16</v>
          </cell>
          <cell r="E307">
            <v>12</v>
          </cell>
          <cell r="F307">
            <v>7184.0299999999897</v>
          </cell>
          <cell r="G307">
            <v>419.52999999999901</v>
          </cell>
          <cell r="H307">
            <v>260.38999999999902</v>
          </cell>
          <cell r="I307">
            <v>408.6</v>
          </cell>
          <cell r="J307">
            <v>0</v>
          </cell>
          <cell r="K307">
            <v>668.99</v>
          </cell>
          <cell r="L307">
            <v>8272.5499999999902</v>
          </cell>
          <cell r="M307">
            <v>1806.6099999999899</v>
          </cell>
          <cell r="N307">
            <v>0</v>
          </cell>
          <cell r="O307">
            <v>8272.5499999999902</v>
          </cell>
          <cell r="P307">
            <v>1806.6099999999899</v>
          </cell>
          <cell r="Q307">
            <v>34.1</v>
          </cell>
          <cell r="R307">
            <v>8306.6499999999905</v>
          </cell>
          <cell r="S307">
            <v>1772.51</v>
          </cell>
        </row>
        <row r="308">
          <cell r="A308" t="str">
            <v>1000/1414       POLI.M 5-16-24-4</v>
          </cell>
          <cell r="B308" t="str">
            <v>1002058    GS-Gardeja</v>
          </cell>
          <cell r="C308" t="str">
            <v>KC Centra dystrybucji</v>
          </cell>
          <cell r="D308">
            <v>19800</v>
          </cell>
          <cell r="E308">
            <v>24</v>
          </cell>
          <cell r="F308">
            <v>16380.49</v>
          </cell>
          <cell r="G308">
            <v>824.01999999999896</v>
          </cell>
          <cell r="H308">
            <v>520.74</v>
          </cell>
          <cell r="I308">
            <v>0</v>
          </cell>
          <cell r="J308">
            <v>0</v>
          </cell>
          <cell r="K308">
            <v>520.74</v>
          </cell>
          <cell r="L308">
            <v>17725.25</v>
          </cell>
          <cell r="M308">
            <v>2074.75</v>
          </cell>
          <cell r="N308">
            <v>0</v>
          </cell>
          <cell r="O308">
            <v>17725.25</v>
          </cell>
          <cell r="P308">
            <v>2074.75</v>
          </cell>
          <cell r="Q308">
            <v>77.760000000000005</v>
          </cell>
          <cell r="R308">
            <v>17803.0099999999</v>
          </cell>
          <cell r="S308">
            <v>1996.99</v>
          </cell>
        </row>
        <row r="309">
          <cell r="A309" t="str">
            <v>1000/1414       POLI.M 5-16-24-4</v>
          </cell>
          <cell r="B309" t="str">
            <v>1002151    "AGRO-HANDEL"</v>
          </cell>
          <cell r="C309" t="str">
            <v>KB Sprzed. bezpośrednia</v>
          </cell>
          <cell r="D309">
            <v>20812.25</v>
          </cell>
          <cell r="E309">
            <v>25</v>
          </cell>
          <cell r="F309">
            <v>14966.719999999899</v>
          </cell>
          <cell r="G309">
            <v>866.21</v>
          </cell>
          <cell r="H309">
            <v>542.45000000000005</v>
          </cell>
          <cell r="I309">
            <v>1939.95</v>
          </cell>
          <cell r="J309">
            <v>0</v>
          </cell>
          <cell r="K309">
            <v>2482.4</v>
          </cell>
          <cell r="L309">
            <v>18315.330000000002</v>
          </cell>
          <cell r="M309">
            <v>2496.92</v>
          </cell>
          <cell r="N309">
            <v>0</v>
          </cell>
          <cell r="O309">
            <v>18315.330000000002</v>
          </cell>
          <cell r="P309">
            <v>2496.92</v>
          </cell>
          <cell r="Q309">
            <v>71.049999999999898</v>
          </cell>
          <cell r="R309">
            <v>18386.38</v>
          </cell>
          <cell r="S309">
            <v>2425.8699999999899</v>
          </cell>
        </row>
        <row r="310">
          <cell r="A310" t="str">
            <v>1000/1414       POLI.M 5-16-24-4</v>
          </cell>
          <cell r="B310" t="str">
            <v>1002556    "AGROPLON" SP. Z O.O</v>
          </cell>
          <cell r="C310" t="str">
            <v>KB Sprzed. bezpośrednia</v>
          </cell>
          <cell r="D310">
            <v>19634.400000000001</v>
          </cell>
          <cell r="E310">
            <v>24</v>
          </cell>
          <cell r="F310">
            <v>15004.4</v>
          </cell>
          <cell r="G310">
            <v>817.17999999999904</v>
          </cell>
          <cell r="H310">
            <v>520.74</v>
          </cell>
          <cell r="I310">
            <v>0</v>
          </cell>
          <cell r="J310">
            <v>0</v>
          </cell>
          <cell r="K310">
            <v>520.74</v>
          </cell>
          <cell r="L310">
            <v>16342.32</v>
          </cell>
          <cell r="M310">
            <v>3292.0799999999899</v>
          </cell>
          <cell r="N310">
            <v>0</v>
          </cell>
          <cell r="O310">
            <v>16342.32</v>
          </cell>
          <cell r="P310">
            <v>3292.0799999999899</v>
          </cell>
          <cell r="Q310">
            <v>71.239999999999895</v>
          </cell>
          <cell r="R310">
            <v>16413.560000000001</v>
          </cell>
          <cell r="S310">
            <v>3220.84</v>
          </cell>
        </row>
        <row r="311">
          <cell r="A311" t="str">
            <v>1000/1414       POLI.M 5-16-24-4</v>
          </cell>
          <cell r="B311" t="str">
            <v>1002657    "AGROFIRMA"-TOMASZ W</v>
          </cell>
          <cell r="C311" t="str">
            <v>KB Sprzed. bezpośrednia</v>
          </cell>
          <cell r="D311">
            <v>17906.459999999901</v>
          </cell>
          <cell r="E311">
            <v>22</v>
          </cell>
          <cell r="F311">
            <v>13170.719999999899</v>
          </cell>
          <cell r="G311">
            <v>745.22</v>
          </cell>
          <cell r="H311">
            <v>477.36</v>
          </cell>
          <cell r="I311">
            <v>0</v>
          </cell>
          <cell r="J311">
            <v>0</v>
          </cell>
          <cell r="K311">
            <v>477.36</v>
          </cell>
          <cell r="L311">
            <v>14393.299999999899</v>
          </cell>
          <cell r="M311">
            <v>3513.1599999999899</v>
          </cell>
          <cell r="N311">
            <v>0</v>
          </cell>
          <cell r="O311">
            <v>14393.299999999899</v>
          </cell>
          <cell r="P311">
            <v>3513.1599999999899</v>
          </cell>
          <cell r="Q311">
            <v>62.509999999999899</v>
          </cell>
          <cell r="R311">
            <v>14455.809999999899</v>
          </cell>
          <cell r="S311">
            <v>3450.65</v>
          </cell>
        </row>
        <row r="312">
          <cell r="A312" t="str">
            <v>1000/1414       POLI.M 5-16-24-4</v>
          </cell>
          <cell r="B312" t="str">
            <v>1002790    AGRO-SKŁAD SZYMON NO</v>
          </cell>
          <cell r="C312" t="str">
            <v>KB Sprzed. bezpośrednia</v>
          </cell>
          <cell r="D312">
            <v>62936.86</v>
          </cell>
          <cell r="E312">
            <v>78.48</v>
          </cell>
          <cell r="F312">
            <v>47207.55</v>
          </cell>
          <cell r="G312">
            <v>2619.4099999999899</v>
          </cell>
          <cell r="H312">
            <v>1702.8599999999899</v>
          </cell>
          <cell r="I312">
            <v>0</v>
          </cell>
          <cell r="J312">
            <v>0</v>
          </cell>
          <cell r="K312">
            <v>1702.8599999999899</v>
          </cell>
          <cell r="L312">
            <v>51529.82</v>
          </cell>
          <cell r="M312">
            <v>11407.04</v>
          </cell>
          <cell r="N312">
            <v>0</v>
          </cell>
          <cell r="O312">
            <v>51529.82</v>
          </cell>
          <cell r="P312">
            <v>11407.04</v>
          </cell>
          <cell r="Q312">
            <v>224.099999999999</v>
          </cell>
          <cell r="R312">
            <v>51753.919999999896</v>
          </cell>
          <cell r="S312">
            <v>11182.94</v>
          </cell>
        </row>
        <row r="313">
          <cell r="A313" t="str">
            <v>1000/1414       POLI.M 5-16-24-4</v>
          </cell>
          <cell r="B313" t="str">
            <v>1002912    "SOMIR" SP. Z O.O.</v>
          </cell>
          <cell r="C313" t="str">
            <v>KC Centra dystrybucji</v>
          </cell>
          <cell r="D313">
            <v>40837.5</v>
          </cell>
          <cell r="E313">
            <v>50</v>
          </cell>
          <cell r="F313">
            <v>34307.239999999903</v>
          </cell>
          <cell r="G313">
            <v>1699.65</v>
          </cell>
          <cell r="H313">
            <v>1084.9100000000001</v>
          </cell>
          <cell r="I313">
            <v>0</v>
          </cell>
          <cell r="J313">
            <v>0</v>
          </cell>
          <cell r="K313">
            <v>1084.9100000000001</v>
          </cell>
          <cell r="L313">
            <v>37091.800000000003</v>
          </cell>
          <cell r="M313">
            <v>3745.6999999999898</v>
          </cell>
          <cell r="N313">
            <v>0</v>
          </cell>
          <cell r="O313">
            <v>37091.800000000003</v>
          </cell>
          <cell r="P313">
            <v>3745.6999999999898</v>
          </cell>
          <cell r="Q313">
            <v>162.88999999999899</v>
          </cell>
          <cell r="R313">
            <v>37254.69</v>
          </cell>
          <cell r="S313">
            <v>3582.8099999999899</v>
          </cell>
        </row>
        <row r="314">
          <cell r="A314" t="str">
            <v>1000/1414       POLI.M 5-16-24-4</v>
          </cell>
          <cell r="B314" t="str">
            <v>1003056    LECHPOL SP. Z O.O.</v>
          </cell>
          <cell r="C314" t="str">
            <v>KB Sprzed. bezpośrednia</v>
          </cell>
          <cell r="D314">
            <v>213509.519999999</v>
          </cell>
          <cell r="E314">
            <v>264</v>
          </cell>
          <cell r="F314">
            <v>159321.25</v>
          </cell>
          <cell r="G314">
            <v>8886.0499999999902</v>
          </cell>
          <cell r="H314">
            <v>5728.29</v>
          </cell>
          <cell r="I314">
            <v>1090.5599999999899</v>
          </cell>
          <cell r="J314">
            <v>0</v>
          </cell>
          <cell r="K314">
            <v>6818.85</v>
          </cell>
          <cell r="L314">
            <v>175026.149999999</v>
          </cell>
          <cell r="M314">
            <v>38483.370000000003</v>
          </cell>
          <cell r="N314">
            <v>0</v>
          </cell>
          <cell r="O314">
            <v>175026.149999999</v>
          </cell>
          <cell r="P314">
            <v>38483.370000000003</v>
          </cell>
          <cell r="Q314">
            <v>756.42999999999904</v>
          </cell>
          <cell r="R314">
            <v>175782.579999999</v>
          </cell>
          <cell r="S314">
            <v>37726.94</v>
          </cell>
        </row>
        <row r="315">
          <cell r="A315" t="str">
            <v>1000/1414       POLI.M 5-16-24-4</v>
          </cell>
          <cell r="B315" t="str">
            <v>1003315    ZAKŁAD OBROTU ROLNEG</v>
          </cell>
          <cell r="C315" t="str">
            <v>KC Centra dystrybucji</v>
          </cell>
          <cell r="D315">
            <v>8192.2999999999902</v>
          </cell>
          <cell r="E315">
            <v>10</v>
          </cell>
          <cell r="F315">
            <v>5986.6899999999896</v>
          </cell>
          <cell r="G315">
            <v>340.97</v>
          </cell>
          <cell r="H315">
            <v>216.979999999999</v>
          </cell>
          <cell r="I315">
            <v>0</v>
          </cell>
          <cell r="J315">
            <v>0</v>
          </cell>
          <cell r="K315">
            <v>216.979999999999</v>
          </cell>
          <cell r="L315">
            <v>6544.64</v>
          </cell>
          <cell r="M315">
            <v>1647.66</v>
          </cell>
          <cell r="N315">
            <v>0</v>
          </cell>
          <cell r="O315">
            <v>6544.64</v>
          </cell>
          <cell r="P315">
            <v>1647.66</v>
          </cell>
          <cell r="Q315">
            <v>28.41</v>
          </cell>
          <cell r="R315">
            <v>6573.05</v>
          </cell>
          <cell r="S315">
            <v>1619.25</v>
          </cell>
        </row>
        <row r="316">
          <cell r="A316" t="str">
            <v>1000/1414       POLI.M 5-16-24-4</v>
          </cell>
          <cell r="B316" t="str">
            <v>1003605    "AGROMUND"</v>
          </cell>
          <cell r="C316" t="str">
            <v>KC Centra dystrybucji</v>
          </cell>
          <cell r="D316">
            <v>6534</v>
          </cell>
          <cell r="E316">
            <v>8</v>
          </cell>
          <cell r="F316">
            <v>5402.06</v>
          </cell>
          <cell r="G316">
            <v>272.01999999999902</v>
          </cell>
          <cell r="H316">
            <v>173.58</v>
          </cell>
          <cell r="I316">
            <v>0</v>
          </cell>
          <cell r="J316">
            <v>0</v>
          </cell>
          <cell r="K316">
            <v>173.58</v>
          </cell>
          <cell r="L316">
            <v>5847.6599999999899</v>
          </cell>
          <cell r="M316">
            <v>686.34</v>
          </cell>
          <cell r="N316">
            <v>0</v>
          </cell>
          <cell r="O316">
            <v>5847.6599999999899</v>
          </cell>
          <cell r="P316">
            <v>686.34</v>
          </cell>
          <cell r="Q316">
            <v>25.66</v>
          </cell>
          <cell r="R316">
            <v>5873.3199999999897</v>
          </cell>
          <cell r="S316">
            <v>660.67999999999904</v>
          </cell>
        </row>
        <row r="317">
          <cell r="A317" t="str">
            <v>1000/1414       POLI.M 5-16-24-4</v>
          </cell>
          <cell r="B317" t="str">
            <v>1003773    "NIRO"</v>
          </cell>
          <cell r="C317" t="str">
            <v>KB Sprzed. bezpośrednia</v>
          </cell>
          <cell r="D317">
            <v>19245.5999999999</v>
          </cell>
          <cell r="E317">
            <v>24</v>
          </cell>
          <cell r="F317">
            <v>14368.049999999899</v>
          </cell>
          <cell r="G317">
            <v>800.99</v>
          </cell>
          <cell r="H317">
            <v>520.74</v>
          </cell>
          <cell r="I317">
            <v>0</v>
          </cell>
          <cell r="J317">
            <v>0</v>
          </cell>
          <cell r="K317">
            <v>520.74</v>
          </cell>
          <cell r="L317">
            <v>15689.78</v>
          </cell>
          <cell r="M317">
            <v>3555.82</v>
          </cell>
          <cell r="N317">
            <v>0</v>
          </cell>
          <cell r="O317">
            <v>15689.78</v>
          </cell>
          <cell r="P317">
            <v>3555.82</v>
          </cell>
          <cell r="Q317">
            <v>68.219999999999899</v>
          </cell>
          <cell r="R317">
            <v>15758</v>
          </cell>
          <cell r="S317">
            <v>3487.5999999999899</v>
          </cell>
        </row>
        <row r="318">
          <cell r="A318" t="str">
            <v>1000/1414       POLI.M 5-16-24-4</v>
          </cell>
          <cell r="B318" t="str">
            <v>1003857    EDMAR</v>
          </cell>
          <cell r="C318" t="str">
            <v>KB Sprzed. bezpośrednia</v>
          </cell>
          <cell r="D318">
            <v>210516.98</v>
          </cell>
          <cell r="E318">
            <v>250</v>
          </cell>
          <cell r="F318">
            <v>149667.19</v>
          </cell>
          <cell r="G318">
            <v>8761.4799999999905</v>
          </cell>
          <cell r="H318">
            <v>5424.52</v>
          </cell>
          <cell r="I318">
            <v>15526.28</v>
          </cell>
          <cell r="J318">
            <v>0</v>
          </cell>
          <cell r="K318">
            <v>20950.799999999901</v>
          </cell>
          <cell r="L318">
            <v>179379.47</v>
          </cell>
          <cell r="M318">
            <v>31137.5099999999</v>
          </cell>
          <cell r="N318">
            <v>0</v>
          </cell>
          <cell r="O318">
            <v>179379.47</v>
          </cell>
          <cell r="P318">
            <v>31137.5099999999</v>
          </cell>
          <cell r="Q318">
            <v>710.6</v>
          </cell>
          <cell r="R318">
            <v>180090.07</v>
          </cell>
          <cell r="S318">
            <v>30426.91</v>
          </cell>
        </row>
        <row r="319">
          <cell r="A319" t="str">
            <v>1000/1414       POLI.M 5-16-24-4</v>
          </cell>
          <cell r="B319" t="str">
            <v>1003907    "MAJA"</v>
          </cell>
          <cell r="C319" t="str">
            <v>KB Sprzed. bezpośrednia</v>
          </cell>
          <cell r="D319">
            <v>20314.799999999901</v>
          </cell>
          <cell r="E319">
            <v>24</v>
          </cell>
          <cell r="F319">
            <v>14368.049999999899</v>
          </cell>
          <cell r="G319">
            <v>845.44</v>
          </cell>
          <cell r="H319">
            <v>520.74</v>
          </cell>
          <cell r="I319">
            <v>977.51999999999896</v>
          </cell>
          <cell r="J319">
            <v>0</v>
          </cell>
          <cell r="K319">
            <v>1498.26</v>
          </cell>
          <cell r="L319">
            <v>16711.75</v>
          </cell>
          <cell r="M319">
            <v>3603.05</v>
          </cell>
          <cell r="N319">
            <v>0</v>
          </cell>
          <cell r="O319">
            <v>16711.75</v>
          </cell>
          <cell r="P319">
            <v>3603.05</v>
          </cell>
          <cell r="Q319">
            <v>68.219999999999899</v>
          </cell>
          <cell r="R319">
            <v>16779.97</v>
          </cell>
          <cell r="S319">
            <v>3534.8299999999899</v>
          </cell>
        </row>
        <row r="320">
          <cell r="A320" t="str">
            <v>1000/1414       POLI.M 5-16-24-4</v>
          </cell>
          <cell r="B320" t="str">
            <v>1003988    BLENDING Sp.z o.o.</v>
          </cell>
          <cell r="C320" t="str">
            <v>KB Sprzed. bezpośrednia</v>
          </cell>
          <cell r="D320">
            <v>41624.5</v>
          </cell>
          <cell r="E320">
            <v>50</v>
          </cell>
          <cell r="F320">
            <v>29933.4399999999</v>
          </cell>
          <cell r="G320">
            <v>1732.4</v>
          </cell>
          <cell r="H320">
            <v>1084.9100000000001</v>
          </cell>
          <cell r="I320">
            <v>2228.84</v>
          </cell>
          <cell r="J320">
            <v>0</v>
          </cell>
          <cell r="K320">
            <v>3313.75</v>
          </cell>
          <cell r="L320">
            <v>34979.589999999902</v>
          </cell>
          <cell r="M320">
            <v>6644.9099999999899</v>
          </cell>
          <cell r="N320">
            <v>0</v>
          </cell>
          <cell r="O320">
            <v>34979.589999999902</v>
          </cell>
          <cell r="P320">
            <v>6644.9099999999899</v>
          </cell>
          <cell r="Q320">
            <v>142.12</v>
          </cell>
          <cell r="R320">
            <v>35121.709999999897</v>
          </cell>
          <cell r="S320">
            <v>6502.79</v>
          </cell>
        </row>
        <row r="321">
          <cell r="A321" t="str">
            <v>1000/1414       POLI.M 5-16-24-4</v>
          </cell>
          <cell r="B321" t="str">
            <v>1004168    "OSADKOWSKI" SPÓŁKA</v>
          </cell>
          <cell r="C321" t="str">
            <v>KB Sprzed. bezpośrednia</v>
          </cell>
          <cell r="D321">
            <v>20520</v>
          </cell>
          <cell r="E321">
            <v>24</v>
          </cell>
          <cell r="F321">
            <v>15004.4</v>
          </cell>
          <cell r="G321">
            <v>853.97</v>
          </cell>
          <cell r="H321">
            <v>520.74</v>
          </cell>
          <cell r="I321">
            <v>798.96</v>
          </cell>
          <cell r="J321">
            <v>0</v>
          </cell>
          <cell r="K321">
            <v>1319.7</v>
          </cell>
          <cell r="L321">
            <v>17178.07</v>
          </cell>
          <cell r="M321">
            <v>3341.9299999999898</v>
          </cell>
          <cell r="N321">
            <v>0</v>
          </cell>
          <cell r="O321">
            <v>17178.07</v>
          </cell>
          <cell r="P321">
            <v>3341.9299999999898</v>
          </cell>
          <cell r="Q321">
            <v>71.239999999999895</v>
          </cell>
          <cell r="R321">
            <v>17249.310000000001</v>
          </cell>
          <cell r="S321">
            <v>3270.69</v>
          </cell>
        </row>
        <row r="322">
          <cell r="A322" t="str">
            <v>1000/1414       POLI.M 5-16-24-4</v>
          </cell>
          <cell r="B322" t="str">
            <v>1004168    "OSADKOWSKI" SPÓŁKA</v>
          </cell>
          <cell r="C322" t="str">
            <v>KC Centra dystrybucji</v>
          </cell>
          <cell r="D322">
            <v>9900</v>
          </cell>
          <cell r="E322">
            <v>12</v>
          </cell>
          <cell r="F322">
            <v>8103.09</v>
          </cell>
          <cell r="G322">
            <v>412.06</v>
          </cell>
          <cell r="H322">
            <v>260.38999999999902</v>
          </cell>
          <cell r="I322">
            <v>0</v>
          </cell>
          <cell r="J322">
            <v>0</v>
          </cell>
          <cell r="K322">
            <v>260.38999999999902</v>
          </cell>
          <cell r="L322">
            <v>8775.5400000000009</v>
          </cell>
          <cell r="M322">
            <v>1124.46</v>
          </cell>
          <cell r="N322">
            <v>0</v>
          </cell>
          <cell r="O322">
            <v>8775.5400000000009</v>
          </cell>
          <cell r="P322">
            <v>1124.46</v>
          </cell>
          <cell r="Q322">
            <v>38.469999999999899</v>
          </cell>
          <cell r="R322">
            <v>8814.01</v>
          </cell>
          <cell r="S322">
            <v>1085.99</v>
          </cell>
        </row>
        <row r="323">
          <cell r="A323" t="str">
            <v>1000/1414       POLI.M 5-16-24-4</v>
          </cell>
          <cell r="B323" t="str">
            <v>1004208    Morawski-Sprzed.Art.</v>
          </cell>
          <cell r="C323" t="str">
            <v>KB Sprzed. bezpośrednia</v>
          </cell>
          <cell r="D323">
            <v>20458.560000000001</v>
          </cell>
          <cell r="E323">
            <v>24</v>
          </cell>
          <cell r="F323">
            <v>14368.049999999899</v>
          </cell>
          <cell r="G323">
            <v>851.40999999999894</v>
          </cell>
          <cell r="H323">
            <v>520.74</v>
          </cell>
          <cell r="I323">
            <v>1484.88</v>
          </cell>
          <cell r="J323">
            <v>0</v>
          </cell>
          <cell r="K323">
            <v>2005.6199999999899</v>
          </cell>
          <cell r="L323">
            <v>17225.080000000002</v>
          </cell>
          <cell r="M323">
            <v>3233.48</v>
          </cell>
          <cell r="N323">
            <v>0</v>
          </cell>
          <cell r="O323">
            <v>17225.080000000002</v>
          </cell>
          <cell r="P323">
            <v>3233.48</v>
          </cell>
          <cell r="Q323">
            <v>68.219999999999899</v>
          </cell>
          <cell r="R323">
            <v>17293.299999999901</v>
          </cell>
          <cell r="S323">
            <v>3165.26</v>
          </cell>
        </row>
        <row r="324">
          <cell r="A324" t="str">
            <v>1000/1414       POLI.M 5-16-24-4</v>
          </cell>
          <cell r="B324" t="str">
            <v>1004534    FIRMA HANDLOWA "ROLB</v>
          </cell>
          <cell r="C324" t="str">
            <v>KB Sprzed. bezpośrednia</v>
          </cell>
          <cell r="D324">
            <v>20749.75</v>
          </cell>
          <cell r="E324">
            <v>25</v>
          </cell>
          <cell r="F324">
            <v>14966.719999999899</v>
          </cell>
          <cell r="G324">
            <v>863.6</v>
          </cell>
          <cell r="H324">
            <v>542.45000000000005</v>
          </cell>
          <cell r="I324">
            <v>1394.28</v>
          </cell>
          <cell r="J324">
            <v>0</v>
          </cell>
          <cell r="K324">
            <v>1936.73</v>
          </cell>
          <cell r="L324">
            <v>17767.049999999901</v>
          </cell>
          <cell r="M324">
            <v>2982.6999999999898</v>
          </cell>
          <cell r="N324">
            <v>0</v>
          </cell>
          <cell r="O324">
            <v>17767.049999999901</v>
          </cell>
          <cell r="P324">
            <v>2982.6999999999898</v>
          </cell>
          <cell r="Q324">
            <v>71.049999999999898</v>
          </cell>
          <cell r="R324">
            <v>17838.0999999999</v>
          </cell>
          <cell r="S324">
            <v>2911.65</v>
          </cell>
        </row>
        <row r="325">
          <cell r="A325" t="str">
            <v>1000/1414       POLI.M 5-16-24-4</v>
          </cell>
          <cell r="B325" t="str">
            <v>1004709    PRZEDSIĘBIORSTWO PRO</v>
          </cell>
          <cell r="C325" t="str">
            <v>KB Sprzed. bezpośrednia</v>
          </cell>
          <cell r="D325">
            <v>20603.5</v>
          </cell>
          <cell r="E325">
            <v>25</v>
          </cell>
          <cell r="F325">
            <v>14966.719999999899</v>
          </cell>
          <cell r="G325">
            <v>857.52999999999895</v>
          </cell>
          <cell r="H325">
            <v>542.45000000000005</v>
          </cell>
          <cell r="I325">
            <v>924.40999999999894</v>
          </cell>
          <cell r="J325">
            <v>0</v>
          </cell>
          <cell r="K325">
            <v>1466.8599999999899</v>
          </cell>
          <cell r="L325">
            <v>17291.11</v>
          </cell>
          <cell r="M325">
            <v>3312.3899999999899</v>
          </cell>
          <cell r="N325">
            <v>0</v>
          </cell>
          <cell r="O325">
            <v>17291.11</v>
          </cell>
          <cell r="P325">
            <v>3312.3899999999899</v>
          </cell>
          <cell r="Q325">
            <v>71.049999999999898</v>
          </cell>
          <cell r="R325">
            <v>17362.16</v>
          </cell>
          <cell r="S325">
            <v>3241.34</v>
          </cell>
        </row>
        <row r="326">
          <cell r="A326" t="str">
            <v>1000/1414       POLI.M 5-16-24-4</v>
          </cell>
          <cell r="B326" t="str">
            <v>1004710    "AGRICOLA-LUBLIN" SP</v>
          </cell>
          <cell r="C326" t="str">
            <v>KB Sprzed. bezpośrednia</v>
          </cell>
          <cell r="D326">
            <v>16354.84</v>
          </cell>
          <cell r="E326">
            <v>20</v>
          </cell>
          <cell r="F326">
            <v>11973.379999999899</v>
          </cell>
          <cell r="G326">
            <v>680.65999999999894</v>
          </cell>
          <cell r="H326">
            <v>434.05</v>
          </cell>
          <cell r="I326">
            <v>0</v>
          </cell>
          <cell r="J326">
            <v>0</v>
          </cell>
          <cell r="K326">
            <v>434.05</v>
          </cell>
          <cell r="L326">
            <v>13088.09</v>
          </cell>
          <cell r="M326">
            <v>3266.75</v>
          </cell>
          <cell r="N326">
            <v>0</v>
          </cell>
          <cell r="O326">
            <v>13088.09</v>
          </cell>
          <cell r="P326">
            <v>3266.75</v>
          </cell>
          <cell r="Q326">
            <v>56.8599999999999</v>
          </cell>
          <cell r="R326">
            <v>13144.95</v>
          </cell>
          <cell r="S326">
            <v>3209.8899999999899</v>
          </cell>
        </row>
        <row r="327">
          <cell r="A327" t="str">
            <v>1000/1414       POLI.M 5-16-24-4</v>
          </cell>
          <cell r="B327" t="str">
            <v>1004753    AMBROŻY SP. Z O.O.</v>
          </cell>
          <cell r="C327" t="str">
            <v>KB Sprzed. bezpośrednia</v>
          </cell>
          <cell r="D327">
            <v>18785.25</v>
          </cell>
          <cell r="E327">
            <v>23</v>
          </cell>
          <cell r="F327">
            <v>15530.92</v>
          </cell>
          <cell r="G327">
            <v>781.79999999999905</v>
          </cell>
          <cell r="H327">
            <v>499.05</v>
          </cell>
          <cell r="I327">
            <v>0</v>
          </cell>
          <cell r="J327">
            <v>0</v>
          </cell>
          <cell r="K327">
            <v>499.05</v>
          </cell>
          <cell r="L327">
            <v>16811.77</v>
          </cell>
          <cell r="M327">
            <v>1973.48</v>
          </cell>
          <cell r="N327">
            <v>0</v>
          </cell>
          <cell r="O327">
            <v>16811.77</v>
          </cell>
          <cell r="P327">
            <v>1973.48</v>
          </cell>
          <cell r="Q327">
            <v>73.709999999999894</v>
          </cell>
          <cell r="R327">
            <v>16885.48</v>
          </cell>
          <cell r="S327">
            <v>1899.77</v>
          </cell>
        </row>
        <row r="328">
          <cell r="A328" t="str">
            <v>1000/1415       POLIWAP</v>
          </cell>
          <cell r="B328" t="str">
            <v>1000080    CN-KIELCE</v>
          </cell>
          <cell r="C328" t="str">
            <v>KC Centra dystrybucji</v>
          </cell>
          <cell r="D328">
            <v>15912.24</v>
          </cell>
          <cell r="E328">
            <v>24</v>
          </cell>
          <cell r="F328">
            <v>13206.08</v>
          </cell>
          <cell r="G328">
            <v>662.27999999999895</v>
          </cell>
          <cell r="H328">
            <v>479.56999999999903</v>
          </cell>
          <cell r="I328">
            <v>0</v>
          </cell>
          <cell r="J328">
            <v>0</v>
          </cell>
          <cell r="K328">
            <v>479.56999999999903</v>
          </cell>
          <cell r="L328">
            <v>14347.93</v>
          </cell>
          <cell r="M328">
            <v>1564.3099999999899</v>
          </cell>
          <cell r="N328">
            <v>0</v>
          </cell>
          <cell r="O328">
            <v>14347.93</v>
          </cell>
          <cell r="P328">
            <v>1564.3099999999899</v>
          </cell>
          <cell r="Q328">
            <v>62.689999999999898</v>
          </cell>
          <cell r="R328">
            <v>14410.62</v>
          </cell>
          <cell r="S328">
            <v>1501.6199999999899</v>
          </cell>
        </row>
        <row r="329">
          <cell r="A329" t="str">
            <v>1000/1415       POLIWAP</v>
          </cell>
          <cell r="B329" t="str">
            <v>1000120    GS-PABIANICE</v>
          </cell>
          <cell r="C329" t="str">
            <v>KB Sprzed. bezpośrednia</v>
          </cell>
          <cell r="D329">
            <v>16579.9199999999</v>
          </cell>
          <cell r="E329">
            <v>24</v>
          </cell>
          <cell r="F329">
            <v>11503.48</v>
          </cell>
          <cell r="G329">
            <v>690.00999999999897</v>
          </cell>
          <cell r="H329">
            <v>479.56999999999903</v>
          </cell>
          <cell r="I329">
            <v>1253.52</v>
          </cell>
          <cell r="J329">
            <v>0</v>
          </cell>
          <cell r="K329">
            <v>1733.0899999999899</v>
          </cell>
          <cell r="L329">
            <v>13926.58</v>
          </cell>
          <cell r="M329">
            <v>2653.34</v>
          </cell>
          <cell r="N329">
            <v>0</v>
          </cell>
          <cell r="O329">
            <v>13926.58</v>
          </cell>
          <cell r="P329">
            <v>2653.34</v>
          </cell>
          <cell r="Q329">
            <v>54.59</v>
          </cell>
          <cell r="R329">
            <v>13981.17</v>
          </cell>
          <cell r="S329">
            <v>2598.75</v>
          </cell>
        </row>
        <row r="330">
          <cell r="A330" t="str">
            <v>1000/1415       POLIWAP</v>
          </cell>
          <cell r="B330" t="str">
            <v>1000141    SKR-Łaszczów</v>
          </cell>
          <cell r="C330" t="str">
            <v>KB Sprzed. bezpośrednia</v>
          </cell>
          <cell r="D330">
            <v>8289.95999999999</v>
          </cell>
          <cell r="E330">
            <v>12</v>
          </cell>
          <cell r="F330">
            <v>5751.7399999999898</v>
          </cell>
          <cell r="G330">
            <v>345</v>
          </cell>
          <cell r="H330">
            <v>239.78</v>
          </cell>
          <cell r="I330">
            <v>1038.1199999999899</v>
          </cell>
          <cell r="J330">
            <v>0</v>
          </cell>
          <cell r="K330">
            <v>1277.9000000000001</v>
          </cell>
          <cell r="L330">
            <v>7374.64</v>
          </cell>
          <cell r="M330">
            <v>915.32</v>
          </cell>
          <cell r="N330">
            <v>0</v>
          </cell>
          <cell r="O330">
            <v>7374.64</v>
          </cell>
          <cell r="P330">
            <v>915.32</v>
          </cell>
          <cell r="Q330">
            <v>27.309999999999899</v>
          </cell>
          <cell r="R330">
            <v>7401.9499999999898</v>
          </cell>
          <cell r="S330">
            <v>888.00999999999897</v>
          </cell>
        </row>
        <row r="331">
          <cell r="A331" t="str">
            <v>1000/1415       POLIWAP</v>
          </cell>
          <cell r="B331" t="str">
            <v>1000142    ZSHP-ZŁOTOW</v>
          </cell>
          <cell r="C331" t="str">
            <v>KB Sprzed. bezpośrednia</v>
          </cell>
          <cell r="D331">
            <v>50308.5</v>
          </cell>
          <cell r="E331">
            <v>73</v>
          </cell>
          <cell r="F331">
            <v>34989.800000000003</v>
          </cell>
          <cell r="G331">
            <v>2093.79</v>
          </cell>
          <cell r="H331">
            <v>1458.67</v>
          </cell>
          <cell r="I331">
            <v>2375.38</v>
          </cell>
          <cell r="J331">
            <v>0</v>
          </cell>
          <cell r="K331">
            <v>3834.05</v>
          </cell>
          <cell r="L331">
            <v>40917.639999999898</v>
          </cell>
          <cell r="M331">
            <v>9390.86</v>
          </cell>
          <cell r="N331">
            <v>0</v>
          </cell>
          <cell r="O331">
            <v>40917.639999999898</v>
          </cell>
          <cell r="P331">
            <v>9390.86</v>
          </cell>
          <cell r="Q331">
            <v>166.13</v>
          </cell>
          <cell r="R331">
            <v>41083.769999999902</v>
          </cell>
          <cell r="S331">
            <v>9224.7299999999905</v>
          </cell>
        </row>
        <row r="332">
          <cell r="A332" t="str">
            <v>1000/1415       POLIWAP</v>
          </cell>
          <cell r="B332" t="str">
            <v>1000182    AGRA NOWA</v>
          </cell>
          <cell r="C332" t="str">
            <v>KB Sprzed. bezpośrednia</v>
          </cell>
          <cell r="D332">
            <v>15553.2</v>
          </cell>
          <cell r="E332">
            <v>24</v>
          </cell>
          <cell r="F332">
            <v>11503.48</v>
          </cell>
          <cell r="G332">
            <v>647.32000000000005</v>
          </cell>
          <cell r="H332">
            <v>479.56999999999903</v>
          </cell>
          <cell r="I332">
            <v>0</v>
          </cell>
          <cell r="J332">
            <v>0</v>
          </cell>
          <cell r="K332">
            <v>479.56999999999903</v>
          </cell>
          <cell r="L332">
            <v>12630.37</v>
          </cell>
          <cell r="M332">
            <v>2922.8299999999899</v>
          </cell>
          <cell r="N332">
            <v>0</v>
          </cell>
          <cell r="O332">
            <v>12630.37</v>
          </cell>
          <cell r="P332">
            <v>2922.8299999999899</v>
          </cell>
          <cell r="Q332">
            <v>54.59</v>
          </cell>
          <cell r="R332">
            <v>12684.959999999901</v>
          </cell>
          <cell r="S332">
            <v>2868.2399999999898</v>
          </cell>
        </row>
        <row r="333">
          <cell r="A333" t="str">
            <v>1000/1415       POLIWAP</v>
          </cell>
          <cell r="B333" t="str">
            <v>1000193    PUH 'WIEŻOWIEC' s.j.</v>
          </cell>
          <cell r="C333" t="str">
            <v>KC Centra dystrybucji</v>
          </cell>
          <cell r="D333">
            <v>118214.52</v>
          </cell>
          <cell r="E333">
            <v>178</v>
          </cell>
          <cell r="F333">
            <v>97785.669999999896</v>
          </cell>
          <cell r="G333">
            <v>4920.0200000000004</v>
          </cell>
          <cell r="H333">
            <v>3556.75</v>
          </cell>
          <cell r="I333">
            <v>0</v>
          </cell>
          <cell r="J333">
            <v>0</v>
          </cell>
          <cell r="K333">
            <v>3556.75</v>
          </cell>
          <cell r="L333">
            <v>106262.44</v>
          </cell>
          <cell r="M333">
            <v>11952.08</v>
          </cell>
          <cell r="N333">
            <v>0</v>
          </cell>
          <cell r="O333">
            <v>106262.44</v>
          </cell>
          <cell r="P333">
            <v>11952.08</v>
          </cell>
          <cell r="Q333">
            <v>464.25</v>
          </cell>
          <cell r="R333">
            <v>106726.69</v>
          </cell>
          <cell r="S333">
            <v>11487.83</v>
          </cell>
        </row>
        <row r="334">
          <cell r="A334" t="str">
            <v>1000/1415       POLIWAP</v>
          </cell>
          <cell r="B334" t="str">
            <v>1000203    BISO S.C.</v>
          </cell>
          <cell r="C334" t="str">
            <v>KB Sprzed. bezpośrednia</v>
          </cell>
          <cell r="D334">
            <v>16579.9199999999</v>
          </cell>
          <cell r="E334">
            <v>24</v>
          </cell>
          <cell r="F334">
            <v>11503.48</v>
          </cell>
          <cell r="G334">
            <v>690.00999999999897</v>
          </cell>
          <cell r="H334">
            <v>479.56999999999903</v>
          </cell>
          <cell r="I334">
            <v>1030.0799999999899</v>
          </cell>
          <cell r="J334">
            <v>0</v>
          </cell>
          <cell r="K334">
            <v>1509.65</v>
          </cell>
          <cell r="L334">
            <v>13703.139999999899</v>
          </cell>
          <cell r="M334">
            <v>2876.78</v>
          </cell>
          <cell r="N334">
            <v>0</v>
          </cell>
          <cell r="O334">
            <v>13703.139999999899</v>
          </cell>
          <cell r="P334">
            <v>2876.78</v>
          </cell>
          <cell r="Q334">
            <v>54.59</v>
          </cell>
          <cell r="R334">
            <v>13757.73</v>
          </cell>
          <cell r="S334">
            <v>2822.19</v>
          </cell>
        </row>
        <row r="335">
          <cell r="A335" t="str">
            <v>1000/1415       POLIWAP</v>
          </cell>
          <cell r="B335" t="str">
            <v>1000204    FLORA Sp. z o.o. PRA</v>
          </cell>
          <cell r="C335" t="str">
            <v>KB Sprzed. bezpośrednia</v>
          </cell>
          <cell r="D335">
            <v>79194</v>
          </cell>
          <cell r="E335">
            <v>120</v>
          </cell>
          <cell r="F335">
            <v>65662.55</v>
          </cell>
          <cell r="G335">
            <v>3295.9699999999898</v>
          </cell>
          <cell r="H335">
            <v>2397.8200000000002</v>
          </cell>
          <cell r="I335">
            <v>0</v>
          </cell>
          <cell r="J335">
            <v>0</v>
          </cell>
          <cell r="K335">
            <v>2397.8200000000002</v>
          </cell>
          <cell r="L335">
            <v>71356.339999999895</v>
          </cell>
          <cell r="M335">
            <v>7837.6599999999899</v>
          </cell>
          <cell r="N335">
            <v>0</v>
          </cell>
          <cell r="O335">
            <v>71356.339999999895</v>
          </cell>
          <cell r="P335">
            <v>7837.6599999999899</v>
          </cell>
          <cell r="Q335">
            <v>311.75999999999902</v>
          </cell>
          <cell r="R335">
            <v>71668.100000000006</v>
          </cell>
          <cell r="S335">
            <v>7525.8999999999896</v>
          </cell>
        </row>
        <row r="336">
          <cell r="A336" t="str">
            <v>1000/1415       POLIWAP</v>
          </cell>
          <cell r="B336" t="str">
            <v>1000204    FLORA Sp. z o.o. PRA</v>
          </cell>
          <cell r="C336" t="str">
            <v>KC Centra dystrybucji</v>
          </cell>
          <cell r="D336">
            <v>47257.919999999896</v>
          </cell>
          <cell r="E336">
            <v>72</v>
          </cell>
          <cell r="F336">
            <v>39397.529999999897</v>
          </cell>
          <cell r="G336">
            <v>1966.8</v>
          </cell>
          <cell r="H336">
            <v>1438.7</v>
          </cell>
          <cell r="I336">
            <v>0</v>
          </cell>
          <cell r="J336">
            <v>0</v>
          </cell>
          <cell r="K336">
            <v>1438.7</v>
          </cell>
          <cell r="L336">
            <v>42803.029999999897</v>
          </cell>
          <cell r="M336">
            <v>4454.8900000000003</v>
          </cell>
          <cell r="N336">
            <v>0</v>
          </cell>
          <cell r="O336">
            <v>42803.029999999897</v>
          </cell>
          <cell r="P336">
            <v>4454.8900000000003</v>
          </cell>
          <cell r="Q336">
            <v>187.05</v>
          </cell>
          <cell r="R336">
            <v>42990.080000000002</v>
          </cell>
          <cell r="S336">
            <v>4267.84</v>
          </cell>
        </row>
        <row r="337">
          <cell r="A337" t="str">
            <v>1000/1415       POLIWAP</v>
          </cell>
          <cell r="B337" t="str">
            <v>1000205    SKŁODOWSKI</v>
          </cell>
          <cell r="C337" t="str">
            <v>KC Centra dystrybucji</v>
          </cell>
          <cell r="D337">
            <v>135843.78</v>
          </cell>
          <cell r="E337">
            <v>206</v>
          </cell>
          <cell r="F337">
            <v>98738.19</v>
          </cell>
          <cell r="G337">
            <v>5653.6599999999899</v>
          </cell>
          <cell r="H337">
            <v>4116.25</v>
          </cell>
          <cell r="I337">
            <v>0</v>
          </cell>
          <cell r="J337">
            <v>0</v>
          </cell>
          <cell r="K337">
            <v>4116.25</v>
          </cell>
          <cell r="L337">
            <v>108508.1</v>
          </cell>
          <cell r="M337">
            <v>27335.68</v>
          </cell>
          <cell r="N337">
            <v>0</v>
          </cell>
          <cell r="O337">
            <v>108508.1</v>
          </cell>
          <cell r="P337">
            <v>27335.68</v>
          </cell>
          <cell r="Q337">
            <v>468.79</v>
          </cell>
          <cell r="R337">
            <v>108976.89</v>
          </cell>
          <cell r="S337">
            <v>26866.889999999901</v>
          </cell>
        </row>
        <row r="338">
          <cell r="A338" t="str">
            <v>1000/1415       POLIWAP</v>
          </cell>
          <cell r="B338" t="str">
            <v>1000219    BUTOR</v>
          </cell>
          <cell r="C338" t="str">
            <v>KC Centra dystrybucji</v>
          </cell>
          <cell r="D338">
            <v>15912.24</v>
          </cell>
          <cell r="E338">
            <v>24</v>
          </cell>
          <cell r="F338">
            <v>13132.51</v>
          </cell>
          <cell r="G338">
            <v>662.27999999999895</v>
          </cell>
          <cell r="H338">
            <v>479.56999999999903</v>
          </cell>
          <cell r="I338">
            <v>0</v>
          </cell>
          <cell r="J338">
            <v>0</v>
          </cell>
          <cell r="K338">
            <v>479.56999999999903</v>
          </cell>
          <cell r="L338">
            <v>14274.36</v>
          </cell>
          <cell r="M338">
            <v>1637.88</v>
          </cell>
          <cell r="N338">
            <v>0</v>
          </cell>
          <cell r="O338">
            <v>14274.36</v>
          </cell>
          <cell r="P338">
            <v>1637.88</v>
          </cell>
          <cell r="Q338">
            <v>62.3599999999999</v>
          </cell>
          <cell r="R338">
            <v>14336.719999999899</v>
          </cell>
          <cell r="S338">
            <v>1575.52</v>
          </cell>
        </row>
        <row r="339">
          <cell r="A339" t="str">
            <v>1000/1415       POLIWAP</v>
          </cell>
          <cell r="B339" t="str">
            <v>1000252    AGROSKŁAD</v>
          </cell>
          <cell r="C339" t="str">
            <v>KC Centra dystrybucji</v>
          </cell>
          <cell r="D339">
            <v>43697.419999999896</v>
          </cell>
          <cell r="E339">
            <v>66.5</v>
          </cell>
          <cell r="F339">
            <v>34711.889999999898</v>
          </cell>
          <cell r="G339">
            <v>1818.68</v>
          </cell>
          <cell r="H339">
            <v>1328.8</v>
          </cell>
          <cell r="I339">
            <v>0</v>
          </cell>
          <cell r="J339">
            <v>0</v>
          </cell>
          <cell r="K339">
            <v>1328.8</v>
          </cell>
          <cell r="L339">
            <v>37859.370000000003</v>
          </cell>
          <cell r="M339">
            <v>5838.05</v>
          </cell>
          <cell r="N339">
            <v>0</v>
          </cell>
          <cell r="O339">
            <v>37859.370000000003</v>
          </cell>
          <cell r="P339">
            <v>5838.05</v>
          </cell>
          <cell r="Q339">
            <v>164.819999999999</v>
          </cell>
          <cell r="R339">
            <v>38024.19</v>
          </cell>
          <cell r="S339">
            <v>5673.2299999999896</v>
          </cell>
        </row>
        <row r="340">
          <cell r="A340" t="str">
            <v>1000/1415       POLIWAP</v>
          </cell>
          <cell r="B340" t="str">
            <v>1000263    PRO-AGRO</v>
          </cell>
          <cell r="C340" t="str">
            <v>KB Sprzed. bezpośrednia</v>
          </cell>
          <cell r="D340">
            <v>7888.1</v>
          </cell>
          <cell r="E340">
            <v>11</v>
          </cell>
          <cell r="F340">
            <v>5272.43</v>
          </cell>
          <cell r="G340">
            <v>328.27999999999901</v>
          </cell>
          <cell r="H340">
            <v>219.8</v>
          </cell>
          <cell r="I340">
            <v>867.24</v>
          </cell>
          <cell r="J340">
            <v>0</v>
          </cell>
          <cell r="K340">
            <v>1087.04</v>
          </cell>
          <cell r="L340">
            <v>6687.75</v>
          </cell>
          <cell r="M340">
            <v>1200.3499999999899</v>
          </cell>
          <cell r="N340">
            <v>0</v>
          </cell>
          <cell r="O340">
            <v>6687.75</v>
          </cell>
          <cell r="P340">
            <v>1200.3499999999899</v>
          </cell>
          <cell r="Q340">
            <v>25.0399999999999</v>
          </cell>
          <cell r="R340">
            <v>6712.79</v>
          </cell>
          <cell r="S340">
            <v>1175.3099999999899</v>
          </cell>
        </row>
        <row r="341">
          <cell r="A341" t="str">
            <v>1000/1415       POLIWAP</v>
          </cell>
          <cell r="B341" t="str">
            <v>1000263    PRO-AGRO</v>
          </cell>
          <cell r="C341" t="str">
            <v>KC Centra dystrybucji</v>
          </cell>
          <cell r="D341">
            <v>8928.3999999999905</v>
          </cell>
          <cell r="E341">
            <v>13</v>
          </cell>
          <cell r="F341">
            <v>6231.05</v>
          </cell>
          <cell r="G341">
            <v>371.56</v>
          </cell>
          <cell r="H341">
            <v>259.75999999999902</v>
          </cell>
          <cell r="I341">
            <v>0</v>
          </cell>
          <cell r="J341">
            <v>0</v>
          </cell>
          <cell r="K341">
            <v>259.75999999999902</v>
          </cell>
          <cell r="L341">
            <v>6862.3699999999899</v>
          </cell>
          <cell r="M341">
            <v>2066.0300000000002</v>
          </cell>
          <cell r="N341">
            <v>0</v>
          </cell>
          <cell r="O341">
            <v>6862.3699999999899</v>
          </cell>
          <cell r="P341">
            <v>2066.0300000000002</v>
          </cell>
          <cell r="Q341">
            <v>29.6</v>
          </cell>
          <cell r="R341">
            <v>6891.97</v>
          </cell>
          <cell r="S341">
            <v>2036.43</v>
          </cell>
        </row>
        <row r="342">
          <cell r="A342" t="str">
            <v>1000/1415       POLIWAP</v>
          </cell>
          <cell r="B342" t="str">
            <v>1000276    JAN GACH FIRMA HANDL</v>
          </cell>
          <cell r="C342" t="str">
            <v>KB Sprzed. bezpośrednia</v>
          </cell>
          <cell r="D342">
            <v>17169.0999999999</v>
          </cell>
          <cell r="E342">
            <v>26</v>
          </cell>
          <cell r="F342">
            <v>14306.58</v>
          </cell>
          <cell r="G342">
            <v>714.58</v>
          </cell>
          <cell r="H342">
            <v>519.52999999999895</v>
          </cell>
          <cell r="I342">
            <v>0</v>
          </cell>
          <cell r="J342">
            <v>0</v>
          </cell>
          <cell r="K342">
            <v>519.52999999999895</v>
          </cell>
          <cell r="L342">
            <v>15540.69</v>
          </cell>
          <cell r="M342">
            <v>1628.41</v>
          </cell>
          <cell r="N342">
            <v>0</v>
          </cell>
          <cell r="O342">
            <v>15540.69</v>
          </cell>
          <cell r="P342">
            <v>1628.41</v>
          </cell>
          <cell r="Q342">
            <v>67.939999999999898</v>
          </cell>
          <cell r="R342">
            <v>15608.629999999899</v>
          </cell>
          <cell r="S342">
            <v>1560.47</v>
          </cell>
        </row>
        <row r="343">
          <cell r="A343" t="str">
            <v>1000/1415       POLIWAP</v>
          </cell>
          <cell r="B343" t="str">
            <v>1000276    JAN GACH FIRMA HANDL</v>
          </cell>
          <cell r="C343" t="str">
            <v>KC Centra dystrybucji</v>
          </cell>
          <cell r="D343">
            <v>17117.0999999999</v>
          </cell>
          <cell r="E343">
            <v>26</v>
          </cell>
          <cell r="F343">
            <v>14306.58</v>
          </cell>
          <cell r="G343">
            <v>712.42999999999904</v>
          </cell>
          <cell r="H343">
            <v>519.52999999999895</v>
          </cell>
          <cell r="I343">
            <v>0</v>
          </cell>
          <cell r="J343">
            <v>0</v>
          </cell>
          <cell r="K343">
            <v>519.52999999999895</v>
          </cell>
          <cell r="L343">
            <v>15538.54</v>
          </cell>
          <cell r="M343">
            <v>1578.5599999999899</v>
          </cell>
          <cell r="N343">
            <v>0</v>
          </cell>
          <cell r="O343">
            <v>15538.54</v>
          </cell>
          <cell r="P343">
            <v>1578.5599999999899</v>
          </cell>
          <cell r="Q343">
            <v>67.939999999999898</v>
          </cell>
          <cell r="R343">
            <v>15606.48</v>
          </cell>
          <cell r="S343">
            <v>1510.6199999999899</v>
          </cell>
        </row>
        <row r="344">
          <cell r="A344" t="str">
            <v>1000/1415       POLIWAP</v>
          </cell>
          <cell r="B344" t="str">
            <v>1000289    PLON A.Darzyński</v>
          </cell>
          <cell r="C344" t="str">
            <v>KC Centra dystrybucji</v>
          </cell>
          <cell r="D344">
            <v>34972.349999999897</v>
          </cell>
          <cell r="E344">
            <v>53</v>
          </cell>
          <cell r="F344">
            <v>27935.8499999999</v>
          </cell>
          <cell r="G344">
            <v>1455.49</v>
          </cell>
          <cell r="H344">
            <v>1059.04</v>
          </cell>
          <cell r="I344">
            <v>0</v>
          </cell>
          <cell r="J344">
            <v>0</v>
          </cell>
          <cell r="K344">
            <v>1059.04</v>
          </cell>
          <cell r="L344">
            <v>30450.38</v>
          </cell>
          <cell r="M344">
            <v>4521.97</v>
          </cell>
          <cell r="N344">
            <v>0</v>
          </cell>
          <cell r="O344">
            <v>30450.38</v>
          </cell>
          <cell r="P344">
            <v>4521.97</v>
          </cell>
          <cell r="Q344">
            <v>132.63999999999899</v>
          </cell>
          <cell r="R344">
            <v>30583.02</v>
          </cell>
          <cell r="S344">
            <v>4389.3299999999899</v>
          </cell>
        </row>
        <row r="345">
          <cell r="A345" t="str">
            <v>1000/1415       POLIWAP</v>
          </cell>
          <cell r="B345" t="str">
            <v>1000293    PHM CHEMAT  M.Richte</v>
          </cell>
          <cell r="C345" t="str">
            <v>KB Sprzed. bezpośrednia</v>
          </cell>
          <cell r="D345">
            <v>32146.299999999901</v>
          </cell>
          <cell r="E345">
            <v>49</v>
          </cell>
          <cell r="F345">
            <v>23486.27</v>
          </cell>
          <cell r="G345">
            <v>1337.88</v>
          </cell>
          <cell r="H345">
            <v>979.1</v>
          </cell>
          <cell r="I345">
            <v>984.7</v>
          </cell>
          <cell r="J345">
            <v>0</v>
          </cell>
          <cell r="K345">
            <v>1963.8</v>
          </cell>
          <cell r="L345">
            <v>26787.95</v>
          </cell>
          <cell r="M345">
            <v>5358.35</v>
          </cell>
          <cell r="N345">
            <v>0</v>
          </cell>
          <cell r="O345">
            <v>26787.95</v>
          </cell>
          <cell r="P345">
            <v>5358.35</v>
          </cell>
          <cell r="Q345">
            <v>111.51</v>
          </cell>
          <cell r="R345">
            <v>26899.459999999901</v>
          </cell>
          <cell r="S345">
            <v>5246.84</v>
          </cell>
        </row>
        <row r="346">
          <cell r="A346" t="str">
            <v>1000/1415       POLIWAP</v>
          </cell>
          <cell r="B346" t="str">
            <v>1000322    ZZUIP-KOPL</v>
          </cell>
          <cell r="C346" t="str">
            <v>KC Centra dystrybucji</v>
          </cell>
          <cell r="D346">
            <v>4608.4499999999898</v>
          </cell>
          <cell r="E346">
            <v>7</v>
          </cell>
          <cell r="F346">
            <v>3355.1799999999898</v>
          </cell>
          <cell r="G346">
            <v>191.77</v>
          </cell>
          <cell r="H346">
            <v>139.87</v>
          </cell>
          <cell r="I346">
            <v>0</v>
          </cell>
          <cell r="J346">
            <v>0</v>
          </cell>
          <cell r="K346">
            <v>139.87</v>
          </cell>
          <cell r="L346">
            <v>3686.82</v>
          </cell>
          <cell r="M346">
            <v>921.63</v>
          </cell>
          <cell r="N346">
            <v>0</v>
          </cell>
          <cell r="O346">
            <v>3686.82</v>
          </cell>
          <cell r="P346">
            <v>921.63</v>
          </cell>
          <cell r="Q346">
            <v>15.91</v>
          </cell>
          <cell r="R346">
            <v>3702.73</v>
          </cell>
          <cell r="S346">
            <v>905.72</v>
          </cell>
        </row>
        <row r="347">
          <cell r="A347" t="str">
            <v>1000/1415       POLIWAP</v>
          </cell>
          <cell r="B347" t="str">
            <v>1000403    SOBIANEK</v>
          </cell>
          <cell r="C347" t="str">
            <v>KB Sprzed. bezpośrednia</v>
          </cell>
          <cell r="D347">
            <v>29873.4399999999</v>
          </cell>
          <cell r="E347">
            <v>44</v>
          </cell>
          <cell r="F347">
            <v>21089.709999999901</v>
          </cell>
          <cell r="G347">
            <v>1243.27</v>
          </cell>
          <cell r="H347">
            <v>879.2</v>
          </cell>
          <cell r="I347">
            <v>3409.2399999999898</v>
          </cell>
          <cell r="J347">
            <v>0</v>
          </cell>
          <cell r="K347">
            <v>4288.4399999999896</v>
          </cell>
          <cell r="L347">
            <v>26621.4199999999</v>
          </cell>
          <cell r="M347">
            <v>3252.02</v>
          </cell>
          <cell r="N347">
            <v>0</v>
          </cell>
          <cell r="O347">
            <v>26621.4199999999</v>
          </cell>
          <cell r="P347">
            <v>3252.02</v>
          </cell>
          <cell r="Q347">
            <v>100.13</v>
          </cell>
          <cell r="R347">
            <v>26721.549999999901</v>
          </cell>
          <cell r="S347">
            <v>3151.8899999999899</v>
          </cell>
        </row>
        <row r="348">
          <cell r="A348" t="str">
            <v>1000/1415       POLIWAP</v>
          </cell>
          <cell r="B348" t="str">
            <v>1000403    SOBIANEK</v>
          </cell>
          <cell r="C348" t="str">
            <v>KC Centra dystrybucji</v>
          </cell>
          <cell r="D348">
            <v>3950.0999999999899</v>
          </cell>
          <cell r="E348">
            <v>6</v>
          </cell>
          <cell r="F348">
            <v>2875.8699999999899</v>
          </cell>
          <cell r="G348">
            <v>164.38</v>
          </cell>
          <cell r="H348">
            <v>119.9</v>
          </cell>
          <cell r="I348">
            <v>0</v>
          </cell>
          <cell r="J348">
            <v>0</v>
          </cell>
          <cell r="K348">
            <v>119.9</v>
          </cell>
          <cell r="L348">
            <v>3160.15</v>
          </cell>
          <cell r="M348">
            <v>789.95</v>
          </cell>
          <cell r="N348">
            <v>0</v>
          </cell>
          <cell r="O348">
            <v>3160.15</v>
          </cell>
          <cell r="P348">
            <v>789.95</v>
          </cell>
          <cell r="Q348">
            <v>13.66</v>
          </cell>
          <cell r="R348">
            <v>3173.8099999999899</v>
          </cell>
          <cell r="S348">
            <v>776.28999999999905</v>
          </cell>
        </row>
        <row r="349">
          <cell r="A349" t="str">
            <v>1000/1415       POLIWAP</v>
          </cell>
          <cell r="B349" t="str">
            <v>1000607    POGES</v>
          </cell>
          <cell r="C349" t="str">
            <v>KB Sprzed. bezpośrednia</v>
          </cell>
          <cell r="D349">
            <v>15848.4</v>
          </cell>
          <cell r="E349">
            <v>24</v>
          </cell>
          <cell r="F349">
            <v>11503.48</v>
          </cell>
          <cell r="G349">
            <v>659.61</v>
          </cell>
          <cell r="H349">
            <v>479.56999999999903</v>
          </cell>
          <cell r="I349">
            <v>0</v>
          </cell>
          <cell r="J349">
            <v>0</v>
          </cell>
          <cell r="K349">
            <v>479.56999999999903</v>
          </cell>
          <cell r="L349">
            <v>12642.66</v>
          </cell>
          <cell r="M349">
            <v>3205.7399999999898</v>
          </cell>
          <cell r="N349">
            <v>0</v>
          </cell>
          <cell r="O349">
            <v>12642.66</v>
          </cell>
          <cell r="P349">
            <v>3205.7399999999898</v>
          </cell>
          <cell r="Q349">
            <v>54.59</v>
          </cell>
          <cell r="R349">
            <v>12697.25</v>
          </cell>
          <cell r="S349">
            <v>3151.15</v>
          </cell>
        </row>
        <row r="350">
          <cell r="A350" t="str">
            <v>1000/1415       POLIWAP</v>
          </cell>
          <cell r="B350" t="str">
            <v>1000662    SZYMAŃSCY</v>
          </cell>
          <cell r="C350" t="str">
            <v>KC Centra dystrybucji</v>
          </cell>
          <cell r="D350">
            <v>15979.2</v>
          </cell>
          <cell r="E350">
            <v>24</v>
          </cell>
          <cell r="F350">
            <v>13275.629999999899</v>
          </cell>
          <cell r="G350">
            <v>665.00999999999897</v>
          </cell>
          <cell r="H350">
            <v>479.56</v>
          </cell>
          <cell r="I350">
            <v>0</v>
          </cell>
          <cell r="J350">
            <v>0</v>
          </cell>
          <cell r="K350">
            <v>479.56</v>
          </cell>
          <cell r="L350">
            <v>14420.2</v>
          </cell>
          <cell r="M350">
            <v>1559</v>
          </cell>
          <cell r="N350">
            <v>0</v>
          </cell>
          <cell r="O350">
            <v>14420.2</v>
          </cell>
          <cell r="P350">
            <v>1559</v>
          </cell>
          <cell r="Q350">
            <v>63</v>
          </cell>
          <cell r="R350">
            <v>14483.2</v>
          </cell>
          <cell r="S350">
            <v>1496</v>
          </cell>
        </row>
        <row r="351">
          <cell r="A351" t="str">
            <v>1000/1415       POLIWAP</v>
          </cell>
          <cell r="B351" t="str">
            <v>1000680    Giełda Rolna ZOLA Sp</v>
          </cell>
          <cell r="C351" t="str">
            <v>KB Sprzed. bezpośrednia</v>
          </cell>
          <cell r="D351">
            <v>16655.5</v>
          </cell>
          <cell r="E351">
            <v>25</v>
          </cell>
          <cell r="F351">
            <v>11982.79</v>
          </cell>
          <cell r="G351">
            <v>693.19</v>
          </cell>
          <cell r="H351">
            <v>499.55</v>
          </cell>
          <cell r="I351">
            <v>1345.53</v>
          </cell>
          <cell r="J351">
            <v>0</v>
          </cell>
          <cell r="K351">
            <v>1845.0799999999899</v>
          </cell>
          <cell r="L351">
            <v>14521.059999999899</v>
          </cell>
          <cell r="M351">
            <v>2134.44</v>
          </cell>
          <cell r="N351">
            <v>0</v>
          </cell>
          <cell r="O351">
            <v>14521.059999999899</v>
          </cell>
          <cell r="P351">
            <v>2134.44</v>
          </cell>
          <cell r="Q351">
            <v>56.89</v>
          </cell>
          <cell r="R351">
            <v>14577.95</v>
          </cell>
          <cell r="S351">
            <v>2077.5500000000002</v>
          </cell>
        </row>
        <row r="352">
          <cell r="A352" t="str">
            <v>1000/1415       POLIWAP</v>
          </cell>
          <cell r="B352" t="str">
            <v>1000725    SGS-LUBLIN</v>
          </cell>
          <cell r="C352" t="str">
            <v>KB Sprzed. bezpośrednia</v>
          </cell>
          <cell r="D352">
            <v>8289.95999999999</v>
          </cell>
          <cell r="E352">
            <v>12</v>
          </cell>
          <cell r="F352">
            <v>5751.7399999999898</v>
          </cell>
          <cell r="G352">
            <v>345</v>
          </cell>
          <cell r="H352">
            <v>239.78</v>
          </cell>
          <cell r="I352">
            <v>842.27999999999895</v>
          </cell>
          <cell r="J352">
            <v>0</v>
          </cell>
          <cell r="K352">
            <v>1082.0599999999899</v>
          </cell>
          <cell r="L352">
            <v>7178.8</v>
          </cell>
          <cell r="M352">
            <v>1111.1600000000001</v>
          </cell>
          <cell r="N352">
            <v>0</v>
          </cell>
          <cell r="O352">
            <v>7178.8</v>
          </cell>
          <cell r="P352">
            <v>1111.1600000000001</v>
          </cell>
          <cell r="Q352">
            <v>27.309999999999899</v>
          </cell>
          <cell r="R352">
            <v>7206.1099999999897</v>
          </cell>
          <cell r="S352">
            <v>1083.8499999999899</v>
          </cell>
        </row>
        <row r="353">
          <cell r="A353" t="str">
            <v>1000/1415       POLIWAP</v>
          </cell>
          <cell r="B353" t="str">
            <v>1000982    TORAL Elżbieta Krupa</v>
          </cell>
          <cell r="C353" t="str">
            <v>KB Sprzed. bezpośrednia</v>
          </cell>
          <cell r="D353">
            <v>6800</v>
          </cell>
          <cell r="E353">
            <v>10</v>
          </cell>
          <cell r="F353">
            <v>5502.5299999999897</v>
          </cell>
          <cell r="G353">
            <v>283.00999999999902</v>
          </cell>
          <cell r="H353">
            <v>199.819999999999</v>
          </cell>
          <cell r="I353">
            <v>0</v>
          </cell>
          <cell r="J353">
            <v>0</v>
          </cell>
          <cell r="K353">
            <v>199.819999999999</v>
          </cell>
          <cell r="L353">
            <v>5985.3599999999897</v>
          </cell>
          <cell r="M353">
            <v>814.63999999999896</v>
          </cell>
          <cell r="N353">
            <v>0</v>
          </cell>
          <cell r="O353">
            <v>5985.3599999999897</v>
          </cell>
          <cell r="P353">
            <v>814.63999999999896</v>
          </cell>
          <cell r="Q353">
            <v>26.1299999999999</v>
          </cell>
          <cell r="R353">
            <v>6011.4899999999898</v>
          </cell>
          <cell r="S353">
            <v>788.50999999999897</v>
          </cell>
        </row>
        <row r="354">
          <cell r="A354" t="str">
            <v>1000/1415       POLIWAP</v>
          </cell>
          <cell r="B354" t="str">
            <v>1001024    TALAGA</v>
          </cell>
          <cell r="C354" t="str">
            <v>KC Centra dystrybucji</v>
          </cell>
          <cell r="D354">
            <v>84496.279999999897</v>
          </cell>
          <cell r="E354">
            <v>128</v>
          </cell>
          <cell r="F354">
            <v>70432.41</v>
          </cell>
          <cell r="G354">
            <v>3516.65</v>
          </cell>
          <cell r="H354">
            <v>2557.67</v>
          </cell>
          <cell r="I354">
            <v>0</v>
          </cell>
          <cell r="J354">
            <v>0</v>
          </cell>
          <cell r="K354">
            <v>2557.67</v>
          </cell>
          <cell r="L354">
            <v>76506.729999999894</v>
          </cell>
          <cell r="M354">
            <v>7989.55</v>
          </cell>
          <cell r="N354">
            <v>0</v>
          </cell>
          <cell r="O354">
            <v>76506.729999999894</v>
          </cell>
          <cell r="P354">
            <v>7989.55</v>
          </cell>
          <cell r="Q354">
            <v>334.41</v>
          </cell>
          <cell r="R354">
            <v>76841.139999999898</v>
          </cell>
          <cell r="S354">
            <v>7655.14</v>
          </cell>
        </row>
        <row r="355">
          <cell r="A355" t="str">
            <v>1000/1415       POLIWAP</v>
          </cell>
          <cell r="B355" t="str">
            <v>1001253    ROL-MECH SP. Z O.O.</v>
          </cell>
          <cell r="C355" t="str">
            <v>KB Sprzed. bezpośrednia</v>
          </cell>
          <cell r="D355">
            <v>8289.95999999999</v>
          </cell>
          <cell r="E355">
            <v>12</v>
          </cell>
          <cell r="F355">
            <v>5751.7399999999898</v>
          </cell>
          <cell r="G355">
            <v>345</v>
          </cell>
          <cell r="H355">
            <v>239.78</v>
          </cell>
          <cell r="I355">
            <v>1038.1199999999899</v>
          </cell>
          <cell r="J355">
            <v>0</v>
          </cell>
          <cell r="K355">
            <v>1277.9000000000001</v>
          </cell>
          <cell r="L355">
            <v>7374.64</v>
          </cell>
          <cell r="M355">
            <v>915.32</v>
          </cell>
          <cell r="N355">
            <v>0</v>
          </cell>
          <cell r="O355">
            <v>7374.64</v>
          </cell>
          <cell r="P355">
            <v>915.32</v>
          </cell>
          <cell r="Q355">
            <v>27.309999999999899</v>
          </cell>
          <cell r="R355">
            <v>7401.9499999999898</v>
          </cell>
          <cell r="S355">
            <v>888.00999999999897</v>
          </cell>
        </row>
        <row r="356">
          <cell r="A356" t="str">
            <v>1000/1415       POLIWAP</v>
          </cell>
          <cell r="B356" t="str">
            <v>1001522    AGRO-BIT</v>
          </cell>
          <cell r="C356" t="str">
            <v>KB Sprzed. bezpośrednia</v>
          </cell>
          <cell r="D356">
            <v>33426.959999999897</v>
          </cell>
          <cell r="E356">
            <v>48</v>
          </cell>
          <cell r="F356">
            <v>23006.959999999901</v>
          </cell>
          <cell r="G356">
            <v>1391.16</v>
          </cell>
          <cell r="H356">
            <v>959.13</v>
          </cell>
          <cell r="I356">
            <v>3942.2399999999898</v>
          </cell>
          <cell r="J356">
            <v>0</v>
          </cell>
          <cell r="K356">
            <v>4901.3699999999899</v>
          </cell>
          <cell r="L356">
            <v>29299.49</v>
          </cell>
          <cell r="M356">
            <v>4127.47</v>
          </cell>
          <cell r="N356">
            <v>0</v>
          </cell>
          <cell r="O356">
            <v>29299.49</v>
          </cell>
          <cell r="P356">
            <v>4127.47</v>
          </cell>
          <cell r="Q356">
            <v>109.25</v>
          </cell>
          <cell r="R356">
            <v>29408.74</v>
          </cell>
          <cell r="S356">
            <v>4018.2199999999898</v>
          </cell>
        </row>
        <row r="357">
          <cell r="A357" t="str">
            <v>1000/1415       POLIWAP</v>
          </cell>
          <cell r="B357" t="str">
            <v>1001522    AGRO-BIT</v>
          </cell>
          <cell r="C357" t="str">
            <v>KC Centra dystrybucji</v>
          </cell>
          <cell r="D357">
            <v>15912.24</v>
          </cell>
          <cell r="E357">
            <v>24</v>
          </cell>
          <cell r="F357">
            <v>11503.48</v>
          </cell>
          <cell r="G357">
            <v>662.27999999999895</v>
          </cell>
          <cell r="H357">
            <v>479.56999999999903</v>
          </cell>
          <cell r="I357">
            <v>0</v>
          </cell>
          <cell r="J357">
            <v>0</v>
          </cell>
          <cell r="K357">
            <v>479.56999999999903</v>
          </cell>
          <cell r="L357">
            <v>12645.33</v>
          </cell>
          <cell r="M357">
            <v>3266.9099999999899</v>
          </cell>
          <cell r="N357">
            <v>0</v>
          </cell>
          <cell r="O357">
            <v>12645.33</v>
          </cell>
          <cell r="P357">
            <v>3266.9099999999899</v>
          </cell>
          <cell r="Q357">
            <v>54.59</v>
          </cell>
          <cell r="R357">
            <v>12699.92</v>
          </cell>
          <cell r="S357">
            <v>3212.32</v>
          </cell>
        </row>
        <row r="358">
          <cell r="A358" t="str">
            <v>1000/1415       POLIWAP</v>
          </cell>
          <cell r="B358" t="str">
            <v>1001649    CDN</v>
          </cell>
          <cell r="C358" t="str">
            <v>KC Centra dystrybucji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27171.1699999999</v>
          </cell>
          <cell r="J358">
            <v>0</v>
          </cell>
          <cell r="K358">
            <v>27171.1699999999</v>
          </cell>
          <cell r="L358">
            <v>27171.1699999999</v>
          </cell>
          <cell r="M358">
            <v>-27171.1699999999</v>
          </cell>
          <cell r="N358">
            <v>0</v>
          </cell>
          <cell r="O358">
            <v>27171.1699999999</v>
          </cell>
          <cell r="P358">
            <v>-27171.1699999999</v>
          </cell>
          <cell r="Q358">
            <v>0</v>
          </cell>
          <cell r="R358">
            <v>27171.1699999999</v>
          </cell>
          <cell r="S358">
            <v>-27171.1699999999</v>
          </cell>
        </row>
        <row r="359">
          <cell r="A359" t="str">
            <v>1000/1415       POLIWAP</v>
          </cell>
          <cell r="B359" t="str">
            <v>1001662    AMPOL-MEROL Sp. z o.</v>
          </cell>
          <cell r="C359" t="str">
            <v>KC Centra dystrybucji</v>
          </cell>
          <cell r="D359">
            <v>112711.7</v>
          </cell>
          <cell r="E359">
            <v>170</v>
          </cell>
          <cell r="F359">
            <v>94528.38</v>
          </cell>
          <cell r="G359">
            <v>4690.9799999999896</v>
          </cell>
          <cell r="H359">
            <v>3396.9</v>
          </cell>
          <cell r="I359">
            <v>0</v>
          </cell>
          <cell r="J359">
            <v>0</v>
          </cell>
          <cell r="K359">
            <v>3396.9</v>
          </cell>
          <cell r="L359">
            <v>102616.25999999901</v>
          </cell>
          <cell r="M359">
            <v>10095.44</v>
          </cell>
          <cell r="N359">
            <v>0</v>
          </cell>
          <cell r="O359">
            <v>102616.25999999901</v>
          </cell>
          <cell r="P359">
            <v>10095.44</v>
          </cell>
          <cell r="Q359">
            <v>448.81</v>
          </cell>
          <cell r="R359">
            <v>103065.07</v>
          </cell>
          <cell r="S359">
            <v>9646.6299999999901</v>
          </cell>
        </row>
        <row r="360">
          <cell r="A360" t="str">
            <v>1000/1415       POLIWAP</v>
          </cell>
          <cell r="B360" t="str">
            <v>1001701    INTRAT-BRZ</v>
          </cell>
          <cell r="C360" t="str">
            <v>KB Sprzed. bezpośrednia</v>
          </cell>
          <cell r="D360">
            <v>9450</v>
          </cell>
          <cell r="E360">
            <v>14</v>
          </cell>
          <cell r="F360">
            <v>6710.3599999999897</v>
          </cell>
          <cell r="G360">
            <v>393.26999999999902</v>
          </cell>
          <cell r="H360">
            <v>279.75999999999902</v>
          </cell>
          <cell r="I360">
            <v>636.15999999999894</v>
          </cell>
          <cell r="J360">
            <v>0</v>
          </cell>
          <cell r="K360">
            <v>915.91999999999905</v>
          </cell>
          <cell r="L360">
            <v>8019.55</v>
          </cell>
          <cell r="M360">
            <v>1430.45</v>
          </cell>
          <cell r="N360">
            <v>0</v>
          </cell>
          <cell r="O360">
            <v>8019.55</v>
          </cell>
          <cell r="P360">
            <v>1430.45</v>
          </cell>
          <cell r="Q360">
            <v>31.87</v>
          </cell>
          <cell r="R360">
            <v>8051.42</v>
          </cell>
          <cell r="S360">
            <v>1398.5799999999899</v>
          </cell>
        </row>
        <row r="361">
          <cell r="A361" t="str">
            <v>1000/1415       POLIWAP</v>
          </cell>
          <cell r="B361" t="str">
            <v>1001701    INTRAT-BRZ</v>
          </cell>
          <cell r="C361" t="str">
            <v>KC Centra dystrybucji</v>
          </cell>
          <cell r="D361">
            <v>16508.5</v>
          </cell>
          <cell r="E361">
            <v>25</v>
          </cell>
          <cell r="F361">
            <v>13901.23</v>
          </cell>
          <cell r="G361">
            <v>687.07</v>
          </cell>
          <cell r="H361">
            <v>499.55</v>
          </cell>
          <cell r="I361">
            <v>0</v>
          </cell>
          <cell r="J361">
            <v>0</v>
          </cell>
          <cell r="K361">
            <v>499.55</v>
          </cell>
          <cell r="L361">
            <v>15087.85</v>
          </cell>
          <cell r="M361">
            <v>1420.65</v>
          </cell>
          <cell r="N361">
            <v>0</v>
          </cell>
          <cell r="O361">
            <v>15087.85</v>
          </cell>
          <cell r="P361">
            <v>1420.65</v>
          </cell>
          <cell r="Q361">
            <v>65.98</v>
          </cell>
          <cell r="R361">
            <v>15153.83</v>
          </cell>
          <cell r="S361">
            <v>1354.67</v>
          </cell>
        </row>
        <row r="362">
          <cell r="A362" t="str">
            <v>1000/1415       POLIWAP</v>
          </cell>
          <cell r="B362" t="str">
            <v>1001705    AGROSTART</v>
          </cell>
          <cell r="C362" t="str">
            <v>KB Sprzed. bezpośrednia</v>
          </cell>
          <cell r="D362">
            <v>16579.9199999999</v>
          </cell>
          <cell r="E362">
            <v>24</v>
          </cell>
          <cell r="F362">
            <v>11503.48</v>
          </cell>
          <cell r="G362">
            <v>690.00999999999897</v>
          </cell>
          <cell r="H362">
            <v>479.56999999999903</v>
          </cell>
          <cell r="I362">
            <v>1542.72</v>
          </cell>
          <cell r="J362">
            <v>0</v>
          </cell>
          <cell r="K362">
            <v>2022.29</v>
          </cell>
          <cell r="L362">
            <v>14215.78</v>
          </cell>
          <cell r="M362">
            <v>2364.1399999999899</v>
          </cell>
          <cell r="N362">
            <v>0</v>
          </cell>
          <cell r="O362">
            <v>14215.78</v>
          </cell>
          <cell r="P362">
            <v>2364.1399999999899</v>
          </cell>
          <cell r="Q362">
            <v>54.59</v>
          </cell>
          <cell r="R362">
            <v>14270.37</v>
          </cell>
          <cell r="S362">
            <v>2309.5500000000002</v>
          </cell>
        </row>
        <row r="363">
          <cell r="A363" t="str">
            <v>1000/1415       POLIWAP</v>
          </cell>
          <cell r="B363" t="str">
            <v>1001983    FAZOT</v>
          </cell>
          <cell r="C363" t="str">
            <v>KB Sprzed. bezpośrednia</v>
          </cell>
          <cell r="D363">
            <v>7698.6</v>
          </cell>
          <cell r="E363">
            <v>12</v>
          </cell>
          <cell r="F363">
            <v>5751.7399999999898</v>
          </cell>
          <cell r="G363">
            <v>320.39999999999901</v>
          </cell>
          <cell r="H363">
            <v>239.78</v>
          </cell>
          <cell r="I363">
            <v>0</v>
          </cell>
          <cell r="J363">
            <v>0</v>
          </cell>
          <cell r="K363">
            <v>239.78</v>
          </cell>
          <cell r="L363">
            <v>6311.92</v>
          </cell>
          <cell r="M363">
            <v>1386.68</v>
          </cell>
          <cell r="N363">
            <v>0</v>
          </cell>
          <cell r="O363">
            <v>6311.92</v>
          </cell>
          <cell r="P363">
            <v>1386.68</v>
          </cell>
          <cell r="Q363">
            <v>27.309999999999899</v>
          </cell>
          <cell r="R363">
            <v>6339.2299999999896</v>
          </cell>
          <cell r="S363">
            <v>1359.3699999999899</v>
          </cell>
        </row>
        <row r="364">
          <cell r="A364" t="str">
            <v>1000/1415       POLIWAP</v>
          </cell>
          <cell r="B364" t="str">
            <v>1001983    FAZOT</v>
          </cell>
          <cell r="C364" t="str">
            <v>KC Centra dystrybucji</v>
          </cell>
          <cell r="D364">
            <v>16625</v>
          </cell>
          <cell r="E364">
            <v>25</v>
          </cell>
          <cell r="F364">
            <v>13901.23</v>
          </cell>
          <cell r="G364">
            <v>691.90999999999894</v>
          </cell>
          <cell r="H364">
            <v>499.55</v>
          </cell>
          <cell r="I364">
            <v>0</v>
          </cell>
          <cell r="J364">
            <v>0</v>
          </cell>
          <cell r="K364">
            <v>499.55</v>
          </cell>
          <cell r="L364">
            <v>15092.69</v>
          </cell>
          <cell r="M364">
            <v>1532.3099999999899</v>
          </cell>
          <cell r="N364">
            <v>0</v>
          </cell>
          <cell r="O364">
            <v>15092.69</v>
          </cell>
          <cell r="P364">
            <v>1532.3099999999899</v>
          </cell>
          <cell r="Q364">
            <v>65.98</v>
          </cell>
          <cell r="R364">
            <v>15158.67</v>
          </cell>
          <cell r="S364">
            <v>1466.3299999999899</v>
          </cell>
        </row>
        <row r="365">
          <cell r="A365" t="str">
            <v>1000/1415       POLIWAP</v>
          </cell>
          <cell r="B365" t="str">
            <v>1001988    ROLNIK-KOŚCIAN</v>
          </cell>
          <cell r="C365" t="str">
            <v>KB Sprzed. bezpośrednia</v>
          </cell>
          <cell r="D365">
            <v>49364.04</v>
          </cell>
          <cell r="E365">
            <v>72</v>
          </cell>
          <cell r="F365">
            <v>36213.040000000001</v>
          </cell>
          <cell r="G365">
            <v>2054.44</v>
          </cell>
          <cell r="H365">
            <v>1438.7</v>
          </cell>
          <cell r="I365">
            <v>501.95999999999901</v>
          </cell>
          <cell r="J365">
            <v>0</v>
          </cell>
          <cell r="K365">
            <v>1940.66</v>
          </cell>
          <cell r="L365">
            <v>40208.139999999898</v>
          </cell>
          <cell r="M365">
            <v>9155.8999999999905</v>
          </cell>
          <cell r="N365">
            <v>0</v>
          </cell>
          <cell r="O365">
            <v>40208.139999999898</v>
          </cell>
          <cell r="P365">
            <v>9155.8999999999905</v>
          </cell>
          <cell r="Q365">
            <v>171.94</v>
          </cell>
          <cell r="R365">
            <v>40380.080000000002</v>
          </cell>
          <cell r="S365">
            <v>8983.95999999999</v>
          </cell>
        </row>
        <row r="366">
          <cell r="A366" t="str">
            <v>1000/1415       POLIWAP</v>
          </cell>
          <cell r="B366" t="str">
            <v>1001994    SKR-STRZELCE</v>
          </cell>
          <cell r="C366" t="str">
            <v>KB Sprzed. bezpośrednia</v>
          </cell>
          <cell r="D366">
            <v>24300</v>
          </cell>
          <cell r="E366">
            <v>36</v>
          </cell>
          <cell r="F366">
            <v>17255.22</v>
          </cell>
          <cell r="G366">
            <v>1011.35</v>
          </cell>
          <cell r="H366">
            <v>719.35</v>
          </cell>
          <cell r="I366">
            <v>2036.64</v>
          </cell>
          <cell r="J366">
            <v>0</v>
          </cell>
          <cell r="K366">
            <v>2755.9899999999898</v>
          </cell>
          <cell r="L366">
            <v>21022.560000000001</v>
          </cell>
          <cell r="M366">
            <v>3277.44</v>
          </cell>
          <cell r="N366">
            <v>0</v>
          </cell>
          <cell r="O366">
            <v>21022.560000000001</v>
          </cell>
          <cell r="P366">
            <v>3277.44</v>
          </cell>
          <cell r="Q366">
            <v>81.95</v>
          </cell>
          <cell r="R366">
            <v>21104.5099999999</v>
          </cell>
          <cell r="S366">
            <v>3195.4899999999898</v>
          </cell>
        </row>
        <row r="367">
          <cell r="A367" t="str">
            <v>1000/1415       POLIWAP</v>
          </cell>
          <cell r="B367" t="str">
            <v>1002004    AZOT</v>
          </cell>
          <cell r="C367" t="str">
            <v>KB Sprzed. bezpośrednia</v>
          </cell>
          <cell r="D367">
            <v>16463.279999999901</v>
          </cell>
          <cell r="E367">
            <v>24</v>
          </cell>
          <cell r="F367">
            <v>11503.48</v>
          </cell>
          <cell r="G367">
            <v>685.23</v>
          </cell>
          <cell r="H367">
            <v>479.56999999999903</v>
          </cell>
          <cell r="I367">
            <v>1335.1199999999899</v>
          </cell>
          <cell r="J367">
            <v>0</v>
          </cell>
          <cell r="K367">
            <v>1814.69</v>
          </cell>
          <cell r="L367">
            <v>14003.4</v>
          </cell>
          <cell r="M367">
            <v>2459.88</v>
          </cell>
          <cell r="N367">
            <v>0</v>
          </cell>
          <cell r="O367">
            <v>14003.4</v>
          </cell>
          <cell r="P367">
            <v>2459.88</v>
          </cell>
          <cell r="Q367">
            <v>54.59</v>
          </cell>
          <cell r="R367">
            <v>14057.99</v>
          </cell>
          <cell r="S367">
            <v>2405.29</v>
          </cell>
        </row>
        <row r="368">
          <cell r="A368" t="str">
            <v>1000/1415       POLIWAP</v>
          </cell>
          <cell r="B368" t="str">
            <v>1002004    AZOT</v>
          </cell>
          <cell r="C368" t="str">
            <v>KC Centra dystrybucji</v>
          </cell>
          <cell r="D368">
            <v>15752.639999999899</v>
          </cell>
          <cell r="E368">
            <v>24</v>
          </cell>
          <cell r="F368">
            <v>13206.1</v>
          </cell>
          <cell r="G368">
            <v>655.55999999999904</v>
          </cell>
          <cell r="H368">
            <v>479.56999999999903</v>
          </cell>
          <cell r="I368">
            <v>0</v>
          </cell>
          <cell r="J368">
            <v>0</v>
          </cell>
          <cell r="K368">
            <v>479.56999999999903</v>
          </cell>
          <cell r="L368">
            <v>14341.23</v>
          </cell>
          <cell r="M368">
            <v>1411.41</v>
          </cell>
          <cell r="N368">
            <v>0</v>
          </cell>
          <cell r="O368">
            <v>14341.23</v>
          </cell>
          <cell r="P368">
            <v>1411.41</v>
          </cell>
          <cell r="Q368">
            <v>62.689999999999898</v>
          </cell>
          <cell r="R368">
            <v>14403.92</v>
          </cell>
          <cell r="S368">
            <v>1348.72</v>
          </cell>
        </row>
        <row r="369">
          <cell r="A369" t="str">
            <v>1000/1415       POLIWAP</v>
          </cell>
          <cell r="B369" t="str">
            <v>1002009    AGROTECHNI</v>
          </cell>
          <cell r="C369" t="str">
            <v>KB Sprzed. bezpośrednia</v>
          </cell>
          <cell r="D369">
            <v>41591.760000000002</v>
          </cell>
          <cell r="E369">
            <v>61</v>
          </cell>
          <cell r="F369">
            <v>29238.0099999999</v>
          </cell>
          <cell r="G369">
            <v>1731.02</v>
          </cell>
          <cell r="H369">
            <v>1218.8900000000001</v>
          </cell>
          <cell r="I369">
            <v>4684.21</v>
          </cell>
          <cell r="J369">
            <v>0</v>
          </cell>
          <cell r="K369">
            <v>5903.1</v>
          </cell>
          <cell r="L369">
            <v>36872.129999999903</v>
          </cell>
          <cell r="M369">
            <v>4719.63</v>
          </cell>
          <cell r="N369">
            <v>0</v>
          </cell>
          <cell r="O369">
            <v>36872.129999999903</v>
          </cell>
          <cell r="P369">
            <v>4719.63</v>
          </cell>
          <cell r="Q369">
            <v>138.83000000000001</v>
          </cell>
          <cell r="R369">
            <v>37010.959999999897</v>
          </cell>
          <cell r="S369">
            <v>4580.8</v>
          </cell>
        </row>
        <row r="370">
          <cell r="A370" t="str">
            <v>1000/1415       POLIWAP</v>
          </cell>
          <cell r="B370" t="str">
            <v>1002012    SKR-CZAPLI</v>
          </cell>
          <cell r="C370" t="str">
            <v>KB Sprzed. bezpośrednia</v>
          </cell>
          <cell r="D370">
            <v>15960</v>
          </cell>
          <cell r="E370">
            <v>24</v>
          </cell>
          <cell r="F370">
            <v>12379.19</v>
          </cell>
          <cell r="G370">
            <v>664.21</v>
          </cell>
          <cell r="H370">
            <v>479.56999999999903</v>
          </cell>
          <cell r="I370">
            <v>0</v>
          </cell>
          <cell r="J370">
            <v>0</v>
          </cell>
          <cell r="K370">
            <v>479.56999999999903</v>
          </cell>
          <cell r="L370">
            <v>13522.969999999899</v>
          </cell>
          <cell r="M370">
            <v>2437.0300000000002</v>
          </cell>
          <cell r="N370">
            <v>0</v>
          </cell>
          <cell r="O370">
            <v>13522.969999999899</v>
          </cell>
          <cell r="P370">
            <v>2437.0300000000002</v>
          </cell>
          <cell r="Q370">
            <v>58.77</v>
          </cell>
          <cell r="R370">
            <v>13581.74</v>
          </cell>
          <cell r="S370">
            <v>2378.2600000000002</v>
          </cell>
        </row>
        <row r="371">
          <cell r="A371" t="str">
            <v>1000/1415       POLIWAP</v>
          </cell>
          <cell r="B371" t="str">
            <v>1002556    "AGROPLON" SP. Z O.O</v>
          </cell>
          <cell r="C371" t="str">
            <v>KB Sprzed. bezpośrednia</v>
          </cell>
          <cell r="D371">
            <v>16119.6</v>
          </cell>
          <cell r="E371">
            <v>24</v>
          </cell>
          <cell r="F371">
            <v>11503.48</v>
          </cell>
          <cell r="G371">
            <v>670.90999999999894</v>
          </cell>
          <cell r="H371">
            <v>479.56999999999903</v>
          </cell>
          <cell r="I371">
            <v>0</v>
          </cell>
          <cell r="J371">
            <v>0</v>
          </cell>
          <cell r="K371">
            <v>479.56999999999903</v>
          </cell>
          <cell r="L371">
            <v>12653.959999999901</v>
          </cell>
          <cell r="M371">
            <v>3465.6399999999899</v>
          </cell>
          <cell r="N371">
            <v>0</v>
          </cell>
          <cell r="O371">
            <v>12653.959999999901</v>
          </cell>
          <cell r="P371">
            <v>3465.6399999999899</v>
          </cell>
          <cell r="Q371">
            <v>54.59</v>
          </cell>
          <cell r="R371">
            <v>12708.549999999899</v>
          </cell>
          <cell r="S371">
            <v>3411.05</v>
          </cell>
        </row>
        <row r="372">
          <cell r="A372" t="str">
            <v>1000/1415       POLIWAP</v>
          </cell>
          <cell r="B372" t="str">
            <v>1002657    "AGROFIRMA"-TOMASZ W</v>
          </cell>
          <cell r="C372" t="str">
            <v>KB Sprzed. bezpośrednia</v>
          </cell>
          <cell r="D372">
            <v>15848.4</v>
          </cell>
          <cell r="E372">
            <v>24</v>
          </cell>
          <cell r="F372">
            <v>11503.48</v>
          </cell>
          <cell r="G372">
            <v>659.61</v>
          </cell>
          <cell r="H372">
            <v>479.56999999999903</v>
          </cell>
          <cell r="I372">
            <v>0</v>
          </cell>
          <cell r="J372">
            <v>0</v>
          </cell>
          <cell r="K372">
            <v>479.56999999999903</v>
          </cell>
          <cell r="L372">
            <v>12642.66</v>
          </cell>
          <cell r="M372">
            <v>3205.7399999999898</v>
          </cell>
          <cell r="N372">
            <v>0</v>
          </cell>
          <cell r="O372">
            <v>12642.66</v>
          </cell>
          <cell r="P372">
            <v>3205.7399999999898</v>
          </cell>
          <cell r="Q372">
            <v>54.59</v>
          </cell>
          <cell r="R372">
            <v>12697.25</v>
          </cell>
          <cell r="S372">
            <v>3151.15</v>
          </cell>
        </row>
        <row r="373">
          <cell r="A373" t="str">
            <v>1000/1415       POLIWAP</v>
          </cell>
          <cell r="B373" t="str">
            <v>1003056    LECHPOL SP. Z O.O.</v>
          </cell>
          <cell r="C373" t="str">
            <v>KB Sprzed. bezpośrednia</v>
          </cell>
          <cell r="D373">
            <v>117219.899999999</v>
          </cell>
          <cell r="E373">
            <v>181</v>
          </cell>
          <cell r="F373">
            <v>90749.899999999907</v>
          </cell>
          <cell r="G373">
            <v>4878.5200000000004</v>
          </cell>
          <cell r="H373">
            <v>3616.71</v>
          </cell>
          <cell r="I373">
            <v>0</v>
          </cell>
          <cell r="J373">
            <v>0</v>
          </cell>
          <cell r="K373">
            <v>3616.71</v>
          </cell>
          <cell r="L373">
            <v>99245.13</v>
          </cell>
          <cell r="M373">
            <v>17974.77</v>
          </cell>
          <cell r="N373">
            <v>0</v>
          </cell>
          <cell r="O373">
            <v>99245.13</v>
          </cell>
          <cell r="P373">
            <v>17974.77</v>
          </cell>
          <cell r="Q373">
            <v>430.88</v>
          </cell>
          <cell r="R373">
            <v>99676.009999999893</v>
          </cell>
          <cell r="S373">
            <v>17543.889999999901</v>
          </cell>
        </row>
        <row r="374">
          <cell r="A374" t="str">
            <v>1000/1415       POLIWAP</v>
          </cell>
          <cell r="B374" t="str">
            <v>1003167    CENTRALA NASIENNA</v>
          </cell>
          <cell r="C374" t="str">
            <v>KC Centra dystrybucji</v>
          </cell>
          <cell r="D374">
            <v>14630</v>
          </cell>
          <cell r="E374">
            <v>22</v>
          </cell>
          <cell r="F374">
            <v>12233.08</v>
          </cell>
          <cell r="G374">
            <v>608.90999999999894</v>
          </cell>
          <cell r="H374">
            <v>439.58999999999901</v>
          </cell>
          <cell r="I374">
            <v>0</v>
          </cell>
          <cell r="J374">
            <v>0</v>
          </cell>
          <cell r="K374">
            <v>439.58999999999901</v>
          </cell>
          <cell r="L374">
            <v>13281.58</v>
          </cell>
          <cell r="M374">
            <v>1348.42</v>
          </cell>
          <cell r="N374">
            <v>0</v>
          </cell>
          <cell r="O374">
            <v>13281.58</v>
          </cell>
          <cell r="P374">
            <v>1348.42</v>
          </cell>
          <cell r="Q374">
            <v>58.079999999999899</v>
          </cell>
          <cell r="R374">
            <v>13339.66</v>
          </cell>
          <cell r="S374">
            <v>1290.3399999999899</v>
          </cell>
        </row>
        <row r="375">
          <cell r="A375" t="str">
            <v>1000/1415       POLIWAP</v>
          </cell>
          <cell r="B375" t="str">
            <v>1003315    ZAKŁAD OBROTU ROLNEG</v>
          </cell>
          <cell r="C375" t="str">
            <v>KB Sprzed. bezpośrednia</v>
          </cell>
          <cell r="D375">
            <v>16630.080000000002</v>
          </cell>
          <cell r="E375">
            <v>24</v>
          </cell>
          <cell r="F375">
            <v>11503.48</v>
          </cell>
          <cell r="G375">
            <v>692.11</v>
          </cell>
          <cell r="H375">
            <v>479.56999999999903</v>
          </cell>
          <cell r="I375">
            <v>1815.8399999999899</v>
          </cell>
          <cell r="J375">
            <v>0</v>
          </cell>
          <cell r="K375">
            <v>2295.4099999999899</v>
          </cell>
          <cell r="L375">
            <v>14491</v>
          </cell>
          <cell r="M375">
            <v>2139.0799999999899</v>
          </cell>
          <cell r="N375">
            <v>0</v>
          </cell>
          <cell r="O375">
            <v>14491</v>
          </cell>
          <cell r="P375">
            <v>2139.0799999999899</v>
          </cell>
          <cell r="Q375">
            <v>54.59</v>
          </cell>
          <cell r="R375">
            <v>14545.59</v>
          </cell>
          <cell r="S375">
            <v>2084.4899999999898</v>
          </cell>
        </row>
        <row r="376">
          <cell r="A376" t="str">
            <v>1000/1415       POLIWAP</v>
          </cell>
          <cell r="B376" t="str">
            <v>1003605    "AGROMUND"</v>
          </cell>
          <cell r="C376" t="str">
            <v>KC Centra dystrybucji</v>
          </cell>
          <cell r="D376">
            <v>33200</v>
          </cell>
          <cell r="E376">
            <v>50</v>
          </cell>
          <cell r="F376">
            <v>27512.66</v>
          </cell>
          <cell r="G376">
            <v>1381.71</v>
          </cell>
          <cell r="H376">
            <v>999.09</v>
          </cell>
          <cell r="I376">
            <v>0</v>
          </cell>
          <cell r="J376">
            <v>0</v>
          </cell>
          <cell r="K376">
            <v>999.09</v>
          </cell>
          <cell r="L376">
            <v>29893.459999999901</v>
          </cell>
          <cell r="M376">
            <v>3306.54</v>
          </cell>
          <cell r="N376">
            <v>0</v>
          </cell>
          <cell r="O376">
            <v>29893.459999999901</v>
          </cell>
          <cell r="P376">
            <v>3306.54</v>
          </cell>
          <cell r="Q376">
            <v>130.63</v>
          </cell>
          <cell r="R376">
            <v>30024.09</v>
          </cell>
          <cell r="S376">
            <v>3175.9099999999899</v>
          </cell>
        </row>
        <row r="377">
          <cell r="A377" t="str">
            <v>1000/1415       POLIWAP</v>
          </cell>
          <cell r="B377" t="str">
            <v>1003773    "NIRO"</v>
          </cell>
          <cell r="C377" t="str">
            <v>KB Sprzed. bezpośrednia</v>
          </cell>
          <cell r="D377">
            <v>15397.2</v>
          </cell>
          <cell r="E377">
            <v>24</v>
          </cell>
          <cell r="F377">
            <v>11503.48</v>
          </cell>
          <cell r="G377">
            <v>640.82000000000005</v>
          </cell>
          <cell r="H377">
            <v>479.56999999999903</v>
          </cell>
          <cell r="I377">
            <v>0</v>
          </cell>
          <cell r="J377">
            <v>0</v>
          </cell>
          <cell r="K377">
            <v>479.56999999999903</v>
          </cell>
          <cell r="L377">
            <v>12623.87</v>
          </cell>
          <cell r="M377">
            <v>2773.3299999999899</v>
          </cell>
          <cell r="N377">
            <v>0</v>
          </cell>
          <cell r="O377">
            <v>12623.87</v>
          </cell>
          <cell r="P377">
            <v>2773.3299999999899</v>
          </cell>
          <cell r="Q377">
            <v>54.59</v>
          </cell>
          <cell r="R377">
            <v>12678.459999999901</v>
          </cell>
          <cell r="S377">
            <v>2718.7399999999898</v>
          </cell>
        </row>
        <row r="378">
          <cell r="A378" t="str">
            <v>1000/1415       POLIWAP</v>
          </cell>
          <cell r="B378" t="str">
            <v>1003857    EDMAR</v>
          </cell>
          <cell r="C378" t="str">
            <v>KB Sprzed. bezpośrednia</v>
          </cell>
          <cell r="D378">
            <v>68160</v>
          </cell>
          <cell r="E378">
            <v>96</v>
          </cell>
          <cell r="F378">
            <v>46013.919999999896</v>
          </cell>
          <cell r="G378">
            <v>2836.77</v>
          </cell>
          <cell r="H378">
            <v>1918.25</v>
          </cell>
          <cell r="I378">
            <v>6738.2399999999898</v>
          </cell>
          <cell r="J378">
            <v>0</v>
          </cell>
          <cell r="K378">
            <v>8656.4899999999907</v>
          </cell>
          <cell r="L378">
            <v>57507.18</v>
          </cell>
          <cell r="M378">
            <v>10652.82</v>
          </cell>
          <cell r="N378">
            <v>0</v>
          </cell>
          <cell r="O378">
            <v>57507.18</v>
          </cell>
          <cell r="P378">
            <v>10652.82</v>
          </cell>
          <cell r="Q378">
            <v>218.49</v>
          </cell>
          <cell r="R378">
            <v>57725.669999999896</v>
          </cell>
          <cell r="S378">
            <v>10434.33</v>
          </cell>
        </row>
        <row r="379">
          <cell r="A379" t="str">
            <v>1000/1415       POLIWAP</v>
          </cell>
          <cell r="B379" t="str">
            <v>1003907    "MAJA"</v>
          </cell>
          <cell r="C379" t="str">
            <v>KB Sprzed. bezpośrednia</v>
          </cell>
          <cell r="D379">
            <v>48863.279999999897</v>
          </cell>
          <cell r="E379">
            <v>72</v>
          </cell>
          <cell r="F379">
            <v>34510.44</v>
          </cell>
          <cell r="G379">
            <v>2033.63</v>
          </cell>
          <cell r="H379">
            <v>1438.7</v>
          </cell>
          <cell r="I379">
            <v>2880</v>
          </cell>
          <cell r="J379">
            <v>0</v>
          </cell>
          <cell r="K379">
            <v>4318.6999999999898</v>
          </cell>
          <cell r="L379">
            <v>40862.769999999902</v>
          </cell>
          <cell r="M379">
            <v>8000.51</v>
          </cell>
          <cell r="N379">
            <v>0</v>
          </cell>
          <cell r="O379">
            <v>40862.769999999902</v>
          </cell>
          <cell r="P379">
            <v>8000.51</v>
          </cell>
          <cell r="Q379">
            <v>163.849999999999</v>
          </cell>
          <cell r="R379">
            <v>41026.620000000003</v>
          </cell>
          <cell r="S379">
            <v>7836.6599999999899</v>
          </cell>
        </row>
        <row r="380">
          <cell r="A380" t="str">
            <v>1000/1415       POLIWAP</v>
          </cell>
          <cell r="B380" t="str">
            <v>1003988    BLENDING Sp.z o.o.</v>
          </cell>
          <cell r="C380" t="str">
            <v>KB Sprzed. bezpośrednia</v>
          </cell>
          <cell r="D380">
            <v>34023.75</v>
          </cell>
          <cell r="E380">
            <v>50</v>
          </cell>
          <cell r="F380">
            <v>23965.58</v>
          </cell>
          <cell r="G380">
            <v>1416.03</v>
          </cell>
          <cell r="H380">
            <v>999.09</v>
          </cell>
          <cell r="I380">
            <v>2544.54</v>
          </cell>
          <cell r="J380">
            <v>0</v>
          </cell>
          <cell r="K380">
            <v>3543.63</v>
          </cell>
          <cell r="L380">
            <v>28925.24</v>
          </cell>
          <cell r="M380">
            <v>5098.51</v>
          </cell>
          <cell r="N380">
            <v>0</v>
          </cell>
          <cell r="O380">
            <v>28925.24</v>
          </cell>
          <cell r="P380">
            <v>5098.51</v>
          </cell>
          <cell r="Q380">
            <v>113.77</v>
          </cell>
          <cell r="R380">
            <v>29039.0099999999</v>
          </cell>
          <cell r="S380">
            <v>4984.7399999999898</v>
          </cell>
        </row>
        <row r="381">
          <cell r="A381" t="str">
            <v>1000/1415       POLIWAP</v>
          </cell>
          <cell r="B381" t="str">
            <v>1004168    "OSADKOWSKI" SPÓŁKA</v>
          </cell>
          <cell r="C381" t="str">
            <v>KB Sprzed. bezpośrednia</v>
          </cell>
          <cell r="D381">
            <v>16630.080000000002</v>
          </cell>
          <cell r="E381">
            <v>24</v>
          </cell>
          <cell r="F381">
            <v>11503.48</v>
          </cell>
          <cell r="G381">
            <v>692.11</v>
          </cell>
          <cell r="H381">
            <v>479.36</v>
          </cell>
          <cell r="I381">
            <v>780.48</v>
          </cell>
          <cell r="J381">
            <v>0</v>
          </cell>
          <cell r="K381">
            <v>1259.8399999999899</v>
          </cell>
          <cell r="L381">
            <v>13455.43</v>
          </cell>
          <cell r="M381">
            <v>3174.65</v>
          </cell>
          <cell r="N381">
            <v>0</v>
          </cell>
          <cell r="O381">
            <v>13455.43</v>
          </cell>
          <cell r="P381">
            <v>3174.65</v>
          </cell>
          <cell r="Q381">
            <v>54.59</v>
          </cell>
          <cell r="R381">
            <v>13510.02</v>
          </cell>
          <cell r="S381">
            <v>3120.0599999999899</v>
          </cell>
        </row>
        <row r="382">
          <cell r="A382" t="str">
            <v>1000/1415       POLIWAP</v>
          </cell>
          <cell r="B382" t="str">
            <v>1004168    "OSADKOWSKI" SPÓŁKA</v>
          </cell>
          <cell r="C382" t="str">
            <v>KC Centra dystrybucji</v>
          </cell>
          <cell r="D382">
            <v>23748.5999999999</v>
          </cell>
          <cell r="E382">
            <v>36</v>
          </cell>
          <cell r="F382">
            <v>19735.549999999901</v>
          </cell>
          <cell r="G382">
            <v>988.40999999999894</v>
          </cell>
          <cell r="H382">
            <v>719.35</v>
          </cell>
          <cell r="I382">
            <v>0</v>
          </cell>
          <cell r="J382">
            <v>0</v>
          </cell>
          <cell r="K382">
            <v>719.35</v>
          </cell>
          <cell r="L382">
            <v>21443.31</v>
          </cell>
          <cell r="M382">
            <v>2305.29</v>
          </cell>
          <cell r="N382">
            <v>0</v>
          </cell>
          <cell r="O382">
            <v>21443.31</v>
          </cell>
          <cell r="P382">
            <v>2305.29</v>
          </cell>
          <cell r="Q382">
            <v>93.7</v>
          </cell>
          <cell r="R382">
            <v>21537.0099999999</v>
          </cell>
          <cell r="S382">
            <v>2211.59</v>
          </cell>
        </row>
        <row r="383">
          <cell r="A383" t="str">
            <v>1000/1420       NP 18-46 POLIDAP</v>
          </cell>
          <cell r="B383" t="str">
            <v>Nieprzypisane</v>
          </cell>
          <cell r="C383" t="str">
            <v>Nieprzypisane</v>
          </cell>
          <cell r="D383">
            <v>0</v>
          </cell>
          <cell r="E383">
            <v>0</v>
          </cell>
          <cell r="F383">
            <v>1794.91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1794.91</v>
          </cell>
          <cell r="M383">
            <v>-1794.91</v>
          </cell>
          <cell r="N383">
            <v>0</v>
          </cell>
          <cell r="O383">
            <v>1794.91</v>
          </cell>
          <cell r="P383">
            <v>-1794.91</v>
          </cell>
          <cell r="Q383">
            <v>0</v>
          </cell>
          <cell r="R383">
            <v>1794.91</v>
          </cell>
          <cell r="S383">
            <v>-1794.91</v>
          </cell>
        </row>
        <row r="384">
          <cell r="A384" t="str">
            <v>1000/1420       NP 18-46 POLIDAP</v>
          </cell>
          <cell r="B384" t="str">
            <v>1000080    CN-KIELCE</v>
          </cell>
          <cell r="C384" t="str">
            <v>KB Sprzed. bezpośrednia</v>
          </cell>
          <cell r="D384">
            <v>50260.559999999903</v>
          </cell>
          <cell r="E384">
            <v>48</v>
          </cell>
          <cell r="F384">
            <v>44193.559999999903</v>
          </cell>
          <cell r="G384">
            <v>2091.79</v>
          </cell>
          <cell r="H384">
            <v>626.67999999999904</v>
          </cell>
          <cell r="I384">
            <v>3275.28</v>
          </cell>
          <cell r="J384">
            <v>0</v>
          </cell>
          <cell r="K384">
            <v>3901.96</v>
          </cell>
          <cell r="L384">
            <v>50187.309999999903</v>
          </cell>
          <cell r="M384">
            <v>73.25</v>
          </cell>
          <cell r="N384">
            <v>0</v>
          </cell>
          <cell r="O384">
            <v>50187.309999999903</v>
          </cell>
          <cell r="P384">
            <v>73.25</v>
          </cell>
          <cell r="Q384">
            <v>209.83</v>
          </cell>
          <cell r="R384">
            <v>50397.139999999898</v>
          </cell>
          <cell r="S384">
            <v>-136.58000000000001</v>
          </cell>
        </row>
        <row r="385">
          <cell r="A385" t="str">
            <v>1000/1420       NP 18-46 POLIDAP</v>
          </cell>
          <cell r="B385" t="str">
            <v>1000080    CN-KIELCE</v>
          </cell>
          <cell r="C385" t="str">
            <v>KC Centra dystrybucji</v>
          </cell>
          <cell r="D385">
            <v>48257.279999999897</v>
          </cell>
          <cell r="E385">
            <v>48</v>
          </cell>
          <cell r="F385">
            <v>47810.22</v>
          </cell>
          <cell r="G385">
            <v>2008.43</v>
          </cell>
          <cell r="H385">
            <v>626.67999999999904</v>
          </cell>
          <cell r="I385">
            <v>0</v>
          </cell>
          <cell r="J385">
            <v>0</v>
          </cell>
          <cell r="K385">
            <v>626.67999999999904</v>
          </cell>
          <cell r="L385">
            <v>50445.33</v>
          </cell>
          <cell r="M385">
            <v>-2188.0500000000002</v>
          </cell>
          <cell r="N385">
            <v>0</v>
          </cell>
          <cell r="O385">
            <v>50445.33</v>
          </cell>
          <cell r="P385">
            <v>-2188.0500000000002</v>
          </cell>
          <cell r="Q385">
            <v>226.99</v>
          </cell>
          <cell r="R385">
            <v>50672.32</v>
          </cell>
          <cell r="S385">
            <v>-2415.04</v>
          </cell>
        </row>
        <row r="386">
          <cell r="A386" t="str">
            <v>1000/1420       NP 18-46 POLIDAP</v>
          </cell>
          <cell r="B386" t="str">
            <v>1000117    SKIBA</v>
          </cell>
          <cell r="C386" t="str">
            <v>KB Sprzed. bezpośrednia</v>
          </cell>
          <cell r="D386">
            <v>12502.44</v>
          </cell>
          <cell r="E386">
            <v>12</v>
          </cell>
          <cell r="F386">
            <v>11048.389999999899</v>
          </cell>
          <cell r="G386">
            <v>520.34</v>
          </cell>
          <cell r="H386">
            <v>156.66999999999899</v>
          </cell>
          <cell r="I386">
            <v>1038.1199999999899</v>
          </cell>
          <cell r="J386">
            <v>0</v>
          </cell>
          <cell r="K386">
            <v>1194.79</v>
          </cell>
          <cell r="L386">
            <v>12763.52</v>
          </cell>
          <cell r="M386">
            <v>-261.07999999999902</v>
          </cell>
          <cell r="N386">
            <v>0</v>
          </cell>
          <cell r="O386">
            <v>12763.52</v>
          </cell>
          <cell r="P386">
            <v>-261.07999999999902</v>
          </cell>
          <cell r="Q386">
            <v>52.45</v>
          </cell>
          <cell r="R386">
            <v>12815.969999999899</v>
          </cell>
          <cell r="S386">
            <v>-313.52999999999901</v>
          </cell>
        </row>
        <row r="387">
          <cell r="A387" t="str">
            <v>1000/1420       NP 18-46 POLIDAP</v>
          </cell>
          <cell r="B387" t="str">
            <v>1000120    GS-PABIANICE</v>
          </cell>
          <cell r="C387" t="str">
            <v>KB Sprzed. bezpośrednia</v>
          </cell>
          <cell r="D387">
            <v>25004.880000000001</v>
          </cell>
          <cell r="E387">
            <v>24</v>
          </cell>
          <cell r="F387">
            <v>22096.779999999901</v>
          </cell>
          <cell r="G387">
            <v>1040.67</v>
          </cell>
          <cell r="H387">
            <v>313.33999999999901</v>
          </cell>
          <cell r="I387">
            <v>1200.96</v>
          </cell>
          <cell r="J387">
            <v>0</v>
          </cell>
          <cell r="K387">
            <v>1514.3</v>
          </cell>
          <cell r="L387">
            <v>24651.75</v>
          </cell>
          <cell r="M387">
            <v>353.13</v>
          </cell>
          <cell r="N387">
            <v>0</v>
          </cell>
          <cell r="O387">
            <v>24651.75</v>
          </cell>
          <cell r="P387">
            <v>353.13</v>
          </cell>
          <cell r="Q387">
            <v>104.9</v>
          </cell>
          <cell r="R387">
            <v>24756.65</v>
          </cell>
          <cell r="S387">
            <v>248.229999999999</v>
          </cell>
        </row>
        <row r="388">
          <cell r="A388" t="str">
            <v>1000/1420       NP 18-46 POLIDAP</v>
          </cell>
          <cell r="B388" t="str">
            <v>1000142    ZSHP-ZŁOTOW</v>
          </cell>
          <cell r="C388" t="str">
            <v>KB Sprzed. bezpośrednia</v>
          </cell>
          <cell r="D388">
            <v>23928</v>
          </cell>
          <cell r="E388">
            <v>24</v>
          </cell>
          <cell r="F388">
            <v>22096.779999999901</v>
          </cell>
          <cell r="G388">
            <v>995.86</v>
          </cell>
          <cell r="H388">
            <v>313.33999999999901</v>
          </cell>
          <cell r="I388">
            <v>0</v>
          </cell>
          <cell r="J388">
            <v>0</v>
          </cell>
          <cell r="K388">
            <v>313.33999999999901</v>
          </cell>
          <cell r="L388">
            <v>23405.98</v>
          </cell>
          <cell r="M388">
            <v>522.01999999999896</v>
          </cell>
          <cell r="N388">
            <v>0</v>
          </cell>
          <cell r="O388">
            <v>23405.98</v>
          </cell>
          <cell r="P388">
            <v>522.01999999999896</v>
          </cell>
          <cell r="Q388">
            <v>104.9</v>
          </cell>
          <cell r="R388">
            <v>23510.880000000001</v>
          </cell>
          <cell r="S388">
            <v>417.12</v>
          </cell>
        </row>
        <row r="389">
          <cell r="A389" t="str">
            <v>1000/1420       NP 18-46 POLIDAP</v>
          </cell>
          <cell r="B389" t="str">
            <v>1000182    AGRA NOWA</v>
          </cell>
          <cell r="C389" t="str">
            <v>KB Sprzed. bezpośrednia</v>
          </cell>
          <cell r="D389">
            <v>78327.63</v>
          </cell>
          <cell r="E389">
            <v>73</v>
          </cell>
          <cell r="F389">
            <v>68538.86</v>
          </cell>
          <cell r="G389">
            <v>3259.92</v>
          </cell>
          <cell r="H389">
            <v>953.05999999999904</v>
          </cell>
          <cell r="I389">
            <v>3829.0599999999899</v>
          </cell>
          <cell r="J389">
            <v>0</v>
          </cell>
          <cell r="K389">
            <v>4782.1199999999899</v>
          </cell>
          <cell r="L389">
            <v>76580.899999999907</v>
          </cell>
          <cell r="M389">
            <v>1746.73</v>
          </cell>
          <cell r="N389">
            <v>0</v>
          </cell>
          <cell r="O389">
            <v>76580.899999999907</v>
          </cell>
          <cell r="P389">
            <v>1746.73</v>
          </cell>
          <cell r="Q389">
            <v>325.43</v>
          </cell>
          <cell r="R389">
            <v>76906.33</v>
          </cell>
          <cell r="S389">
            <v>1421.3</v>
          </cell>
        </row>
        <row r="390">
          <cell r="A390" t="str">
            <v>1000/1420       NP 18-46 POLIDAP</v>
          </cell>
          <cell r="B390" t="str">
            <v>1000182    AGRA NOWA</v>
          </cell>
          <cell r="C390" t="str">
            <v>KC Centra dystrybucji</v>
          </cell>
          <cell r="D390">
            <v>97254</v>
          </cell>
          <cell r="E390">
            <v>96</v>
          </cell>
          <cell r="F390">
            <v>95369.279999999897</v>
          </cell>
          <cell r="G390">
            <v>4047.5799999999899</v>
          </cell>
          <cell r="H390">
            <v>1253.3399999999899</v>
          </cell>
          <cell r="I390">
            <v>0</v>
          </cell>
          <cell r="J390">
            <v>0</v>
          </cell>
          <cell r="K390">
            <v>1253.3399999999899</v>
          </cell>
          <cell r="L390">
            <v>100670.2</v>
          </cell>
          <cell r="M390">
            <v>-3416.1999999999898</v>
          </cell>
          <cell r="N390">
            <v>0</v>
          </cell>
          <cell r="O390">
            <v>100670.2</v>
          </cell>
          <cell r="P390">
            <v>-3416.1999999999898</v>
          </cell>
          <cell r="Q390">
            <v>452.8</v>
          </cell>
          <cell r="R390">
            <v>101123</v>
          </cell>
          <cell r="S390">
            <v>-3869</v>
          </cell>
        </row>
        <row r="391">
          <cell r="A391" t="str">
            <v>1000/1420       NP 18-46 POLIDAP</v>
          </cell>
          <cell r="B391" t="str">
            <v>1000192    ROLBUD</v>
          </cell>
          <cell r="C391" t="str">
            <v>KB Sprzed. bezpośrednia</v>
          </cell>
          <cell r="D391">
            <v>74487.600000000006</v>
          </cell>
          <cell r="E391">
            <v>72</v>
          </cell>
          <cell r="F391">
            <v>66290.339999999895</v>
          </cell>
          <cell r="G391">
            <v>3100.07</v>
          </cell>
          <cell r="H391">
            <v>940.01999999999896</v>
          </cell>
          <cell r="I391">
            <v>4225.92</v>
          </cell>
          <cell r="J391">
            <v>0</v>
          </cell>
          <cell r="K391">
            <v>5165.9399999999896</v>
          </cell>
          <cell r="L391">
            <v>74556.350000000006</v>
          </cell>
          <cell r="M391">
            <v>-68.75</v>
          </cell>
          <cell r="N391">
            <v>0</v>
          </cell>
          <cell r="O391">
            <v>74556.350000000006</v>
          </cell>
          <cell r="P391">
            <v>-68.75</v>
          </cell>
          <cell r="Q391">
            <v>314.75</v>
          </cell>
          <cell r="R391">
            <v>74871.100000000006</v>
          </cell>
          <cell r="S391">
            <v>-383.5</v>
          </cell>
        </row>
        <row r="392">
          <cell r="A392" t="str">
            <v>1000/1420       NP 18-46 POLIDAP</v>
          </cell>
          <cell r="B392" t="str">
            <v>1000193    PUH 'WIEŻOWIEC' s.j.</v>
          </cell>
          <cell r="C392" t="str">
            <v>KC Centra dystrybucji</v>
          </cell>
          <cell r="D392">
            <v>79011.919999999896</v>
          </cell>
          <cell r="E392">
            <v>78</v>
          </cell>
          <cell r="F392">
            <v>77611.960000000006</v>
          </cell>
          <cell r="G392">
            <v>3288.4</v>
          </cell>
          <cell r="H392">
            <v>1018.35</v>
          </cell>
          <cell r="I392">
            <v>0</v>
          </cell>
          <cell r="J392">
            <v>0</v>
          </cell>
          <cell r="K392">
            <v>1018.35</v>
          </cell>
          <cell r="L392">
            <v>81918.710000000006</v>
          </cell>
          <cell r="M392">
            <v>-2906.79</v>
          </cell>
          <cell r="N392">
            <v>0</v>
          </cell>
          <cell r="O392">
            <v>81918.710000000006</v>
          </cell>
          <cell r="P392">
            <v>-2906.79</v>
          </cell>
          <cell r="Q392">
            <v>368.49</v>
          </cell>
          <cell r="R392">
            <v>82287.199999999895</v>
          </cell>
          <cell r="S392">
            <v>-3275.28</v>
          </cell>
        </row>
        <row r="393">
          <cell r="A393" t="str">
            <v>1000/1420       NP 18-46 POLIDAP</v>
          </cell>
          <cell r="B393" t="str">
            <v>1000203    BISO S.C.</v>
          </cell>
          <cell r="C393" t="str">
            <v>KB Sprzed. bezpośrednia</v>
          </cell>
          <cell r="D393">
            <v>50009.760000000002</v>
          </cell>
          <cell r="E393">
            <v>48</v>
          </cell>
          <cell r="F393">
            <v>44193.559999999903</v>
          </cell>
          <cell r="G393">
            <v>2081.34</v>
          </cell>
          <cell r="H393">
            <v>626.67999999999904</v>
          </cell>
          <cell r="I393">
            <v>2060.1599999999899</v>
          </cell>
          <cell r="J393">
            <v>0</v>
          </cell>
          <cell r="K393">
            <v>2686.84</v>
          </cell>
          <cell r="L393">
            <v>48961.739999999903</v>
          </cell>
          <cell r="M393">
            <v>1048.02</v>
          </cell>
          <cell r="N393">
            <v>0</v>
          </cell>
          <cell r="O393">
            <v>48961.739999999903</v>
          </cell>
          <cell r="P393">
            <v>1048.02</v>
          </cell>
          <cell r="Q393">
            <v>209.83</v>
          </cell>
          <cell r="R393">
            <v>49171.57</v>
          </cell>
          <cell r="S393">
            <v>838.19</v>
          </cell>
        </row>
        <row r="394">
          <cell r="A394" t="str">
            <v>1000/1420       NP 18-46 POLIDAP</v>
          </cell>
          <cell r="B394" t="str">
            <v>1000204    FLORA Sp. z o.o. PRA</v>
          </cell>
          <cell r="C394" t="str">
            <v>KB Sprzed. bezpośrednia</v>
          </cell>
          <cell r="D394">
            <v>556575.48999999894</v>
          </cell>
          <cell r="E394">
            <v>557.27999999999895</v>
          </cell>
          <cell r="F394">
            <v>536503.41</v>
          </cell>
          <cell r="G394">
            <v>23164.22</v>
          </cell>
          <cell r="H394">
            <v>7275.6999999999898</v>
          </cell>
          <cell r="I394">
            <v>7440</v>
          </cell>
          <cell r="J394">
            <v>0</v>
          </cell>
          <cell r="K394">
            <v>14715.7</v>
          </cell>
          <cell r="L394">
            <v>574383.32999999903</v>
          </cell>
          <cell r="M394">
            <v>-17807.84</v>
          </cell>
          <cell r="N394">
            <v>0</v>
          </cell>
          <cell r="O394">
            <v>574383.32999999903</v>
          </cell>
          <cell r="P394">
            <v>-17807.84</v>
          </cell>
          <cell r="Q394">
            <v>2547.25</v>
          </cell>
          <cell r="R394">
            <v>576930.57999999903</v>
          </cell>
          <cell r="S394">
            <v>-20355.09</v>
          </cell>
        </row>
        <row r="395">
          <cell r="A395" t="str">
            <v>1000/1420       NP 18-46 POLIDAP</v>
          </cell>
          <cell r="B395" t="str">
            <v>1000204    FLORA Sp. z o.o. PRA</v>
          </cell>
          <cell r="C395" t="str">
            <v>KC Centra dystrybucji</v>
          </cell>
          <cell r="D395">
            <v>24287.040000000001</v>
          </cell>
          <cell r="E395">
            <v>24</v>
          </cell>
          <cell r="F395">
            <v>23905.11</v>
          </cell>
          <cell r="G395">
            <v>1010.83</v>
          </cell>
          <cell r="H395">
            <v>313.33999999999901</v>
          </cell>
          <cell r="I395">
            <v>0</v>
          </cell>
          <cell r="J395">
            <v>0</v>
          </cell>
          <cell r="K395">
            <v>313.33999999999901</v>
          </cell>
          <cell r="L395">
            <v>25229.279999999901</v>
          </cell>
          <cell r="M395">
            <v>-942.24</v>
          </cell>
          <cell r="N395">
            <v>0</v>
          </cell>
          <cell r="O395">
            <v>25229.279999999901</v>
          </cell>
          <cell r="P395">
            <v>-942.24</v>
          </cell>
          <cell r="Q395">
            <v>113.5</v>
          </cell>
          <cell r="R395">
            <v>25342.779999999901</v>
          </cell>
          <cell r="S395">
            <v>-1055.74</v>
          </cell>
        </row>
        <row r="396">
          <cell r="A396" t="str">
            <v>1000/1420       NP 18-46 POLIDAP</v>
          </cell>
          <cell r="B396" t="str">
            <v>1000205    SKŁODOWSKI</v>
          </cell>
          <cell r="C396" t="str">
            <v>KB Sprzed. bezpośrednia</v>
          </cell>
          <cell r="D396">
            <v>2196016.8199999901</v>
          </cell>
          <cell r="E396">
            <v>2147</v>
          </cell>
          <cell r="F396">
            <v>1978732.79</v>
          </cell>
          <cell r="G396">
            <v>91396.029999999897</v>
          </cell>
          <cell r="H396">
            <v>28030.7</v>
          </cell>
          <cell r="I396">
            <v>150959.70000000001</v>
          </cell>
          <cell r="J396">
            <v>0</v>
          </cell>
          <cell r="K396">
            <v>178990.399999999</v>
          </cell>
          <cell r="L396">
            <v>2249119.2200000002</v>
          </cell>
          <cell r="M396">
            <v>-53102.400000000001</v>
          </cell>
          <cell r="N396">
            <v>0</v>
          </cell>
          <cell r="O396">
            <v>2249119.2200000002</v>
          </cell>
          <cell r="P396">
            <v>-53102.400000000001</v>
          </cell>
          <cell r="Q396">
            <v>9394.76</v>
          </cell>
          <cell r="R396">
            <v>2258513.98</v>
          </cell>
          <cell r="S396">
            <v>-62497.16</v>
          </cell>
        </row>
        <row r="397">
          <cell r="A397" t="str">
            <v>1000/1420       NP 18-46 POLIDAP</v>
          </cell>
          <cell r="B397" t="str">
            <v>1000205    SKŁODOWSKI</v>
          </cell>
          <cell r="C397" t="str">
            <v>KC Centra dystrybucji</v>
          </cell>
          <cell r="D397">
            <v>525778.9</v>
          </cell>
          <cell r="E397">
            <v>524</v>
          </cell>
          <cell r="F397">
            <v>482446.34</v>
          </cell>
          <cell r="G397">
            <v>21882.36</v>
          </cell>
          <cell r="H397">
            <v>6841.21</v>
          </cell>
          <cell r="I397">
            <v>0</v>
          </cell>
          <cell r="J397">
            <v>0</v>
          </cell>
          <cell r="K397">
            <v>6841.21</v>
          </cell>
          <cell r="L397">
            <v>511169.90999999898</v>
          </cell>
          <cell r="M397">
            <v>14608.99</v>
          </cell>
          <cell r="N397">
            <v>0</v>
          </cell>
          <cell r="O397">
            <v>511169.90999999898</v>
          </cell>
          <cell r="P397">
            <v>14608.99</v>
          </cell>
          <cell r="Q397">
            <v>2290.59</v>
          </cell>
          <cell r="R397">
            <v>513460.5</v>
          </cell>
          <cell r="S397">
            <v>12318.4</v>
          </cell>
        </row>
        <row r="398">
          <cell r="A398" t="str">
            <v>1000/1420       NP 18-46 POLIDAP</v>
          </cell>
          <cell r="B398" t="str">
            <v>1000210    ROLTEX Sp. z o.o.</v>
          </cell>
          <cell r="C398" t="str">
            <v>KB Sprzed. bezpośrednia</v>
          </cell>
          <cell r="D398">
            <v>25368.75</v>
          </cell>
          <cell r="E398">
            <v>25</v>
          </cell>
          <cell r="F398">
            <v>23017.48</v>
          </cell>
          <cell r="G398">
            <v>1055.8199999999899</v>
          </cell>
          <cell r="H398">
            <v>326.38</v>
          </cell>
          <cell r="I398">
            <v>2063.2199999999898</v>
          </cell>
          <cell r="J398">
            <v>0</v>
          </cell>
          <cell r="K398">
            <v>2389.5999999999899</v>
          </cell>
          <cell r="L398">
            <v>26462.9</v>
          </cell>
          <cell r="M398">
            <v>-1094.1500000000001</v>
          </cell>
          <cell r="N398">
            <v>0</v>
          </cell>
          <cell r="O398">
            <v>26462.9</v>
          </cell>
          <cell r="P398">
            <v>-1094.1500000000001</v>
          </cell>
          <cell r="Q398">
            <v>109.3</v>
          </cell>
          <cell r="R398">
            <v>26572.2</v>
          </cell>
          <cell r="S398">
            <v>-1203.45</v>
          </cell>
        </row>
        <row r="399">
          <cell r="A399" t="str">
            <v>1000/1420       NP 18-46 POLIDAP</v>
          </cell>
          <cell r="B399" t="str">
            <v>1000213    KUDASZEWIC</v>
          </cell>
          <cell r="C399" t="str">
            <v>KB Sprzed. bezpośrednia</v>
          </cell>
          <cell r="D399">
            <v>24929.52</v>
          </cell>
          <cell r="E399">
            <v>24</v>
          </cell>
          <cell r="F399">
            <v>22096.779999999901</v>
          </cell>
          <cell r="G399">
            <v>1037.5599999999899</v>
          </cell>
          <cell r="H399">
            <v>313.33999999999901</v>
          </cell>
          <cell r="I399">
            <v>1200.96</v>
          </cell>
          <cell r="J399">
            <v>0</v>
          </cell>
          <cell r="K399">
            <v>1514.3</v>
          </cell>
          <cell r="L399">
            <v>24648.639999999901</v>
          </cell>
          <cell r="M399">
            <v>280.88</v>
          </cell>
          <cell r="N399">
            <v>0</v>
          </cell>
          <cell r="O399">
            <v>24648.639999999901</v>
          </cell>
          <cell r="P399">
            <v>280.88</v>
          </cell>
          <cell r="Q399">
            <v>104.9</v>
          </cell>
          <cell r="R399">
            <v>24753.54</v>
          </cell>
          <cell r="S399">
            <v>175.979999999999</v>
          </cell>
        </row>
        <row r="400">
          <cell r="A400" t="str">
            <v>1000/1420       NP 18-46 POLIDAP</v>
          </cell>
          <cell r="B400" t="str">
            <v>1000219    BUTOR</v>
          </cell>
          <cell r="C400" t="str">
            <v>KB Sprzed. bezpośrednia</v>
          </cell>
          <cell r="D400">
            <v>62208</v>
          </cell>
          <cell r="E400">
            <v>60</v>
          </cell>
          <cell r="F400">
            <v>55241.949999999903</v>
          </cell>
          <cell r="G400">
            <v>2589.0999999999899</v>
          </cell>
          <cell r="H400">
            <v>783.33</v>
          </cell>
          <cell r="I400">
            <v>2838.2399999999898</v>
          </cell>
          <cell r="J400">
            <v>0</v>
          </cell>
          <cell r="K400">
            <v>3621.57</v>
          </cell>
          <cell r="L400">
            <v>61452.62</v>
          </cell>
          <cell r="M400">
            <v>755.38</v>
          </cell>
          <cell r="N400">
            <v>0</v>
          </cell>
          <cell r="O400">
            <v>61452.62</v>
          </cell>
          <cell r="P400">
            <v>755.38</v>
          </cell>
          <cell r="Q400">
            <v>262.29000000000002</v>
          </cell>
          <cell r="R400">
            <v>61714.91</v>
          </cell>
          <cell r="S400">
            <v>493.08999999999901</v>
          </cell>
        </row>
        <row r="401">
          <cell r="A401" t="str">
            <v>1000/1420       NP 18-46 POLIDAP</v>
          </cell>
          <cell r="B401" t="str">
            <v>1000219    BUTOR</v>
          </cell>
          <cell r="C401" t="str">
            <v>KC Centra dystrybucji</v>
          </cell>
          <cell r="D401">
            <v>24287.040000000001</v>
          </cell>
          <cell r="E401">
            <v>24</v>
          </cell>
          <cell r="F401">
            <v>23831.5999999999</v>
          </cell>
          <cell r="G401">
            <v>1010.83</v>
          </cell>
          <cell r="H401">
            <v>313.33999999999901</v>
          </cell>
          <cell r="I401">
            <v>0</v>
          </cell>
          <cell r="J401">
            <v>0</v>
          </cell>
          <cell r="K401">
            <v>313.33999999999901</v>
          </cell>
          <cell r="L401">
            <v>25155.77</v>
          </cell>
          <cell r="M401">
            <v>-868.73</v>
          </cell>
          <cell r="N401">
            <v>0</v>
          </cell>
          <cell r="O401">
            <v>25155.77</v>
          </cell>
          <cell r="P401">
            <v>-868.73</v>
          </cell>
          <cell r="Q401">
            <v>113.16</v>
          </cell>
          <cell r="R401">
            <v>25268.93</v>
          </cell>
          <cell r="S401">
            <v>-981.88999999999896</v>
          </cell>
        </row>
        <row r="402">
          <cell r="A402" t="str">
            <v>1000/1420       NP 18-46 POLIDAP</v>
          </cell>
          <cell r="B402" t="str">
            <v>1000222    ROLPOL</v>
          </cell>
          <cell r="C402" t="str">
            <v>KB Sprzed. bezpośrednia</v>
          </cell>
          <cell r="D402">
            <v>201408.1</v>
          </cell>
          <cell r="E402">
            <v>197</v>
          </cell>
          <cell r="F402">
            <v>181377.739999999</v>
          </cell>
          <cell r="G402">
            <v>8382.43</v>
          </cell>
          <cell r="H402">
            <v>2571.98</v>
          </cell>
          <cell r="I402">
            <v>14574.59</v>
          </cell>
          <cell r="J402">
            <v>0</v>
          </cell>
          <cell r="K402">
            <v>17146.57</v>
          </cell>
          <cell r="L402">
            <v>206906.739999999</v>
          </cell>
          <cell r="M402">
            <v>-5498.64</v>
          </cell>
          <cell r="N402">
            <v>0</v>
          </cell>
          <cell r="O402">
            <v>206906.739999999</v>
          </cell>
          <cell r="P402">
            <v>-5498.64</v>
          </cell>
          <cell r="Q402">
            <v>861.15999999999894</v>
          </cell>
          <cell r="R402">
            <v>207767.899999999</v>
          </cell>
          <cell r="S402">
            <v>-6359.8</v>
          </cell>
        </row>
        <row r="403">
          <cell r="A403" t="str">
            <v>1000/1420       NP 18-46 POLIDAP</v>
          </cell>
          <cell r="B403" t="str">
            <v>1000222    ROLPOL</v>
          </cell>
          <cell r="C403" t="str">
            <v>KC Centra dystrybucji</v>
          </cell>
          <cell r="D403">
            <v>551905</v>
          </cell>
          <cell r="E403">
            <v>550</v>
          </cell>
          <cell r="F403">
            <v>506384.52</v>
          </cell>
          <cell r="G403">
            <v>22969.709999999901</v>
          </cell>
          <cell r="H403">
            <v>7180.67</v>
          </cell>
          <cell r="I403">
            <v>0</v>
          </cell>
          <cell r="J403">
            <v>0</v>
          </cell>
          <cell r="K403">
            <v>7180.67</v>
          </cell>
          <cell r="L403">
            <v>536534.9</v>
          </cell>
          <cell r="M403">
            <v>15370.1</v>
          </cell>
          <cell r="N403">
            <v>0</v>
          </cell>
          <cell r="O403">
            <v>536534.9</v>
          </cell>
          <cell r="P403">
            <v>15370.1</v>
          </cell>
          <cell r="Q403">
            <v>2404.27</v>
          </cell>
          <cell r="R403">
            <v>538939.17000000004</v>
          </cell>
          <cell r="S403">
            <v>12965.83</v>
          </cell>
        </row>
        <row r="404">
          <cell r="A404" t="str">
            <v>1000/1420       NP 18-46 POLIDAP</v>
          </cell>
          <cell r="B404" t="str">
            <v>1000235    ROLNIK</v>
          </cell>
          <cell r="C404" t="str">
            <v>KB Sprzed. bezpośrednia</v>
          </cell>
          <cell r="D404">
            <v>73346.399999999907</v>
          </cell>
          <cell r="E404">
            <v>72</v>
          </cell>
          <cell r="F404">
            <v>66290.339999999895</v>
          </cell>
          <cell r="G404">
            <v>3052.6399999999899</v>
          </cell>
          <cell r="H404">
            <v>940.01999999999896</v>
          </cell>
          <cell r="I404">
            <v>2620.0799999999899</v>
          </cell>
          <cell r="J404">
            <v>0</v>
          </cell>
          <cell r="K404">
            <v>3560.0999999999899</v>
          </cell>
          <cell r="L404">
            <v>72903.08</v>
          </cell>
          <cell r="M404">
            <v>443.31999999999903</v>
          </cell>
          <cell r="N404">
            <v>0</v>
          </cell>
          <cell r="O404">
            <v>72903.08</v>
          </cell>
          <cell r="P404">
            <v>443.31999999999903</v>
          </cell>
          <cell r="Q404">
            <v>314.75</v>
          </cell>
          <cell r="R404">
            <v>73217.83</v>
          </cell>
          <cell r="S404">
            <v>128.569999999999</v>
          </cell>
        </row>
        <row r="405">
          <cell r="A405" t="str">
            <v>1000/1420       NP 18-46 POLIDAP</v>
          </cell>
          <cell r="B405" t="str">
            <v>1000235    ROLNIK</v>
          </cell>
          <cell r="C405" t="str">
            <v>KC Centra dystrybucji</v>
          </cell>
          <cell r="D405">
            <v>14067.9</v>
          </cell>
          <cell r="E405">
            <v>14</v>
          </cell>
          <cell r="F405">
            <v>13944.65</v>
          </cell>
          <cell r="G405">
            <v>585.50999999999897</v>
          </cell>
          <cell r="H405">
            <v>182.78</v>
          </cell>
          <cell r="I405">
            <v>0</v>
          </cell>
          <cell r="J405">
            <v>0</v>
          </cell>
          <cell r="K405">
            <v>182.78</v>
          </cell>
          <cell r="L405">
            <v>14712.94</v>
          </cell>
          <cell r="M405">
            <v>-645.03999999999905</v>
          </cell>
          <cell r="N405">
            <v>0</v>
          </cell>
          <cell r="O405">
            <v>14712.94</v>
          </cell>
          <cell r="P405">
            <v>-645.03999999999905</v>
          </cell>
          <cell r="Q405">
            <v>66.209999999999894</v>
          </cell>
          <cell r="R405">
            <v>14779.15</v>
          </cell>
          <cell r="S405">
            <v>-711.25</v>
          </cell>
        </row>
        <row r="406">
          <cell r="A406" t="str">
            <v>1000/1420       NP 18-46 POLIDAP</v>
          </cell>
          <cell r="B406" t="str">
            <v>1000248    DYMNY</v>
          </cell>
          <cell r="C406" t="str">
            <v>KB Sprzed. bezpośrednia</v>
          </cell>
          <cell r="D406">
            <v>292614.65999999898</v>
          </cell>
          <cell r="E406">
            <v>294.89999999999901</v>
          </cell>
          <cell r="F406">
            <v>275405.75</v>
          </cell>
          <cell r="G406">
            <v>12178.33</v>
          </cell>
          <cell r="H406">
            <v>3850.15</v>
          </cell>
          <cell r="I406">
            <v>0</v>
          </cell>
          <cell r="J406">
            <v>0</v>
          </cell>
          <cell r="K406">
            <v>3850.15</v>
          </cell>
          <cell r="L406">
            <v>291434.22999999899</v>
          </cell>
          <cell r="M406">
            <v>1180.43</v>
          </cell>
          <cell r="N406">
            <v>0</v>
          </cell>
          <cell r="O406">
            <v>291434.22999999899</v>
          </cell>
          <cell r="P406">
            <v>1180.43</v>
          </cell>
          <cell r="Q406">
            <v>1307.5899999999899</v>
          </cell>
          <cell r="R406">
            <v>292741.82</v>
          </cell>
          <cell r="S406">
            <v>-127.16</v>
          </cell>
        </row>
        <row r="407">
          <cell r="A407" t="str">
            <v>1000/1420       NP 18-46 POLIDAP</v>
          </cell>
          <cell r="B407" t="str">
            <v>1000252    AGROSKŁAD</v>
          </cell>
          <cell r="C407" t="str">
            <v>KB Sprzed. bezpośrednia</v>
          </cell>
          <cell r="D407">
            <v>741147.72999999905</v>
          </cell>
          <cell r="E407">
            <v>725</v>
          </cell>
          <cell r="F407">
            <v>667507.23999999894</v>
          </cell>
          <cell r="G407">
            <v>30845.799999999901</v>
          </cell>
          <cell r="H407">
            <v>9465.42</v>
          </cell>
          <cell r="I407">
            <v>34099.870000000003</v>
          </cell>
          <cell r="J407">
            <v>0</v>
          </cell>
          <cell r="K407">
            <v>43565.29</v>
          </cell>
          <cell r="L407">
            <v>741918.32999999903</v>
          </cell>
          <cell r="M407">
            <v>-770.6</v>
          </cell>
          <cell r="N407">
            <v>0</v>
          </cell>
          <cell r="O407">
            <v>741918.32999999903</v>
          </cell>
          <cell r="P407">
            <v>-770.6</v>
          </cell>
          <cell r="Q407">
            <v>3169.2399999999898</v>
          </cell>
          <cell r="R407">
            <v>745087.56999999902</v>
          </cell>
          <cell r="S407">
            <v>-3939.84</v>
          </cell>
        </row>
        <row r="408">
          <cell r="A408" t="str">
            <v>1000/1420       NP 18-46 POLIDAP</v>
          </cell>
          <cell r="B408" t="str">
            <v>1000252    AGROSKŁAD</v>
          </cell>
          <cell r="C408" t="str">
            <v>KC Centra dystrybucji</v>
          </cell>
          <cell r="D408">
            <v>227452.56</v>
          </cell>
          <cell r="E408">
            <v>226.5</v>
          </cell>
          <cell r="F408">
            <v>216261.44</v>
          </cell>
          <cell r="G408">
            <v>9466.3999999999905</v>
          </cell>
          <cell r="H408">
            <v>2957.1199999999899</v>
          </cell>
          <cell r="I408">
            <v>0</v>
          </cell>
          <cell r="J408">
            <v>0</v>
          </cell>
          <cell r="K408">
            <v>2957.1199999999899</v>
          </cell>
          <cell r="L408">
            <v>228684.959999999</v>
          </cell>
          <cell r="M408">
            <v>-1232.4000000000001</v>
          </cell>
          <cell r="N408">
            <v>0</v>
          </cell>
          <cell r="O408">
            <v>228684.959999999</v>
          </cell>
          <cell r="P408">
            <v>-1232.4000000000001</v>
          </cell>
          <cell r="Q408">
            <v>1026.78</v>
          </cell>
          <cell r="R408">
            <v>229711.739999999</v>
          </cell>
          <cell r="S408">
            <v>-2259.1799999999898</v>
          </cell>
        </row>
        <row r="409">
          <cell r="A409" t="str">
            <v>1000/1420       NP 18-46 POLIDAP</v>
          </cell>
          <cell r="B409" t="str">
            <v>1000256    TYMIŃSKA</v>
          </cell>
          <cell r="C409" t="str">
            <v>KB Sprzed. bezpośrednia</v>
          </cell>
          <cell r="D409">
            <v>12414.6</v>
          </cell>
          <cell r="E409">
            <v>12</v>
          </cell>
          <cell r="F409">
            <v>11048.389999999899</v>
          </cell>
          <cell r="G409">
            <v>516.66999999999905</v>
          </cell>
          <cell r="H409">
            <v>156.66999999999899</v>
          </cell>
          <cell r="I409">
            <v>667.55999999999904</v>
          </cell>
          <cell r="J409">
            <v>0</v>
          </cell>
          <cell r="K409">
            <v>824.23</v>
          </cell>
          <cell r="L409">
            <v>12389.29</v>
          </cell>
          <cell r="M409">
            <v>25.309999999999899</v>
          </cell>
          <cell r="N409">
            <v>0</v>
          </cell>
          <cell r="O409">
            <v>12389.29</v>
          </cell>
          <cell r="P409">
            <v>25.309999999999899</v>
          </cell>
          <cell r="Q409">
            <v>52.45</v>
          </cell>
          <cell r="R409">
            <v>12441.74</v>
          </cell>
          <cell r="S409">
            <v>-27.14</v>
          </cell>
        </row>
        <row r="410">
          <cell r="A410" t="str">
            <v>1000/1420       NP 18-46 POLIDAP</v>
          </cell>
          <cell r="B410" t="str">
            <v>1000257    MAGROL</v>
          </cell>
          <cell r="C410" t="str">
            <v>KC Centra dystrybucji</v>
          </cell>
          <cell r="D410">
            <v>99998.929999999906</v>
          </cell>
          <cell r="E410">
            <v>99</v>
          </cell>
          <cell r="F410">
            <v>98608.58</v>
          </cell>
          <cell r="G410">
            <v>4161.8500000000004</v>
          </cell>
          <cell r="H410">
            <v>1292.53</v>
          </cell>
          <cell r="I410">
            <v>0</v>
          </cell>
          <cell r="J410">
            <v>0</v>
          </cell>
          <cell r="K410">
            <v>1292.53</v>
          </cell>
          <cell r="L410">
            <v>104062.96</v>
          </cell>
          <cell r="M410">
            <v>-4064.03</v>
          </cell>
          <cell r="N410">
            <v>0</v>
          </cell>
          <cell r="O410">
            <v>104062.96</v>
          </cell>
          <cell r="P410">
            <v>-4064.03</v>
          </cell>
          <cell r="Q410">
            <v>468.19</v>
          </cell>
          <cell r="R410">
            <v>104531.149999999</v>
          </cell>
          <cell r="S410">
            <v>-4532.22</v>
          </cell>
        </row>
        <row r="411">
          <cell r="A411" t="str">
            <v>1000/1420       NP 18-46 POLIDAP</v>
          </cell>
          <cell r="B411" t="str">
            <v>1000263    PRO-AGRO</v>
          </cell>
          <cell r="C411" t="str">
            <v>KB Sprzed. bezpośrednia</v>
          </cell>
          <cell r="D411">
            <v>49809.120000000003</v>
          </cell>
          <cell r="E411">
            <v>48</v>
          </cell>
          <cell r="F411">
            <v>44193.559999999903</v>
          </cell>
          <cell r="G411">
            <v>2073.02</v>
          </cell>
          <cell r="H411">
            <v>626.67999999999904</v>
          </cell>
          <cell r="I411">
            <v>3662.76</v>
          </cell>
          <cell r="J411">
            <v>0</v>
          </cell>
          <cell r="K411">
            <v>4289.4399999999896</v>
          </cell>
          <cell r="L411">
            <v>50556.019999999902</v>
          </cell>
          <cell r="M411">
            <v>-746.89999999999895</v>
          </cell>
          <cell r="N411">
            <v>0</v>
          </cell>
          <cell r="O411">
            <v>50556.019999999902</v>
          </cell>
          <cell r="P411">
            <v>-746.89999999999895</v>
          </cell>
          <cell r="Q411">
            <v>209.83</v>
          </cell>
          <cell r="R411">
            <v>50765.849999999897</v>
          </cell>
          <cell r="S411">
            <v>-956.73</v>
          </cell>
        </row>
        <row r="412">
          <cell r="A412" t="str">
            <v>1000/1420       NP 18-46 POLIDAP</v>
          </cell>
          <cell r="B412" t="str">
            <v>1000263    PRO-AGRO</v>
          </cell>
          <cell r="C412" t="str">
            <v>KC Centra dystrybucji</v>
          </cell>
          <cell r="D412">
            <v>73664.88</v>
          </cell>
          <cell r="E412">
            <v>72</v>
          </cell>
          <cell r="F412">
            <v>66290.339999999895</v>
          </cell>
          <cell r="G412">
            <v>3065.8699999999899</v>
          </cell>
          <cell r="H412">
            <v>940.01999999999896</v>
          </cell>
          <cell r="I412">
            <v>0</v>
          </cell>
          <cell r="J412">
            <v>0</v>
          </cell>
          <cell r="K412">
            <v>940.01999999999896</v>
          </cell>
          <cell r="L412">
            <v>70296.229999999894</v>
          </cell>
          <cell r="M412">
            <v>3368.65</v>
          </cell>
          <cell r="N412">
            <v>0</v>
          </cell>
          <cell r="O412">
            <v>70296.229999999894</v>
          </cell>
          <cell r="P412">
            <v>3368.65</v>
          </cell>
          <cell r="Q412">
            <v>314.75</v>
          </cell>
          <cell r="R412">
            <v>70610.979999999894</v>
          </cell>
          <cell r="S412">
            <v>3053.9</v>
          </cell>
        </row>
        <row r="413">
          <cell r="A413" t="str">
            <v>1000/1420       NP 18-46 POLIDAP</v>
          </cell>
          <cell r="B413" t="str">
            <v>1000273    FILIPOWSKA</v>
          </cell>
          <cell r="C413" t="str">
            <v>KB Sprzed. bezpośrednia</v>
          </cell>
          <cell r="D413">
            <v>50708</v>
          </cell>
          <cell r="E413">
            <v>50</v>
          </cell>
          <cell r="F413">
            <v>46034.959999999897</v>
          </cell>
          <cell r="G413">
            <v>2110.42</v>
          </cell>
          <cell r="H413">
            <v>652.79999999999905</v>
          </cell>
          <cell r="I413">
            <v>1232.02</v>
          </cell>
          <cell r="J413">
            <v>0</v>
          </cell>
          <cell r="K413">
            <v>1884.8199999999899</v>
          </cell>
          <cell r="L413">
            <v>50030.199999999903</v>
          </cell>
          <cell r="M413">
            <v>677.79999999999905</v>
          </cell>
          <cell r="N413">
            <v>0</v>
          </cell>
          <cell r="O413">
            <v>50030.199999999903</v>
          </cell>
          <cell r="P413">
            <v>677.79999999999905</v>
          </cell>
          <cell r="Q413">
            <v>218.569999999999</v>
          </cell>
          <cell r="R413">
            <v>50248.769999999902</v>
          </cell>
          <cell r="S413">
            <v>459.23</v>
          </cell>
        </row>
        <row r="414">
          <cell r="A414" t="str">
            <v>1000/1420       NP 18-46 POLIDAP</v>
          </cell>
          <cell r="B414" t="str">
            <v>1000276    JAN GACH FIRMA HANDL</v>
          </cell>
          <cell r="C414" t="str">
            <v>KB Sprzed. bezpośrednia</v>
          </cell>
          <cell r="D414">
            <v>73497.119999999893</v>
          </cell>
          <cell r="E414">
            <v>72</v>
          </cell>
          <cell r="F414">
            <v>68282.070000000007</v>
          </cell>
          <cell r="G414">
            <v>3058.86</v>
          </cell>
          <cell r="H414">
            <v>940.01999999999896</v>
          </cell>
          <cell r="I414">
            <v>2886.2399999999898</v>
          </cell>
          <cell r="J414">
            <v>0</v>
          </cell>
          <cell r="K414">
            <v>3826.26</v>
          </cell>
          <cell r="L414">
            <v>75167.19</v>
          </cell>
          <cell r="M414">
            <v>-1670.0699999999899</v>
          </cell>
          <cell r="N414">
            <v>0</v>
          </cell>
          <cell r="O414">
            <v>75167.19</v>
          </cell>
          <cell r="P414">
            <v>-1670.0699999999899</v>
          </cell>
          <cell r="Q414">
            <v>324.19</v>
          </cell>
          <cell r="R414">
            <v>75491.38</v>
          </cell>
          <cell r="S414">
            <v>-1994.26</v>
          </cell>
        </row>
        <row r="415">
          <cell r="A415" t="str">
            <v>1000/1420       NP 18-46 POLIDAP</v>
          </cell>
          <cell r="B415" t="str">
            <v>1000276    JAN GACH FIRMA HANDL</v>
          </cell>
          <cell r="C415" t="str">
            <v>KC Centra dystrybucji</v>
          </cell>
          <cell r="D415">
            <v>14031.42</v>
          </cell>
          <cell r="E415">
            <v>14</v>
          </cell>
          <cell r="F415">
            <v>13907.889999999899</v>
          </cell>
          <cell r="G415">
            <v>584.00999999999897</v>
          </cell>
          <cell r="H415">
            <v>182.789999999999</v>
          </cell>
          <cell r="I415">
            <v>0</v>
          </cell>
          <cell r="J415">
            <v>0</v>
          </cell>
          <cell r="K415">
            <v>182.789999999999</v>
          </cell>
          <cell r="L415">
            <v>14674.69</v>
          </cell>
          <cell r="M415">
            <v>-643.26999999999896</v>
          </cell>
          <cell r="N415">
            <v>0</v>
          </cell>
          <cell r="O415">
            <v>14674.69</v>
          </cell>
          <cell r="P415">
            <v>-643.26999999999896</v>
          </cell>
          <cell r="Q415">
            <v>66.019999999999897</v>
          </cell>
          <cell r="R415">
            <v>14740.709999999901</v>
          </cell>
          <cell r="S415">
            <v>-709.28999999999905</v>
          </cell>
        </row>
        <row r="416">
          <cell r="A416" t="str">
            <v>1000/1420       NP 18-46 POLIDAP</v>
          </cell>
          <cell r="B416" t="str">
            <v>1000277    ATRANS</v>
          </cell>
          <cell r="C416" t="str">
            <v>KB Sprzed. bezpośrednia</v>
          </cell>
          <cell r="D416">
            <v>84956.58</v>
          </cell>
          <cell r="E416">
            <v>82</v>
          </cell>
          <cell r="F416">
            <v>75497.33</v>
          </cell>
          <cell r="G416">
            <v>3535.77</v>
          </cell>
          <cell r="H416">
            <v>1070.5599999999899</v>
          </cell>
          <cell r="I416">
            <v>5531.6599999999899</v>
          </cell>
          <cell r="J416">
            <v>0</v>
          </cell>
          <cell r="K416">
            <v>6602.22</v>
          </cell>
          <cell r="L416">
            <v>85635.32</v>
          </cell>
          <cell r="M416">
            <v>-678.74</v>
          </cell>
          <cell r="N416">
            <v>0</v>
          </cell>
          <cell r="O416">
            <v>85635.32</v>
          </cell>
          <cell r="P416">
            <v>-678.74</v>
          </cell>
          <cell r="Q416">
            <v>358.44</v>
          </cell>
          <cell r="R416">
            <v>85993.759999999893</v>
          </cell>
          <cell r="S416">
            <v>-1037.18</v>
          </cell>
        </row>
        <row r="417">
          <cell r="A417" t="str">
            <v>1000/1420       NP 18-46 POLIDAP</v>
          </cell>
          <cell r="B417" t="str">
            <v>1000277    ATRANS</v>
          </cell>
          <cell r="C417" t="str">
            <v>KC Centra dystrybucji</v>
          </cell>
          <cell r="D417">
            <v>14167.44</v>
          </cell>
          <cell r="E417">
            <v>14</v>
          </cell>
          <cell r="F417">
            <v>13944.65</v>
          </cell>
          <cell r="G417">
            <v>589.61</v>
          </cell>
          <cell r="H417">
            <v>182.78</v>
          </cell>
          <cell r="I417">
            <v>0</v>
          </cell>
          <cell r="J417">
            <v>0</v>
          </cell>
          <cell r="K417">
            <v>182.78</v>
          </cell>
          <cell r="L417">
            <v>14717.04</v>
          </cell>
          <cell r="M417">
            <v>-549.6</v>
          </cell>
          <cell r="N417">
            <v>0</v>
          </cell>
          <cell r="O417">
            <v>14717.04</v>
          </cell>
          <cell r="P417">
            <v>-549.6</v>
          </cell>
          <cell r="Q417">
            <v>66.209999999999894</v>
          </cell>
          <cell r="R417">
            <v>14783.25</v>
          </cell>
          <cell r="S417">
            <v>-615.80999999999904</v>
          </cell>
        </row>
        <row r="418">
          <cell r="A418" t="str">
            <v>1000/1420       NP 18-46 POLIDAP</v>
          </cell>
          <cell r="B418" t="str">
            <v>1000286    ZAPROL Sp. z o.o.</v>
          </cell>
          <cell r="C418" t="str">
            <v>KB Sprzed. bezpośrednia</v>
          </cell>
          <cell r="D418">
            <v>123892.92</v>
          </cell>
          <cell r="E418">
            <v>127.54</v>
          </cell>
          <cell r="F418">
            <v>122763.14</v>
          </cell>
          <cell r="G418">
            <v>5156.25</v>
          </cell>
          <cell r="H418">
            <v>1665.13</v>
          </cell>
          <cell r="I418">
            <v>0</v>
          </cell>
          <cell r="J418">
            <v>0</v>
          </cell>
          <cell r="K418">
            <v>1665.13</v>
          </cell>
          <cell r="L418">
            <v>129584.52</v>
          </cell>
          <cell r="M418">
            <v>-5691.6</v>
          </cell>
          <cell r="N418">
            <v>0</v>
          </cell>
          <cell r="O418">
            <v>129584.52</v>
          </cell>
          <cell r="P418">
            <v>-5691.6</v>
          </cell>
          <cell r="Q418">
            <v>582.86</v>
          </cell>
          <cell r="R418">
            <v>130167.38</v>
          </cell>
          <cell r="S418">
            <v>-6274.46</v>
          </cell>
        </row>
        <row r="419">
          <cell r="A419" t="str">
            <v>1000/1420       NP 18-46 POLIDAP</v>
          </cell>
          <cell r="B419" t="str">
            <v>1000289    PLON A.Darzyński</v>
          </cell>
          <cell r="C419" t="str">
            <v>KB Sprzed. bezpośrednia</v>
          </cell>
          <cell r="D419">
            <v>113247.6</v>
          </cell>
          <cell r="E419">
            <v>111</v>
          </cell>
          <cell r="F419">
            <v>103657.66</v>
          </cell>
          <cell r="G419">
            <v>4713.2399999999898</v>
          </cell>
          <cell r="H419">
            <v>1449.19</v>
          </cell>
          <cell r="I419">
            <v>3276.96</v>
          </cell>
          <cell r="J419">
            <v>0</v>
          </cell>
          <cell r="K419">
            <v>4726.1499999999896</v>
          </cell>
          <cell r="L419">
            <v>113097.05</v>
          </cell>
          <cell r="M419">
            <v>150.55000000000001</v>
          </cell>
          <cell r="N419">
            <v>0</v>
          </cell>
          <cell r="O419">
            <v>113097.05</v>
          </cell>
          <cell r="P419">
            <v>150.55000000000001</v>
          </cell>
          <cell r="Q419">
            <v>492.14999999999901</v>
          </cell>
          <cell r="R419">
            <v>113589.2</v>
          </cell>
          <cell r="S419">
            <v>-341.6</v>
          </cell>
        </row>
        <row r="420">
          <cell r="A420" t="str">
            <v>1000/1420       NP 18-46 POLIDAP</v>
          </cell>
          <cell r="B420" t="str">
            <v>1000289    PLON A.Darzyński</v>
          </cell>
          <cell r="C420" t="str">
            <v>KC Centra dystrybucji</v>
          </cell>
          <cell r="D420">
            <v>99729.729999999894</v>
          </cell>
          <cell r="E420">
            <v>99</v>
          </cell>
          <cell r="F420">
            <v>91149.22</v>
          </cell>
          <cell r="G420">
            <v>4150.6199999999899</v>
          </cell>
          <cell r="H420">
            <v>1292.53</v>
          </cell>
          <cell r="I420">
            <v>0</v>
          </cell>
          <cell r="J420">
            <v>0</v>
          </cell>
          <cell r="K420">
            <v>1292.53</v>
          </cell>
          <cell r="L420">
            <v>96592.369999999893</v>
          </cell>
          <cell r="M420">
            <v>3137.36</v>
          </cell>
          <cell r="N420">
            <v>0</v>
          </cell>
          <cell r="O420">
            <v>96592.369999999893</v>
          </cell>
          <cell r="P420">
            <v>3137.36</v>
          </cell>
          <cell r="Q420">
            <v>432.75999999999902</v>
          </cell>
          <cell r="R420">
            <v>97025.13</v>
          </cell>
          <cell r="S420">
            <v>2704.5999999999899</v>
          </cell>
        </row>
        <row r="421">
          <cell r="A421" t="str">
            <v>1000/1420       NP 18-46 POLIDAP</v>
          </cell>
          <cell r="B421" t="str">
            <v>1000291    "AGRO-BIZNES" SP.J.</v>
          </cell>
          <cell r="C421" t="str">
            <v>KB Sprzed. bezpośrednia</v>
          </cell>
          <cell r="D421">
            <v>35961.480000000003</v>
          </cell>
          <cell r="E421">
            <v>36</v>
          </cell>
          <cell r="F421">
            <v>34141.029999999897</v>
          </cell>
          <cell r="G421">
            <v>1496.7</v>
          </cell>
          <cell r="H421">
            <v>470</v>
          </cell>
          <cell r="I421">
            <v>0</v>
          </cell>
          <cell r="J421">
            <v>0</v>
          </cell>
          <cell r="K421">
            <v>470</v>
          </cell>
          <cell r="L421">
            <v>36107.730000000003</v>
          </cell>
          <cell r="M421">
            <v>-146.25</v>
          </cell>
          <cell r="N421">
            <v>0</v>
          </cell>
          <cell r="O421">
            <v>36107.730000000003</v>
          </cell>
          <cell r="P421">
            <v>-146.25</v>
          </cell>
          <cell r="Q421">
            <v>162.09</v>
          </cell>
          <cell r="R421">
            <v>36269.82</v>
          </cell>
          <cell r="S421">
            <v>-308.33999999999901</v>
          </cell>
        </row>
        <row r="422">
          <cell r="A422" t="str">
            <v>1000/1420       NP 18-46 POLIDAP</v>
          </cell>
          <cell r="B422" t="str">
            <v>1000293    PHM CHEMAT  M.Richte</v>
          </cell>
          <cell r="C422" t="str">
            <v>KB Sprzed. bezpośrednia</v>
          </cell>
          <cell r="D422">
            <v>24117.48</v>
          </cell>
          <cell r="E422">
            <v>24</v>
          </cell>
          <cell r="F422">
            <v>22096.779999999901</v>
          </cell>
          <cell r="G422">
            <v>1003.76</v>
          </cell>
          <cell r="H422">
            <v>313.33999999999901</v>
          </cell>
          <cell r="I422">
            <v>0</v>
          </cell>
          <cell r="J422">
            <v>0</v>
          </cell>
          <cell r="K422">
            <v>313.33999999999901</v>
          </cell>
          <cell r="L422">
            <v>23413.88</v>
          </cell>
          <cell r="M422">
            <v>703.6</v>
          </cell>
          <cell r="N422">
            <v>0</v>
          </cell>
          <cell r="O422">
            <v>23413.88</v>
          </cell>
          <cell r="P422">
            <v>703.6</v>
          </cell>
          <cell r="Q422">
            <v>104.9</v>
          </cell>
          <cell r="R422">
            <v>23518.779999999901</v>
          </cell>
          <cell r="S422">
            <v>598.70000000000005</v>
          </cell>
        </row>
        <row r="423">
          <cell r="A423" t="str">
            <v>1000/1420       NP 18-46 POLIDAP</v>
          </cell>
          <cell r="B423" t="str">
            <v>1000322    ZZUIP-KOPL</v>
          </cell>
          <cell r="C423" t="str">
            <v>KC Centra dystrybucji</v>
          </cell>
          <cell r="D423">
            <v>7033.9499999999898</v>
          </cell>
          <cell r="E423">
            <v>7</v>
          </cell>
          <cell r="F423">
            <v>6444.89</v>
          </cell>
          <cell r="G423">
            <v>292.69999999999902</v>
          </cell>
          <cell r="H423">
            <v>91.39</v>
          </cell>
          <cell r="I423">
            <v>0</v>
          </cell>
          <cell r="J423">
            <v>0</v>
          </cell>
          <cell r="K423">
            <v>91.39</v>
          </cell>
          <cell r="L423">
            <v>6828.9799999999896</v>
          </cell>
          <cell r="M423">
            <v>204.97</v>
          </cell>
          <cell r="N423">
            <v>0</v>
          </cell>
          <cell r="O423">
            <v>6828.9799999999896</v>
          </cell>
          <cell r="P423">
            <v>204.97</v>
          </cell>
          <cell r="Q423">
            <v>30.6</v>
          </cell>
          <cell r="R423">
            <v>6859.5799999999899</v>
          </cell>
          <cell r="S423">
            <v>174.37</v>
          </cell>
        </row>
        <row r="424">
          <cell r="A424" t="str">
            <v>1000/1420       NP 18-46 POLIDAP</v>
          </cell>
          <cell r="B424" t="str">
            <v>1000403    SOBIANEK</v>
          </cell>
          <cell r="C424" t="str">
            <v>KB Sprzed. bezpośrednia</v>
          </cell>
          <cell r="D424">
            <v>829745.01</v>
          </cell>
          <cell r="E424">
            <v>813</v>
          </cell>
          <cell r="F424">
            <v>749856.23999999894</v>
          </cell>
          <cell r="G424">
            <v>34533.11</v>
          </cell>
          <cell r="H424">
            <v>10614.33</v>
          </cell>
          <cell r="I424">
            <v>48048.61</v>
          </cell>
          <cell r="J424">
            <v>0</v>
          </cell>
          <cell r="K424">
            <v>58662.94</v>
          </cell>
          <cell r="L424">
            <v>843052.29</v>
          </cell>
          <cell r="M424">
            <v>-13307.28</v>
          </cell>
          <cell r="N424">
            <v>0</v>
          </cell>
          <cell r="O424">
            <v>843052.29</v>
          </cell>
          <cell r="P424">
            <v>-13307.28</v>
          </cell>
          <cell r="Q424">
            <v>3560.2199999999898</v>
          </cell>
          <cell r="R424">
            <v>846612.51</v>
          </cell>
          <cell r="S424">
            <v>-16867.5</v>
          </cell>
        </row>
        <row r="425">
          <cell r="A425" t="str">
            <v>1000/1420       NP 18-46 POLIDAP</v>
          </cell>
          <cell r="B425" t="str">
            <v>1000403    SOBIANEK</v>
          </cell>
          <cell r="C425" t="str">
            <v>KC Centra dystrybucji</v>
          </cell>
          <cell r="D425">
            <v>86380.509999999893</v>
          </cell>
          <cell r="E425">
            <v>86</v>
          </cell>
          <cell r="F425">
            <v>79180.13</v>
          </cell>
          <cell r="G425">
            <v>3595.0999999999899</v>
          </cell>
          <cell r="H425">
            <v>1122.8</v>
          </cell>
          <cell r="I425">
            <v>0</v>
          </cell>
          <cell r="J425">
            <v>0</v>
          </cell>
          <cell r="K425">
            <v>1122.8</v>
          </cell>
          <cell r="L425">
            <v>83898.029999999897</v>
          </cell>
          <cell r="M425">
            <v>2482.48</v>
          </cell>
          <cell r="N425">
            <v>0</v>
          </cell>
          <cell r="O425">
            <v>83898.029999999897</v>
          </cell>
          <cell r="P425">
            <v>2482.48</v>
          </cell>
          <cell r="Q425">
            <v>375.94</v>
          </cell>
          <cell r="R425">
            <v>84273.97</v>
          </cell>
          <cell r="S425">
            <v>2106.54</v>
          </cell>
        </row>
        <row r="426">
          <cell r="A426" t="str">
            <v>1000/1420       NP 18-46 POLIDAP</v>
          </cell>
          <cell r="B426" t="str">
            <v>1000506    AUREPIO SP. Z O.O.</v>
          </cell>
          <cell r="C426" t="str">
            <v>KB Sprzed. bezpośrednia</v>
          </cell>
          <cell r="D426">
            <v>187866.769999999</v>
          </cell>
          <cell r="E426">
            <v>186.96</v>
          </cell>
          <cell r="F426">
            <v>168769.769999999</v>
          </cell>
          <cell r="G426">
            <v>7818.84</v>
          </cell>
          <cell r="H426">
            <v>2440.9099999999899</v>
          </cell>
          <cell r="I426">
            <v>10748.33</v>
          </cell>
          <cell r="J426">
            <v>0</v>
          </cell>
          <cell r="K426">
            <v>13189.24</v>
          </cell>
          <cell r="L426">
            <v>189777.85</v>
          </cell>
          <cell r="M426">
            <v>-1911.0799999999899</v>
          </cell>
          <cell r="N426">
            <v>0</v>
          </cell>
          <cell r="O426">
            <v>189777.85</v>
          </cell>
          <cell r="P426">
            <v>-1911.0799999999899</v>
          </cell>
          <cell r="Q426">
            <v>801.29999999999905</v>
          </cell>
          <cell r="R426">
            <v>190579.149999999</v>
          </cell>
          <cell r="S426">
            <v>-2712.38</v>
          </cell>
        </row>
        <row r="427">
          <cell r="A427" t="str">
            <v>1000/1420       NP 18-46 POLIDAP</v>
          </cell>
          <cell r="B427" t="str">
            <v>1000506    AUREPIO SP. Z O.O.</v>
          </cell>
          <cell r="C427" t="str">
            <v>KC Centra dystrybucji</v>
          </cell>
          <cell r="D427">
            <v>24043.4399999999</v>
          </cell>
          <cell r="E427">
            <v>24</v>
          </cell>
          <cell r="F427">
            <v>22096.779999999901</v>
          </cell>
          <cell r="G427">
            <v>1000.64</v>
          </cell>
          <cell r="H427">
            <v>313.33999999999901</v>
          </cell>
          <cell r="I427">
            <v>0</v>
          </cell>
          <cell r="J427">
            <v>0</v>
          </cell>
          <cell r="K427">
            <v>313.33999999999901</v>
          </cell>
          <cell r="L427">
            <v>23410.7599999999</v>
          </cell>
          <cell r="M427">
            <v>632.67999999999904</v>
          </cell>
          <cell r="N427">
            <v>0</v>
          </cell>
          <cell r="O427">
            <v>23410.7599999999</v>
          </cell>
          <cell r="P427">
            <v>632.67999999999904</v>
          </cell>
          <cell r="Q427">
            <v>104.9</v>
          </cell>
          <cell r="R427">
            <v>23515.66</v>
          </cell>
          <cell r="S427">
            <v>527.77999999999895</v>
          </cell>
        </row>
        <row r="428">
          <cell r="A428" t="str">
            <v>1000/1420       NP 18-46 POLIDAP</v>
          </cell>
          <cell r="B428" t="str">
            <v>1000524    "CHEMIROL" SP. Z O.O</v>
          </cell>
          <cell r="C428" t="str">
            <v>KB Sprzed. bezpośrednia</v>
          </cell>
          <cell r="D428">
            <v>316728.239999999</v>
          </cell>
          <cell r="E428">
            <v>312</v>
          </cell>
          <cell r="F428">
            <v>290577.69</v>
          </cell>
          <cell r="G428">
            <v>13181.91</v>
          </cell>
          <cell r="H428">
            <v>4073.4099999999899</v>
          </cell>
          <cell r="I428">
            <v>9283.5599999999904</v>
          </cell>
          <cell r="J428">
            <v>0</v>
          </cell>
          <cell r="K428">
            <v>13356.969999999899</v>
          </cell>
          <cell r="L428">
            <v>317116.57</v>
          </cell>
          <cell r="M428">
            <v>-388.32999999999902</v>
          </cell>
          <cell r="N428">
            <v>0</v>
          </cell>
          <cell r="O428">
            <v>317116.57</v>
          </cell>
          <cell r="P428">
            <v>-388.32999999999902</v>
          </cell>
          <cell r="Q428">
            <v>1379.6099999999899</v>
          </cell>
          <cell r="R428">
            <v>318496.179999999</v>
          </cell>
          <cell r="S428">
            <v>-1767.94</v>
          </cell>
        </row>
        <row r="429">
          <cell r="A429" t="str">
            <v>1000/1420       NP 18-46 POLIDAP</v>
          </cell>
          <cell r="B429" t="str">
            <v>1000525    MAX-PLON</v>
          </cell>
          <cell r="C429" t="str">
            <v>KB Sprzed. bezpośrednia</v>
          </cell>
          <cell r="D429">
            <v>50160</v>
          </cell>
          <cell r="E429">
            <v>48</v>
          </cell>
          <cell r="F429">
            <v>44193.559999999903</v>
          </cell>
          <cell r="G429">
            <v>2087.65</v>
          </cell>
          <cell r="H429">
            <v>626.67999999999904</v>
          </cell>
          <cell r="I429">
            <v>4152.4799999999896</v>
          </cell>
          <cell r="J429">
            <v>0</v>
          </cell>
          <cell r="K429">
            <v>4779.1599999999899</v>
          </cell>
          <cell r="L429">
            <v>51060.37</v>
          </cell>
          <cell r="M429">
            <v>-900.37</v>
          </cell>
          <cell r="N429">
            <v>0</v>
          </cell>
          <cell r="O429">
            <v>51060.37</v>
          </cell>
          <cell r="P429">
            <v>-900.37</v>
          </cell>
          <cell r="Q429">
            <v>209.83</v>
          </cell>
          <cell r="R429">
            <v>51270.199999999903</v>
          </cell>
          <cell r="S429">
            <v>-1110.2</v>
          </cell>
        </row>
        <row r="430">
          <cell r="A430" t="str">
            <v>1000/1420       NP 18-46 POLIDAP</v>
          </cell>
          <cell r="B430" t="str">
            <v>1000607    POGES</v>
          </cell>
          <cell r="C430" t="str">
            <v>KB Sprzed. bezpośrednia</v>
          </cell>
          <cell r="D430">
            <v>152724</v>
          </cell>
          <cell r="E430">
            <v>154</v>
          </cell>
          <cell r="F430">
            <v>142119.62</v>
          </cell>
          <cell r="G430">
            <v>6356.1999999999898</v>
          </cell>
          <cell r="H430">
            <v>2010.5899999999899</v>
          </cell>
          <cell r="I430">
            <v>0</v>
          </cell>
          <cell r="J430">
            <v>0</v>
          </cell>
          <cell r="K430">
            <v>2010.5899999999899</v>
          </cell>
          <cell r="L430">
            <v>150486.41</v>
          </cell>
          <cell r="M430">
            <v>2237.59</v>
          </cell>
          <cell r="N430">
            <v>0</v>
          </cell>
          <cell r="O430">
            <v>150486.41</v>
          </cell>
          <cell r="P430">
            <v>2237.59</v>
          </cell>
          <cell r="Q430">
            <v>674.75</v>
          </cell>
          <cell r="R430">
            <v>151161.16</v>
          </cell>
          <cell r="S430">
            <v>1562.8399999999899</v>
          </cell>
        </row>
        <row r="431">
          <cell r="A431" t="str">
            <v>1000/1420       NP 18-46 POLIDAP</v>
          </cell>
          <cell r="B431" t="str">
            <v>1000662    SZYMAŃSCY</v>
          </cell>
          <cell r="C431" t="str">
            <v>KB Sprzed. bezpośrednia</v>
          </cell>
          <cell r="D431">
            <v>275086.75</v>
          </cell>
          <cell r="E431">
            <v>269.44</v>
          </cell>
          <cell r="F431">
            <v>247883.459999999</v>
          </cell>
          <cell r="G431">
            <v>11448.809999999899</v>
          </cell>
          <cell r="H431">
            <v>3517.73</v>
          </cell>
          <cell r="I431">
            <v>11151.84</v>
          </cell>
          <cell r="J431">
            <v>0</v>
          </cell>
          <cell r="K431">
            <v>14669.57</v>
          </cell>
          <cell r="L431">
            <v>274001.84000000003</v>
          </cell>
          <cell r="M431">
            <v>1084.9100000000001</v>
          </cell>
          <cell r="N431">
            <v>0</v>
          </cell>
          <cell r="O431">
            <v>274001.84000000003</v>
          </cell>
          <cell r="P431">
            <v>1084.9100000000001</v>
          </cell>
          <cell r="Q431">
            <v>1176.95</v>
          </cell>
          <cell r="R431">
            <v>275178.78999999899</v>
          </cell>
          <cell r="S431">
            <v>-92.04</v>
          </cell>
        </row>
        <row r="432">
          <cell r="A432" t="str">
            <v>1000/1420       NP 18-46 POLIDAP</v>
          </cell>
          <cell r="B432" t="str">
            <v>1000662    SZYMAŃSCY</v>
          </cell>
          <cell r="C432" t="str">
            <v>KC Centra dystrybucji</v>
          </cell>
          <cell r="D432">
            <v>103718.679999999</v>
          </cell>
          <cell r="E432">
            <v>103</v>
          </cell>
          <cell r="F432">
            <v>98161.369999999893</v>
          </cell>
          <cell r="G432">
            <v>4316.6599999999899</v>
          </cell>
          <cell r="H432">
            <v>1344.72</v>
          </cell>
          <cell r="I432">
            <v>0</v>
          </cell>
          <cell r="J432">
            <v>0</v>
          </cell>
          <cell r="K432">
            <v>1344.72</v>
          </cell>
          <cell r="L432">
            <v>103822.75</v>
          </cell>
          <cell r="M432">
            <v>-104.069999999999</v>
          </cell>
          <cell r="N432">
            <v>0</v>
          </cell>
          <cell r="O432">
            <v>103822.75</v>
          </cell>
          <cell r="P432">
            <v>-104.069999999999</v>
          </cell>
          <cell r="Q432">
            <v>466.06</v>
          </cell>
          <cell r="R432">
            <v>104288.81</v>
          </cell>
          <cell r="S432">
            <v>-570.13</v>
          </cell>
        </row>
        <row r="433">
          <cell r="A433" t="str">
            <v>1000/1420       NP 18-46 POLIDAP</v>
          </cell>
          <cell r="B433" t="str">
            <v>1000675    Zaopatrz.Roln. Andrz</v>
          </cell>
          <cell r="C433" t="str">
            <v>KB Sprzed. bezpośrednia</v>
          </cell>
          <cell r="D433">
            <v>98691.009999999893</v>
          </cell>
          <cell r="E433">
            <v>97</v>
          </cell>
          <cell r="F433">
            <v>91306.059999999896</v>
          </cell>
          <cell r="G433">
            <v>4107.43</v>
          </cell>
          <cell r="H433">
            <v>1266.4000000000001</v>
          </cell>
          <cell r="I433">
            <v>2633.28</v>
          </cell>
          <cell r="J433">
            <v>0</v>
          </cell>
          <cell r="K433">
            <v>3899.6799999999898</v>
          </cell>
          <cell r="L433">
            <v>99313.169999999896</v>
          </cell>
          <cell r="M433">
            <v>-622.15999999999894</v>
          </cell>
          <cell r="N433">
            <v>0</v>
          </cell>
          <cell r="O433">
            <v>99313.169999999896</v>
          </cell>
          <cell r="P433">
            <v>-622.15999999999894</v>
          </cell>
          <cell r="Q433">
            <v>433.50999999999902</v>
          </cell>
          <cell r="R433">
            <v>99746.679999999906</v>
          </cell>
          <cell r="S433">
            <v>-1055.67</v>
          </cell>
        </row>
        <row r="434">
          <cell r="A434" t="str">
            <v>1000/1420       NP 18-46 POLIDAP</v>
          </cell>
          <cell r="B434" t="str">
            <v>1000675    Zaopatrz.Roln. Andrz</v>
          </cell>
          <cell r="C434" t="str">
            <v>KC Centra dystrybucji</v>
          </cell>
          <cell r="D434">
            <v>88894.649999999907</v>
          </cell>
          <cell r="E434">
            <v>88</v>
          </cell>
          <cell r="F434">
            <v>87652.08</v>
          </cell>
          <cell r="G434">
            <v>3699.75</v>
          </cell>
          <cell r="H434">
            <v>1148.9100000000001</v>
          </cell>
          <cell r="I434">
            <v>0</v>
          </cell>
          <cell r="J434">
            <v>0</v>
          </cell>
          <cell r="K434">
            <v>1148.9100000000001</v>
          </cell>
          <cell r="L434">
            <v>92500.74</v>
          </cell>
          <cell r="M434">
            <v>-3606.09</v>
          </cell>
          <cell r="N434">
            <v>0</v>
          </cell>
          <cell r="O434">
            <v>92500.74</v>
          </cell>
          <cell r="P434">
            <v>-3606.09</v>
          </cell>
          <cell r="Q434">
            <v>416.14999999999901</v>
          </cell>
          <cell r="R434">
            <v>92916.889999999898</v>
          </cell>
          <cell r="S434">
            <v>-4022.2399999999898</v>
          </cell>
        </row>
        <row r="435">
          <cell r="A435" t="str">
            <v>1000/1420       NP 18-46 POLIDAP</v>
          </cell>
          <cell r="B435" t="str">
            <v>1000680    Giełda Rolna ZOLA Sp</v>
          </cell>
          <cell r="C435" t="str">
            <v>KB Sprzed. bezpośrednia</v>
          </cell>
          <cell r="D435">
            <v>74348.5</v>
          </cell>
          <cell r="E435">
            <v>74</v>
          </cell>
          <cell r="F435">
            <v>68131.740000000005</v>
          </cell>
          <cell r="G435">
            <v>3094.29</v>
          </cell>
          <cell r="H435">
            <v>966.11</v>
          </cell>
          <cell r="I435">
            <v>2699.26</v>
          </cell>
          <cell r="J435">
            <v>0</v>
          </cell>
          <cell r="K435">
            <v>3665.3699999999899</v>
          </cell>
          <cell r="L435">
            <v>74891.399999999907</v>
          </cell>
          <cell r="M435">
            <v>-542.89999999999895</v>
          </cell>
          <cell r="N435">
            <v>0</v>
          </cell>
          <cell r="O435">
            <v>74891.399999999907</v>
          </cell>
          <cell r="P435">
            <v>-542.89999999999895</v>
          </cell>
          <cell r="Q435">
            <v>323.48</v>
          </cell>
          <cell r="R435">
            <v>75214.880000000005</v>
          </cell>
          <cell r="S435">
            <v>-866.38</v>
          </cell>
        </row>
        <row r="436">
          <cell r="A436" t="str">
            <v>1000/1420       NP 18-46 POLIDAP</v>
          </cell>
          <cell r="B436" t="str">
            <v>1000725    SGS-LUBLIN</v>
          </cell>
          <cell r="C436" t="str">
            <v>KB Sprzed. bezpośrednia</v>
          </cell>
          <cell r="D436">
            <v>37394.279999999897</v>
          </cell>
          <cell r="E436">
            <v>36</v>
          </cell>
          <cell r="F436">
            <v>33145.169999999896</v>
          </cell>
          <cell r="G436">
            <v>1556.3099999999899</v>
          </cell>
          <cell r="H436">
            <v>470</v>
          </cell>
          <cell r="I436">
            <v>2782.44</v>
          </cell>
          <cell r="J436">
            <v>0</v>
          </cell>
          <cell r="K436">
            <v>3252.44</v>
          </cell>
          <cell r="L436">
            <v>37953.919999999896</v>
          </cell>
          <cell r="M436">
            <v>-559.63999999999896</v>
          </cell>
          <cell r="N436">
            <v>0</v>
          </cell>
          <cell r="O436">
            <v>37953.919999999896</v>
          </cell>
          <cell r="P436">
            <v>-559.63999999999896</v>
          </cell>
          <cell r="Q436">
            <v>157.349999999999</v>
          </cell>
          <cell r="R436">
            <v>38111.269999999902</v>
          </cell>
          <cell r="S436">
            <v>-716.99</v>
          </cell>
        </row>
        <row r="437">
          <cell r="A437" t="str">
            <v>1000/1420       NP 18-46 POLIDAP</v>
          </cell>
          <cell r="B437" t="str">
            <v>1000808    TERRA Sp. z o.o.</v>
          </cell>
          <cell r="C437" t="str">
            <v>KB Sprzed. bezpośrednia</v>
          </cell>
          <cell r="D437">
            <v>23760</v>
          </cell>
          <cell r="E437">
            <v>24</v>
          </cell>
          <cell r="F437">
            <v>22096.779999999901</v>
          </cell>
          <cell r="G437">
            <v>988.85</v>
          </cell>
          <cell r="H437">
            <v>313.33999999999901</v>
          </cell>
          <cell r="I437">
            <v>0</v>
          </cell>
          <cell r="J437">
            <v>0</v>
          </cell>
          <cell r="K437">
            <v>313.33999999999901</v>
          </cell>
          <cell r="L437">
            <v>23398.97</v>
          </cell>
          <cell r="M437">
            <v>361.02999999999901</v>
          </cell>
          <cell r="N437">
            <v>0</v>
          </cell>
          <cell r="O437">
            <v>23398.97</v>
          </cell>
          <cell r="P437">
            <v>361.02999999999901</v>
          </cell>
          <cell r="Q437">
            <v>104.9</v>
          </cell>
          <cell r="R437">
            <v>23503.869999999901</v>
          </cell>
          <cell r="S437">
            <v>256.13</v>
          </cell>
        </row>
        <row r="438">
          <cell r="A438" t="str">
            <v>1000/1420       NP 18-46 POLIDAP</v>
          </cell>
          <cell r="B438" t="str">
            <v>1000858    BEISELEN - ATR Sp. z</v>
          </cell>
          <cell r="C438" t="str">
            <v>KB Sprzed. bezpośrednia</v>
          </cell>
          <cell r="D438">
            <v>48378.959999999897</v>
          </cell>
          <cell r="E438">
            <v>48</v>
          </cell>
          <cell r="F438">
            <v>45521.379999999903</v>
          </cell>
          <cell r="G438">
            <v>2013.48</v>
          </cell>
          <cell r="H438">
            <v>626.67999999999904</v>
          </cell>
          <cell r="I438">
            <v>0</v>
          </cell>
          <cell r="J438">
            <v>0</v>
          </cell>
          <cell r="K438">
            <v>626.67999999999904</v>
          </cell>
          <cell r="L438">
            <v>48161.54</v>
          </cell>
          <cell r="M438">
            <v>217.41999999999899</v>
          </cell>
          <cell r="N438">
            <v>0</v>
          </cell>
          <cell r="O438">
            <v>48161.54</v>
          </cell>
          <cell r="P438">
            <v>217.41999999999899</v>
          </cell>
          <cell r="Q438">
            <v>216.13</v>
          </cell>
          <cell r="R438">
            <v>48377.669999999896</v>
          </cell>
          <cell r="S438">
            <v>1.29</v>
          </cell>
        </row>
        <row r="439">
          <cell r="A439" t="str">
            <v>1000/1420       NP 18-46 POLIDAP</v>
          </cell>
          <cell r="B439" t="str">
            <v>1000982    TORAL Elżbieta Krupa</v>
          </cell>
          <cell r="C439" t="str">
            <v>KB Sprzed. bezpośrednia</v>
          </cell>
          <cell r="D439">
            <v>24287.040000000001</v>
          </cell>
          <cell r="E439">
            <v>24</v>
          </cell>
          <cell r="F439">
            <v>23905.11</v>
          </cell>
          <cell r="G439">
            <v>1010.83</v>
          </cell>
          <cell r="H439">
            <v>313.33999999999901</v>
          </cell>
          <cell r="I439">
            <v>0</v>
          </cell>
          <cell r="J439">
            <v>0</v>
          </cell>
          <cell r="K439">
            <v>313.33999999999901</v>
          </cell>
          <cell r="L439">
            <v>25229.279999999901</v>
          </cell>
          <cell r="M439">
            <v>-942.24</v>
          </cell>
          <cell r="N439">
            <v>0</v>
          </cell>
          <cell r="O439">
            <v>25229.279999999901</v>
          </cell>
          <cell r="P439">
            <v>-942.24</v>
          </cell>
          <cell r="Q439">
            <v>113.5</v>
          </cell>
          <cell r="R439">
            <v>25342.779999999901</v>
          </cell>
          <cell r="S439">
            <v>-1055.74</v>
          </cell>
        </row>
        <row r="440">
          <cell r="A440" t="str">
            <v>1000/1420       NP 18-46 POLIDAP</v>
          </cell>
          <cell r="B440" t="str">
            <v>1001024    TALAGA</v>
          </cell>
          <cell r="C440" t="str">
            <v>KB Sprzed. bezpośrednia</v>
          </cell>
          <cell r="D440">
            <v>99316.800000000003</v>
          </cell>
          <cell r="E440">
            <v>96</v>
          </cell>
          <cell r="F440">
            <v>88387.119999999893</v>
          </cell>
          <cell r="G440">
            <v>4133.47</v>
          </cell>
          <cell r="H440">
            <v>1253.3499999999899</v>
          </cell>
          <cell r="I440">
            <v>4505.2799999999897</v>
          </cell>
          <cell r="J440">
            <v>0</v>
          </cell>
          <cell r="K440">
            <v>5758.63</v>
          </cell>
          <cell r="L440">
            <v>98279.22</v>
          </cell>
          <cell r="M440">
            <v>1037.5799999999899</v>
          </cell>
          <cell r="N440">
            <v>0</v>
          </cell>
          <cell r="O440">
            <v>98279.22</v>
          </cell>
          <cell r="P440">
            <v>1037.5799999999899</v>
          </cell>
          <cell r="Q440">
            <v>419.64999999999901</v>
          </cell>
          <cell r="R440">
            <v>98698.869999999893</v>
          </cell>
          <cell r="S440">
            <v>617.92999999999904</v>
          </cell>
        </row>
        <row r="441">
          <cell r="A441" t="str">
            <v>1000/1420       NP 18-46 POLIDAP</v>
          </cell>
          <cell r="B441" t="str">
            <v>1001024    TALAGA</v>
          </cell>
          <cell r="C441" t="str">
            <v>KC Centra dystrybucji</v>
          </cell>
          <cell r="D441">
            <v>87421.949999999895</v>
          </cell>
          <cell r="E441">
            <v>87</v>
          </cell>
          <cell r="F441">
            <v>86656.029999999897</v>
          </cell>
          <cell r="G441">
            <v>3638.3899999999899</v>
          </cell>
          <cell r="H441">
            <v>1135.8399999999899</v>
          </cell>
          <cell r="I441">
            <v>0</v>
          </cell>
          <cell r="J441">
            <v>0</v>
          </cell>
          <cell r="K441">
            <v>1135.8399999999899</v>
          </cell>
          <cell r="L441">
            <v>91430.259999999893</v>
          </cell>
          <cell r="M441">
            <v>-4008.3099999999899</v>
          </cell>
          <cell r="N441">
            <v>0</v>
          </cell>
          <cell r="O441">
            <v>91430.259999999893</v>
          </cell>
          <cell r="P441">
            <v>-4008.3099999999899</v>
          </cell>
          <cell r="Q441">
            <v>411.44</v>
          </cell>
          <cell r="R441">
            <v>91841.699999999895</v>
          </cell>
          <cell r="S441">
            <v>-4419.75</v>
          </cell>
        </row>
        <row r="442">
          <cell r="A442" t="str">
            <v>1000/1420       NP 18-46 POLIDAP</v>
          </cell>
          <cell r="B442" t="str">
            <v>1001253    ROL-MECH SP. Z O.O.</v>
          </cell>
          <cell r="C442" t="str">
            <v>KB Sprzed. bezpośrednia</v>
          </cell>
          <cell r="D442">
            <v>115269.13</v>
          </cell>
          <cell r="E442">
            <v>111</v>
          </cell>
          <cell r="F442">
            <v>102197.61</v>
          </cell>
          <cell r="G442">
            <v>4797.3999999999896</v>
          </cell>
          <cell r="H442">
            <v>1449.19</v>
          </cell>
          <cell r="I442">
            <v>9650.61</v>
          </cell>
          <cell r="J442">
            <v>0</v>
          </cell>
          <cell r="K442">
            <v>11099.799999999899</v>
          </cell>
          <cell r="L442">
            <v>118094.81</v>
          </cell>
          <cell r="M442">
            <v>-2825.6799999999898</v>
          </cell>
          <cell r="N442">
            <v>0</v>
          </cell>
          <cell r="O442">
            <v>118094.81</v>
          </cell>
          <cell r="P442">
            <v>-2825.6799999999898</v>
          </cell>
          <cell r="Q442">
            <v>485.22</v>
          </cell>
          <cell r="R442">
            <v>118580.03</v>
          </cell>
          <cell r="S442">
            <v>-3310.9</v>
          </cell>
        </row>
        <row r="443">
          <cell r="A443" t="str">
            <v>1000/1420       NP 18-46 POLIDAP</v>
          </cell>
          <cell r="B443" t="str">
            <v>1001481    Hurt.Śr.Ochr.Roślin-</v>
          </cell>
          <cell r="C443" t="str">
            <v>KB Sprzed. bezpośrednia</v>
          </cell>
          <cell r="D443">
            <v>248009.85</v>
          </cell>
          <cell r="E443">
            <v>243</v>
          </cell>
          <cell r="F443">
            <v>223729.89</v>
          </cell>
          <cell r="G443">
            <v>10321.94</v>
          </cell>
          <cell r="H443">
            <v>3172.55</v>
          </cell>
          <cell r="I443">
            <v>19905.279999999901</v>
          </cell>
          <cell r="J443">
            <v>0</v>
          </cell>
          <cell r="K443">
            <v>23077.83</v>
          </cell>
          <cell r="L443">
            <v>257129.66</v>
          </cell>
          <cell r="M443">
            <v>-9119.8099999999904</v>
          </cell>
          <cell r="N443">
            <v>0</v>
          </cell>
          <cell r="O443">
            <v>257129.66</v>
          </cell>
          <cell r="P443">
            <v>-9119.8099999999904</v>
          </cell>
          <cell r="Q443">
            <v>1062.24</v>
          </cell>
          <cell r="R443">
            <v>258191.899999999</v>
          </cell>
          <cell r="S443">
            <v>-10182.049999999899</v>
          </cell>
        </row>
        <row r="444">
          <cell r="A444" t="str">
            <v>1000/1420       NP 18-46 POLIDAP</v>
          </cell>
          <cell r="B444" t="str">
            <v>1001494    AGROLOK Sp. z o.o.</v>
          </cell>
          <cell r="C444" t="str">
            <v>KB Sprzed. bezpośrednia</v>
          </cell>
          <cell r="D444">
            <v>568853.64</v>
          </cell>
          <cell r="E444">
            <v>562.5</v>
          </cell>
          <cell r="F444">
            <v>524664.54</v>
          </cell>
          <cell r="G444">
            <v>23675.13</v>
          </cell>
          <cell r="H444">
            <v>7343.84</v>
          </cell>
          <cell r="I444">
            <v>18944.04</v>
          </cell>
          <cell r="J444">
            <v>0</v>
          </cell>
          <cell r="K444">
            <v>26287.88</v>
          </cell>
          <cell r="L444">
            <v>574627.55000000005</v>
          </cell>
          <cell r="M444">
            <v>-5773.9099999999899</v>
          </cell>
          <cell r="N444">
            <v>0</v>
          </cell>
          <cell r="O444">
            <v>574627.55000000005</v>
          </cell>
          <cell r="P444">
            <v>-5773.9099999999899</v>
          </cell>
          <cell r="Q444">
            <v>2491.0700000000002</v>
          </cell>
          <cell r="R444">
            <v>577118.62</v>
          </cell>
          <cell r="S444">
            <v>-8264.9799999999905</v>
          </cell>
        </row>
        <row r="445">
          <cell r="A445" t="str">
            <v>1000/1420       NP 18-46 POLIDAP</v>
          </cell>
          <cell r="B445" t="str">
            <v>1001494    AGROLOK Sp. z o.o.</v>
          </cell>
          <cell r="C445" t="str">
            <v>KC Centra dystrybucji</v>
          </cell>
          <cell r="D445">
            <v>49237.65</v>
          </cell>
          <cell r="E445">
            <v>49</v>
          </cell>
          <cell r="F445">
            <v>45114.26</v>
          </cell>
          <cell r="G445">
            <v>2049.23</v>
          </cell>
          <cell r="H445">
            <v>639.73</v>
          </cell>
          <cell r="I445">
            <v>0</v>
          </cell>
          <cell r="J445">
            <v>0</v>
          </cell>
          <cell r="K445">
            <v>639.73</v>
          </cell>
          <cell r="L445">
            <v>47803.22</v>
          </cell>
          <cell r="M445">
            <v>1434.43</v>
          </cell>
          <cell r="N445">
            <v>0</v>
          </cell>
          <cell r="O445">
            <v>47803.22</v>
          </cell>
          <cell r="P445">
            <v>1434.43</v>
          </cell>
          <cell r="Q445">
            <v>214.19999999999899</v>
          </cell>
          <cell r="R445">
            <v>48017.419999999896</v>
          </cell>
          <cell r="S445">
            <v>1220.23</v>
          </cell>
        </row>
        <row r="446">
          <cell r="A446" t="str">
            <v>1000/1420       NP 18-46 POLIDAP</v>
          </cell>
          <cell r="B446" t="str">
            <v>1001522    AGRO-BIT</v>
          </cell>
          <cell r="C446" t="str">
            <v>KB Sprzed. bezpośrednia</v>
          </cell>
          <cell r="D446">
            <v>149094.76</v>
          </cell>
          <cell r="E446">
            <v>143</v>
          </cell>
          <cell r="F446">
            <v>131659.98000000001</v>
          </cell>
          <cell r="G446">
            <v>6205.17</v>
          </cell>
          <cell r="H446">
            <v>1866.98</v>
          </cell>
          <cell r="I446">
            <v>11971.7</v>
          </cell>
          <cell r="J446">
            <v>0</v>
          </cell>
          <cell r="K446">
            <v>13838.68</v>
          </cell>
          <cell r="L446">
            <v>151703.829999999</v>
          </cell>
          <cell r="M446">
            <v>-2609.0700000000002</v>
          </cell>
          <cell r="N446">
            <v>0</v>
          </cell>
          <cell r="O446">
            <v>151703.829999999</v>
          </cell>
          <cell r="P446">
            <v>-2609.0700000000002</v>
          </cell>
          <cell r="Q446">
            <v>625.13</v>
          </cell>
          <cell r="R446">
            <v>152328.959999999</v>
          </cell>
          <cell r="S446">
            <v>-3234.1999999999898</v>
          </cell>
        </row>
        <row r="447">
          <cell r="A447" t="str">
            <v>1000/1420       NP 18-46 POLIDAP</v>
          </cell>
          <cell r="B447" t="str">
            <v>1001649    CDN</v>
          </cell>
          <cell r="C447" t="str">
            <v>KC Centra dystrybucji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130749.97</v>
          </cell>
          <cell r="J447">
            <v>0</v>
          </cell>
          <cell r="K447">
            <v>130749.97</v>
          </cell>
          <cell r="L447">
            <v>130749.97</v>
          </cell>
          <cell r="M447">
            <v>-130749.97</v>
          </cell>
          <cell r="N447">
            <v>0</v>
          </cell>
          <cell r="O447">
            <v>130749.97</v>
          </cell>
          <cell r="P447">
            <v>-130749.97</v>
          </cell>
          <cell r="Q447">
            <v>0</v>
          </cell>
          <cell r="R447">
            <v>130749.97</v>
          </cell>
          <cell r="S447">
            <v>-130749.97</v>
          </cell>
        </row>
        <row r="448">
          <cell r="A448" t="str">
            <v>1000/1420       NP 18-46 POLIDAP</v>
          </cell>
          <cell r="B448" t="str">
            <v>1001662    AMPOL-MEROL Sp. z o.</v>
          </cell>
          <cell r="C448" t="str">
            <v>KB Sprzed. bezpośrednia</v>
          </cell>
          <cell r="D448">
            <v>1748943.62</v>
          </cell>
          <cell r="E448">
            <v>1721.02</v>
          </cell>
          <cell r="F448">
            <v>1572565.33</v>
          </cell>
          <cell r="G448">
            <v>72789.320000000007</v>
          </cell>
          <cell r="H448">
            <v>22469.22</v>
          </cell>
          <cell r="I448">
            <v>92203.369999999893</v>
          </cell>
          <cell r="J448">
            <v>0</v>
          </cell>
          <cell r="K448">
            <v>114672.59</v>
          </cell>
          <cell r="L448">
            <v>1760027.24</v>
          </cell>
          <cell r="M448">
            <v>-11083.62</v>
          </cell>
          <cell r="N448">
            <v>0</v>
          </cell>
          <cell r="O448">
            <v>1760027.24</v>
          </cell>
          <cell r="P448">
            <v>-11083.62</v>
          </cell>
          <cell r="Q448">
            <v>7466.34</v>
          </cell>
          <cell r="R448">
            <v>1767493.58</v>
          </cell>
          <cell r="S448">
            <v>-18549.959999999901</v>
          </cell>
        </row>
        <row r="449">
          <cell r="A449" t="str">
            <v>1000/1420       NP 18-46 POLIDAP</v>
          </cell>
          <cell r="B449" t="str">
            <v>1001662    AMPOL-MEROL Sp. z o.</v>
          </cell>
          <cell r="C449" t="str">
            <v>KC Centra dystrybucji</v>
          </cell>
          <cell r="D449">
            <v>25423.16</v>
          </cell>
          <cell r="E449">
            <v>24.5</v>
          </cell>
          <cell r="F449">
            <v>24328.09</v>
          </cell>
          <cell r="G449">
            <v>1058.1099999999899</v>
          </cell>
          <cell r="H449">
            <v>319.86</v>
          </cell>
          <cell r="I449">
            <v>0</v>
          </cell>
          <cell r="J449">
            <v>0</v>
          </cell>
          <cell r="K449">
            <v>319.86</v>
          </cell>
          <cell r="L449">
            <v>25706.06</v>
          </cell>
          <cell r="M449">
            <v>-282.89999999999901</v>
          </cell>
          <cell r="N449">
            <v>0</v>
          </cell>
          <cell r="O449">
            <v>25706.06</v>
          </cell>
          <cell r="P449">
            <v>-282.89999999999901</v>
          </cell>
          <cell r="Q449">
            <v>115.5</v>
          </cell>
          <cell r="R449">
            <v>25821.56</v>
          </cell>
          <cell r="S449">
            <v>-398.39999999999901</v>
          </cell>
        </row>
        <row r="450">
          <cell r="A450" t="str">
            <v>1000/1420       NP 18-46 POLIDAP</v>
          </cell>
          <cell r="B450" t="str">
            <v>1001701    INTRAT-BRZ</v>
          </cell>
          <cell r="C450" t="str">
            <v>KB Sprzed. bezpośrednia</v>
          </cell>
          <cell r="D450">
            <v>58889.199999999903</v>
          </cell>
          <cell r="E450">
            <v>58</v>
          </cell>
          <cell r="F450">
            <v>54728.37</v>
          </cell>
          <cell r="G450">
            <v>2451</v>
          </cell>
          <cell r="H450">
            <v>757.24</v>
          </cell>
          <cell r="I450">
            <v>1544.96</v>
          </cell>
          <cell r="J450">
            <v>0</v>
          </cell>
          <cell r="K450">
            <v>2302.1999999999898</v>
          </cell>
          <cell r="L450">
            <v>59481.57</v>
          </cell>
          <cell r="M450">
            <v>-592.37</v>
          </cell>
          <cell r="N450">
            <v>0</v>
          </cell>
          <cell r="O450">
            <v>59481.57</v>
          </cell>
          <cell r="P450">
            <v>-592.37</v>
          </cell>
          <cell r="Q450">
            <v>259.83999999999901</v>
          </cell>
          <cell r="R450">
            <v>59741.41</v>
          </cell>
          <cell r="S450">
            <v>-852.21</v>
          </cell>
        </row>
        <row r="451">
          <cell r="A451" t="str">
            <v>1000/1420       NP 18-46 POLIDAP</v>
          </cell>
          <cell r="B451" t="str">
            <v>1001705    AGROSTART</v>
          </cell>
          <cell r="C451" t="str">
            <v>KB Sprzed. bezpośrednia</v>
          </cell>
          <cell r="D451">
            <v>50298.269999999902</v>
          </cell>
          <cell r="E451">
            <v>49</v>
          </cell>
          <cell r="F451">
            <v>45114.26</v>
          </cell>
          <cell r="G451">
            <v>2093.36</v>
          </cell>
          <cell r="H451">
            <v>639.73</v>
          </cell>
          <cell r="I451">
            <v>3326.9299999999898</v>
          </cell>
          <cell r="J451">
            <v>0</v>
          </cell>
          <cell r="K451">
            <v>3966.6599999999899</v>
          </cell>
          <cell r="L451">
            <v>51174.279999999897</v>
          </cell>
          <cell r="M451">
            <v>-876.00999999999897</v>
          </cell>
          <cell r="N451">
            <v>0</v>
          </cell>
          <cell r="O451">
            <v>51174.279999999897</v>
          </cell>
          <cell r="P451">
            <v>-876.00999999999897</v>
          </cell>
          <cell r="Q451">
            <v>214.19999999999899</v>
          </cell>
          <cell r="R451">
            <v>51388.480000000003</v>
          </cell>
          <cell r="S451">
            <v>-1090.21</v>
          </cell>
        </row>
        <row r="452">
          <cell r="A452" t="str">
            <v>1000/1420       NP 18-46 POLIDAP</v>
          </cell>
          <cell r="B452" t="str">
            <v>1001871    ROLPOL</v>
          </cell>
          <cell r="C452" t="str">
            <v>KC Centra dystrybucji</v>
          </cell>
          <cell r="D452">
            <v>24530.639999999901</v>
          </cell>
          <cell r="E452">
            <v>24</v>
          </cell>
          <cell r="F452">
            <v>23874.48</v>
          </cell>
          <cell r="G452">
            <v>1020.96</v>
          </cell>
          <cell r="H452">
            <v>313.33999999999901</v>
          </cell>
          <cell r="I452">
            <v>0</v>
          </cell>
          <cell r="J452">
            <v>0</v>
          </cell>
          <cell r="K452">
            <v>313.33999999999901</v>
          </cell>
          <cell r="L452">
            <v>25208.779999999901</v>
          </cell>
          <cell r="M452">
            <v>-678.13999999999896</v>
          </cell>
          <cell r="N452">
            <v>0</v>
          </cell>
          <cell r="O452">
            <v>25208.779999999901</v>
          </cell>
          <cell r="P452">
            <v>-678.13999999999896</v>
          </cell>
          <cell r="Q452">
            <v>113.37</v>
          </cell>
          <cell r="R452">
            <v>25322.15</v>
          </cell>
          <cell r="S452">
            <v>-791.50999999999897</v>
          </cell>
        </row>
        <row r="453">
          <cell r="A453" t="str">
            <v>1000/1420       NP 18-46 POLIDAP</v>
          </cell>
          <cell r="B453" t="str">
            <v>1001983    FAZOT</v>
          </cell>
          <cell r="C453" t="str">
            <v>KB Sprzed. bezpośrednia</v>
          </cell>
          <cell r="D453">
            <v>259257.359999999</v>
          </cell>
          <cell r="E453">
            <v>252</v>
          </cell>
          <cell r="F453">
            <v>232016.19</v>
          </cell>
          <cell r="G453">
            <v>10790.059999999899</v>
          </cell>
          <cell r="H453">
            <v>3290.05</v>
          </cell>
          <cell r="I453">
            <v>11486.639999999899</v>
          </cell>
          <cell r="J453">
            <v>0</v>
          </cell>
          <cell r="K453">
            <v>14776.69</v>
          </cell>
          <cell r="L453">
            <v>257582.94</v>
          </cell>
          <cell r="M453">
            <v>1674.42</v>
          </cell>
          <cell r="N453">
            <v>0</v>
          </cell>
          <cell r="O453">
            <v>257582.94</v>
          </cell>
          <cell r="P453">
            <v>1674.42</v>
          </cell>
          <cell r="Q453">
            <v>1101.5699999999899</v>
          </cell>
          <cell r="R453">
            <v>258684.51</v>
          </cell>
          <cell r="S453">
            <v>572.85</v>
          </cell>
        </row>
        <row r="454">
          <cell r="A454" t="str">
            <v>1000/1420       NP 18-46 POLIDAP</v>
          </cell>
          <cell r="B454" t="str">
            <v>1001988    ROLNIK-KOŚCIAN</v>
          </cell>
          <cell r="C454" t="str">
            <v>KB Sprzed. bezpośrednia</v>
          </cell>
          <cell r="D454">
            <v>991252.54</v>
          </cell>
          <cell r="E454">
            <v>931</v>
          </cell>
          <cell r="F454">
            <v>875892.96999999904</v>
          </cell>
          <cell r="G454">
            <v>41254.9</v>
          </cell>
          <cell r="H454">
            <v>12154.879999999899</v>
          </cell>
          <cell r="I454">
            <v>26655.97</v>
          </cell>
          <cell r="J454">
            <v>0</v>
          </cell>
          <cell r="K454">
            <v>38810.849999999897</v>
          </cell>
          <cell r="L454">
            <v>955958.71999999904</v>
          </cell>
          <cell r="M454">
            <v>35293.82</v>
          </cell>
          <cell r="N454">
            <v>0</v>
          </cell>
          <cell r="O454">
            <v>955958.71999999904</v>
          </cell>
          <cell r="P454">
            <v>35293.82</v>
          </cell>
          <cell r="Q454">
            <v>4158.6400000000003</v>
          </cell>
          <cell r="R454">
            <v>960117.35999999905</v>
          </cell>
          <cell r="S454">
            <v>31135.18</v>
          </cell>
        </row>
        <row r="455">
          <cell r="A455" t="str">
            <v>1000/1420       NP 18-46 POLIDAP</v>
          </cell>
          <cell r="B455" t="str">
            <v>1001991    WAMEX</v>
          </cell>
          <cell r="C455" t="str">
            <v>KB Sprzed. bezpośrednia</v>
          </cell>
          <cell r="D455">
            <v>165814.29</v>
          </cell>
          <cell r="E455">
            <v>161</v>
          </cell>
          <cell r="F455">
            <v>148232.56</v>
          </cell>
          <cell r="G455">
            <v>6901.06</v>
          </cell>
          <cell r="H455">
            <v>2101.98</v>
          </cell>
          <cell r="I455">
            <v>11814.92</v>
          </cell>
          <cell r="J455">
            <v>0</v>
          </cell>
          <cell r="K455">
            <v>13916.9</v>
          </cell>
          <cell r="L455">
            <v>169050.519999999</v>
          </cell>
          <cell r="M455">
            <v>-3236.23</v>
          </cell>
          <cell r="N455">
            <v>0</v>
          </cell>
          <cell r="O455">
            <v>169050.519999999</v>
          </cell>
          <cell r="P455">
            <v>-3236.23</v>
          </cell>
          <cell r="Q455">
            <v>703.78999999999905</v>
          </cell>
          <cell r="R455">
            <v>169754.31</v>
          </cell>
          <cell r="S455">
            <v>-3940.02</v>
          </cell>
        </row>
        <row r="456">
          <cell r="A456" t="str">
            <v>1000/1420       NP 18-46 POLIDAP</v>
          </cell>
          <cell r="B456" t="str">
            <v>1001994    SKR-STRZELCE</v>
          </cell>
          <cell r="C456" t="str">
            <v>KB Sprzed. bezpośrednia</v>
          </cell>
          <cell r="D456">
            <v>308709.37</v>
          </cell>
          <cell r="E456">
            <v>307.92</v>
          </cell>
          <cell r="F456">
            <v>286694.03999999899</v>
          </cell>
          <cell r="G456">
            <v>12848.25</v>
          </cell>
          <cell r="H456">
            <v>4020.1199999999899</v>
          </cell>
          <cell r="I456">
            <v>7020.72</v>
          </cell>
          <cell r="J456">
            <v>0</v>
          </cell>
          <cell r="K456">
            <v>11040.84</v>
          </cell>
          <cell r="L456">
            <v>310583.13</v>
          </cell>
          <cell r="M456">
            <v>-1873.76</v>
          </cell>
          <cell r="N456">
            <v>0</v>
          </cell>
          <cell r="O456">
            <v>310583.13</v>
          </cell>
          <cell r="P456">
            <v>-1873.76</v>
          </cell>
          <cell r="Q456">
            <v>1361.21</v>
          </cell>
          <cell r="R456">
            <v>311944.34000000003</v>
          </cell>
          <cell r="S456">
            <v>-3234.9699999999898</v>
          </cell>
        </row>
        <row r="457">
          <cell r="A457" t="str">
            <v>1000/1420       NP 18-46 POLIDAP</v>
          </cell>
          <cell r="B457" t="str">
            <v>1002004    AZOT</v>
          </cell>
          <cell r="C457" t="str">
            <v>KB Sprzed. bezpośrednia</v>
          </cell>
          <cell r="D457">
            <v>86852.279999999897</v>
          </cell>
          <cell r="E457">
            <v>84</v>
          </cell>
          <cell r="F457">
            <v>77338.729999999894</v>
          </cell>
          <cell r="G457">
            <v>3614.7199999999898</v>
          </cell>
          <cell r="H457">
            <v>1096.69</v>
          </cell>
          <cell r="I457">
            <v>4858.1999999999898</v>
          </cell>
          <cell r="J457">
            <v>0</v>
          </cell>
          <cell r="K457">
            <v>5954.89</v>
          </cell>
          <cell r="L457">
            <v>86908.339999999895</v>
          </cell>
          <cell r="M457">
            <v>-56.06</v>
          </cell>
          <cell r="N457">
            <v>0</v>
          </cell>
          <cell r="O457">
            <v>86908.339999999895</v>
          </cell>
          <cell r="P457">
            <v>-56.06</v>
          </cell>
          <cell r="Q457">
            <v>367.19999999999902</v>
          </cell>
          <cell r="R457">
            <v>87275.539999999906</v>
          </cell>
          <cell r="S457">
            <v>-423.25999999999902</v>
          </cell>
        </row>
        <row r="458">
          <cell r="A458" t="str">
            <v>1000/1420       NP 18-46 POLIDAP</v>
          </cell>
          <cell r="B458" t="str">
            <v>1002005    LAMCH-TOMI</v>
          </cell>
          <cell r="C458" t="str">
            <v>KB Sprzed. bezpośrednia</v>
          </cell>
          <cell r="D458">
            <v>29134.5999999999</v>
          </cell>
          <cell r="E458">
            <v>28</v>
          </cell>
          <cell r="F458">
            <v>25779.58</v>
          </cell>
          <cell r="G458">
            <v>1212.5799999999899</v>
          </cell>
          <cell r="H458">
            <v>365.56</v>
          </cell>
          <cell r="I458">
            <v>1629.4</v>
          </cell>
          <cell r="J458">
            <v>0</v>
          </cell>
          <cell r="K458">
            <v>1994.96</v>
          </cell>
          <cell r="L458">
            <v>28987.119999999901</v>
          </cell>
          <cell r="M458">
            <v>147.479999999999</v>
          </cell>
          <cell r="N458">
            <v>0</v>
          </cell>
          <cell r="O458">
            <v>28987.119999999901</v>
          </cell>
          <cell r="P458">
            <v>147.479999999999</v>
          </cell>
          <cell r="Q458">
            <v>122.41</v>
          </cell>
          <cell r="R458">
            <v>29109.529999999901</v>
          </cell>
          <cell r="S458">
            <v>25.07</v>
          </cell>
        </row>
        <row r="459">
          <cell r="A459" t="str">
            <v>1000/1420       NP 18-46 POLIDAP</v>
          </cell>
          <cell r="B459" t="str">
            <v>1002009    AGROTECHNI</v>
          </cell>
          <cell r="C459" t="str">
            <v>KB Sprzed. bezpośrednia</v>
          </cell>
          <cell r="D459">
            <v>112549.49</v>
          </cell>
          <cell r="E459">
            <v>109</v>
          </cell>
          <cell r="F459">
            <v>100356.21</v>
          </cell>
          <cell r="G459">
            <v>4684.1400000000003</v>
          </cell>
          <cell r="H459">
            <v>1423.0699999999899</v>
          </cell>
          <cell r="I459">
            <v>7960.1099999999897</v>
          </cell>
          <cell r="J459">
            <v>0</v>
          </cell>
          <cell r="K459">
            <v>9383.18</v>
          </cell>
          <cell r="L459">
            <v>114423.53</v>
          </cell>
          <cell r="M459">
            <v>-1874.04</v>
          </cell>
          <cell r="N459">
            <v>0</v>
          </cell>
          <cell r="O459">
            <v>114423.53</v>
          </cell>
          <cell r="P459">
            <v>-1874.04</v>
          </cell>
          <cell r="Q459">
            <v>476.49</v>
          </cell>
          <cell r="R459">
            <v>114900.02</v>
          </cell>
          <cell r="S459">
            <v>-2350.5300000000002</v>
          </cell>
        </row>
        <row r="460">
          <cell r="A460" t="str">
            <v>1000/1420       NP 18-46 POLIDAP</v>
          </cell>
          <cell r="B460" t="str">
            <v>1002010    BOGUSZ</v>
          </cell>
          <cell r="C460" t="str">
            <v>KB Sprzed. bezpośrednia</v>
          </cell>
          <cell r="D460">
            <v>49658.400000000001</v>
          </cell>
          <cell r="E460">
            <v>48</v>
          </cell>
          <cell r="F460">
            <v>44193.559999999903</v>
          </cell>
          <cell r="G460">
            <v>2066.7199999999898</v>
          </cell>
          <cell r="H460">
            <v>626.67999999999904</v>
          </cell>
          <cell r="I460">
            <v>3369.1199999999899</v>
          </cell>
          <cell r="J460">
            <v>0</v>
          </cell>
          <cell r="K460">
            <v>3995.8</v>
          </cell>
          <cell r="L460">
            <v>50256.08</v>
          </cell>
          <cell r="M460">
            <v>-597.67999999999904</v>
          </cell>
          <cell r="N460">
            <v>0</v>
          </cell>
          <cell r="O460">
            <v>50256.08</v>
          </cell>
          <cell r="P460">
            <v>-597.67999999999904</v>
          </cell>
          <cell r="Q460">
            <v>209.83</v>
          </cell>
          <cell r="R460">
            <v>50465.91</v>
          </cell>
          <cell r="S460">
            <v>-807.50999999999897</v>
          </cell>
        </row>
        <row r="461">
          <cell r="A461" t="str">
            <v>1000/1420       NP 18-46 POLIDAP</v>
          </cell>
          <cell r="B461" t="str">
            <v>1002047    Chempest</v>
          </cell>
          <cell r="C461" t="str">
            <v>KB Sprzed. bezpośrednia</v>
          </cell>
          <cell r="D461">
            <v>50109.839999999902</v>
          </cell>
          <cell r="E461">
            <v>48</v>
          </cell>
          <cell r="F461">
            <v>44193.559999999903</v>
          </cell>
          <cell r="G461">
            <v>2085.4899999999898</v>
          </cell>
          <cell r="H461">
            <v>626.67999999999904</v>
          </cell>
          <cell r="I461">
            <v>2843.52</v>
          </cell>
          <cell r="J461">
            <v>0</v>
          </cell>
          <cell r="K461">
            <v>3470.1999999999898</v>
          </cell>
          <cell r="L461">
            <v>49749.25</v>
          </cell>
          <cell r="M461">
            <v>360.58999999999901</v>
          </cell>
          <cell r="N461">
            <v>0</v>
          </cell>
          <cell r="O461">
            <v>49749.25</v>
          </cell>
          <cell r="P461">
            <v>360.58999999999901</v>
          </cell>
          <cell r="Q461">
            <v>209.83</v>
          </cell>
          <cell r="R461">
            <v>49959.08</v>
          </cell>
          <cell r="S461">
            <v>150.759999999999</v>
          </cell>
        </row>
        <row r="462">
          <cell r="A462" t="str">
            <v>1000/1420       NP 18-46 POLIDAP</v>
          </cell>
          <cell r="B462" t="str">
            <v>1002050    "SYLWEK"</v>
          </cell>
          <cell r="C462" t="str">
            <v>KB Sprzed. bezpośrednia</v>
          </cell>
          <cell r="D462">
            <v>83797.440000000002</v>
          </cell>
          <cell r="E462">
            <v>82</v>
          </cell>
          <cell r="F462">
            <v>75497.33</v>
          </cell>
          <cell r="G462">
            <v>3487.5799999999899</v>
          </cell>
          <cell r="H462">
            <v>1070.5599999999899</v>
          </cell>
          <cell r="I462">
            <v>5895.5699999999897</v>
          </cell>
          <cell r="J462">
            <v>0</v>
          </cell>
          <cell r="K462">
            <v>6966.13</v>
          </cell>
          <cell r="L462">
            <v>85951.039999999906</v>
          </cell>
          <cell r="M462">
            <v>-2153.5999999999899</v>
          </cell>
          <cell r="N462">
            <v>0</v>
          </cell>
          <cell r="O462">
            <v>85951.039999999906</v>
          </cell>
          <cell r="P462">
            <v>-2153.5999999999899</v>
          </cell>
          <cell r="Q462">
            <v>358.44</v>
          </cell>
          <cell r="R462">
            <v>86309.479999999894</v>
          </cell>
          <cell r="S462">
            <v>-2512.04</v>
          </cell>
        </row>
        <row r="463">
          <cell r="A463" t="str">
            <v>1000/1420       NP 18-46 POLIDAP</v>
          </cell>
          <cell r="B463" t="str">
            <v>1002056    GS-Koronowo</v>
          </cell>
          <cell r="C463" t="str">
            <v>KB Sprzed. bezpośrednia</v>
          </cell>
          <cell r="D463">
            <v>37957.440000000002</v>
          </cell>
          <cell r="E463">
            <v>37</v>
          </cell>
          <cell r="F463">
            <v>34065.870000000003</v>
          </cell>
          <cell r="G463">
            <v>1579.73</v>
          </cell>
          <cell r="H463">
            <v>483.06999999999903</v>
          </cell>
          <cell r="I463">
            <v>1481.0599999999899</v>
          </cell>
          <cell r="J463">
            <v>0</v>
          </cell>
          <cell r="K463">
            <v>1964.13</v>
          </cell>
          <cell r="L463">
            <v>37609.730000000003</v>
          </cell>
          <cell r="M463">
            <v>347.70999999999901</v>
          </cell>
          <cell r="N463">
            <v>0</v>
          </cell>
          <cell r="O463">
            <v>37609.730000000003</v>
          </cell>
          <cell r="P463">
            <v>347.70999999999901</v>
          </cell>
          <cell r="Q463">
            <v>161.75</v>
          </cell>
          <cell r="R463">
            <v>37771.480000000003</v>
          </cell>
          <cell r="S463">
            <v>185.96</v>
          </cell>
        </row>
        <row r="464">
          <cell r="A464" t="str">
            <v>1000/1420       NP 18-46 POLIDAP</v>
          </cell>
          <cell r="B464" t="str">
            <v>1002151    "AGRO-HANDEL"</v>
          </cell>
          <cell r="C464" t="str">
            <v>KB Sprzed. bezpośrednia</v>
          </cell>
          <cell r="D464">
            <v>25548</v>
          </cell>
          <cell r="E464">
            <v>25</v>
          </cell>
          <cell r="F464">
            <v>23017.48</v>
          </cell>
          <cell r="G464">
            <v>1063.28</v>
          </cell>
          <cell r="H464">
            <v>326.38</v>
          </cell>
          <cell r="I464">
            <v>1935.8499999999899</v>
          </cell>
          <cell r="J464">
            <v>0</v>
          </cell>
          <cell r="K464">
            <v>2262.23</v>
          </cell>
          <cell r="L464">
            <v>26342.99</v>
          </cell>
          <cell r="M464">
            <v>-794.99</v>
          </cell>
          <cell r="N464">
            <v>0</v>
          </cell>
          <cell r="O464">
            <v>26342.99</v>
          </cell>
          <cell r="P464">
            <v>-794.99</v>
          </cell>
          <cell r="Q464">
            <v>109.3</v>
          </cell>
          <cell r="R464">
            <v>26452.29</v>
          </cell>
          <cell r="S464">
            <v>-904.28999999999905</v>
          </cell>
        </row>
        <row r="465">
          <cell r="A465" t="str">
            <v>1000/1420       NP 18-46 POLIDAP</v>
          </cell>
          <cell r="B465" t="str">
            <v>1002407    ROLBUD</v>
          </cell>
          <cell r="C465" t="str">
            <v>KB Sprzed. bezpośrednia</v>
          </cell>
          <cell r="D465">
            <v>70714.5</v>
          </cell>
          <cell r="E465">
            <v>71.5</v>
          </cell>
          <cell r="F465">
            <v>65829.990000000005</v>
          </cell>
          <cell r="G465">
            <v>2943.05</v>
          </cell>
          <cell r="H465">
            <v>933.49</v>
          </cell>
          <cell r="I465">
            <v>0</v>
          </cell>
          <cell r="J465">
            <v>0</v>
          </cell>
          <cell r="K465">
            <v>933.49</v>
          </cell>
          <cell r="L465">
            <v>69706.529999999897</v>
          </cell>
          <cell r="M465">
            <v>1007.97</v>
          </cell>
          <cell r="N465">
            <v>0</v>
          </cell>
          <cell r="O465">
            <v>69706.529999999897</v>
          </cell>
          <cell r="P465">
            <v>1007.97</v>
          </cell>
          <cell r="Q465">
            <v>312.51999999999902</v>
          </cell>
          <cell r="R465">
            <v>70019.05</v>
          </cell>
          <cell r="S465">
            <v>695.45</v>
          </cell>
        </row>
        <row r="466">
          <cell r="A466" t="str">
            <v>1000/1420       NP 18-46 POLIDAP</v>
          </cell>
          <cell r="B466" t="str">
            <v>1002657    "AGROFIRMA"-TOMASZ W</v>
          </cell>
          <cell r="C466" t="str">
            <v>KB Sprzed. bezpośrednia</v>
          </cell>
          <cell r="D466">
            <v>36201.480000000003</v>
          </cell>
          <cell r="E466">
            <v>36</v>
          </cell>
          <cell r="F466">
            <v>33145.169999999896</v>
          </cell>
          <cell r="G466">
            <v>1506.68</v>
          </cell>
          <cell r="H466">
            <v>470</v>
          </cell>
          <cell r="I466">
            <v>0</v>
          </cell>
          <cell r="J466">
            <v>0</v>
          </cell>
          <cell r="K466">
            <v>470</v>
          </cell>
          <cell r="L466">
            <v>35121.849999999897</v>
          </cell>
          <cell r="M466">
            <v>1079.6300000000001</v>
          </cell>
          <cell r="N466">
            <v>0</v>
          </cell>
          <cell r="O466">
            <v>35121.849999999897</v>
          </cell>
          <cell r="P466">
            <v>1079.6300000000001</v>
          </cell>
          <cell r="Q466">
            <v>157.349999999999</v>
          </cell>
          <cell r="R466">
            <v>35279.199999999903</v>
          </cell>
          <cell r="S466">
            <v>922.27999999999895</v>
          </cell>
        </row>
        <row r="467">
          <cell r="A467" t="str">
            <v>1000/1420       NP 18-46 POLIDAP</v>
          </cell>
          <cell r="B467" t="str">
            <v>1002722    AGRO-CHEM</v>
          </cell>
          <cell r="C467" t="str">
            <v>KB Sprzed. bezpośrednia</v>
          </cell>
          <cell r="D467">
            <v>24546.959999999901</v>
          </cell>
          <cell r="E467">
            <v>24</v>
          </cell>
          <cell r="F467">
            <v>22096.779999999901</v>
          </cell>
          <cell r="G467">
            <v>1021.58</v>
          </cell>
          <cell r="H467">
            <v>313.33999999999901</v>
          </cell>
          <cell r="I467">
            <v>0</v>
          </cell>
          <cell r="J467">
            <v>0</v>
          </cell>
          <cell r="K467">
            <v>313.33999999999901</v>
          </cell>
          <cell r="L467">
            <v>23431.7</v>
          </cell>
          <cell r="M467">
            <v>1115.26</v>
          </cell>
          <cell r="N467">
            <v>0</v>
          </cell>
          <cell r="O467">
            <v>23431.7</v>
          </cell>
          <cell r="P467">
            <v>1115.26</v>
          </cell>
          <cell r="Q467">
            <v>104.9</v>
          </cell>
          <cell r="R467">
            <v>23536.5999999999</v>
          </cell>
          <cell r="S467">
            <v>1010.36</v>
          </cell>
        </row>
        <row r="468">
          <cell r="A468" t="str">
            <v>1000/1420       NP 18-46 POLIDAP</v>
          </cell>
          <cell r="B468" t="str">
            <v>1002790    AGRO-SKŁAD SZYMON NO</v>
          </cell>
          <cell r="C468" t="str">
            <v>KB Sprzed. bezpośrednia</v>
          </cell>
          <cell r="D468">
            <v>173293.42</v>
          </cell>
          <cell r="E468">
            <v>177.86</v>
          </cell>
          <cell r="F468">
            <v>163178.67000000001</v>
          </cell>
          <cell r="G468">
            <v>7212.27</v>
          </cell>
          <cell r="H468">
            <v>2322.11</v>
          </cell>
          <cell r="I468">
            <v>0</v>
          </cell>
          <cell r="J468">
            <v>0</v>
          </cell>
          <cell r="K468">
            <v>2322.11</v>
          </cell>
          <cell r="L468">
            <v>172713.049999999</v>
          </cell>
          <cell r="M468">
            <v>580.37</v>
          </cell>
          <cell r="N468">
            <v>0</v>
          </cell>
          <cell r="O468">
            <v>172713.049999999</v>
          </cell>
          <cell r="P468">
            <v>580.37</v>
          </cell>
          <cell r="Q468">
            <v>774.74</v>
          </cell>
          <cell r="R468">
            <v>173487.79</v>
          </cell>
          <cell r="S468">
            <v>-194.37</v>
          </cell>
        </row>
        <row r="469">
          <cell r="A469" t="str">
            <v>1000/1420       NP 18-46 POLIDAP</v>
          </cell>
          <cell r="B469" t="str">
            <v>1003056    LECHPOL SP. Z O.O.</v>
          </cell>
          <cell r="C469" t="str">
            <v>KB Sprzed. bezpośrednia</v>
          </cell>
          <cell r="D469">
            <v>927561.41</v>
          </cell>
          <cell r="E469">
            <v>928.58</v>
          </cell>
          <cell r="F469">
            <v>885412.31999999902</v>
          </cell>
          <cell r="G469">
            <v>38604.239999999903</v>
          </cell>
          <cell r="H469">
            <v>12123.34</v>
          </cell>
          <cell r="I469">
            <v>2875.1999999999898</v>
          </cell>
          <cell r="J469">
            <v>0</v>
          </cell>
          <cell r="K469">
            <v>14998.54</v>
          </cell>
          <cell r="L469">
            <v>939015.09999999905</v>
          </cell>
          <cell r="M469">
            <v>-11453.69</v>
          </cell>
          <cell r="N469">
            <v>0</v>
          </cell>
          <cell r="O469">
            <v>939015.09999999905</v>
          </cell>
          <cell r="P469">
            <v>-11453.69</v>
          </cell>
          <cell r="Q469">
            <v>4203.8299999999899</v>
          </cell>
          <cell r="R469">
            <v>943218.93</v>
          </cell>
          <cell r="S469">
            <v>-15657.52</v>
          </cell>
        </row>
        <row r="470">
          <cell r="A470" t="str">
            <v>1000/1420       NP 18-46 POLIDAP</v>
          </cell>
          <cell r="B470" t="str">
            <v>1003315    ZAKŁAD OBROTU ROLNEG</v>
          </cell>
          <cell r="C470" t="str">
            <v>KB Sprzed. bezpośrednia</v>
          </cell>
          <cell r="D470">
            <v>100935.2</v>
          </cell>
          <cell r="E470">
            <v>99</v>
          </cell>
          <cell r="F470">
            <v>91149.22</v>
          </cell>
          <cell r="G470">
            <v>4200.8299999999899</v>
          </cell>
          <cell r="H470">
            <v>1292.53</v>
          </cell>
          <cell r="I470">
            <v>7209.17</v>
          </cell>
          <cell r="J470">
            <v>0</v>
          </cell>
          <cell r="K470">
            <v>8501.7000000000007</v>
          </cell>
          <cell r="L470">
            <v>103851.75</v>
          </cell>
          <cell r="M470">
            <v>-2916.55</v>
          </cell>
          <cell r="N470">
            <v>0</v>
          </cell>
          <cell r="O470">
            <v>103851.75</v>
          </cell>
          <cell r="P470">
            <v>-2916.55</v>
          </cell>
          <cell r="Q470">
            <v>432.75999999999902</v>
          </cell>
          <cell r="R470">
            <v>104284.50999999901</v>
          </cell>
          <cell r="S470">
            <v>-3349.3099999999899</v>
          </cell>
        </row>
        <row r="471">
          <cell r="A471" t="str">
            <v>1000/1420       NP 18-46 POLIDAP</v>
          </cell>
          <cell r="B471" t="str">
            <v>1003365    "EUROL"</v>
          </cell>
          <cell r="C471" t="str">
            <v>KB Sprzed. bezpośrednia</v>
          </cell>
          <cell r="D471">
            <v>130202.38</v>
          </cell>
          <cell r="E471">
            <v>128</v>
          </cell>
          <cell r="F471">
            <v>117849.49</v>
          </cell>
          <cell r="G471">
            <v>5418.92</v>
          </cell>
          <cell r="H471">
            <v>1671.14</v>
          </cell>
          <cell r="I471">
            <v>5518.2399999999898</v>
          </cell>
          <cell r="J471">
            <v>0</v>
          </cell>
          <cell r="K471">
            <v>7189.38</v>
          </cell>
          <cell r="L471">
            <v>130457.789999999</v>
          </cell>
          <cell r="M471">
            <v>-255.41</v>
          </cell>
          <cell r="N471">
            <v>0</v>
          </cell>
          <cell r="O471">
            <v>130457.789999999</v>
          </cell>
          <cell r="P471">
            <v>-255.41</v>
          </cell>
          <cell r="Q471">
            <v>559.51999999999896</v>
          </cell>
          <cell r="R471">
            <v>131017.31</v>
          </cell>
          <cell r="S471">
            <v>-814.92999999999904</v>
          </cell>
        </row>
        <row r="472">
          <cell r="A472" t="str">
            <v>1000/1420       NP 18-46 POLIDAP</v>
          </cell>
          <cell r="B472" t="str">
            <v>1003605    "AGROMUND"</v>
          </cell>
          <cell r="C472" t="str">
            <v>KB Sprzed. bezpośrednia</v>
          </cell>
          <cell r="D472">
            <v>175417.679999999</v>
          </cell>
          <cell r="E472">
            <v>170</v>
          </cell>
          <cell r="F472">
            <v>157182.769999999</v>
          </cell>
          <cell r="G472">
            <v>7300.72</v>
          </cell>
          <cell r="H472">
            <v>2219.4699999999898</v>
          </cell>
          <cell r="I472">
            <v>8415.5799999999908</v>
          </cell>
          <cell r="J472">
            <v>0</v>
          </cell>
          <cell r="K472">
            <v>10635.049999999899</v>
          </cell>
          <cell r="L472">
            <v>175118.54</v>
          </cell>
          <cell r="M472">
            <v>299.13999999999902</v>
          </cell>
          <cell r="N472">
            <v>0</v>
          </cell>
          <cell r="O472">
            <v>175118.54</v>
          </cell>
          <cell r="P472">
            <v>299.13999999999902</v>
          </cell>
          <cell r="Q472">
            <v>746.28999999999905</v>
          </cell>
          <cell r="R472">
            <v>175864.829999999</v>
          </cell>
          <cell r="S472">
            <v>-447.14999999999901</v>
          </cell>
        </row>
        <row r="473">
          <cell r="A473" t="str">
            <v>1000/1420       NP 18-46 POLIDAP</v>
          </cell>
          <cell r="B473" t="str">
            <v>1003605    "AGROMUND"</v>
          </cell>
          <cell r="C473" t="str">
            <v>KC Centra dystrybucji</v>
          </cell>
          <cell r="D473">
            <v>40523.75</v>
          </cell>
          <cell r="E473">
            <v>40</v>
          </cell>
          <cell r="F473">
            <v>39841.849999999897</v>
          </cell>
          <cell r="G473">
            <v>1686.53</v>
          </cell>
          <cell r="H473">
            <v>522.24</v>
          </cell>
          <cell r="I473">
            <v>0</v>
          </cell>
          <cell r="J473">
            <v>0</v>
          </cell>
          <cell r="K473">
            <v>522.24</v>
          </cell>
          <cell r="L473">
            <v>42050.62</v>
          </cell>
          <cell r="M473">
            <v>-1526.8699999999899</v>
          </cell>
          <cell r="N473">
            <v>0</v>
          </cell>
          <cell r="O473">
            <v>42050.62</v>
          </cell>
          <cell r="P473">
            <v>-1526.8699999999899</v>
          </cell>
          <cell r="Q473">
            <v>189.16999999999899</v>
          </cell>
          <cell r="R473">
            <v>42239.79</v>
          </cell>
          <cell r="S473">
            <v>-1716.04</v>
          </cell>
        </row>
        <row r="474">
          <cell r="A474" t="str">
            <v>1000/1420       NP 18-46 POLIDAP</v>
          </cell>
          <cell r="B474" t="str">
            <v>1003827    STAL-BUD</v>
          </cell>
          <cell r="C474" t="str">
            <v>KB Sprzed. bezpośrednia</v>
          </cell>
          <cell r="D474">
            <v>24754.080000000002</v>
          </cell>
          <cell r="E474">
            <v>24</v>
          </cell>
          <cell r="F474">
            <v>22096.779999999901</v>
          </cell>
          <cell r="G474">
            <v>1030.29</v>
          </cell>
          <cell r="H474">
            <v>313.33999999999901</v>
          </cell>
          <cell r="I474">
            <v>1892.16</v>
          </cell>
          <cell r="J474">
            <v>0</v>
          </cell>
          <cell r="K474">
            <v>2205.5</v>
          </cell>
          <cell r="L474">
            <v>25332.57</v>
          </cell>
          <cell r="M474">
            <v>-578.49</v>
          </cell>
          <cell r="N474">
            <v>0</v>
          </cell>
          <cell r="O474">
            <v>25332.57</v>
          </cell>
          <cell r="P474">
            <v>-578.49</v>
          </cell>
          <cell r="Q474">
            <v>104.9</v>
          </cell>
          <cell r="R474">
            <v>25437.47</v>
          </cell>
          <cell r="S474">
            <v>-683.38999999999896</v>
          </cell>
        </row>
        <row r="475">
          <cell r="A475" t="str">
            <v>1000/1420       NP 18-46 POLIDAP</v>
          </cell>
          <cell r="B475" t="str">
            <v>1003857    EDMAR</v>
          </cell>
          <cell r="C475" t="str">
            <v>KB Sprzed. bezpośrednia</v>
          </cell>
          <cell r="D475">
            <v>236742.84</v>
          </cell>
          <cell r="E475">
            <v>228</v>
          </cell>
          <cell r="F475">
            <v>211155.84</v>
          </cell>
          <cell r="G475">
            <v>9852.9899999999907</v>
          </cell>
          <cell r="H475">
            <v>2976.73</v>
          </cell>
          <cell r="I475">
            <v>16200.24</v>
          </cell>
          <cell r="J475">
            <v>0</v>
          </cell>
          <cell r="K475">
            <v>19176.97</v>
          </cell>
          <cell r="L475">
            <v>240185.799999999</v>
          </cell>
          <cell r="M475">
            <v>-3442.96</v>
          </cell>
          <cell r="N475">
            <v>0</v>
          </cell>
          <cell r="O475">
            <v>240185.799999999</v>
          </cell>
          <cell r="P475">
            <v>-3442.96</v>
          </cell>
          <cell r="Q475">
            <v>1002.53</v>
          </cell>
          <cell r="R475">
            <v>241188.329999999</v>
          </cell>
          <cell r="S475">
            <v>-4445.4899999999898</v>
          </cell>
        </row>
        <row r="476">
          <cell r="A476" t="str">
            <v>1000/1420       NP 18-46 POLIDAP</v>
          </cell>
          <cell r="B476" t="str">
            <v>1003904    "AGROCHEMIK"</v>
          </cell>
          <cell r="C476" t="str">
            <v>KB Sprzed. bezpośrednia</v>
          </cell>
          <cell r="D476">
            <v>150029.28</v>
          </cell>
          <cell r="E476">
            <v>144</v>
          </cell>
          <cell r="F476">
            <v>133244.59</v>
          </cell>
          <cell r="G476">
            <v>6244.0299999999897</v>
          </cell>
          <cell r="H476">
            <v>1880.04</v>
          </cell>
          <cell r="I476">
            <v>7926</v>
          </cell>
          <cell r="J476">
            <v>0</v>
          </cell>
          <cell r="K476">
            <v>9806.0400000000009</v>
          </cell>
          <cell r="L476">
            <v>149294.66</v>
          </cell>
          <cell r="M476">
            <v>734.62</v>
          </cell>
          <cell r="N476">
            <v>0</v>
          </cell>
          <cell r="O476">
            <v>149294.66</v>
          </cell>
          <cell r="P476">
            <v>734.62</v>
          </cell>
          <cell r="Q476">
            <v>632.61</v>
          </cell>
          <cell r="R476">
            <v>149927.269999999</v>
          </cell>
          <cell r="S476">
            <v>102.01</v>
          </cell>
        </row>
        <row r="477">
          <cell r="A477" t="str">
            <v>1000/1420       NP 18-46 POLIDAP</v>
          </cell>
          <cell r="B477" t="str">
            <v>1003904    "AGROCHEMIK"</v>
          </cell>
          <cell r="C477" t="str">
            <v>KC Centra dystrybucji</v>
          </cell>
          <cell r="D477">
            <v>25298.75</v>
          </cell>
          <cell r="E477">
            <v>25</v>
          </cell>
          <cell r="F477">
            <v>23017.48</v>
          </cell>
          <cell r="G477">
            <v>1052.93</v>
          </cell>
          <cell r="H477">
            <v>326.38</v>
          </cell>
          <cell r="I477">
            <v>0</v>
          </cell>
          <cell r="J477">
            <v>0</v>
          </cell>
          <cell r="K477">
            <v>326.38</v>
          </cell>
          <cell r="L477">
            <v>24396.79</v>
          </cell>
          <cell r="M477">
            <v>901.96</v>
          </cell>
          <cell r="N477">
            <v>0</v>
          </cell>
          <cell r="O477">
            <v>24396.79</v>
          </cell>
          <cell r="P477">
            <v>901.96</v>
          </cell>
          <cell r="Q477">
            <v>109.3</v>
          </cell>
          <cell r="R477">
            <v>24506.09</v>
          </cell>
          <cell r="S477">
            <v>792.65999999999894</v>
          </cell>
        </row>
        <row r="478">
          <cell r="A478" t="str">
            <v>1000/1420       NP 18-46 POLIDAP</v>
          </cell>
          <cell r="B478" t="str">
            <v>1003988    BLENDING Sp.z o.o.</v>
          </cell>
          <cell r="C478" t="str">
            <v>KB Sprzed. bezpośrednia</v>
          </cell>
          <cell r="D478">
            <v>253009.929999999</v>
          </cell>
          <cell r="E478">
            <v>252.74</v>
          </cell>
          <cell r="F478">
            <v>232493.66</v>
          </cell>
          <cell r="G478">
            <v>10530</v>
          </cell>
          <cell r="H478">
            <v>3299.6999999999898</v>
          </cell>
          <cell r="I478">
            <v>7601.88</v>
          </cell>
          <cell r="J478">
            <v>0</v>
          </cell>
          <cell r="K478">
            <v>10901.58</v>
          </cell>
          <cell r="L478">
            <v>253925.239999999</v>
          </cell>
          <cell r="M478">
            <v>-915.30999999999904</v>
          </cell>
          <cell r="N478">
            <v>0</v>
          </cell>
          <cell r="O478">
            <v>253925.239999999</v>
          </cell>
          <cell r="P478">
            <v>-915.30999999999904</v>
          </cell>
          <cell r="Q478">
            <v>1103.8800000000001</v>
          </cell>
          <cell r="R478">
            <v>255029.12</v>
          </cell>
          <cell r="S478">
            <v>-2019.19</v>
          </cell>
        </row>
        <row r="479">
          <cell r="A479" t="str">
            <v>1000/1420       NP 18-46 POLIDAP</v>
          </cell>
          <cell r="B479" t="str">
            <v>1004168    "OSADKOWSKI" SPÓŁKA</v>
          </cell>
          <cell r="C479" t="str">
            <v>KB Sprzed. bezpośrednia</v>
          </cell>
          <cell r="D479">
            <v>351788.799999999</v>
          </cell>
          <cell r="E479">
            <v>340</v>
          </cell>
          <cell r="F479">
            <v>317021.179999999</v>
          </cell>
          <cell r="G479">
            <v>14641.12</v>
          </cell>
          <cell r="H479">
            <v>4438.9499999999898</v>
          </cell>
          <cell r="I479">
            <v>11692.559999999899</v>
          </cell>
          <cell r="J479">
            <v>0</v>
          </cell>
          <cell r="K479">
            <v>16131.51</v>
          </cell>
          <cell r="L479">
            <v>347793.81</v>
          </cell>
          <cell r="M479">
            <v>3994.9899999999898</v>
          </cell>
          <cell r="N479">
            <v>0</v>
          </cell>
          <cell r="O479">
            <v>347793.81</v>
          </cell>
          <cell r="P479">
            <v>3994.9899999999898</v>
          </cell>
          <cell r="Q479">
            <v>1505.16</v>
          </cell>
          <cell r="R479">
            <v>349298.96999999898</v>
          </cell>
          <cell r="S479">
            <v>2489.8299999999899</v>
          </cell>
        </row>
        <row r="480">
          <cell r="A480" t="str">
            <v>1000/1420       NP 18-46 POLIDAP</v>
          </cell>
          <cell r="B480" t="str">
            <v>1004168    "OSADKOWSKI" SPÓŁKA</v>
          </cell>
          <cell r="C480" t="str">
            <v>KC Centra dystrybucji</v>
          </cell>
          <cell r="D480">
            <v>294676.25</v>
          </cell>
          <cell r="E480">
            <v>295.57999999999902</v>
          </cell>
          <cell r="F480">
            <v>289578.82</v>
          </cell>
          <cell r="G480">
            <v>12264.11</v>
          </cell>
          <cell r="H480">
            <v>3859.02</v>
          </cell>
          <cell r="I480">
            <v>0</v>
          </cell>
          <cell r="J480">
            <v>0</v>
          </cell>
          <cell r="K480">
            <v>3859.02</v>
          </cell>
          <cell r="L480">
            <v>305701.95</v>
          </cell>
          <cell r="M480">
            <v>-11025.7</v>
          </cell>
          <cell r="N480">
            <v>0</v>
          </cell>
          <cell r="O480">
            <v>305701.95</v>
          </cell>
          <cell r="P480">
            <v>-11025.7</v>
          </cell>
          <cell r="Q480">
            <v>1374.8599999999899</v>
          </cell>
          <cell r="R480">
            <v>307076.81</v>
          </cell>
          <cell r="S480">
            <v>-12400.559999999899</v>
          </cell>
        </row>
        <row r="481">
          <cell r="A481" t="str">
            <v>1000/1420       NP 18-46 POLIDAP</v>
          </cell>
          <cell r="B481" t="str">
            <v>1004208    Morawski-Sprzed.Art.</v>
          </cell>
          <cell r="C481" t="str">
            <v>KB Sprzed. bezpośrednia</v>
          </cell>
          <cell r="D481">
            <v>25004.880000000001</v>
          </cell>
          <cell r="E481">
            <v>24</v>
          </cell>
          <cell r="F481">
            <v>22096.779999999901</v>
          </cell>
          <cell r="G481">
            <v>1040.67</v>
          </cell>
          <cell r="H481">
            <v>313.33999999999901</v>
          </cell>
          <cell r="I481">
            <v>1335.1199999999899</v>
          </cell>
          <cell r="J481">
            <v>0</v>
          </cell>
          <cell r="K481">
            <v>1648.46</v>
          </cell>
          <cell r="L481">
            <v>24785.91</v>
          </cell>
          <cell r="M481">
            <v>218.97</v>
          </cell>
          <cell r="N481">
            <v>0</v>
          </cell>
          <cell r="O481">
            <v>24785.91</v>
          </cell>
          <cell r="P481">
            <v>218.97</v>
          </cell>
          <cell r="Q481">
            <v>104.9</v>
          </cell>
          <cell r="R481">
            <v>24890.81</v>
          </cell>
          <cell r="S481">
            <v>114.069999999999</v>
          </cell>
        </row>
        <row r="482">
          <cell r="A482" t="str">
            <v>1000/1420       NP 18-46 POLIDAP</v>
          </cell>
          <cell r="B482" t="str">
            <v>1004534    FIRMA HANDLOWA "ROLB</v>
          </cell>
          <cell r="C482" t="str">
            <v>KB Sprzed. bezpośrednia</v>
          </cell>
          <cell r="D482">
            <v>73140</v>
          </cell>
          <cell r="E482">
            <v>73</v>
          </cell>
          <cell r="F482">
            <v>67211.039999999906</v>
          </cell>
          <cell r="G482">
            <v>3044.01</v>
          </cell>
          <cell r="H482">
            <v>953.08</v>
          </cell>
          <cell r="I482">
            <v>1414.78</v>
          </cell>
          <cell r="J482">
            <v>0</v>
          </cell>
          <cell r="K482">
            <v>2367.86</v>
          </cell>
          <cell r="L482">
            <v>72622.91</v>
          </cell>
          <cell r="M482">
            <v>517.09</v>
          </cell>
          <cell r="N482">
            <v>0</v>
          </cell>
          <cell r="O482">
            <v>72622.91</v>
          </cell>
          <cell r="P482">
            <v>517.09</v>
          </cell>
          <cell r="Q482">
            <v>319.10000000000002</v>
          </cell>
          <cell r="R482">
            <v>72942.009999999893</v>
          </cell>
          <cell r="S482">
            <v>197.99</v>
          </cell>
        </row>
        <row r="483">
          <cell r="A483" t="str">
            <v>1000/1420       NP 18-46 POLIDAP</v>
          </cell>
          <cell r="B483" t="str">
            <v>1004709    PRZEDSIĘBIORSTWO PRO</v>
          </cell>
          <cell r="C483" t="str">
            <v>KB Sprzed. bezpośrednia</v>
          </cell>
          <cell r="D483">
            <v>25291.75</v>
          </cell>
          <cell r="E483">
            <v>25</v>
          </cell>
          <cell r="F483">
            <v>23017.48</v>
          </cell>
          <cell r="G483">
            <v>1052.6400000000001</v>
          </cell>
          <cell r="H483">
            <v>326.38</v>
          </cell>
          <cell r="I483">
            <v>924.40999999999894</v>
          </cell>
          <cell r="J483">
            <v>0</v>
          </cell>
          <cell r="K483">
            <v>1250.79</v>
          </cell>
          <cell r="L483">
            <v>25320.91</v>
          </cell>
          <cell r="M483">
            <v>-29.16</v>
          </cell>
          <cell r="N483">
            <v>0</v>
          </cell>
          <cell r="O483">
            <v>25320.91</v>
          </cell>
          <cell r="P483">
            <v>-29.16</v>
          </cell>
          <cell r="Q483">
            <v>109.3</v>
          </cell>
          <cell r="R483">
            <v>25430.209999999901</v>
          </cell>
          <cell r="S483">
            <v>-138.46</v>
          </cell>
        </row>
        <row r="484">
          <cell r="A484" t="str">
            <v>1000/1420       NP 18-46 POLIDAP</v>
          </cell>
          <cell r="B484" t="str">
            <v>1004710    "AGRICOLA-LUBLIN" SP</v>
          </cell>
          <cell r="C484" t="str">
            <v>KB Sprzed. bezpośrednia</v>
          </cell>
          <cell r="D484">
            <v>3094.23</v>
          </cell>
          <cell r="E484">
            <v>3</v>
          </cell>
          <cell r="F484">
            <v>2845.09</v>
          </cell>
          <cell r="G484">
            <v>128.78</v>
          </cell>
          <cell r="H484">
            <v>39.149999999999899</v>
          </cell>
          <cell r="I484">
            <v>216.569999999999</v>
          </cell>
          <cell r="J484">
            <v>0</v>
          </cell>
          <cell r="K484">
            <v>255.72</v>
          </cell>
          <cell r="L484">
            <v>3229.59</v>
          </cell>
          <cell r="M484">
            <v>-135.36000000000001</v>
          </cell>
          <cell r="N484">
            <v>0</v>
          </cell>
          <cell r="O484">
            <v>3229.59</v>
          </cell>
          <cell r="P484">
            <v>-135.36000000000001</v>
          </cell>
          <cell r="Q484">
            <v>13.5</v>
          </cell>
          <cell r="R484">
            <v>3243.09</v>
          </cell>
          <cell r="S484">
            <v>-148.86000000000001</v>
          </cell>
        </row>
        <row r="485">
          <cell r="A485" t="str">
            <v>1000/1420       NP 18-46 POLIDAP</v>
          </cell>
          <cell r="B485" t="str">
            <v>1004737    PH-U"AGRO-PLON"</v>
          </cell>
          <cell r="C485" t="str">
            <v>KB Sprzed. bezpośrednia</v>
          </cell>
          <cell r="D485">
            <v>73626.720000000001</v>
          </cell>
          <cell r="E485">
            <v>72</v>
          </cell>
          <cell r="F485">
            <v>66290.339999999895</v>
          </cell>
          <cell r="G485">
            <v>3064.2399999999898</v>
          </cell>
          <cell r="H485">
            <v>939.97</v>
          </cell>
          <cell r="I485">
            <v>2685.84</v>
          </cell>
          <cell r="J485">
            <v>0</v>
          </cell>
          <cell r="K485">
            <v>3625.8099999999899</v>
          </cell>
          <cell r="L485">
            <v>72980.389999999898</v>
          </cell>
          <cell r="M485">
            <v>646.33000000000004</v>
          </cell>
          <cell r="N485">
            <v>0</v>
          </cell>
          <cell r="O485">
            <v>72980.389999999898</v>
          </cell>
          <cell r="P485">
            <v>646.33000000000004</v>
          </cell>
          <cell r="Q485">
            <v>314.75</v>
          </cell>
          <cell r="R485">
            <v>73295.139999999898</v>
          </cell>
          <cell r="S485">
            <v>331.57999999999902</v>
          </cell>
        </row>
        <row r="486">
          <cell r="A486" t="str">
            <v>1000/1420       NP 18-46 POLIDAP</v>
          </cell>
          <cell r="B486" t="str">
            <v>1004753    AMBROŻY SP. Z O.O.</v>
          </cell>
          <cell r="C486" t="str">
            <v>KB Sprzed. bezpośrednia</v>
          </cell>
          <cell r="D486">
            <v>23111.549999999901</v>
          </cell>
          <cell r="E486">
            <v>23</v>
          </cell>
          <cell r="F486">
            <v>22909.06</v>
          </cell>
          <cell r="G486">
            <v>961.89999999999895</v>
          </cell>
          <cell r="H486">
            <v>300.29000000000002</v>
          </cell>
          <cell r="I486">
            <v>0</v>
          </cell>
          <cell r="J486">
            <v>0</v>
          </cell>
          <cell r="K486">
            <v>300.29000000000002</v>
          </cell>
          <cell r="L486">
            <v>24171.25</v>
          </cell>
          <cell r="M486">
            <v>-1059.7</v>
          </cell>
          <cell r="N486">
            <v>0</v>
          </cell>
          <cell r="O486">
            <v>24171.25</v>
          </cell>
          <cell r="P486">
            <v>-1059.7</v>
          </cell>
          <cell r="Q486">
            <v>108.76</v>
          </cell>
          <cell r="R486">
            <v>24280.0099999999</v>
          </cell>
          <cell r="S486">
            <v>-1168.46</v>
          </cell>
        </row>
        <row r="487">
          <cell r="A487" t="str">
            <v>1000/1422       NPK 12-12-12-11</v>
          </cell>
          <cell r="B487" t="str">
            <v>Nieprzypisane</v>
          </cell>
          <cell r="C487" t="str">
            <v>Nieprzypisane</v>
          </cell>
          <cell r="D487">
            <v>0</v>
          </cell>
          <cell r="E487">
            <v>0</v>
          </cell>
          <cell r="F487">
            <v>458.12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458.12</v>
          </cell>
          <cell r="M487">
            <v>-458.12</v>
          </cell>
          <cell r="N487">
            <v>0</v>
          </cell>
          <cell r="O487">
            <v>458.12</v>
          </cell>
          <cell r="P487">
            <v>-458.12</v>
          </cell>
          <cell r="Q487">
            <v>0</v>
          </cell>
          <cell r="R487">
            <v>458.12</v>
          </cell>
          <cell r="S487">
            <v>-458.12</v>
          </cell>
        </row>
        <row r="488">
          <cell r="A488" t="str">
            <v>1000/1422       NPK 12-12-12-11</v>
          </cell>
          <cell r="B488" t="str">
            <v>1000080    CN-KIELCE</v>
          </cell>
          <cell r="C488" t="str">
            <v>KB Sprzed. bezpośrednia</v>
          </cell>
          <cell r="D488">
            <v>38957.760000000002</v>
          </cell>
          <cell r="E488">
            <v>48</v>
          </cell>
          <cell r="F488">
            <v>25845.54</v>
          </cell>
          <cell r="G488">
            <v>1621.4</v>
          </cell>
          <cell r="H488">
            <v>165</v>
          </cell>
          <cell r="I488">
            <v>3274.5599999999899</v>
          </cell>
          <cell r="J488">
            <v>0</v>
          </cell>
          <cell r="K488">
            <v>3439.5599999999899</v>
          </cell>
          <cell r="L488">
            <v>30906.5</v>
          </cell>
          <cell r="M488">
            <v>8051.26</v>
          </cell>
          <cell r="N488">
            <v>0</v>
          </cell>
          <cell r="O488">
            <v>30906.5</v>
          </cell>
          <cell r="P488">
            <v>8051.26</v>
          </cell>
          <cell r="Q488">
            <v>122.7</v>
          </cell>
          <cell r="R488">
            <v>31029.200000000001</v>
          </cell>
          <cell r="S488">
            <v>7928.56</v>
          </cell>
        </row>
        <row r="489">
          <cell r="A489" t="str">
            <v>1000/1422       NPK 12-12-12-11</v>
          </cell>
          <cell r="B489" t="str">
            <v>1000117    SKIBA</v>
          </cell>
          <cell r="C489" t="str">
            <v>KB Sprzed. bezpośrednia</v>
          </cell>
          <cell r="D489">
            <v>9690.84</v>
          </cell>
          <cell r="E489">
            <v>12</v>
          </cell>
          <cell r="F489">
            <v>6576.1099999999897</v>
          </cell>
          <cell r="G489">
            <v>403.32999999999902</v>
          </cell>
          <cell r="H489">
            <v>41.25</v>
          </cell>
          <cell r="I489">
            <v>965.75999999999897</v>
          </cell>
          <cell r="J489">
            <v>0</v>
          </cell>
          <cell r="K489">
            <v>1007.01</v>
          </cell>
          <cell r="L489">
            <v>7986.4499999999898</v>
          </cell>
          <cell r="M489">
            <v>1704.39</v>
          </cell>
          <cell r="N489">
            <v>0</v>
          </cell>
          <cell r="O489">
            <v>7986.4499999999898</v>
          </cell>
          <cell r="P489">
            <v>1704.39</v>
          </cell>
          <cell r="Q489">
            <v>31.21</v>
          </cell>
          <cell r="R489">
            <v>8017.6599999999899</v>
          </cell>
          <cell r="S489">
            <v>1673.18</v>
          </cell>
        </row>
        <row r="490">
          <cell r="A490" t="str">
            <v>1000/1422       NPK 12-12-12-11</v>
          </cell>
          <cell r="B490" t="str">
            <v>1000141    SKR-Łaszczów</v>
          </cell>
          <cell r="C490" t="str">
            <v>KB Sprzed. bezpośrednia</v>
          </cell>
          <cell r="D490">
            <v>9900</v>
          </cell>
          <cell r="E490">
            <v>12</v>
          </cell>
          <cell r="F490">
            <v>6576.1099999999897</v>
          </cell>
          <cell r="G490">
            <v>412.06</v>
          </cell>
          <cell r="H490">
            <v>41.25</v>
          </cell>
          <cell r="I490">
            <v>1038.1199999999899</v>
          </cell>
          <cell r="J490">
            <v>0</v>
          </cell>
          <cell r="K490">
            <v>1079.3699999999899</v>
          </cell>
          <cell r="L490">
            <v>8067.54</v>
          </cell>
          <cell r="M490">
            <v>1832.46</v>
          </cell>
          <cell r="N490">
            <v>0</v>
          </cell>
          <cell r="O490">
            <v>8067.54</v>
          </cell>
          <cell r="P490">
            <v>1832.46</v>
          </cell>
          <cell r="Q490">
            <v>31.21</v>
          </cell>
          <cell r="R490">
            <v>8098.75</v>
          </cell>
          <cell r="S490">
            <v>1801.25</v>
          </cell>
        </row>
        <row r="491">
          <cell r="A491" t="str">
            <v>1000/1422       NPK 12-12-12-11</v>
          </cell>
          <cell r="B491" t="str">
            <v>1000150    GS-GRODZIS</v>
          </cell>
          <cell r="C491" t="str">
            <v>KB Sprzed. bezpośrednia</v>
          </cell>
          <cell r="D491">
            <v>19381.68</v>
          </cell>
          <cell r="E491">
            <v>24</v>
          </cell>
          <cell r="F491">
            <v>13152.219999999899</v>
          </cell>
          <cell r="G491">
            <v>806.65999999999894</v>
          </cell>
          <cell r="H491">
            <v>82.5</v>
          </cell>
          <cell r="I491">
            <v>1999.3199999999899</v>
          </cell>
          <cell r="J491">
            <v>0</v>
          </cell>
          <cell r="K491">
            <v>2081.8200000000002</v>
          </cell>
          <cell r="L491">
            <v>16040.7</v>
          </cell>
          <cell r="M491">
            <v>3340.98</v>
          </cell>
          <cell r="N491">
            <v>0</v>
          </cell>
          <cell r="O491">
            <v>16040.7</v>
          </cell>
          <cell r="P491">
            <v>3340.98</v>
          </cell>
          <cell r="Q491">
            <v>62.46</v>
          </cell>
          <cell r="R491">
            <v>16103.16</v>
          </cell>
          <cell r="S491">
            <v>3278.52</v>
          </cell>
        </row>
        <row r="492">
          <cell r="A492" t="str">
            <v>1000/1422       NPK 12-12-12-11</v>
          </cell>
          <cell r="B492" t="str">
            <v>1000203    BISO S.C.</v>
          </cell>
          <cell r="C492" t="str">
            <v>KB Sprzed. bezpośrednia</v>
          </cell>
          <cell r="D492">
            <v>19381.68</v>
          </cell>
          <cell r="E492">
            <v>24</v>
          </cell>
          <cell r="F492">
            <v>13152.219999999899</v>
          </cell>
          <cell r="G492">
            <v>806.65999999999894</v>
          </cell>
          <cell r="H492">
            <v>82.5</v>
          </cell>
          <cell r="I492">
            <v>1030.0799999999899</v>
          </cell>
          <cell r="J492">
            <v>0</v>
          </cell>
          <cell r="K492">
            <v>1112.5799999999899</v>
          </cell>
          <cell r="L492">
            <v>15071.459999999901</v>
          </cell>
          <cell r="M492">
            <v>4310.22</v>
          </cell>
          <cell r="N492">
            <v>0</v>
          </cell>
          <cell r="O492">
            <v>15071.459999999901</v>
          </cell>
          <cell r="P492">
            <v>4310.22</v>
          </cell>
          <cell r="Q492">
            <v>62.46</v>
          </cell>
          <cell r="R492">
            <v>15133.92</v>
          </cell>
          <cell r="S492">
            <v>4247.76</v>
          </cell>
        </row>
        <row r="493">
          <cell r="A493" t="str">
            <v>1000/1422       NPK 12-12-12-11</v>
          </cell>
          <cell r="B493" t="str">
            <v>1000252    AGROSKŁAD</v>
          </cell>
          <cell r="C493" t="str">
            <v>KB Sprzed. bezpośrednia</v>
          </cell>
          <cell r="D493">
            <v>39105</v>
          </cell>
          <cell r="E493">
            <v>50</v>
          </cell>
          <cell r="F493">
            <v>27400.459999999901</v>
          </cell>
          <cell r="G493">
            <v>1627.5</v>
          </cell>
          <cell r="H493">
            <v>171.88</v>
          </cell>
          <cell r="I493">
            <v>4550.72</v>
          </cell>
          <cell r="J493">
            <v>0</v>
          </cell>
          <cell r="K493">
            <v>4722.6000000000004</v>
          </cell>
          <cell r="L493">
            <v>33750.559999999903</v>
          </cell>
          <cell r="M493">
            <v>5354.4399999999896</v>
          </cell>
          <cell r="N493">
            <v>0</v>
          </cell>
          <cell r="O493">
            <v>33750.559999999903</v>
          </cell>
          <cell r="P493">
            <v>5354.4399999999896</v>
          </cell>
          <cell r="Q493">
            <v>130.09</v>
          </cell>
          <cell r="R493">
            <v>33880.65</v>
          </cell>
          <cell r="S493">
            <v>5224.3500000000004</v>
          </cell>
        </row>
        <row r="494">
          <cell r="A494" t="str">
            <v>1000/1422       NPK 12-12-12-11</v>
          </cell>
          <cell r="B494" t="str">
            <v>1000277    ATRANS</v>
          </cell>
          <cell r="C494" t="str">
            <v>KB Sprzed. bezpośrednia</v>
          </cell>
          <cell r="D494">
            <v>19800</v>
          </cell>
          <cell r="E494">
            <v>24</v>
          </cell>
          <cell r="F494">
            <v>13152.219999999899</v>
          </cell>
          <cell r="G494">
            <v>824.01999999999896</v>
          </cell>
          <cell r="H494">
            <v>82.5</v>
          </cell>
          <cell r="I494">
            <v>1684.5599999999899</v>
          </cell>
          <cell r="J494">
            <v>0</v>
          </cell>
          <cell r="K494">
            <v>1767.0599999999899</v>
          </cell>
          <cell r="L494">
            <v>15743.299999999899</v>
          </cell>
          <cell r="M494">
            <v>4056.6999999999898</v>
          </cell>
          <cell r="N494">
            <v>0</v>
          </cell>
          <cell r="O494">
            <v>15743.299999999899</v>
          </cell>
          <cell r="P494">
            <v>4056.6999999999898</v>
          </cell>
          <cell r="Q494">
            <v>62.46</v>
          </cell>
          <cell r="R494">
            <v>15805.76</v>
          </cell>
          <cell r="S494">
            <v>3994.2399999999898</v>
          </cell>
        </row>
        <row r="495">
          <cell r="A495" t="str">
            <v>1000/1422       NPK 12-12-12-11</v>
          </cell>
          <cell r="B495" t="str">
            <v>1000525    MAX-PLON</v>
          </cell>
          <cell r="C495" t="str">
            <v>KB Sprzed. bezpośrednia</v>
          </cell>
          <cell r="D495">
            <v>19440</v>
          </cell>
          <cell r="E495">
            <v>24</v>
          </cell>
          <cell r="F495">
            <v>13152.219999999899</v>
          </cell>
          <cell r="G495">
            <v>809.11</v>
          </cell>
          <cell r="H495">
            <v>82.5</v>
          </cell>
          <cell r="I495">
            <v>2076.2399999999898</v>
          </cell>
          <cell r="J495">
            <v>0</v>
          </cell>
          <cell r="K495">
            <v>2158.7399999999898</v>
          </cell>
          <cell r="L495">
            <v>16120.07</v>
          </cell>
          <cell r="M495">
            <v>3319.9299999999898</v>
          </cell>
          <cell r="N495">
            <v>0</v>
          </cell>
          <cell r="O495">
            <v>16120.07</v>
          </cell>
          <cell r="P495">
            <v>3319.9299999999898</v>
          </cell>
          <cell r="Q495">
            <v>62.46</v>
          </cell>
          <cell r="R495">
            <v>16182.53</v>
          </cell>
          <cell r="S495">
            <v>3257.4699999999898</v>
          </cell>
        </row>
        <row r="496">
          <cell r="A496" t="str">
            <v>1000/1422       NPK 12-12-12-11</v>
          </cell>
          <cell r="B496" t="str">
            <v>1000592    NOŻYŃSKI</v>
          </cell>
          <cell r="C496" t="str">
            <v>KB Sprzed. bezpośrednia</v>
          </cell>
          <cell r="D496">
            <v>19381.68</v>
          </cell>
          <cell r="E496">
            <v>24</v>
          </cell>
          <cell r="F496">
            <v>13152.219999999899</v>
          </cell>
          <cell r="G496">
            <v>806.65999999999894</v>
          </cell>
          <cell r="H496">
            <v>82.5</v>
          </cell>
          <cell r="I496">
            <v>1971.1199999999899</v>
          </cell>
          <cell r="J496">
            <v>0</v>
          </cell>
          <cell r="K496">
            <v>2053.6199999999899</v>
          </cell>
          <cell r="L496">
            <v>16012.5</v>
          </cell>
          <cell r="M496">
            <v>3369.1799999999898</v>
          </cell>
          <cell r="N496">
            <v>0</v>
          </cell>
          <cell r="O496">
            <v>16012.5</v>
          </cell>
          <cell r="P496">
            <v>3369.1799999999898</v>
          </cell>
          <cell r="Q496">
            <v>62.46</v>
          </cell>
          <cell r="R496">
            <v>16074.959999999901</v>
          </cell>
          <cell r="S496">
            <v>3306.7199999999898</v>
          </cell>
        </row>
        <row r="497">
          <cell r="A497" t="str">
            <v>1000/1422       NPK 12-12-12-11</v>
          </cell>
          <cell r="B497" t="str">
            <v>1000675    Zaopatrz.Roln. Andrz</v>
          </cell>
          <cell r="C497" t="str">
            <v>KB Sprzed. bezpośrednia</v>
          </cell>
          <cell r="D497">
            <v>18231.5999999999</v>
          </cell>
          <cell r="E497">
            <v>24</v>
          </cell>
          <cell r="F497">
            <v>13152.219999999899</v>
          </cell>
          <cell r="G497">
            <v>758.82</v>
          </cell>
          <cell r="H497">
            <v>82.5</v>
          </cell>
          <cell r="I497">
            <v>0</v>
          </cell>
          <cell r="J497">
            <v>0</v>
          </cell>
          <cell r="K497">
            <v>82.5</v>
          </cell>
          <cell r="L497">
            <v>13993.54</v>
          </cell>
          <cell r="M497">
            <v>4238.0600000000004</v>
          </cell>
          <cell r="N497">
            <v>0</v>
          </cell>
          <cell r="O497">
            <v>13993.54</v>
          </cell>
          <cell r="P497">
            <v>4238.0600000000004</v>
          </cell>
          <cell r="Q497">
            <v>62.46</v>
          </cell>
          <cell r="R497">
            <v>14056</v>
          </cell>
          <cell r="S497">
            <v>4175.6000000000004</v>
          </cell>
        </row>
        <row r="498">
          <cell r="A498" t="str">
            <v>1000/1422       NPK 12-12-12-11</v>
          </cell>
          <cell r="B498" t="str">
            <v>1000725    SGS-LUBLIN</v>
          </cell>
          <cell r="C498" t="str">
            <v>KB Sprzed. bezpośrednia</v>
          </cell>
          <cell r="D498">
            <v>9720</v>
          </cell>
          <cell r="E498">
            <v>12</v>
          </cell>
          <cell r="F498">
            <v>6576.1099999999897</v>
          </cell>
          <cell r="G498">
            <v>404.51999999999902</v>
          </cell>
          <cell r="H498">
            <v>41.25</v>
          </cell>
          <cell r="I498">
            <v>913.55999999999904</v>
          </cell>
          <cell r="J498">
            <v>0</v>
          </cell>
          <cell r="K498">
            <v>954.80999999999904</v>
          </cell>
          <cell r="L498">
            <v>7935.4399999999896</v>
          </cell>
          <cell r="M498">
            <v>1784.5599999999899</v>
          </cell>
          <cell r="N498">
            <v>0</v>
          </cell>
          <cell r="O498">
            <v>7935.4399999999896</v>
          </cell>
          <cell r="P498">
            <v>1784.5599999999899</v>
          </cell>
          <cell r="Q498">
            <v>31.21</v>
          </cell>
          <cell r="R498">
            <v>7966.6499999999896</v>
          </cell>
          <cell r="S498">
            <v>1753.3499999999899</v>
          </cell>
        </row>
        <row r="499">
          <cell r="A499" t="str">
            <v>1000/1422       NPK 12-12-12-11</v>
          </cell>
          <cell r="B499" t="str">
            <v>1001253    ROL-MECH SP. Z O.O.</v>
          </cell>
          <cell r="C499" t="str">
            <v>KB Sprzed. bezpośrednia</v>
          </cell>
          <cell r="D499">
            <v>126339.52</v>
          </cell>
          <cell r="E499">
            <v>157</v>
          </cell>
          <cell r="F499">
            <v>86037.440000000002</v>
          </cell>
          <cell r="G499">
            <v>5258.1499999999896</v>
          </cell>
          <cell r="H499">
            <v>539.69000000000005</v>
          </cell>
          <cell r="I499">
            <v>13900.94</v>
          </cell>
          <cell r="J499">
            <v>0</v>
          </cell>
          <cell r="K499">
            <v>14440.629999999899</v>
          </cell>
          <cell r="L499">
            <v>105736.22</v>
          </cell>
          <cell r="M499">
            <v>20603.299999999901</v>
          </cell>
          <cell r="N499">
            <v>0</v>
          </cell>
          <cell r="O499">
            <v>105736.22</v>
          </cell>
          <cell r="P499">
            <v>20603.299999999901</v>
          </cell>
          <cell r="Q499">
            <v>408.5</v>
          </cell>
          <cell r="R499">
            <v>106144.72</v>
          </cell>
          <cell r="S499">
            <v>20194.799999999901</v>
          </cell>
        </row>
        <row r="500">
          <cell r="A500" t="str">
            <v>1000/1422       NPK 12-12-12-11</v>
          </cell>
          <cell r="B500" t="str">
            <v>1001519    "ARGOL" LESZEK KALIS</v>
          </cell>
          <cell r="C500" t="str">
            <v>KB Sprzed. bezpośrednia</v>
          </cell>
          <cell r="D500">
            <v>19800</v>
          </cell>
          <cell r="E500">
            <v>24</v>
          </cell>
          <cell r="F500">
            <v>13152.219999999899</v>
          </cell>
          <cell r="G500">
            <v>824.01999999999896</v>
          </cell>
          <cell r="H500">
            <v>82.5</v>
          </cell>
          <cell r="I500">
            <v>1590</v>
          </cell>
          <cell r="J500">
            <v>0</v>
          </cell>
          <cell r="K500">
            <v>1672.5</v>
          </cell>
          <cell r="L500">
            <v>15648.74</v>
          </cell>
          <cell r="M500">
            <v>4151.26</v>
          </cell>
          <cell r="N500">
            <v>0</v>
          </cell>
          <cell r="O500">
            <v>15648.74</v>
          </cell>
          <cell r="P500">
            <v>4151.26</v>
          </cell>
          <cell r="Q500">
            <v>62.46</v>
          </cell>
          <cell r="R500">
            <v>15711.2</v>
          </cell>
          <cell r="S500">
            <v>4088.8</v>
          </cell>
        </row>
        <row r="501">
          <cell r="A501" t="str">
            <v>1000/1422       NPK 12-12-12-11</v>
          </cell>
          <cell r="B501" t="str">
            <v>1001705    AGROSTART</v>
          </cell>
          <cell r="C501" t="str">
            <v>KB Sprzed. bezpośrednia</v>
          </cell>
          <cell r="D501">
            <v>44579.699999999903</v>
          </cell>
          <cell r="E501">
            <v>57</v>
          </cell>
          <cell r="F501">
            <v>31236.529999999901</v>
          </cell>
          <cell r="G501">
            <v>1855.3499999999899</v>
          </cell>
          <cell r="H501">
            <v>195.94</v>
          </cell>
          <cell r="I501">
            <v>1685.8099999999899</v>
          </cell>
          <cell r="J501">
            <v>0</v>
          </cell>
          <cell r="K501">
            <v>1881.75</v>
          </cell>
          <cell r="L501">
            <v>34973.629999999903</v>
          </cell>
          <cell r="M501">
            <v>9606.0699999999906</v>
          </cell>
          <cell r="N501">
            <v>0</v>
          </cell>
          <cell r="O501">
            <v>34973.629999999903</v>
          </cell>
          <cell r="P501">
            <v>9606.0699999999906</v>
          </cell>
          <cell r="Q501">
            <v>148.31</v>
          </cell>
          <cell r="R501">
            <v>35121.94</v>
          </cell>
          <cell r="S501">
            <v>9457.76</v>
          </cell>
        </row>
        <row r="502">
          <cell r="A502" t="str">
            <v>1000/1422       NPK 12-12-12-11</v>
          </cell>
          <cell r="B502" t="str">
            <v>1001983    FAZOT</v>
          </cell>
          <cell r="C502" t="str">
            <v>KB Sprzed. bezpośrednia</v>
          </cell>
          <cell r="D502">
            <v>37616.400000000001</v>
          </cell>
          <cell r="E502">
            <v>48</v>
          </cell>
          <cell r="F502">
            <v>26304.2599999999</v>
          </cell>
          <cell r="G502">
            <v>1565.5799999999899</v>
          </cell>
          <cell r="H502">
            <v>165</v>
          </cell>
          <cell r="I502">
            <v>1779.1199999999899</v>
          </cell>
          <cell r="J502">
            <v>0</v>
          </cell>
          <cell r="K502">
            <v>1944.1199999999899</v>
          </cell>
          <cell r="L502">
            <v>29813.959999999901</v>
          </cell>
          <cell r="M502">
            <v>7802.4399999999896</v>
          </cell>
          <cell r="N502">
            <v>0</v>
          </cell>
          <cell r="O502">
            <v>29813.959999999901</v>
          </cell>
          <cell r="P502">
            <v>7802.4399999999896</v>
          </cell>
          <cell r="Q502">
            <v>124.89</v>
          </cell>
          <cell r="R502">
            <v>29938.8499999999</v>
          </cell>
          <cell r="S502">
            <v>7677.55</v>
          </cell>
        </row>
        <row r="503">
          <cell r="A503" t="str">
            <v>1000/1422       NPK 12-12-12-11</v>
          </cell>
          <cell r="B503" t="str">
            <v>1001991    WAMEX</v>
          </cell>
          <cell r="C503" t="str">
            <v>KB Sprzed. bezpośrednia</v>
          </cell>
          <cell r="D503">
            <v>19381.68</v>
          </cell>
          <cell r="E503">
            <v>24</v>
          </cell>
          <cell r="F503">
            <v>13152.219999999899</v>
          </cell>
          <cell r="G503">
            <v>806.65999999999894</v>
          </cell>
          <cell r="H503">
            <v>82.5</v>
          </cell>
          <cell r="I503">
            <v>1852.8</v>
          </cell>
          <cell r="J503">
            <v>0</v>
          </cell>
          <cell r="K503">
            <v>1935.3</v>
          </cell>
          <cell r="L503">
            <v>15894.18</v>
          </cell>
          <cell r="M503">
            <v>3487.5</v>
          </cell>
          <cell r="N503">
            <v>0</v>
          </cell>
          <cell r="O503">
            <v>15894.18</v>
          </cell>
          <cell r="P503">
            <v>3487.5</v>
          </cell>
          <cell r="Q503">
            <v>62.46</v>
          </cell>
          <cell r="R503">
            <v>15956.639999999899</v>
          </cell>
          <cell r="S503">
            <v>3425.04</v>
          </cell>
        </row>
        <row r="504">
          <cell r="A504" t="str">
            <v>1000/1422       NPK 12-12-12-11</v>
          </cell>
          <cell r="B504" t="str">
            <v>1003827    STAL-BUD</v>
          </cell>
          <cell r="C504" t="str">
            <v>KB Sprzed. bezpośrednia</v>
          </cell>
          <cell r="D504">
            <v>38491.199999999903</v>
          </cell>
          <cell r="E504">
            <v>48</v>
          </cell>
          <cell r="F504">
            <v>26304.4399999999</v>
          </cell>
          <cell r="G504">
            <v>1601.99</v>
          </cell>
          <cell r="H504">
            <v>165</v>
          </cell>
          <cell r="I504">
            <v>3863.28</v>
          </cell>
          <cell r="J504">
            <v>0</v>
          </cell>
          <cell r="K504">
            <v>4028.28</v>
          </cell>
          <cell r="L504">
            <v>31934.709999999901</v>
          </cell>
          <cell r="M504">
            <v>6556.4899999999898</v>
          </cell>
          <cell r="N504">
            <v>0</v>
          </cell>
          <cell r="O504">
            <v>31934.709999999901</v>
          </cell>
          <cell r="P504">
            <v>6556.4899999999898</v>
          </cell>
          <cell r="Q504">
            <v>124.89</v>
          </cell>
          <cell r="R504">
            <v>32059.5999999999</v>
          </cell>
          <cell r="S504">
            <v>6431.6</v>
          </cell>
        </row>
        <row r="505">
          <cell r="A505" t="str">
            <v>1000/1422       NPK 12-12-12-11</v>
          </cell>
          <cell r="B505" t="str">
            <v>1003857    EDMAR</v>
          </cell>
          <cell r="C505" t="str">
            <v>KB Sprzed. bezpośrednia</v>
          </cell>
          <cell r="D505">
            <v>231503.519999999</v>
          </cell>
          <cell r="E505">
            <v>288</v>
          </cell>
          <cell r="F505">
            <v>157826.64000000001</v>
          </cell>
          <cell r="G505">
            <v>9634.92</v>
          </cell>
          <cell r="H505">
            <v>989.98</v>
          </cell>
          <cell r="I505">
            <v>18621.959999999901</v>
          </cell>
          <cell r="J505">
            <v>0</v>
          </cell>
          <cell r="K505">
            <v>19611.9399999999</v>
          </cell>
          <cell r="L505">
            <v>187073.5</v>
          </cell>
          <cell r="M505">
            <v>44430.019999999902</v>
          </cell>
          <cell r="N505">
            <v>0</v>
          </cell>
          <cell r="O505">
            <v>187073.5</v>
          </cell>
          <cell r="P505">
            <v>44430.019999999902</v>
          </cell>
          <cell r="Q505">
            <v>749.35</v>
          </cell>
          <cell r="R505">
            <v>187822.85</v>
          </cell>
          <cell r="S505">
            <v>43680.669999999896</v>
          </cell>
        </row>
        <row r="506">
          <cell r="A506" t="str">
            <v>1000/1425       NPK 13-13-21</v>
          </cell>
          <cell r="B506" t="str">
            <v>1003056    LECHPOL SP. Z O.O.</v>
          </cell>
          <cell r="C506" t="str">
            <v>KB Sprzed. bezpośrednia</v>
          </cell>
          <cell r="D506">
            <v>51840</v>
          </cell>
          <cell r="E506">
            <v>72</v>
          </cell>
          <cell r="F506">
            <v>51961.48</v>
          </cell>
          <cell r="G506">
            <v>2157.5100000000002</v>
          </cell>
          <cell r="H506">
            <v>80.87</v>
          </cell>
          <cell r="I506">
            <v>0</v>
          </cell>
          <cell r="J506">
            <v>0</v>
          </cell>
          <cell r="K506">
            <v>80.87</v>
          </cell>
          <cell r="L506">
            <v>54199.86</v>
          </cell>
          <cell r="M506">
            <v>-2359.86</v>
          </cell>
          <cell r="N506">
            <v>0</v>
          </cell>
          <cell r="O506">
            <v>54199.86</v>
          </cell>
          <cell r="P506">
            <v>-2359.86</v>
          </cell>
          <cell r="Q506">
            <v>246.69</v>
          </cell>
          <cell r="R506">
            <v>54446.55</v>
          </cell>
          <cell r="S506">
            <v>-2606.5500000000002</v>
          </cell>
        </row>
        <row r="507">
          <cell r="A507" t="str">
            <v>1000/1428       NPK 11-8-20</v>
          </cell>
          <cell r="B507" t="str">
            <v>Nieprzypisane</v>
          </cell>
          <cell r="C507" t="str">
            <v>Nieprzypisane</v>
          </cell>
          <cell r="D507">
            <v>0</v>
          </cell>
          <cell r="E507">
            <v>0</v>
          </cell>
          <cell r="F507">
            <v>591.24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591.24</v>
          </cell>
          <cell r="M507">
            <v>-591.24</v>
          </cell>
          <cell r="N507">
            <v>0</v>
          </cell>
          <cell r="O507">
            <v>591.24</v>
          </cell>
          <cell r="P507">
            <v>-591.24</v>
          </cell>
          <cell r="Q507">
            <v>0</v>
          </cell>
          <cell r="R507">
            <v>591.24</v>
          </cell>
          <cell r="S507">
            <v>-591.24</v>
          </cell>
        </row>
        <row r="508">
          <cell r="A508" t="str">
            <v>1000/1428       NPK 11-8-20</v>
          </cell>
          <cell r="B508" t="str">
            <v>1000150    GS-GRODZIS</v>
          </cell>
          <cell r="C508" t="str">
            <v>KB Sprzed. bezpośrednia</v>
          </cell>
          <cell r="D508">
            <v>17892</v>
          </cell>
          <cell r="E508">
            <v>24</v>
          </cell>
          <cell r="F508">
            <v>13149.379999999899</v>
          </cell>
          <cell r="G508">
            <v>744.65999999999894</v>
          </cell>
          <cell r="H508">
            <v>105.52</v>
          </cell>
          <cell r="I508">
            <v>2005.92</v>
          </cell>
          <cell r="J508">
            <v>0</v>
          </cell>
          <cell r="K508">
            <v>2111.44</v>
          </cell>
          <cell r="L508">
            <v>16005.48</v>
          </cell>
          <cell r="M508">
            <v>1886.52</v>
          </cell>
          <cell r="N508">
            <v>0</v>
          </cell>
          <cell r="O508">
            <v>16005.48</v>
          </cell>
          <cell r="P508">
            <v>1886.52</v>
          </cell>
          <cell r="Q508">
            <v>62.439999999999898</v>
          </cell>
          <cell r="R508">
            <v>16067.92</v>
          </cell>
          <cell r="S508">
            <v>1824.0799999999899</v>
          </cell>
        </row>
        <row r="509">
          <cell r="A509" t="str">
            <v>1000/1428       NPK 11-8-20</v>
          </cell>
          <cell r="B509" t="str">
            <v>1000252    AGROSKŁAD</v>
          </cell>
          <cell r="C509" t="str">
            <v>KB Sprzed. bezpośrednia</v>
          </cell>
          <cell r="D509">
            <v>17766</v>
          </cell>
          <cell r="E509">
            <v>24</v>
          </cell>
          <cell r="F509">
            <v>13149.379999999899</v>
          </cell>
          <cell r="G509">
            <v>739.42999999999904</v>
          </cell>
          <cell r="H509">
            <v>105.52</v>
          </cell>
          <cell r="I509">
            <v>2076.2399999999898</v>
          </cell>
          <cell r="J509">
            <v>0</v>
          </cell>
          <cell r="K509">
            <v>2181.7600000000002</v>
          </cell>
          <cell r="L509">
            <v>16070.57</v>
          </cell>
          <cell r="M509">
            <v>1695.43</v>
          </cell>
          <cell r="N509">
            <v>0</v>
          </cell>
          <cell r="O509">
            <v>16070.57</v>
          </cell>
          <cell r="P509">
            <v>1695.43</v>
          </cell>
          <cell r="Q509">
            <v>62.439999999999898</v>
          </cell>
          <cell r="R509">
            <v>16133.01</v>
          </cell>
          <cell r="S509">
            <v>1632.99</v>
          </cell>
        </row>
        <row r="510">
          <cell r="A510" t="str">
            <v>1000/1428       NPK 11-8-20</v>
          </cell>
          <cell r="B510" t="str">
            <v>1000273    FILIPOWSKA</v>
          </cell>
          <cell r="C510" t="str">
            <v>KB Sprzed. bezpośrednia</v>
          </cell>
          <cell r="D510">
            <v>0</v>
          </cell>
          <cell r="E510">
            <v>0</v>
          </cell>
          <cell r="F510">
            <v>-591.82000000000005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-591.82000000000005</v>
          </cell>
          <cell r="M510">
            <v>591.82000000000005</v>
          </cell>
          <cell r="N510">
            <v>0</v>
          </cell>
          <cell r="O510">
            <v>-591.82000000000005</v>
          </cell>
          <cell r="P510">
            <v>591.82000000000005</v>
          </cell>
          <cell r="Q510">
            <v>-2.7999999999999901</v>
          </cell>
          <cell r="R510">
            <v>-594.62</v>
          </cell>
          <cell r="S510">
            <v>594.62</v>
          </cell>
        </row>
        <row r="511">
          <cell r="A511" t="str">
            <v>1000/1428       NPK 11-8-20</v>
          </cell>
          <cell r="B511" t="str">
            <v>1000592    NOŻYŃSKI</v>
          </cell>
          <cell r="C511" t="str">
            <v>KB Sprzed. bezpośrednia</v>
          </cell>
          <cell r="D511">
            <v>8973</v>
          </cell>
          <cell r="E511">
            <v>12</v>
          </cell>
          <cell r="F511">
            <v>6574.6899999999896</v>
          </cell>
          <cell r="G511">
            <v>373.41</v>
          </cell>
          <cell r="H511">
            <v>52.77</v>
          </cell>
          <cell r="I511">
            <v>946.08</v>
          </cell>
          <cell r="J511">
            <v>0</v>
          </cell>
          <cell r="K511">
            <v>998.85</v>
          </cell>
          <cell r="L511">
            <v>7946.9499999999898</v>
          </cell>
          <cell r="M511">
            <v>1026.05</v>
          </cell>
          <cell r="N511">
            <v>0</v>
          </cell>
          <cell r="O511">
            <v>7946.9499999999898</v>
          </cell>
          <cell r="P511">
            <v>1026.05</v>
          </cell>
          <cell r="Q511">
            <v>31.21</v>
          </cell>
          <cell r="R511">
            <v>7978.1599999999899</v>
          </cell>
          <cell r="S511">
            <v>994.84</v>
          </cell>
        </row>
        <row r="512">
          <cell r="A512" t="str">
            <v>1000/1428       NPK 11-8-20</v>
          </cell>
          <cell r="B512" t="str">
            <v>1000675    Zaopatrz.Roln. Andrz</v>
          </cell>
          <cell r="C512" t="str">
            <v>KB Sprzed. bezpośrednia</v>
          </cell>
          <cell r="D512">
            <v>16700.16</v>
          </cell>
          <cell r="E512">
            <v>24</v>
          </cell>
          <cell r="F512">
            <v>13149.389999999899</v>
          </cell>
          <cell r="G512">
            <v>695.07</v>
          </cell>
          <cell r="H512">
            <v>105.52</v>
          </cell>
          <cell r="I512">
            <v>0</v>
          </cell>
          <cell r="J512">
            <v>0</v>
          </cell>
          <cell r="K512">
            <v>105.52</v>
          </cell>
          <cell r="L512">
            <v>13949.98</v>
          </cell>
          <cell r="M512">
            <v>2750.1799999999898</v>
          </cell>
          <cell r="N512">
            <v>0</v>
          </cell>
          <cell r="O512">
            <v>13949.98</v>
          </cell>
          <cell r="P512">
            <v>2750.1799999999898</v>
          </cell>
          <cell r="Q512">
            <v>62.439999999999898</v>
          </cell>
          <cell r="R512">
            <v>14012.42</v>
          </cell>
          <cell r="S512">
            <v>2687.7399999999898</v>
          </cell>
        </row>
        <row r="513">
          <cell r="A513" t="str">
            <v>1000/1428       NPK 11-8-20</v>
          </cell>
          <cell r="B513" t="str">
            <v>1003056    LECHPOL SP. Z O.O.</v>
          </cell>
          <cell r="C513" t="str">
            <v>KB Sprzed. bezpośrednia</v>
          </cell>
          <cell r="D513">
            <v>31629.5999999999</v>
          </cell>
          <cell r="E513">
            <v>45</v>
          </cell>
          <cell r="F513">
            <v>26980.02</v>
          </cell>
          <cell r="G513">
            <v>1316.39</v>
          </cell>
          <cell r="H513">
            <v>197.849999999999</v>
          </cell>
          <cell r="I513">
            <v>0</v>
          </cell>
          <cell r="J513">
            <v>0</v>
          </cell>
          <cell r="K513">
            <v>197.849999999999</v>
          </cell>
          <cell r="L513">
            <v>28494.2599999999</v>
          </cell>
          <cell r="M513">
            <v>3135.34</v>
          </cell>
          <cell r="N513">
            <v>0</v>
          </cell>
          <cell r="O513">
            <v>28494.2599999999</v>
          </cell>
          <cell r="P513">
            <v>3135.34</v>
          </cell>
          <cell r="Q513">
            <v>128.09</v>
          </cell>
          <cell r="R513">
            <v>28622.3499999999</v>
          </cell>
          <cell r="S513">
            <v>3007.25</v>
          </cell>
        </row>
        <row r="514">
          <cell r="A514" t="str">
            <v>1000/1429       POLIMAG 405</v>
          </cell>
          <cell r="B514" t="str">
            <v>Nieprzypisane</v>
          </cell>
          <cell r="C514" t="str">
            <v>Nieprzypisane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</row>
        <row r="515">
          <cell r="A515" t="str">
            <v>1000/1429       POLIMAG 405</v>
          </cell>
          <cell r="B515" t="str">
            <v>1000060    CIECH S.A.</v>
          </cell>
          <cell r="C515" t="str">
            <v>KC Centra dystrybucji</v>
          </cell>
          <cell r="D515">
            <v>17228.16</v>
          </cell>
          <cell r="E515">
            <v>24</v>
          </cell>
          <cell r="F515">
            <v>14196.83</v>
          </cell>
          <cell r="G515">
            <v>717.02999999999895</v>
          </cell>
          <cell r="H515">
            <v>295.17</v>
          </cell>
          <cell r="I515">
            <v>0</v>
          </cell>
          <cell r="J515">
            <v>0</v>
          </cell>
          <cell r="K515">
            <v>295.17</v>
          </cell>
          <cell r="L515">
            <v>15209.03</v>
          </cell>
          <cell r="M515">
            <v>2019.13</v>
          </cell>
          <cell r="N515">
            <v>0</v>
          </cell>
          <cell r="O515">
            <v>15209.03</v>
          </cell>
          <cell r="P515">
            <v>2019.13</v>
          </cell>
          <cell r="Q515">
            <v>67.42</v>
          </cell>
          <cell r="R515">
            <v>15276.45</v>
          </cell>
          <cell r="S515">
            <v>1951.71</v>
          </cell>
        </row>
        <row r="516">
          <cell r="A516" t="str">
            <v>1000/1429       POLIMAG 405</v>
          </cell>
          <cell r="B516" t="str">
            <v>1000080    CN-KIELCE</v>
          </cell>
          <cell r="C516" t="str">
            <v>KC Centra dystrybucji</v>
          </cell>
          <cell r="D516">
            <v>29671.32</v>
          </cell>
          <cell r="E516">
            <v>41</v>
          </cell>
          <cell r="F516">
            <v>23823</v>
          </cell>
          <cell r="G516">
            <v>1234.8499999999899</v>
          </cell>
          <cell r="H516">
            <v>504.24</v>
          </cell>
          <cell r="I516">
            <v>0</v>
          </cell>
          <cell r="J516">
            <v>0</v>
          </cell>
          <cell r="K516">
            <v>504.24</v>
          </cell>
          <cell r="L516">
            <v>25562.09</v>
          </cell>
          <cell r="M516">
            <v>4109.2299999999896</v>
          </cell>
          <cell r="N516">
            <v>0</v>
          </cell>
          <cell r="O516">
            <v>25562.09</v>
          </cell>
          <cell r="P516">
            <v>4109.2299999999896</v>
          </cell>
          <cell r="Q516">
            <v>113.11</v>
          </cell>
          <cell r="R516">
            <v>25675.200000000001</v>
          </cell>
          <cell r="S516">
            <v>3996.1199999999899</v>
          </cell>
        </row>
        <row r="517">
          <cell r="A517" t="str">
            <v>1000/1429       POLIMAG 405</v>
          </cell>
          <cell r="B517" t="str">
            <v>1000120    GS-PABIANICE</v>
          </cell>
          <cell r="C517" t="str">
            <v>KB Sprzed. bezpośrednia</v>
          </cell>
          <cell r="D517">
            <v>17892</v>
          </cell>
          <cell r="E517">
            <v>24</v>
          </cell>
          <cell r="F517">
            <v>12256.9</v>
          </cell>
          <cell r="G517">
            <v>744.65999999999894</v>
          </cell>
          <cell r="H517">
            <v>295.17</v>
          </cell>
          <cell r="I517">
            <v>1300.8</v>
          </cell>
          <cell r="J517">
            <v>0</v>
          </cell>
          <cell r="K517">
            <v>1595.97</v>
          </cell>
          <cell r="L517">
            <v>14597.53</v>
          </cell>
          <cell r="M517">
            <v>3294.4699999999898</v>
          </cell>
          <cell r="N517">
            <v>0</v>
          </cell>
          <cell r="O517">
            <v>14597.53</v>
          </cell>
          <cell r="P517">
            <v>3294.4699999999898</v>
          </cell>
          <cell r="Q517">
            <v>58.18</v>
          </cell>
          <cell r="R517">
            <v>14655.709999999901</v>
          </cell>
          <cell r="S517">
            <v>3236.29</v>
          </cell>
        </row>
        <row r="518">
          <cell r="A518" t="str">
            <v>1000/1429       POLIMAG 405</v>
          </cell>
          <cell r="B518" t="str">
            <v>1000141    SKR-Łaszczów</v>
          </cell>
          <cell r="C518" t="str">
            <v>KB Sprzed. bezpośrednia</v>
          </cell>
          <cell r="D518">
            <v>9180</v>
          </cell>
          <cell r="E518">
            <v>12</v>
          </cell>
          <cell r="F518">
            <v>6128.4499999999898</v>
          </cell>
          <cell r="G518">
            <v>382.07999999999902</v>
          </cell>
          <cell r="H518">
            <v>147.59</v>
          </cell>
          <cell r="I518">
            <v>1038.1199999999899</v>
          </cell>
          <cell r="J518">
            <v>0</v>
          </cell>
          <cell r="K518">
            <v>1185.71</v>
          </cell>
          <cell r="L518">
            <v>7696.2399999999898</v>
          </cell>
          <cell r="M518">
            <v>1483.76</v>
          </cell>
          <cell r="N518">
            <v>0</v>
          </cell>
          <cell r="O518">
            <v>7696.2399999999898</v>
          </cell>
          <cell r="P518">
            <v>1483.76</v>
          </cell>
          <cell r="Q518">
            <v>29.079999999999899</v>
          </cell>
          <cell r="R518">
            <v>7725.3199999999897</v>
          </cell>
          <cell r="S518">
            <v>1454.68</v>
          </cell>
        </row>
        <row r="519">
          <cell r="A519" t="str">
            <v>1000/1429       POLIMAG 405</v>
          </cell>
          <cell r="B519" t="str">
            <v>1000203    BISO S.C.</v>
          </cell>
          <cell r="C519" t="str">
            <v>KB Sprzed. bezpośrednia</v>
          </cell>
          <cell r="D519">
            <v>18000</v>
          </cell>
          <cell r="E519">
            <v>24</v>
          </cell>
          <cell r="F519">
            <v>12256.9</v>
          </cell>
          <cell r="G519">
            <v>749.14999999999895</v>
          </cell>
          <cell r="H519">
            <v>295.17</v>
          </cell>
          <cell r="I519">
            <v>1030.0799999999899</v>
          </cell>
          <cell r="J519">
            <v>0</v>
          </cell>
          <cell r="K519">
            <v>1325.25</v>
          </cell>
          <cell r="L519">
            <v>14331.299999999899</v>
          </cell>
          <cell r="M519">
            <v>3668.6999999999898</v>
          </cell>
          <cell r="N519">
            <v>0</v>
          </cell>
          <cell r="O519">
            <v>14331.299999999899</v>
          </cell>
          <cell r="P519">
            <v>3668.6999999999898</v>
          </cell>
          <cell r="Q519">
            <v>58.18</v>
          </cell>
          <cell r="R519">
            <v>14389.48</v>
          </cell>
          <cell r="S519">
            <v>3610.52</v>
          </cell>
        </row>
        <row r="520">
          <cell r="A520" t="str">
            <v>1000/1429       POLIMAG 405</v>
          </cell>
          <cell r="B520" t="str">
            <v>1000205    SKŁODOWSKI</v>
          </cell>
          <cell r="C520" t="str">
            <v>KC Centra dystrybucji</v>
          </cell>
          <cell r="D520">
            <v>110250</v>
          </cell>
          <cell r="E520">
            <v>150</v>
          </cell>
          <cell r="F520">
            <v>76605.589999999895</v>
          </cell>
          <cell r="G520">
            <v>4588.51</v>
          </cell>
          <cell r="H520">
            <v>1844.8</v>
          </cell>
          <cell r="I520">
            <v>0</v>
          </cell>
          <cell r="J520">
            <v>0</v>
          </cell>
          <cell r="K520">
            <v>1844.8</v>
          </cell>
          <cell r="L520">
            <v>83038.899999999907</v>
          </cell>
          <cell r="M520">
            <v>27211.0999999999</v>
          </cell>
          <cell r="N520">
            <v>0</v>
          </cell>
          <cell r="O520">
            <v>83038.899999999907</v>
          </cell>
          <cell r="P520">
            <v>27211.0999999999</v>
          </cell>
          <cell r="Q520">
            <v>363.73</v>
          </cell>
          <cell r="R520">
            <v>83402.63</v>
          </cell>
          <cell r="S520">
            <v>26847.369999999901</v>
          </cell>
        </row>
        <row r="521">
          <cell r="A521" t="str">
            <v>1000/1429       POLIMAG 405</v>
          </cell>
          <cell r="B521" t="str">
            <v>1000210    ROLTEX Sp. z o.o.</v>
          </cell>
          <cell r="C521" t="str">
            <v>KB Sprzed. bezpośrednia</v>
          </cell>
          <cell r="D521">
            <v>35996.25</v>
          </cell>
          <cell r="E521">
            <v>49</v>
          </cell>
          <cell r="F521">
            <v>25024.5</v>
          </cell>
          <cell r="G521">
            <v>1498.1199999999899</v>
          </cell>
          <cell r="H521">
            <v>602.63</v>
          </cell>
          <cell r="I521">
            <v>3944.6599999999899</v>
          </cell>
          <cell r="J521">
            <v>0</v>
          </cell>
          <cell r="K521">
            <v>4547.29</v>
          </cell>
          <cell r="L521">
            <v>31069.91</v>
          </cell>
          <cell r="M521">
            <v>4926.34</v>
          </cell>
          <cell r="N521">
            <v>0</v>
          </cell>
          <cell r="O521">
            <v>31069.91</v>
          </cell>
          <cell r="P521">
            <v>4926.34</v>
          </cell>
          <cell r="Q521">
            <v>118.819999999999</v>
          </cell>
          <cell r="R521">
            <v>31188.73</v>
          </cell>
          <cell r="S521">
            <v>4807.5200000000004</v>
          </cell>
        </row>
        <row r="522">
          <cell r="A522" t="str">
            <v>1000/1429       POLIMAG 405</v>
          </cell>
          <cell r="B522" t="str">
            <v>1000226    MAŁECCY</v>
          </cell>
          <cell r="C522" t="str">
            <v>KB Sprzed. bezpośrednia</v>
          </cell>
          <cell r="D522">
            <v>17280</v>
          </cell>
          <cell r="E522">
            <v>24</v>
          </cell>
          <cell r="F522">
            <v>12256.9</v>
          </cell>
          <cell r="G522">
            <v>719.15999999999894</v>
          </cell>
          <cell r="H522">
            <v>295.17</v>
          </cell>
          <cell r="I522">
            <v>0</v>
          </cell>
          <cell r="J522">
            <v>0</v>
          </cell>
          <cell r="K522">
            <v>295.17</v>
          </cell>
          <cell r="L522">
            <v>13271.23</v>
          </cell>
          <cell r="M522">
            <v>4008.77</v>
          </cell>
          <cell r="N522">
            <v>0</v>
          </cell>
          <cell r="O522">
            <v>13271.23</v>
          </cell>
          <cell r="P522">
            <v>4008.77</v>
          </cell>
          <cell r="Q522">
            <v>58.18</v>
          </cell>
          <cell r="R522">
            <v>13329.41</v>
          </cell>
          <cell r="S522">
            <v>3950.59</v>
          </cell>
        </row>
        <row r="523">
          <cell r="A523" t="str">
            <v>1000/1429       POLIMAG 405</v>
          </cell>
          <cell r="B523" t="str">
            <v>1000248    DYMNY</v>
          </cell>
          <cell r="C523" t="str">
            <v>KB Sprzed. bezpośrednia</v>
          </cell>
          <cell r="D523">
            <v>74512.009999999893</v>
          </cell>
          <cell r="E523">
            <v>107</v>
          </cell>
          <cell r="F523">
            <v>58785.029999999897</v>
          </cell>
          <cell r="G523">
            <v>3101.1799999999898</v>
          </cell>
          <cell r="H523">
            <v>1315.95</v>
          </cell>
          <cell r="I523">
            <v>0</v>
          </cell>
          <cell r="J523">
            <v>0</v>
          </cell>
          <cell r="K523">
            <v>1315.95</v>
          </cell>
          <cell r="L523">
            <v>63202.16</v>
          </cell>
          <cell r="M523">
            <v>11309.85</v>
          </cell>
          <cell r="N523">
            <v>0</v>
          </cell>
          <cell r="O523">
            <v>63202.16</v>
          </cell>
          <cell r="P523">
            <v>11309.85</v>
          </cell>
          <cell r="Q523">
            <v>279.10000000000002</v>
          </cell>
          <cell r="R523">
            <v>63481.26</v>
          </cell>
          <cell r="S523">
            <v>11030.75</v>
          </cell>
        </row>
        <row r="524">
          <cell r="A524" t="str">
            <v>1000/1429       POLIMAG 405</v>
          </cell>
          <cell r="B524" t="str">
            <v>1000252    AGROSKŁAD</v>
          </cell>
          <cell r="C524" t="str">
            <v>KB Sprzed. bezpośrednia</v>
          </cell>
          <cell r="D524">
            <v>41318.730000000003</v>
          </cell>
          <cell r="E524">
            <v>57</v>
          </cell>
          <cell r="F524">
            <v>29110.13</v>
          </cell>
          <cell r="G524">
            <v>1719.6199999999899</v>
          </cell>
          <cell r="H524">
            <v>701.01999999999896</v>
          </cell>
          <cell r="I524">
            <v>4100.5600000000004</v>
          </cell>
          <cell r="J524">
            <v>0</v>
          </cell>
          <cell r="K524">
            <v>4801.5799999999899</v>
          </cell>
          <cell r="L524">
            <v>35631.33</v>
          </cell>
          <cell r="M524">
            <v>5687.3999999999896</v>
          </cell>
          <cell r="N524">
            <v>0</v>
          </cell>
          <cell r="O524">
            <v>35631.33</v>
          </cell>
          <cell r="P524">
            <v>5687.3999999999896</v>
          </cell>
          <cell r="Q524">
            <v>138.22</v>
          </cell>
          <cell r="R524">
            <v>35769.550000000003</v>
          </cell>
          <cell r="S524">
            <v>5549.18</v>
          </cell>
        </row>
        <row r="525">
          <cell r="A525" t="str">
            <v>1000/1429       POLIMAG 405</v>
          </cell>
          <cell r="B525" t="str">
            <v>1000252    AGROSKŁAD</v>
          </cell>
          <cell r="C525" t="str">
            <v>KC Centra dystrybucji</v>
          </cell>
          <cell r="D525">
            <v>92659.679999999906</v>
          </cell>
          <cell r="E525">
            <v>130</v>
          </cell>
          <cell r="F525">
            <v>74027.97</v>
          </cell>
          <cell r="G525">
            <v>3856.4099999999899</v>
          </cell>
          <cell r="H525">
            <v>1598.8199999999899</v>
          </cell>
          <cell r="I525">
            <v>0</v>
          </cell>
          <cell r="J525">
            <v>0</v>
          </cell>
          <cell r="K525">
            <v>1598.8199999999899</v>
          </cell>
          <cell r="L525">
            <v>79483.199999999895</v>
          </cell>
          <cell r="M525">
            <v>13176.48</v>
          </cell>
          <cell r="N525">
            <v>0</v>
          </cell>
          <cell r="O525">
            <v>79483.199999999895</v>
          </cell>
          <cell r="P525">
            <v>13176.48</v>
          </cell>
          <cell r="Q525">
            <v>351.45999999999901</v>
          </cell>
          <cell r="R525">
            <v>79834.66</v>
          </cell>
          <cell r="S525">
            <v>12825.02</v>
          </cell>
        </row>
        <row r="526">
          <cell r="A526" t="str">
            <v>1000/1429       POLIMAG 405</v>
          </cell>
          <cell r="B526" t="str">
            <v>1000257    MAGROL</v>
          </cell>
          <cell r="C526" t="str">
            <v>KB Sprzed. bezpośrednia</v>
          </cell>
          <cell r="D526">
            <v>17874</v>
          </cell>
          <cell r="E526">
            <v>24</v>
          </cell>
          <cell r="F526">
            <v>12256.9</v>
          </cell>
          <cell r="G526">
            <v>743.94</v>
          </cell>
          <cell r="H526">
            <v>295.17</v>
          </cell>
          <cell r="I526">
            <v>1200.96</v>
          </cell>
          <cell r="J526">
            <v>0</v>
          </cell>
          <cell r="K526">
            <v>1496.13</v>
          </cell>
          <cell r="L526">
            <v>14496.969999999899</v>
          </cell>
          <cell r="M526">
            <v>3377.03</v>
          </cell>
          <cell r="N526">
            <v>0</v>
          </cell>
          <cell r="O526">
            <v>14496.969999999899</v>
          </cell>
          <cell r="P526">
            <v>3377.03</v>
          </cell>
          <cell r="Q526">
            <v>58.18</v>
          </cell>
          <cell r="R526">
            <v>14555.15</v>
          </cell>
          <cell r="S526">
            <v>3318.8499999999899</v>
          </cell>
        </row>
        <row r="527">
          <cell r="A527" t="str">
            <v>1000/1429       POLIMAG 405</v>
          </cell>
          <cell r="B527" t="str">
            <v>1000257    MAGROL</v>
          </cell>
          <cell r="C527" t="str">
            <v>KC Centra dystrybucji</v>
          </cell>
          <cell r="D527">
            <v>9331.92</v>
          </cell>
          <cell r="E527">
            <v>13</v>
          </cell>
          <cell r="F527">
            <v>7553.63</v>
          </cell>
          <cell r="G527">
            <v>388.38</v>
          </cell>
          <cell r="H527">
            <v>159.88</v>
          </cell>
          <cell r="I527">
            <v>0</v>
          </cell>
          <cell r="J527">
            <v>0</v>
          </cell>
          <cell r="K527">
            <v>159.88</v>
          </cell>
          <cell r="L527">
            <v>8101.89</v>
          </cell>
          <cell r="M527">
            <v>1230.03</v>
          </cell>
          <cell r="N527">
            <v>0</v>
          </cell>
          <cell r="O527">
            <v>8101.89</v>
          </cell>
          <cell r="P527">
            <v>1230.03</v>
          </cell>
          <cell r="Q527">
            <v>35.869999999999898</v>
          </cell>
          <cell r="R527">
            <v>8137.76</v>
          </cell>
          <cell r="S527">
            <v>1194.1600000000001</v>
          </cell>
        </row>
        <row r="528">
          <cell r="A528" t="str">
            <v>1000/1429       POLIMAG 405</v>
          </cell>
          <cell r="B528" t="str">
            <v>1000263    PRO-AGRO</v>
          </cell>
          <cell r="C528" t="str">
            <v>KC Centra dystrybucji</v>
          </cell>
          <cell r="D528">
            <v>16149.9</v>
          </cell>
          <cell r="E528">
            <v>22</v>
          </cell>
          <cell r="F528">
            <v>11235.49</v>
          </cell>
          <cell r="G528">
            <v>672.14999999999895</v>
          </cell>
          <cell r="H528">
            <v>270.56999999999903</v>
          </cell>
          <cell r="I528">
            <v>0</v>
          </cell>
          <cell r="J528">
            <v>0</v>
          </cell>
          <cell r="K528">
            <v>270.56999999999903</v>
          </cell>
          <cell r="L528">
            <v>12178.209999999901</v>
          </cell>
          <cell r="M528">
            <v>3971.69</v>
          </cell>
          <cell r="N528">
            <v>0</v>
          </cell>
          <cell r="O528">
            <v>12178.209999999901</v>
          </cell>
          <cell r="P528">
            <v>3971.69</v>
          </cell>
          <cell r="Q528">
            <v>53.3599999999999</v>
          </cell>
          <cell r="R528">
            <v>12231.57</v>
          </cell>
          <cell r="S528">
            <v>3918.3299999999899</v>
          </cell>
        </row>
        <row r="529">
          <cell r="A529" t="str">
            <v>1000/1429       POLIMAG 405</v>
          </cell>
          <cell r="B529" t="str">
            <v>1000273    FILIPOWSKA</v>
          </cell>
          <cell r="C529" t="str">
            <v>KB Sprzed. bezpośrednia</v>
          </cell>
          <cell r="D529">
            <v>8277.84</v>
          </cell>
          <cell r="E529">
            <v>0</v>
          </cell>
          <cell r="F529">
            <v>0</v>
          </cell>
          <cell r="G529">
            <v>344.52999999999901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344.52999999999901</v>
          </cell>
          <cell r="M529">
            <v>7933.31</v>
          </cell>
          <cell r="N529">
            <v>0</v>
          </cell>
          <cell r="O529">
            <v>344.52999999999901</v>
          </cell>
          <cell r="P529">
            <v>7933.31</v>
          </cell>
          <cell r="Q529">
            <v>0</v>
          </cell>
          <cell r="R529">
            <v>344.52999999999901</v>
          </cell>
          <cell r="S529">
            <v>7933.31</v>
          </cell>
        </row>
        <row r="530">
          <cell r="A530" t="str">
            <v>1000/1429       POLIMAG 405</v>
          </cell>
          <cell r="B530" t="str">
            <v>1000277    ATRANS</v>
          </cell>
          <cell r="C530" t="str">
            <v>KC Centra dystrybucji</v>
          </cell>
          <cell r="D530">
            <v>17176.32</v>
          </cell>
          <cell r="E530">
            <v>24</v>
          </cell>
          <cell r="F530">
            <v>13945.16</v>
          </cell>
          <cell r="G530">
            <v>714.87</v>
          </cell>
          <cell r="H530">
            <v>295.17</v>
          </cell>
          <cell r="I530">
            <v>0</v>
          </cell>
          <cell r="J530">
            <v>0</v>
          </cell>
          <cell r="K530">
            <v>295.17</v>
          </cell>
          <cell r="L530">
            <v>14955.2</v>
          </cell>
          <cell r="M530">
            <v>2221.1199999999899</v>
          </cell>
          <cell r="N530">
            <v>0</v>
          </cell>
          <cell r="O530">
            <v>14955.2</v>
          </cell>
          <cell r="P530">
            <v>2221.1199999999899</v>
          </cell>
          <cell r="Q530">
            <v>66.219999999999899</v>
          </cell>
          <cell r="R530">
            <v>15021.42</v>
          </cell>
          <cell r="S530">
            <v>2154.9</v>
          </cell>
        </row>
        <row r="531">
          <cell r="A531" t="str">
            <v>1000/1429       POLIMAG 405</v>
          </cell>
          <cell r="B531" t="str">
            <v>1000289    PLON A.Darzyński</v>
          </cell>
          <cell r="C531" t="str">
            <v>KB Sprzed. bezpośrednia</v>
          </cell>
          <cell r="D531">
            <v>45961.199999999903</v>
          </cell>
          <cell r="E531">
            <v>64</v>
          </cell>
          <cell r="F531">
            <v>32685.06</v>
          </cell>
          <cell r="G531">
            <v>1912.8599999999899</v>
          </cell>
          <cell r="H531">
            <v>787.11</v>
          </cell>
          <cell r="I531">
            <v>1082.6400000000001</v>
          </cell>
          <cell r="J531">
            <v>0</v>
          </cell>
          <cell r="K531">
            <v>1869.75</v>
          </cell>
          <cell r="L531">
            <v>36467.669999999896</v>
          </cell>
          <cell r="M531">
            <v>9493.5300000000007</v>
          </cell>
          <cell r="N531">
            <v>0</v>
          </cell>
          <cell r="O531">
            <v>36467.669999999896</v>
          </cell>
          <cell r="P531">
            <v>9493.5300000000007</v>
          </cell>
          <cell r="Q531">
            <v>155.16999999999899</v>
          </cell>
          <cell r="R531">
            <v>36622.839999999902</v>
          </cell>
          <cell r="S531">
            <v>9338.36</v>
          </cell>
        </row>
        <row r="532">
          <cell r="A532" t="str">
            <v>1000/1429       POLIMAG 405</v>
          </cell>
          <cell r="B532" t="str">
            <v>1000289    PLON A.Darzyński</v>
          </cell>
          <cell r="C532" t="str">
            <v>KC Centra dystrybucji</v>
          </cell>
          <cell r="D532">
            <v>37477.08</v>
          </cell>
          <cell r="E532">
            <v>52.5</v>
          </cell>
          <cell r="F532">
            <v>31252.880000000001</v>
          </cell>
          <cell r="G532">
            <v>1559.78</v>
          </cell>
          <cell r="H532">
            <v>645.67999999999904</v>
          </cell>
          <cell r="I532">
            <v>0</v>
          </cell>
          <cell r="J532">
            <v>0</v>
          </cell>
          <cell r="K532">
            <v>645.67999999999904</v>
          </cell>
          <cell r="L532">
            <v>33458.339999999902</v>
          </cell>
          <cell r="M532">
            <v>4018.7399999999898</v>
          </cell>
          <cell r="N532">
            <v>0</v>
          </cell>
          <cell r="O532">
            <v>33458.339999999902</v>
          </cell>
          <cell r="P532">
            <v>4018.7399999999898</v>
          </cell>
          <cell r="Q532">
            <v>148.38999999999899</v>
          </cell>
          <cell r="R532">
            <v>33606.730000000003</v>
          </cell>
          <cell r="S532">
            <v>3870.3499999999899</v>
          </cell>
        </row>
        <row r="533">
          <cell r="A533" t="str">
            <v>1000/1429       POLIMAG 405</v>
          </cell>
          <cell r="B533" t="str">
            <v>1000291    "AGRO-BIZNES" SP.J.</v>
          </cell>
          <cell r="C533" t="str">
            <v>KB Sprzed. bezpośrednia</v>
          </cell>
          <cell r="D533">
            <v>45161.839999999902</v>
          </cell>
          <cell r="E533">
            <v>64</v>
          </cell>
          <cell r="F533">
            <v>32685.06</v>
          </cell>
          <cell r="G533">
            <v>1879.55</v>
          </cell>
          <cell r="H533">
            <v>787.11</v>
          </cell>
          <cell r="I533">
            <v>0</v>
          </cell>
          <cell r="J533">
            <v>0</v>
          </cell>
          <cell r="K533">
            <v>787.11</v>
          </cell>
          <cell r="L533">
            <v>35351.72</v>
          </cell>
          <cell r="M533">
            <v>9810.1200000000008</v>
          </cell>
          <cell r="N533">
            <v>0</v>
          </cell>
          <cell r="O533">
            <v>35351.72</v>
          </cell>
          <cell r="P533">
            <v>9810.1200000000008</v>
          </cell>
          <cell r="Q533">
            <v>155.16999999999899</v>
          </cell>
          <cell r="R533">
            <v>35506.889999999898</v>
          </cell>
          <cell r="S533">
            <v>9654.9500000000007</v>
          </cell>
        </row>
        <row r="534">
          <cell r="A534" t="str">
            <v>1000/1429       POLIMAG 405</v>
          </cell>
          <cell r="B534" t="str">
            <v>1000293    PHM CHEMAT  M.Richte</v>
          </cell>
          <cell r="C534" t="str">
            <v>KB Sprzed. bezpośrednia</v>
          </cell>
          <cell r="D534">
            <v>17874</v>
          </cell>
          <cell r="E534">
            <v>24</v>
          </cell>
          <cell r="F534">
            <v>12256.9</v>
          </cell>
          <cell r="G534">
            <v>743.94</v>
          </cell>
          <cell r="H534">
            <v>295.17</v>
          </cell>
          <cell r="I534">
            <v>977.51999999999896</v>
          </cell>
          <cell r="J534">
            <v>0</v>
          </cell>
          <cell r="K534">
            <v>1272.69</v>
          </cell>
          <cell r="L534">
            <v>14273.53</v>
          </cell>
          <cell r="M534">
            <v>3600.4699999999898</v>
          </cell>
          <cell r="N534">
            <v>0</v>
          </cell>
          <cell r="O534">
            <v>14273.53</v>
          </cell>
          <cell r="P534">
            <v>3600.4699999999898</v>
          </cell>
          <cell r="Q534">
            <v>58.18</v>
          </cell>
          <cell r="R534">
            <v>14331.709999999901</v>
          </cell>
          <cell r="S534">
            <v>3542.29</v>
          </cell>
        </row>
        <row r="535">
          <cell r="A535" t="str">
            <v>1000/1429       POLIMAG 405</v>
          </cell>
          <cell r="B535" t="str">
            <v>1000403    SOBIANEK</v>
          </cell>
          <cell r="C535" t="str">
            <v>KB Sprzed. bezpośrednia</v>
          </cell>
          <cell r="D535">
            <v>38509.019999999902</v>
          </cell>
          <cell r="E535">
            <v>53</v>
          </cell>
          <cell r="F535">
            <v>28408.34</v>
          </cell>
          <cell r="G535">
            <v>1602.79</v>
          </cell>
          <cell r="H535">
            <v>651.83000000000004</v>
          </cell>
          <cell r="I535">
            <v>1888.99</v>
          </cell>
          <cell r="J535">
            <v>0</v>
          </cell>
          <cell r="K535">
            <v>2540.8200000000002</v>
          </cell>
          <cell r="L535">
            <v>32551.95</v>
          </cell>
          <cell r="M535">
            <v>5957.0699999999897</v>
          </cell>
          <cell r="N535">
            <v>0</v>
          </cell>
          <cell r="O535">
            <v>32551.95</v>
          </cell>
          <cell r="P535">
            <v>5957.0699999999897</v>
          </cell>
          <cell r="Q535">
            <v>134.849999999999</v>
          </cell>
          <cell r="R535">
            <v>32686.799999999901</v>
          </cell>
          <cell r="S535">
            <v>5822.22</v>
          </cell>
        </row>
        <row r="536">
          <cell r="A536" t="str">
            <v>1000/1429       POLIMAG 405</v>
          </cell>
          <cell r="B536" t="str">
            <v>1000403    SOBIANEK</v>
          </cell>
          <cell r="C536" t="str">
            <v>KC Centra dystrybucji</v>
          </cell>
          <cell r="D536">
            <v>22096.799999999901</v>
          </cell>
          <cell r="E536">
            <v>31</v>
          </cell>
          <cell r="F536">
            <v>15831.82</v>
          </cell>
          <cell r="G536">
            <v>919.66999999999905</v>
          </cell>
          <cell r="H536">
            <v>381.25</v>
          </cell>
          <cell r="I536">
            <v>0</v>
          </cell>
          <cell r="J536">
            <v>0</v>
          </cell>
          <cell r="K536">
            <v>381.25</v>
          </cell>
          <cell r="L536">
            <v>17132.740000000002</v>
          </cell>
          <cell r="M536">
            <v>4964.0600000000004</v>
          </cell>
          <cell r="N536">
            <v>0</v>
          </cell>
          <cell r="O536">
            <v>17132.740000000002</v>
          </cell>
          <cell r="P536">
            <v>4964.0600000000004</v>
          </cell>
          <cell r="Q536">
            <v>75.17</v>
          </cell>
          <cell r="R536">
            <v>17207.91</v>
          </cell>
          <cell r="S536">
            <v>4888.8900000000003</v>
          </cell>
        </row>
        <row r="537">
          <cell r="A537" t="str">
            <v>1000/1429       POLIMAG 405</v>
          </cell>
          <cell r="B537" t="str">
            <v>1000592    NOŻYŃSKI</v>
          </cell>
          <cell r="C537" t="str">
            <v>KB Sprzed. bezpośrednia</v>
          </cell>
          <cell r="D537">
            <v>18250</v>
          </cell>
          <cell r="E537">
            <v>25</v>
          </cell>
          <cell r="F537">
            <v>12767.6</v>
          </cell>
          <cell r="G537">
            <v>759.53999999999905</v>
          </cell>
          <cell r="H537">
            <v>307.45999999999901</v>
          </cell>
          <cell r="I537">
            <v>2275.36</v>
          </cell>
          <cell r="J537">
            <v>0</v>
          </cell>
          <cell r="K537">
            <v>2582.8200000000002</v>
          </cell>
          <cell r="L537">
            <v>16109.959999999901</v>
          </cell>
          <cell r="M537">
            <v>2140.04</v>
          </cell>
          <cell r="N537">
            <v>0</v>
          </cell>
          <cell r="O537">
            <v>16109.959999999901</v>
          </cell>
          <cell r="P537">
            <v>2140.04</v>
          </cell>
          <cell r="Q537">
            <v>60.619999999999898</v>
          </cell>
          <cell r="R537">
            <v>16170.58</v>
          </cell>
          <cell r="S537">
            <v>2079.42</v>
          </cell>
        </row>
        <row r="538">
          <cell r="A538" t="str">
            <v>1000/1429       POLIMAG 405</v>
          </cell>
          <cell r="B538" t="str">
            <v>1000662    SZYMAŃSCY</v>
          </cell>
          <cell r="C538" t="str">
            <v>KB Sprzed. bezpośrednia</v>
          </cell>
          <cell r="D538">
            <v>9180</v>
          </cell>
          <cell r="E538">
            <v>12</v>
          </cell>
          <cell r="F538">
            <v>6128.4499999999898</v>
          </cell>
          <cell r="G538">
            <v>382.07999999999902</v>
          </cell>
          <cell r="H538">
            <v>147.59</v>
          </cell>
          <cell r="I538">
            <v>667.55999999999904</v>
          </cell>
          <cell r="J538">
            <v>0</v>
          </cell>
          <cell r="K538">
            <v>815.14999999999895</v>
          </cell>
          <cell r="L538">
            <v>7325.68</v>
          </cell>
          <cell r="M538">
            <v>1854.3199999999899</v>
          </cell>
          <cell r="N538">
            <v>0</v>
          </cell>
          <cell r="O538">
            <v>7325.68</v>
          </cell>
          <cell r="P538">
            <v>1854.3199999999899</v>
          </cell>
          <cell r="Q538">
            <v>29.079999999999899</v>
          </cell>
          <cell r="R538">
            <v>7354.76</v>
          </cell>
          <cell r="S538">
            <v>1825.24</v>
          </cell>
        </row>
        <row r="539">
          <cell r="A539" t="str">
            <v>1000/1429       POLIMAG 405</v>
          </cell>
          <cell r="B539" t="str">
            <v>1000662    SZYMAŃSCY</v>
          </cell>
          <cell r="C539" t="str">
            <v>KC Centra dystrybucji</v>
          </cell>
          <cell r="D539">
            <v>32954.639999999898</v>
          </cell>
          <cell r="E539">
            <v>46</v>
          </cell>
          <cell r="F539">
            <v>24507.4399999999</v>
          </cell>
          <cell r="G539">
            <v>1371.54</v>
          </cell>
          <cell r="H539">
            <v>565.74</v>
          </cell>
          <cell r="I539">
            <v>0</v>
          </cell>
          <cell r="J539">
            <v>0</v>
          </cell>
          <cell r="K539">
            <v>565.74</v>
          </cell>
          <cell r="L539">
            <v>26444.720000000001</v>
          </cell>
          <cell r="M539">
            <v>6509.92</v>
          </cell>
          <cell r="N539">
            <v>0</v>
          </cell>
          <cell r="O539">
            <v>26444.720000000001</v>
          </cell>
          <cell r="P539">
            <v>6509.92</v>
          </cell>
          <cell r="Q539">
            <v>116.34</v>
          </cell>
          <cell r="R539">
            <v>26561.06</v>
          </cell>
          <cell r="S539">
            <v>6393.5799999999899</v>
          </cell>
        </row>
        <row r="540">
          <cell r="A540" t="str">
            <v>1000/1429       POLIMAG 405</v>
          </cell>
          <cell r="B540" t="str">
            <v>1000675    Zaopatrz.Roln. Andrz</v>
          </cell>
          <cell r="C540" t="str">
            <v>KC Centra dystrybucji</v>
          </cell>
          <cell r="D540">
            <v>22890.240000000002</v>
          </cell>
          <cell r="E540">
            <v>32</v>
          </cell>
          <cell r="F540">
            <v>18593.54</v>
          </cell>
          <cell r="G540">
            <v>952.69</v>
          </cell>
          <cell r="H540">
            <v>393.56</v>
          </cell>
          <cell r="I540">
            <v>0</v>
          </cell>
          <cell r="J540">
            <v>0</v>
          </cell>
          <cell r="K540">
            <v>393.56</v>
          </cell>
          <cell r="L540">
            <v>19939.79</v>
          </cell>
          <cell r="M540">
            <v>2950.4499999999898</v>
          </cell>
          <cell r="N540">
            <v>0</v>
          </cell>
          <cell r="O540">
            <v>19939.79</v>
          </cell>
          <cell r="P540">
            <v>2950.4499999999898</v>
          </cell>
          <cell r="Q540">
            <v>88.28</v>
          </cell>
          <cell r="R540">
            <v>20028.07</v>
          </cell>
          <cell r="S540">
            <v>2862.17</v>
          </cell>
        </row>
        <row r="541">
          <cell r="A541" t="str">
            <v>1000/1429       POLIMAG 405</v>
          </cell>
          <cell r="B541" t="str">
            <v>1000725    SGS-LUBLIN</v>
          </cell>
          <cell r="C541" t="str">
            <v>KB Sprzed. bezpośrednia</v>
          </cell>
          <cell r="D541">
            <v>18000</v>
          </cell>
          <cell r="E541">
            <v>24</v>
          </cell>
          <cell r="F541">
            <v>12256.9</v>
          </cell>
          <cell r="G541">
            <v>749.14999999999895</v>
          </cell>
          <cell r="H541">
            <v>295.17</v>
          </cell>
          <cell r="I541">
            <v>1903.3199999999899</v>
          </cell>
          <cell r="J541">
            <v>0</v>
          </cell>
          <cell r="K541">
            <v>2198.4899999999898</v>
          </cell>
          <cell r="L541">
            <v>15204.54</v>
          </cell>
          <cell r="M541">
            <v>2795.46</v>
          </cell>
          <cell r="N541">
            <v>0</v>
          </cell>
          <cell r="O541">
            <v>15204.54</v>
          </cell>
          <cell r="P541">
            <v>2795.46</v>
          </cell>
          <cell r="Q541">
            <v>58.18</v>
          </cell>
          <cell r="R541">
            <v>15262.719999999899</v>
          </cell>
          <cell r="S541">
            <v>2737.28</v>
          </cell>
        </row>
        <row r="542">
          <cell r="A542" t="str">
            <v>1000/1429       POLIMAG 405</v>
          </cell>
          <cell r="B542" t="str">
            <v>1000982    TORAL Elżbieta Krupa</v>
          </cell>
          <cell r="C542" t="str">
            <v>KB Sprzed. bezpośrednia</v>
          </cell>
          <cell r="D542">
            <v>17228.16</v>
          </cell>
          <cell r="E542">
            <v>24</v>
          </cell>
          <cell r="F542">
            <v>13945.16</v>
          </cell>
          <cell r="G542">
            <v>717.02999999999895</v>
          </cell>
          <cell r="H542">
            <v>295.17</v>
          </cell>
          <cell r="I542">
            <v>0</v>
          </cell>
          <cell r="J542">
            <v>0</v>
          </cell>
          <cell r="K542">
            <v>295.17</v>
          </cell>
          <cell r="L542">
            <v>14957.36</v>
          </cell>
          <cell r="M542">
            <v>2270.8000000000002</v>
          </cell>
          <cell r="N542">
            <v>0</v>
          </cell>
          <cell r="O542">
            <v>14957.36</v>
          </cell>
          <cell r="P542">
            <v>2270.8000000000002</v>
          </cell>
          <cell r="Q542">
            <v>66.219999999999899</v>
          </cell>
          <cell r="R542">
            <v>15023.58</v>
          </cell>
          <cell r="S542">
            <v>2204.5799999999899</v>
          </cell>
        </row>
        <row r="543">
          <cell r="A543" t="str">
            <v>1000/1429       POLIMAG 405</v>
          </cell>
          <cell r="B543" t="str">
            <v>1001024    TALAGA</v>
          </cell>
          <cell r="C543" t="str">
            <v>KC Centra dystrybucji</v>
          </cell>
          <cell r="D543">
            <v>8527.68</v>
          </cell>
          <cell r="E543">
            <v>12</v>
          </cell>
          <cell r="F543">
            <v>6972.5799999999899</v>
          </cell>
          <cell r="G543">
            <v>354.97</v>
          </cell>
          <cell r="H543">
            <v>147.59</v>
          </cell>
          <cell r="I543">
            <v>0</v>
          </cell>
          <cell r="J543">
            <v>0</v>
          </cell>
          <cell r="K543">
            <v>147.59</v>
          </cell>
          <cell r="L543">
            <v>7475.14</v>
          </cell>
          <cell r="M543">
            <v>1052.54</v>
          </cell>
          <cell r="N543">
            <v>0</v>
          </cell>
          <cell r="O543">
            <v>7475.14</v>
          </cell>
          <cell r="P543">
            <v>1052.54</v>
          </cell>
          <cell r="Q543">
            <v>33.1</v>
          </cell>
          <cell r="R543">
            <v>7508.2399999999898</v>
          </cell>
          <cell r="S543">
            <v>1019.44</v>
          </cell>
        </row>
        <row r="544">
          <cell r="A544" t="str">
            <v>1000/1429       POLIMAG 405</v>
          </cell>
          <cell r="B544" t="str">
            <v>1001253    ROL-MECH SP. Z O.O.</v>
          </cell>
          <cell r="C544" t="str">
            <v>KB Sprzed. bezpośrednia</v>
          </cell>
          <cell r="D544">
            <v>18000</v>
          </cell>
          <cell r="E544">
            <v>24</v>
          </cell>
          <cell r="F544">
            <v>12256.9</v>
          </cell>
          <cell r="G544">
            <v>749.14999999999895</v>
          </cell>
          <cell r="H544">
            <v>295.17</v>
          </cell>
          <cell r="I544">
            <v>2124.2399999999898</v>
          </cell>
          <cell r="J544">
            <v>0</v>
          </cell>
          <cell r="K544">
            <v>2419.4099999999899</v>
          </cell>
          <cell r="L544">
            <v>15425.459999999901</v>
          </cell>
          <cell r="M544">
            <v>2574.54</v>
          </cell>
          <cell r="N544">
            <v>0</v>
          </cell>
          <cell r="O544">
            <v>15425.459999999901</v>
          </cell>
          <cell r="P544">
            <v>2574.54</v>
          </cell>
          <cell r="Q544">
            <v>58.18</v>
          </cell>
          <cell r="R544">
            <v>15483.639999999899</v>
          </cell>
          <cell r="S544">
            <v>2516.36</v>
          </cell>
        </row>
        <row r="545">
          <cell r="A545" t="str">
            <v>1000/1429       POLIMAG 405</v>
          </cell>
          <cell r="B545" t="str">
            <v>1001519    "ARGOL" LESZEK KALIS</v>
          </cell>
          <cell r="C545" t="str">
            <v>KB Sprzed. bezpośrednia</v>
          </cell>
          <cell r="D545">
            <v>18360</v>
          </cell>
          <cell r="E545">
            <v>24</v>
          </cell>
          <cell r="F545">
            <v>12256.9</v>
          </cell>
          <cell r="G545">
            <v>764.12</v>
          </cell>
          <cell r="H545">
            <v>295.17</v>
          </cell>
          <cell r="I545">
            <v>1590</v>
          </cell>
          <cell r="J545">
            <v>0</v>
          </cell>
          <cell r="K545">
            <v>1885.17</v>
          </cell>
          <cell r="L545">
            <v>14906.19</v>
          </cell>
          <cell r="M545">
            <v>3453.8099999999899</v>
          </cell>
          <cell r="N545">
            <v>0</v>
          </cell>
          <cell r="O545">
            <v>14906.19</v>
          </cell>
          <cell r="P545">
            <v>3453.8099999999899</v>
          </cell>
          <cell r="Q545">
            <v>58.18</v>
          </cell>
          <cell r="R545">
            <v>14964.37</v>
          </cell>
          <cell r="S545">
            <v>3395.63</v>
          </cell>
        </row>
        <row r="546">
          <cell r="A546" t="str">
            <v>1000/1429       POLIMAG 405</v>
          </cell>
          <cell r="B546" t="str">
            <v>1001522    AGRO-BIT</v>
          </cell>
          <cell r="C546" t="str">
            <v>KB Sprzed. bezpośrednia</v>
          </cell>
          <cell r="D546">
            <v>18543.5999999999</v>
          </cell>
          <cell r="E546">
            <v>24</v>
          </cell>
          <cell r="F546">
            <v>12256.9</v>
          </cell>
          <cell r="G546">
            <v>771.78999999999905</v>
          </cell>
          <cell r="H546">
            <v>295.17</v>
          </cell>
          <cell r="I546">
            <v>1971.1199999999899</v>
          </cell>
          <cell r="J546">
            <v>0</v>
          </cell>
          <cell r="K546">
            <v>2266.29</v>
          </cell>
          <cell r="L546">
            <v>15294.98</v>
          </cell>
          <cell r="M546">
            <v>3248.6199999999899</v>
          </cell>
          <cell r="N546">
            <v>0</v>
          </cell>
          <cell r="O546">
            <v>15294.98</v>
          </cell>
          <cell r="P546">
            <v>3248.6199999999899</v>
          </cell>
          <cell r="Q546">
            <v>58.18</v>
          </cell>
          <cell r="R546">
            <v>15353.16</v>
          </cell>
          <cell r="S546">
            <v>3190.44</v>
          </cell>
        </row>
        <row r="547">
          <cell r="A547" t="str">
            <v>1000/1429       POLIMAG 405</v>
          </cell>
          <cell r="B547" t="str">
            <v>1001522    AGRO-BIT</v>
          </cell>
          <cell r="C547" t="str">
            <v>KC Centra dystrybucji</v>
          </cell>
          <cell r="D547">
            <v>17280</v>
          </cell>
          <cell r="E547">
            <v>24</v>
          </cell>
          <cell r="F547">
            <v>12256.9</v>
          </cell>
          <cell r="G547">
            <v>719.15999999999894</v>
          </cell>
          <cell r="H547">
            <v>295.17</v>
          </cell>
          <cell r="I547">
            <v>0</v>
          </cell>
          <cell r="J547">
            <v>0</v>
          </cell>
          <cell r="K547">
            <v>295.17</v>
          </cell>
          <cell r="L547">
            <v>13271.23</v>
          </cell>
          <cell r="M547">
            <v>4008.77</v>
          </cell>
          <cell r="N547">
            <v>0</v>
          </cell>
          <cell r="O547">
            <v>13271.23</v>
          </cell>
          <cell r="P547">
            <v>4008.77</v>
          </cell>
          <cell r="Q547">
            <v>58.18</v>
          </cell>
          <cell r="R547">
            <v>13329.41</v>
          </cell>
          <cell r="S547">
            <v>3950.59</v>
          </cell>
        </row>
        <row r="548">
          <cell r="A548" t="str">
            <v>1000/1429       POLIMAG 405</v>
          </cell>
          <cell r="B548" t="str">
            <v>1001662    AMPOL-MEROL Sp. z o.</v>
          </cell>
          <cell r="C548" t="str">
            <v>KB Sprzed. bezpośrednia</v>
          </cell>
          <cell r="D548">
            <v>35164.800000000003</v>
          </cell>
          <cell r="E548">
            <v>48</v>
          </cell>
          <cell r="F548">
            <v>24513.799999999901</v>
          </cell>
          <cell r="G548">
            <v>1463.48</v>
          </cell>
          <cell r="H548">
            <v>590.34</v>
          </cell>
          <cell r="I548">
            <v>2094.48</v>
          </cell>
          <cell r="J548">
            <v>0</v>
          </cell>
          <cell r="K548">
            <v>2684.82</v>
          </cell>
          <cell r="L548">
            <v>28662.0999999999</v>
          </cell>
          <cell r="M548">
            <v>6502.6999999999898</v>
          </cell>
          <cell r="N548">
            <v>0</v>
          </cell>
          <cell r="O548">
            <v>28662.0999999999</v>
          </cell>
          <cell r="P548">
            <v>6502.6999999999898</v>
          </cell>
          <cell r="Q548">
            <v>116.4</v>
          </cell>
          <cell r="R548">
            <v>28778.5</v>
          </cell>
          <cell r="S548">
            <v>6386.3</v>
          </cell>
        </row>
        <row r="549">
          <cell r="A549" t="str">
            <v>1000/1429       POLIMAG 405</v>
          </cell>
          <cell r="B549" t="str">
            <v>1001662    AMPOL-MEROL Sp. z o.</v>
          </cell>
          <cell r="C549" t="str">
            <v>KC Centra dystrybucji</v>
          </cell>
          <cell r="D549">
            <v>143568</v>
          </cell>
          <cell r="E549">
            <v>200</v>
          </cell>
          <cell r="F549">
            <v>119058.55</v>
          </cell>
          <cell r="G549">
            <v>5975.1499999999896</v>
          </cell>
          <cell r="H549">
            <v>2459.7199999999898</v>
          </cell>
          <cell r="I549">
            <v>0</v>
          </cell>
          <cell r="J549">
            <v>0</v>
          </cell>
          <cell r="K549">
            <v>2459.7199999999898</v>
          </cell>
          <cell r="L549">
            <v>127493.42</v>
          </cell>
          <cell r="M549">
            <v>16074.58</v>
          </cell>
          <cell r="N549">
            <v>0</v>
          </cell>
          <cell r="O549">
            <v>127493.42</v>
          </cell>
          <cell r="P549">
            <v>16074.58</v>
          </cell>
          <cell r="Q549">
            <v>565.26999999999896</v>
          </cell>
          <cell r="R549">
            <v>128058.69</v>
          </cell>
          <cell r="S549">
            <v>15509.309999999899</v>
          </cell>
        </row>
        <row r="550">
          <cell r="A550" t="str">
            <v>1000/1429       POLIMAG 405</v>
          </cell>
          <cell r="B550" t="str">
            <v>1001701    INTRAT-BRZ</v>
          </cell>
          <cell r="C550" t="str">
            <v>KC Centra dystrybucji</v>
          </cell>
          <cell r="D550">
            <v>17874</v>
          </cell>
          <cell r="E550">
            <v>25</v>
          </cell>
          <cell r="F550">
            <v>14882.32</v>
          </cell>
          <cell r="G550">
            <v>743.94</v>
          </cell>
          <cell r="H550">
            <v>307.45999999999901</v>
          </cell>
          <cell r="I550">
            <v>0</v>
          </cell>
          <cell r="J550">
            <v>0</v>
          </cell>
          <cell r="K550">
            <v>307.45999999999901</v>
          </cell>
          <cell r="L550">
            <v>15933.719999999899</v>
          </cell>
          <cell r="M550">
            <v>1940.28</v>
          </cell>
          <cell r="N550">
            <v>0</v>
          </cell>
          <cell r="O550">
            <v>15933.719999999899</v>
          </cell>
          <cell r="P550">
            <v>1940.28</v>
          </cell>
          <cell r="Q550">
            <v>70.650000000000006</v>
          </cell>
          <cell r="R550">
            <v>16004.37</v>
          </cell>
          <cell r="S550">
            <v>1869.63</v>
          </cell>
        </row>
        <row r="551">
          <cell r="A551" t="str">
            <v>1000/1429       POLIMAG 405</v>
          </cell>
          <cell r="B551" t="str">
            <v>1001983    FAZOT</v>
          </cell>
          <cell r="C551" t="str">
            <v>KB Sprzed. bezpośrednia</v>
          </cell>
          <cell r="D551">
            <v>40435.72</v>
          </cell>
          <cell r="E551">
            <v>55</v>
          </cell>
          <cell r="F551">
            <v>28496.869999999901</v>
          </cell>
          <cell r="G551">
            <v>1682.92</v>
          </cell>
          <cell r="H551">
            <v>676.42999999999904</v>
          </cell>
          <cell r="I551">
            <v>2401.92</v>
          </cell>
          <cell r="J551">
            <v>0</v>
          </cell>
          <cell r="K551">
            <v>3078.3499999999899</v>
          </cell>
          <cell r="L551">
            <v>33258.139999999898</v>
          </cell>
          <cell r="M551">
            <v>7177.5799999999899</v>
          </cell>
          <cell r="N551">
            <v>0</v>
          </cell>
          <cell r="O551">
            <v>33258.139999999898</v>
          </cell>
          <cell r="P551">
            <v>7177.5799999999899</v>
          </cell>
          <cell r="Q551">
            <v>135.319999999999</v>
          </cell>
          <cell r="R551">
            <v>33393.459999999897</v>
          </cell>
          <cell r="S551">
            <v>7042.26</v>
          </cell>
        </row>
        <row r="552">
          <cell r="A552" t="str">
            <v>1000/1429       POLIMAG 405</v>
          </cell>
          <cell r="B552" t="str">
            <v>1001988    ROLNIK-KOŚCIAN</v>
          </cell>
          <cell r="C552" t="str">
            <v>KB Sprzed. bezpośrednia</v>
          </cell>
          <cell r="D552">
            <v>149605.5</v>
          </cell>
          <cell r="E552">
            <v>196</v>
          </cell>
          <cell r="F552">
            <v>103253.649999999</v>
          </cell>
          <cell r="G552">
            <v>6226.35</v>
          </cell>
          <cell r="H552">
            <v>2410.54</v>
          </cell>
          <cell r="I552">
            <v>5224.3199999999897</v>
          </cell>
          <cell r="J552">
            <v>0</v>
          </cell>
          <cell r="K552">
            <v>7634.8599999999897</v>
          </cell>
          <cell r="L552">
            <v>117114.86</v>
          </cell>
          <cell r="M552">
            <v>32490.639999999901</v>
          </cell>
          <cell r="N552">
            <v>0</v>
          </cell>
          <cell r="O552">
            <v>117114.86</v>
          </cell>
          <cell r="P552">
            <v>32490.639999999901</v>
          </cell>
          <cell r="Q552">
            <v>490.24</v>
          </cell>
          <cell r="R552">
            <v>117605.1</v>
          </cell>
          <cell r="S552">
            <v>32000.400000000001</v>
          </cell>
        </row>
        <row r="553">
          <cell r="A553" t="str">
            <v>1000/1429       POLIMAG 405</v>
          </cell>
          <cell r="B553" t="str">
            <v>1001991    WAMEX</v>
          </cell>
          <cell r="C553" t="str">
            <v>KB Sprzed. bezpośrednia</v>
          </cell>
          <cell r="D553">
            <v>142560</v>
          </cell>
          <cell r="E553">
            <v>192</v>
          </cell>
          <cell r="F553">
            <v>98055.199999999895</v>
          </cell>
          <cell r="G553">
            <v>5933.1599999999899</v>
          </cell>
          <cell r="H553">
            <v>2361.3299999999899</v>
          </cell>
          <cell r="I553">
            <v>14154</v>
          </cell>
          <cell r="J553">
            <v>0</v>
          </cell>
          <cell r="K553">
            <v>16515.330000000002</v>
          </cell>
          <cell r="L553">
            <v>120503.69</v>
          </cell>
          <cell r="M553">
            <v>22056.31</v>
          </cell>
          <cell r="N553">
            <v>0</v>
          </cell>
          <cell r="O553">
            <v>120503.69</v>
          </cell>
          <cell r="P553">
            <v>22056.31</v>
          </cell>
          <cell r="Q553">
            <v>465.54</v>
          </cell>
          <cell r="R553">
            <v>120969.23</v>
          </cell>
          <cell r="S553">
            <v>21590.77</v>
          </cell>
        </row>
        <row r="554">
          <cell r="A554" t="str">
            <v>1000/1429       POLIMAG 405</v>
          </cell>
          <cell r="B554" t="str">
            <v>1001991    WAMEX</v>
          </cell>
          <cell r="C554" t="str">
            <v>KC Centra dystrybucji</v>
          </cell>
          <cell r="D554">
            <v>17640</v>
          </cell>
          <cell r="E554">
            <v>24</v>
          </cell>
          <cell r="F554">
            <v>13945.16</v>
          </cell>
          <cell r="G554">
            <v>734.16999999999905</v>
          </cell>
          <cell r="H554">
            <v>295.17</v>
          </cell>
          <cell r="I554">
            <v>0</v>
          </cell>
          <cell r="J554">
            <v>0</v>
          </cell>
          <cell r="K554">
            <v>295.17</v>
          </cell>
          <cell r="L554">
            <v>14974.5</v>
          </cell>
          <cell r="M554">
            <v>2665.5</v>
          </cell>
          <cell r="N554">
            <v>0</v>
          </cell>
          <cell r="O554">
            <v>14974.5</v>
          </cell>
          <cell r="P554">
            <v>2665.5</v>
          </cell>
          <cell r="Q554">
            <v>66.219999999999899</v>
          </cell>
          <cell r="R554">
            <v>15040.719999999899</v>
          </cell>
          <cell r="S554">
            <v>2599.2800000000002</v>
          </cell>
        </row>
        <row r="555">
          <cell r="A555" t="str">
            <v>1000/1429       POLIMAG 405</v>
          </cell>
          <cell r="B555" t="str">
            <v>1001994    SKR-STRZELCE</v>
          </cell>
          <cell r="C555" t="str">
            <v>KB Sprzed. bezpośrednia</v>
          </cell>
          <cell r="D555">
            <v>35126.279999999897</v>
          </cell>
          <cell r="E555">
            <v>48</v>
          </cell>
          <cell r="F555">
            <v>25357.93</v>
          </cell>
          <cell r="G555">
            <v>1461.92</v>
          </cell>
          <cell r="H555">
            <v>590.34</v>
          </cell>
          <cell r="I555">
            <v>1500.48</v>
          </cell>
          <cell r="J555">
            <v>0</v>
          </cell>
          <cell r="K555">
            <v>2090.8200000000002</v>
          </cell>
          <cell r="L555">
            <v>28910.6699999999</v>
          </cell>
          <cell r="M555">
            <v>6215.6099999999897</v>
          </cell>
          <cell r="N555">
            <v>0</v>
          </cell>
          <cell r="O555">
            <v>28910.6699999999</v>
          </cell>
          <cell r="P555">
            <v>6215.6099999999897</v>
          </cell>
          <cell r="Q555">
            <v>120.38</v>
          </cell>
          <cell r="R555">
            <v>29031.049999999901</v>
          </cell>
          <cell r="S555">
            <v>6095.2299999999896</v>
          </cell>
        </row>
        <row r="556">
          <cell r="A556" t="str">
            <v>1000/1429       POLIMAG 405</v>
          </cell>
          <cell r="B556" t="str">
            <v>1002004    AZOT</v>
          </cell>
          <cell r="C556" t="str">
            <v>KC Centra dystrybucji</v>
          </cell>
          <cell r="D556">
            <v>9303.84</v>
          </cell>
          <cell r="E556">
            <v>13</v>
          </cell>
          <cell r="F556">
            <v>7553.63</v>
          </cell>
          <cell r="G556">
            <v>387.19</v>
          </cell>
          <cell r="H556">
            <v>159.88</v>
          </cell>
          <cell r="I556">
            <v>0</v>
          </cell>
          <cell r="J556">
            <v>0</v>
          </cell>
          <cell r="K556">
            <v>159.88</v>
          </cell>
          <cell r="L556">
            <v>8100.6999999999898</v>
          </cell>
          <cell r="M556">
            <v>1203.1400000000001</v>
          </cell>
          <cell r="N556">
            <v>0</v>
          </cell>
          <cell r="O556">
            <v>8100.6999999999898</v>
          </cell>
          <cell r="P556">
            <v>1203.1400000000001</v>
          </cell>
          <cell r="Q556">
            <v>35.869999999999898</v>
          </cell>
          <cell r="R556">
            <v>8136.5699999999897</v>
          </cell>
          <cell r="S556">
            <v>1167.27</v>
          </cell>
        </row>
        <row r="557">
          <cell r="A557" t="str">
            <v>1000/1429       POLIMAG 405</v>
          </cell>
          <cell r="B557" t="str">
            <v>1002009    AGROTECHNI</v>
          </cell>
          <cell r="C557" t="str">
            <v>KB Sprzed. bezpośrednia</v>
          </cell>
          <cell r="D557">
            <v>18250</v>
          </cell>
          <cell r="E557">
            <v>25</v>
          </cell>
          <cell r="F557">
            <v>12767.6</v>
          </cell>
          <cell r="G557">
            <v>759.53999999999905</v>
          </cell>
          <cell r="H557">
            <v>307.45999999999901</v>
          </cell>
          <cell r="I557">
            <v>2034.25</v>
          </cell>
          <cell r="J557">
            <v>0</v>
          </cell>
          <cell r="K557">
            <v>2341.71</v>
          </cell>
          <cell r="L557">
            <v>15868.85</v>
          </cell>
          <cell r="M557">
            <v>2381.15</v>
          </cell>
          <cell r="N557">
            <v>0</v>
          </cell>
          <cell r="O557">
            <v>15868.85</v>
          </cell>
          <cell r="P557">
            <v>2381.15</v>
          </cell>
          <cell r="Q557">
            <v>60.619999999999898</v>
          </cell>
          <cell r="R557">
            <v>15929.469999999899</v>
          </cell>
          <cell r="S557">
            <v>2320.5300000000002</v>
          </cell>
        </row>
        <row r="558">
          <cell r="A558" t="str">
            <v>1000/1429       POLIMAG 405</v>
          </cell>
          <cell r="B558" t="str">
            <v>1002056    GS-Koronowo</v>
          </cell>
          <cell r="C558" t="str">
            <v>KB Sprzed. bezpośrednia</v>
          </cell>
          <cell r="D558">
            <v>17946</v>
          </cell>
          <cell r="E558">
            <v>24</v>
          </cell>
          <cell r="F558">
            <v>13656.23</v>
          </cell>
          <cell r="G558">
            <v>746.94</v>
          </cell>
          <cell r="H558">
            <v>295.17</v>
          </cell>
          <cell r="I558">
            <v>819.84</v>
          </cell>
          <cell r="J558">
            <v>0</v>
          </cell>
          <cell r="K558">
            <v>1115.01</v>
          </cell>
          <cell r="L558">
            <v>15518.18</v>
          </cell>
          <cell r="M558">
            <v>2427.8200000000002</v>
          </cell>
          <cell r="N558">
            <v>0</v>
          </cell>
          <cell r="O558">
            <v>15518.18</v>
          </cell>
          <cell r="P558">
            <v>2427.8200000000002</v>
          </cell>
          <cell r="Q558">
            <v>64.849999999999895</v>
          </cell>
          <cell r="R558">
            <v>15583.03</v>
          </cell>
          <cell r="S558">
            <v>2362.9699999999898</v>
          </cell>
        </row>
        <row r="559">
          <cell r="A559" t="str">
            <v>1000/1429       POLIMAG 405</v>
          </cell>
          <cell r="B559" t="str">
            <v>1002151    "AGRO-HANDEL"</v>
          </cell>
          <cell r="C559" t="str">
            <v>KB Sprzed. bezpośrednia</v>
          </cell>
          <cell r="D559">
            <v>18250</v>
          </cell>
          <cell r="E559">
            <v>25</v>
          </cell>
          <cell r="F559">
            <v>12767.6</v>
          </cell>
          <cell r="G559">
            <v>759.53999999999905</v>
          </cell>
          <cell r="H559">
            <v>307.45999999999901</v>
          </cell>
          <cell r="I559">
            <v>2034.25</v>
          </cell>
          <cell r="J559">
            <v>0</v>
          </cell>
          <cell r="K559">
            <v>2341.71</v>
          </cell>
          <cell r="L559">
            <v>15868.85</v>
          </cell>
          <cell r="M559">
            <v>2381.15</v>
          </cell>
          <cell r="N559">
            <v>0</v>
          </cell>
          <cell r="O559">
            <v>15868.85</v>
          </cell>
          <cell r="P559">
            <v>2381.15</v>
          </cell>
          <cell r="Q559">
            <v>60.619999999999898</v>
          </cell>
          <cell r="R559">
            <v>15929.469999999899</v>
          </cell>
          <cell r="S559">
            <v>2320.5300000000002</v>
          </cell>
        </row>
        <row r="560">
          <cell r="A560" t="str">
            <v>1000/1429       POLIMAG 405</v>
          </cell>
          <cell r="B560" t="str">
            <v>1002407    ROLBUD</v>
          </cell>
          <cell r="C560" t="str">
            <v>KB Sprzed. bezpośrednia</v>
          </cell>
          <cell r="D560">
            <v>34318.080000000002</v>
          </cell>
          <cell r="E560">
            <v>48</v>
          </cell>
          <cell r="F560">
            <v>24513.799999999901</v>
          </cell>
          <cell r="G560">
            <v>1428.3099999999899</v>
          </cell>
          <cell r="H560">
            <v>590.34</v>
          </cell>
          <cell r="I560">
            <v>0</v>
          </cell>
          <cell r="J560">
            <v>0</v>
          </cell>
          <cell r="K560">
            <v>590.34</v>
          </cell>
          <cell r="L560">
            <v>26532.45</v>
          </cell>
          <cell r="M560">
            <v>7785.63</v>
          </cell>
          <cell r="N560">
            <v>0</v>
          </cell>
          <cell r="O560">
            <v>26532.45</v>
          </cell>
          <cell r="P560">
            <v>7785.63</v>
          </cell>
          <cell r="Q560">
            <v>116.4</v>
          </cell>
          <cell r="R560">
            <v>26648.8499999999</v>
          </cell>
          <cell r="S560">
            <v>7669.2299999999896</v>
          </cell>
        </row>
        <row r="561">
          <cell r="A561" t="str">
            <v>1000/1429       POLIMAG 405</v>
          </cell>
          <cell r="B561" t="str">
            <v>1002790    AGRO-SKŁAD SZYMON NO</v>
          </cell>
          <cell r="C561" t="str">
            <v>KB Sprzed. bezpośrednia</v>
          </cell>
          <cell r="D561">
            <v>16563.36</v>
          </cell>
          <cell r="E561">
            <v>24</v>
          </cell>
          <cell r="F561">
            <v>12256.9</v>
          </cell>
          <cell r="G561">
            <v>689.35</v>
          </cell>
          <cell r="H561">
            <v>295.17</v>
          </cell>
          <cell r="I561">
            <v>0</v>
          </cell>
          <cell r="J561">
            <v>0</v>
          </cell>
          <cell r="K561">
            <v>295.17</v>
          </cell>
          <cell r="L561">
            <v>13241.42</v>
          </cell>
          <cell r="M561">
            <v>3321.94</v>
          </cell>
          <cell r="N561">
            <v>0</v>
          </cell>
          <cell r="O561">
            <v>13241.42</v>
          </cell>
          <cell r="P561">
            <v>3321.94</v>
          </cell>
          <cell r="Q561">
            <v>58.18</v>
          </cell>
          <cell r="R561">
            <v>13299.6</v>
          </cell>
          <cell r="S561">
            <v>3263.76</v>
          </cell>
        </row>
        <row r="562">
          <cell r="A562" t="str">
            <v>1000/1429       POLIMAG 405</v>
          </cell>
          <cell r="B562" t="str">
            <v>1003056    LECHPOL SP. Z O.O.</v>
          </cell>
          <cell r="C562" t="str">
            <v>KB Sprzed. bezpośrednia</v>
          </cell>
          <cell r="D562">
            <v>16801.68</v>
          </cell>
          <cell r="E562">
            <v>24</v>
          </cell>
          <cell r="F562">
            <v>12256.9</v>
          </cell>
          <cell r="G562">
            <v>699.26999999999896</v>
          </cell>
          <cell r="H562">
            <v>295.17</v>
          </cell>
          <cell r="I562">
            <v>0</v>
          </cell>
          <cell r="J562">
            <v>0</v>
          </cell>
          <cell r="K562">
            <v>295.17</v>
          </cell>
          <cell r="L562">
            <v>13251.34</v>
          </cell>
          <cell r="M562">
            <v>3550.34</v>
          </cell>
          <cell r="N562">
            <v>0</v>
          </cell>
          <cell r="O562">
            <v>13251.34</v>
          </cell>
          <cell r="P562">
            <v>3550.34</v>
          </cell>
          <cell r="Q562">
            <v>58.18</v>
          </cell>
          <cell r="R562">
            <v>13309.52</v>
          </cell>
          <cell r="S562">
            <v>3492.1599999999899</v>
          </cell>
        </row>
        <row r="563">
          <cell r="A563" t="str">
            <v>1000/1429       POLIMAG 405</v>
          </cell>
          <cell r="B563" t="str">
            <v>1003167    CENTRALA NASIENNA</v>
          </cell>
          <cell r="C563" t="str">
            <v>KC Centra dystrybucji</v>
          </cell>
          <cell r="D563">
            <v>17892</v>
          </cell>
          <cell r="E563">
            <v>25</v>
          </cell>
          <cell r="F563">
            <v>14882.32</v>
          </cell>
          <cell r="G563">
            <v>744.65999999999894</v>
          </cell>
          <cell r="H563">
            <v>307.45999999999901</v>
          </cell>
          <cell r="I563">
            <v>0</v>
          </cell>
          <cell r="J563">
            <v>0</v>
          </cell>
          <cell r="K563">
            <v>307.45999999999901</v>
          </cell>
          <cell r="L563">
            <v>15934.44</v>
          </cell>
          <cell r="M563">
            <v>1957.5599999999899</v>
          </cell>
          <cell r="N563">
            <v>0</v>
          </cell>
          <cell r="O563">
            <v>15934.44</v>
          </cell>
          <cell r="P563">
            <v>1957.5599999999899</v>
          </cell>
          <cell r="Q563">
            <v>70.650000000000006</v>
          </cell>
          <cell r="R563">
            <v>16005.09</v>
          </cell>
          <cell r="S563">
            <v>1886.91</v>
          </cell>
        </row>
        <row r="564">
          <cell r="A564" t="str">
            <v>1000/1429       POLIMAG 405</v>
          </cell>
          <cell r="B564" t="str">
            <v>1003315    ZAKŁAD OBROTU ROLNEG</v>
          </cell>
          <cell r="C564" t="str">
            <v>KC Centra dystrybucji</v>
          </cell>
          <cell r="D564">
            <v>19967.04</v>
          </cell>
          <cell r="E564">
            <v>28</v>
          </cell>
          <cell r="F564">
            <v>14299.719999999899</v>
          </cell>
          <cell r="G564">
            <v>831.00999999999897</v>
          </cell>
          <cell r="H564">
            <v>344.37</v>
          </cell>
          <cell r="I564">
            <v>0</v>
          </cell>
          <cell r="J564">
            <v>0</v>
          </cell>
          <cell r="K564">
            <v>344.37</v>
          </cell>
          <cell r="L564">
            <v>15475.1</v>
          </cell>
          <cell r="M564">
            <v>4491.9399999999896</v>
          </cell>
          <cell r="N564">
            <v>0</v>
          </cell>
          <cell r="O564">
            <v>15475.1</v>
          </cell>
          <cell r="P564">
            <v>4491.9399999999896</v>
          </cell>
          <cell r="Q564">
            <v>67.900000000000006</v>
          </cell>
          <cell r="R564">
            <v>15543</v>
          </cell>
          <cell r="S564">
            <v>4424.04</v>
          </cell>
        </row>
        <row r="565">
          <cell r="A565" t="str">
            <v>1000/1429       POLIMAG 405</v>
          </cell>
          <cell r="B565" t="str">
            <v>1003605    "AGROMUND"</v>
          </cell>
          <cell r="C565" t="str">
            <v>KC Centra dystrybucji</v>
          </cell>
          <cell r="D565">
            <v>6480</v>
          </cell>
          <cell r="E565">
            <v>9</v>
          </cell>
          <cell r="F565">
            <v>5229.43</v>
          </cell>
          <cell r="G565">
            <v>269.70999999999901</v>
          </cell>
          <cell r="H565">
            <v>110.68</v>
          </cell>
          <cell r="I565">
            <v>0</v>
          </cell>
          <cell r="J565">
            <v>0</v>
          </cell>
          <cell r="K565">
            <v>110.68</v>
          </cell>
          <cell r="L565">
            <v>5609.8199999999897</v>
          </cell>
          <cell r="M565">
            <v>870.17999999999904</v>
          </cell>
          <cell r="N565">
            <v>0</v>
          </cell>
          <cell r="O565">
            <v>5609.8199999999897</v>
          </cell>
          <cell r="P565">
            <v>870.17999999999904</v>
          </cell>
          <cell r="Q565">
            <v>24.82</v>
          </cell>
          <cell r="R565">
            <v>5634.64</v>
          </cell>
          <cell r="S565">
            <v>845.36</v>
          </cell>
        </row>
        <row r="566">
          <cell r="A566" t="str">
            <v>1000/1429       POLIMAG 405</v>
          </cell>
          <cell r="B566" t="str">
            <v>1003773    "NIRO"</v>
          </cell>
          <cell r="C566" t="str">
            <v>KB Sprzed. bezpośrednia</v>
          </cell>
          <cell r="D566">
            <v>17159.04</v>
          </cell>
          <cell r="E566">
            <v>24</v>
          </cell>
          <cell r="F566">
            <v>12256.9</v>
          </cell>
          <cell r="G566">
            <v>714.1</v>
          </cell>
          <cell r="H566">
            <v>295.17</v>
          </cell>
          <cell r="I566">
            <v>0</v>
          </cell>
          <cell r="J566">
            <v>0</v>
          </cell>
          <cell r="K566">
            <v>295.17</v>
          </cell>
          <cell r="L566">
            <v>13266.17</v>
          </cell>
          <cell r="M566">
            <v>3892.8699999999899</v>
          </cell>
          <cell r="N566">
            <v>0</v>
          </cell>
          <cell r="O566">
            <v>13266.17</v>
          </cell>
          <cell r="P566">
            <v>3892.8699999999899</v>
          </cell>
          <cell r="Q566">
            <v>58.18</v>
          </cell>
          <cell r="R566">
            <v>13324.35</v>
          </cell>
          <cell r="S566">
            <v>3834.69</v>
          </cell>
        </row>
        <row r="567">
          <cell r="A567" t="str">
            <v>1000/1429       POLIMAG 405</v>
          </cell>
          <cell r="B567" t="str">
            <v>1003857    EDMAR</v>
          </cell>
          <cell r="C567" t="str">
            <v>KB Sprzed. bezpośrednia</v>
          </cell>
          <cell r="D567">
            <v>36720</v>
          </cell>
          <cell r="E567">
            <v>48</v>
          </cell>
          <cell r="F567">
            <v>24513.799999999901</v>
          </cell>
          <cell r="G567">
            <v>1528.25</v>
          </cell>
          <cell r="H567">
            <v>590.34</v>
          </cell>
          <cell r="I567">
            <v>3369.1199999999899</v>
          </cell>
          <cell r="J567">
            <v>0</v>
          </cell>
          <cell r="K567">
            <v>3959.46</v>
          </cell>
          <cell r="L567">
            <v>30001.5099999999</v>
          </cell>
          <cell r="M567">
            <v>6718.4899999999898</v>
          </cell>
          <cell r="N567">
            <v>0</v>
          </cell>
          <cell r="O567">
            <v>30001.5099999999</v>
          </cell>
          <cell r="P567">
            <v>6718.4899999999898</v>
          </cell>
          <cell r="Q567">
            <v>116.4</v>
          </cell>
          <cell r="R567">
            <v>30117.91</v>
          </cell>
          <cell r="S567">
            <v>6602.09</v>
          </cell>
        </row>
        <row r="568">
          <cell r="A568" t="str">
            <v>1000/1429       POLIMAG 405</v>
          </cell>
          <cell r="B568" t="str">
            <v>1003857    EDMAR</v>
          </cell>
          <cell r="C568" t="str">
            <v>KC Centra dystrybucji</v>
          </cell>
          <cell r="D568">
            <v>45803.519999999902</v>
          </cell>
          <cell r="E568">
            <v>64</v>
          </cell>
          <cell r="F568">
            <v>38098.739999999903</v>
          </cell>
          <cell r="G568">
            <v>1906.3099999999899</v>
          </cell>
          <cell r="H568">
            <v>787.11</v>
          </cell>
          <cell r="I568">
            <v>0</v>
          </cell>
          <cell r="J568">
            <v>0</v>
          </cell>
          <cell r="K568">
            <v>787.11</v>
          </cell>
          <cell r="L568">
            <v>40792.160000000003</v>
          </cell>
          <cell r="M568">
            <v>5011.3599999999897</v>
          </cell>
          <cell r="N568">
            <v>0</v>
          </cell>
          <cell r="O568">
            <v>40792.160000000003</v>
          </cell>
          <cell r="P568">
            <v>5011.3599999999897</v>
          </cell>
          <cell r="Q568">
            <v>180.87</v>
          </cell>
          <cell r="R568">
            <v>40973.029999999897</v>
          </cell>
          <cell r="S568">
            <v>4830.4899999999898</v>
          </cell>
        </row>
        <row r="569">
          <cell r="A569" t="str">
            <v>1000/1429       POLIMAG 405</v>
          </cell>
          <cell r="B569" t="str">
            <v>1004168    "OSADKOWSKI" SPÓŁKA</v>
          </cell>
          <cell r="C569" t="str">
            <v>KC Centra dystrybucji</v>
          </cell>
          <cell r="D569">
            <v>8640</v>
          </cell>
          <cell r="E569">
            <v>12</v>
          </cell>
          <cell r="F569">
            <v>6972.5799999999899</v>
          </cell>
          <cell r="G569">
            <v>359.6</v>
          </cell>
          <cell r="H569">
            <v>147.59</v>
          </cell>
          <cell r="I569">
            <v>0</v>
          </cell>
          <cell r="J569">
            <v>0</v>
          </cell>
          <cell r="K569">
            <v>147.59</v>
          </cell>
          <cell r="L569">
            <v>7479.77</v>
          </cell>
          <cell r="M569">
            <v>1160.23</v>
          </cell>
          <cell r="N569">
            <v>0</v>
          </cell>
          <cell r="O569">
            <v>7479.77</v>
          </cell>
          <cell r="P569">
            <v>1160.23</v>
          </cell>
          <cell r="Q569">
            <v>33.1</v>
          </cell>
          <cell r="R569">
            <v>7512.8699999999899</v>
          </cell>
          <cell r="S569">
            <v>1127.1300000000001</v>
          </cell>
        </row>
        <row r="570">
          <cell r="A570" t="str">
            <v>1000/1429       POLIMAG 405</v>
          </cell>
          <cell r="B570" t="str">
            <v>1004709    PRZEDSIĘBIORSTWO PRO</v>
          </cell>
          <cell r="C570" t="str">
            <v>KB Sprzed. bezpośrednia</v>
          </cell>
          <cell r="D570">
            <v>18122.25</v>
          </cell>
          <cell r="E570">
            <v>25</v>
          </cell>
          <cell r="F570">
            <v>12767.6</v>
          </cell>
          <cell r="G570">
            <v>754.25999999999897</v>
          </cell>
          <cell r="H570">
            <v>307.3</v>
          </cell>
          <cell r="I570">
            <v>990.00999999999897</v>
          </cell>
          <cell r="J570">
            <v>0</v>
          </cell>
          <cell r="K570">
            <v>1297.3099999999899</v>
          </cell>
          <cell r="L570">
            <v>14819.17</v>
          </cell>
          <cell r="M570">
            <v>3303.0799999999899</v>
          </cell>
          <cell r="N570">
            <v>0</v>
          </cell>
          <cell r="O570">
            <v>14819.17</v>
          </cell>
          <cell r="P570">
            <v>3303.0799999999899</v>
          </cell>
          <cell r="Q570">
            <v>60.619999999999898</v>
          </cell>
          <cell r="R570">
            <v>14879.79</v>
          </cell>
          <cell r="S570">
            <v>3242.46</v>
          </cell>
        </row>
        <row r="571">
          <cell r="A571" t="str">
            <v>1000/1430       POLIMAG S 5101</v>
          </cell>
          <cell r="B571" t="str">
            <v>1000112    GS 'SCh'</v>
          </cell>
          <cell r="C571" t="str">
            <v>KB Sprzed. bezpośrednia</v>
          </cell>
          <cell r="D571">
            <v>48095.279999999897</v>
          </cell>
          <cell r="E571">
            <v>48</v>
          </cell>
          <cell r="F571">
            <v>37481.440000000002</v>
          </cell>
          <cell r="G571">
            <v>2001.68</v>
          </cell>
          <cell r="H571">
            <v>565.76999999999896</v>
          </cell>
          <cell r="I571">
            <v>0</v>
          </cell>
          <cell r="J571">
            <v>0</v>
          </cell>
          <cell r="K571">
            <v>565.76999999999896</v>
          </cell>
          <cell r="L571">
            <v>40048.889999999898</v>
          </cell>
          <cell r="M571">
            <v>8046.39</v>
          </cell>
          <cell r="N571">
            <v>0</v>
          </cell>
          <cell r="O571">
            <v>40048.889999999898</v>
          </cell>
          <cell r="P571">
            <v>8046.39</v>
          </cell>
          <cell r="Q571">
            <v>177.94</v>
          </cell>
          <cell r="R571">
            <v>40226.83</v>
          </cell>
          <cell r="S571">
            <v>7868.4499999999898</v>
          </cell>
        </row>
        <row r="572">
          <cell r="A572" t="str">
            <v>1000/1430       POLIMAG S 5101</v>
          </cell>
          <cell r="B572" t="str">
            <v>1000120    GS-PABIANICE</v>
          </cell>
          <cell r="C572" t="str">
            <v>KB Sprzed. bezpośrednia</v>
          </cell>
          <cell r="D572">
            <v>75146.399999999907</v>
          </cell>
          <cell r="E572">
            <v>72</v>
          </cell>
          <cell r="F572">
            <v>56222.16</v>
          </cell>
          <cell r="G572">
            <v>3127.4899999999898</v>
          </cell>
          <cell r="H572">
            <v>848.63999999999896</v>
          </cell>
          <cell r="I572">
            <v>3855.1199999999899</v>
          </cell>
          <cell r="J572">
            <v>0</v>
          </cell>
          <cell r="K572">
            <v>4703.76</v>
          </cell>
          <cell r="L572">
            <v>64053.41</v>
          </cell>
          <cell r="M572">
            <v>11092.99</v>
          </cell>
          <cell r="N572">
            <v>0</v>
          </cell>
          <cell r="O572">
            <v>64053.41</v>
          </cell>
          <cell r="P572">
            <v>11092.99</v>
          </cell>
          <cell r="Q572">
            <v>266.92</v>
          </cell>
          <cell r="R572">
            <v>64320.33</v>
          </cell>
          <cell r="S572">
            <v>10826.07</v>
          </cell>
        </row>
        <row r="573">
          <cell r="A573" t="str">
            <v>1000/1430       POLIMAG S 5101</v>
          </cell>
          <cell r="B573" t="str">
            <v>1000129    GS-WRZEŚNI</v>
          </cell>
          <cell r="C573" t="str">
            <v>KB Sprzed. bezpośrednia</v>
          </cell>
          <cell r="D573">
            <v>25048.799999999901</v>
          </cell>
          <cell r="E573">
            <v>24</v>
          </cell>
          <cell r="F573">
            <v>18740.72</v>
          </cell>
          <cell r="G573">
            <v>1042.52</v>
          </cell>
          <cell r="H573">
            <v>282.88</v>
          </cell>
          <cell r="I573">
            <v>898.79999999999905</v>
          </cell>
          <cell r="J573">
            <v>0</v>
          </cell>
          <cell r="K573">
            <v>1181.68</v>
          </cell>
          <cell r="L573">
            <v>20964.9199999999</v>
          </cell>
          <cell r="M573">
            <v>4083.88</v>
          </cell>
          <cell r="N573">
            <v>0</v>
          </cell>
          <cell r="O573">
            <v>20964.9199999999</v>
          </cell>
          <cell r="P573">
            <v>4083.88</v>
          </cell>
          <cell r="Q573">
            <v>88.989999999999895</v>
          </cell>
          <cell r="R573">
            <v>21053.91</v>
          </cell>
          <cell r="S573">
            <v>3994.8899999999899</v>
          </cell>
        </row>
        <row r="574">
          <cell r="A574" t="str">
            <v>1000/1430       POLIMAG S 5101</v>
          </cell>
          <cell r="B574" t="str">
            <v>1000142    ZSHP-ZŁOTOW</v>
          </cell>
          <cell r="C574" t="str">
            <v>KB Sprzed. bezpośrednia</v>
          </cell>
          <cell r="D574">
            <v>85249.199999999895</v>
          </cell>
          <cell r="E574">
            <v>81</v>
          </cell>
          <cell r="F574">
            <v>63249.93</v>
          </cell>
          <cell r="G574">
            <v>3547.98</v>
          </cell>
          <cell r="H574">
            <v>954.7</v>
          </cell>
          <cell r="I574">
            <v>2835</v>
          </cell>
          <cell r="J574">
            <v>0</v>
          </cell>
          <cell r="K574">
            <v>3789.6999999999898</v>
          </cell>
          <cell r="L574">
            <v>70587.61</v>
          </cell>
          <cell r="M574">
            <v>14661.59</v>
          </cell>
          <cell r="N574">
            <v>0</v>
          </cell>
          <cell r="O574">
            <v>70587.61</v>
          </cell>
          <cell r="P574">
            <v>14661.59</v>
          </cell>
          <cell r="Q574">
            <v>300.31999999999903</v>
          </cell>
          <cell r="R574">
            <v>70887.929999999906</v>
          </cell>
          <cell r="S574">
            <v>14361.27</v>
          </cell>
        </row>
        <row r="575">
          <cell r="A575" t="str">
            <v>1000/1430       POLIMAG S 5101</v>
          </cell>
          <cell r="B575" t="str">
            <v>1000182    AGRA NOWA</v>
          </cell>
          <cell r="C575" t="str">
            <v>KB Sprzed. bezpośrednia</v>
          </cell>
          <cell r="D575">
            <v>18035.82</v>
          </cell>
          <cell r="E575">
            <v>18</v>
          </cell>
          <cell r="F575">
            <v>14055.54</v>
          </cell>
          <cell r="G575">
            <v>750.65999999999894</v>
          </cell>
          <cell r="H575">
            <v>212.15</v>
          </cell>
          <cell r="I575">
            <v>0</v>
          </cell>
          <cell r="J575">
            <v>0</v>
          </cell>
          <cell r="K575">
            <v>212.15</v>
          </cell>
          <cell r="L575">
            <v>15018.35</v>
          </cell>
          <cell r="M575">
            <v>3017.4699999999898</v>
          </cell>
          <cell r="N575">
            <v>0</v>
          </cell>
          <cell r="O575">
            <v>15018.35</v>
          </cell>
          <cell r="P575">
            <v>3017.4699999999898</v>
          </cell>
          <cell r="Q575">
            <v>66.739999999999895</v>
          </cell>
          <cell r="R575">
            <v>15085.09</v>
          </cell>
          <cell r="S575">
            <v>2950.73</v>
          </cell>
        </row>
        <row r="576">
          <cell r="A576" t="str">
            <v>1000/1430       POLIMAG S 5101</v>
          </cell>
          <cell r="B576" t="str">
            <v>1000205    SKŁODOWSKI</v>
          </cell>
          <cell r="C576" t="str">
            <v>KC Centra dystrybucji</v>
          </cell>
          <cell r="D576">
            <v>100980</v>
          </cell>
          <cell r="E576">
            <v>100</v>
          </cell>
          <cell r="F576">
            <v>78086.33</v>
          </cell>
          <cell r="G576">
            <v>4202.6599999999899</v>
          </cell>
          <cell r="H576">
            <v>1178.67</v>
          </cell>
          <cell r="I576">
            <v>0</v>
          </cell>
          <cell r="J576">
            <v>0</v>
          </cell>
          <cell r="K576">
            <v>1178.67</v>
          </cell>
          <cell r="L576">
            <v>83467.66</v>
          </cell>
          <cell r="M576">
            <v>17512.34</v>
          </cell>
          <cell r="N576">
            <v>0</v>
          </cell>
          <cell r="O576">
            <v>83467.66</v>
          </cell>
          <cell r="P576">
            <v>17512.34</v>
          </cell>
          <cell r="Q576">
            <v>370.75999999999902</v>
          </cell>
          <cell r="R576">
            <v>83838.419999999896</v>
          </cell>
          <cell r="S576">
            <v>17141.580000000002</v>
          </cell>
        </row>
        <row r="577">
          <cell r="A577" t="str">
            <v>1000/1430       POLIMAG S 5101</v>
          </cell>
          <cell r="B577" t="str">
            <v>1000213    KUDASZEWIC</v>
          </cell>
          <cell r="C577" t="str">
            <v>KB Sprzed. bezpośrednia</v>
          </cell>
          <cell r="D577">
            <v>24960</v>
          </cell>
          <cell r="E577">
            <v>24</v>
          </cell>
          <cell r="F577">
            <v>18740.72</v>
          </cell>
          <cell r="G577">
            <v>1038.8099999999899</v>
          </cell>
          <cell r="H577">
            <v>282.88</v>
          </cell>
          <cell r="I577">
            <v>1511.04</v>
          </cell>
          <cell r="J577">
            <v>0</v>
          </cell>
          <cell r="K577">
            <v>1793.92</v>
          </cell>
          <cell r="L577">
            <v>21573.45</v>
          </cell>
          <cell r="M577">
            <v>3386.55</v>
          </cell>
          <cell r="N577">
            <v>0</v>
          </cell>
          <cell r="O577">
            <v>21573.45</v>
          </cell>
          <cell r="P577">
            <v>3386.55</v>
          </cell>
          <cell r="Q577">
            <v>88.989999999999895</v>
          </cell>
          <cell r="R577">
            <v>21662.4399999999</v>
          </cell>
          <cell r="S577">
            <v>3297.5599999999899</v>
          </cell>
        </row>
        <row r="578">
          <cell r="A578" t="str">
            <v>1000/1430       POLIMAG S 5101</v>
          </cell>
          <cell r="B578" t="str">
            <v>1000219    BUTOR</v>
          </cell>
          <cell r="C578" t="str">
            <v>KB Sprzed. bezpośrednia</v>
          </cell>
          <cell r="D578">
            <v>12108.24</v>
          </cell>
          <cell r="E578">
            <v>12</v>
          </cell>
          <cell r="F578">
            <v>9370.36</v>
          </cell>
          <cell r="G578">
            <v>503.89999999999901</v>
          </cell>
          <cell r="H578">
            <v>141.44</v>
          </cell>
          <cell r="I578">
            <v>0</v>
          </cell>
          <cell r="J578">
            <v>0</v>
          </cell>
          <cell r="K578">
            <v>141.44</v>
          </cell>
          <cell r="L578">
            <v>10015.700000000001</v>
          </cell>
          <cell r="M578">
            <v>2092.54</v>
          </cell>
          <cell r="N578">
            <v>0</v>
          </cell>
          <cell r="O578">
            <v>10015.700000000001</v>
          </cell>
          <cell r="P578">
            <v>2092.54</v>
          </cell>
          <cell r="Q578">
            <v>44.479999999999897</v>
          </cell>
          <cell r="R578">
            <v>10060.18</v>
          </cell>
          <cell r="S578">
            <v>2048.0599999999899</v>
          </cell>
        </row>
        <row r="579">
          <cell r="A579" t="str">
            <v>1000/1430       POLIMAG S 5101</v>
          </cell>
          <cell r="B579" t="str">
            <v>1000222    ROLPOL</v>
          </cell>
          <cell r="C579" t="str">
            <v>KB Sprzed. bezpośrednia</v>
          </cell>
          <cell r="D579">
            <v>24785.279999999901</v>
          </cell>
          <cell r="E579">
            <v>24</v>
          </cell>
          <cell r="F579">
            <v>18740.72</v>
          </cell>
          <cell r="G579">
            <v>1031.5699999999899</v>
          </cell>
          <cell r="H579">
            <v>282.88</v>
          </cell>
          <cell r="I579">
            <v>1878.96</v>
          </cell>
          <cell r="J579">
            <v>0</v>
          </cell>
          <cell r="K579">
            <v>2161.84</v>
          </cell>
          <cell r="L579">
            <v>21934.13</v>
          </cell>
          <cell r="M579">
            <v>2851.15</v>
          </cell>
          <cell r="N579">
            <v>0</v>
          </cell>
          <cell r="O579">
            <v>21934.13</v>
          </cell>
          <cell r="P579">
            <v>2851.15</v>
          </cell>
          <cell r="Q579">
            <v>88.989999999999895</v>
          </cell>
          <cell r="R579">
            <v>22023.119999999901</v>
          </cell>
          <cell r="S579">
            <v>2762.1599999999899</v>
          </cell>
        </row>
        <row r="580">
          <cell r="A580" t="str">
            <v>1000/1430       POLIMAG S 5101</v>
          </cell>
          <cell r="B580" t="str">
            <v>1000222    ROLPOL</v>
          </cell>
          <cell r="C580" t="str">
            <v>KC Centra dystrybucji</v>
          </cell>
          <cell r="D580">
            <v>60465.599999999897</v>
          </cell>
          <cell r="E580">
            <v>60</v>
          </cell>
          <cell r="F580">
            <v>46851.8</v>
          </cell>
          <cell r="G580">
            <v>2516.46</v>
          </cell>
          <cell r="H580">
            <v>707.19</v>
          </cell>
          <cell r="I580">
            <v>0</v>
          </cell>
          <cell r="J580">
            <v>0</v>
          </cell>
          <cell r="K580">
            <v>707.19</v>
          </cell>
          <cell r="L580">
            <v>50075.449999999903</v>
          </cell>
          <cell r="M580">
            <v>10390.15</v>
          </cell>
          <cell r="N580">
            <v>0</v>
          </cell>
          <cell r="O580">
            <v>50075.449999999903</v>
          </cell>
          <cell r="P580">
            <v>10390.15</v>
          </cell>
          <cell r="Q580">
            <v>222.46</v>
          </cell>
          <cell r="R580">
            <v>50297.91</v>
          </cell>
          <cell r="S580">
            <v>10167.69</v>
          </cell>
        </row>
        <row r="581">
          <cell r="A581" t="str">
            <v>1000/1430       POLIMAG S 5101</v>
          </cell>
          <cell r="B581" t="str">
            <v>1000226    MAŁECCY</v>
          </cell>
          <cell r="C581" t="str">
            <v>KB Sprzed. bezpośrednia</v>
          </cell>
          <cell r="D581">
            <v>24480</v>
          </cell>
          <cell r="E581">
            <v>24</v>
          </cell>
          <cell r="F581">
            <v>18740.72</v>
          </cell>
          <cell r="G581">
            <v>1018.87</v>
          </cell>
          <cell r="H581">
            <v>282.88</v>
          </cell>
          <cell r="I581">
            <v>0</v>
          </cell>
          <cell r="J581">
            <v>0</v>
          </cell>
          <cell r="K581">
            <v>282.88</v>
          </cell>
          <cell r="L581">
            <v>20042.47</v>
          </cell>
          <cell r="M581">
            <v>4437.5299999999897</v>
          </cell>
          <cell r="N581">
            <v>0</v>
          </cell>
          <cell r="O581">
            <v>20042.47</v>
          </cell>
          <cell r="P581">
            <v>4437.5299999999897</v>
          </cell>
          <cell r="Q581">
            <v>88.989999999999895</v>
          </cell>
          <cell r="R581">
            <v>20131.459999999901</v>
          </cell>
          <cell r="S581">
            <v>4348.54</v>
          </cell>
        </row>
        <row r="582">
          <cell r="A582" t="str">
            <v>1000/1430       POLIMAG S 5101</v>
          </cell>
          <cell r="B582" t="str">
            <v>1000235    ROLNIK</v>
          </cell>
          <cell r="C582" t="str">
            <v>KB Sprzed. bezpośrednia</v>
          </cell>
          <cell r="D582">
            <v>24872.400000000001</v>
          </cell>
          <cell r="E582">
            <v>24</v>
          </cell>
          <cell r="F582">
            <v>18740.72</v>
          </cell>
          <cell r="G582">
            <v>1035.1400000000001</v>
          </cell>
          <cell r="H582">
            <v>282.88</v>
          </cell>
          <cell r="I582">
            <v>977.51999999999896</v>
          </cell>
          <cell r="J582">
            <v>0</v>
          </cell>
          <cell r="K582">
            <v>1260.4000000000001</v>
          </cell>
          <cell r="L582">
            <v>21036.2599999999</v>
          </cell>
          <cell r="M582">
            <v>3836.1399999999899</v>
          </cell>
          <cell r="N582">
            <v>0</v>
          </cell>
          <cell r="O582">
            <v>21036.2599999999</v>
          </cell>
          <cell r="P582">
            <v>3836.1399999999899</v>
          </cell>
          <cell r="Q582">
            <v>88.989999999999895</v>
          </cell>
          <cell r="R582">
            <v>21125.25</v>
          </cell>
          <cell r="S582">
            <v>3747.15</v>
          </cell>
        </row>
        <row r="583">
          <cell r="A583" t="str">
            <v>1000/1430       POLIMAG S 5101</v>
          </cell>
          <cell r="B583" t="str">
            <v>1000248    DYMNY</v>
          </cell>
          <cell r="C583" t="str">
            <v>KB Sprzed. bezpośrednia</v>
          </cell>
          <cell r="D583">
            <v>23878.799999999901</v>
          </cell>
          <cell r="E583">
            <v>24</v>
          </cell>
          <cell r="F583">
            <v>18740.72</v>
          </cell>
          <cell r="G583">
            <v>993.84</v>
          </cell>
          <cell r="H583">
            <v>282.88</v>
          </cell>
          <cell r="I583">
            <v>0</v>
          </cell>
          <cell r="J583">
            <v>0</v>
          </cell>
          <cell r="K583">
            <v>282.88</v>
          </cell>
          <cell r="L583">
            <v>20017.4399999999</v>
          </cell>
          <cell r="M583">
            <v>3861.36</v>
          </cell>
          <cell r="N583">
            <v>0</v>
          </cell>
          <cell r="O583">
            <v>20017.4399999999</v>
          </cell>
          <cell r="P583">
            <v>3861.36</v>
          </cell>
          <cell r="Q583">
            <v>88.989999999999895</v>
          </cell>
          <cell r="R583">
            <v>20106.43</v>
          </cell>
          <cell r="S583">
            <v>3772.3699999999899</v>
          </cell>
        </row>
        <row r="584">
          <cell r="A584" t="str">
            <v>1000/1430       POLIMAG S 5101</v>
          </cell>
          <cell r="B584" t="str">
            <v>1000252    AGROSKŁAD</v>
          </cell>
          <cell r="C584" t="str">
            <v>KB Sprzed. bezpośrednia</v>
          </cell>
          <cell r="D584">
            <v>208615.23</v>
          </cell>
          <cell r="E584">
            <v>202</v>
          </cell>
          <cell r="F584">
            <v>157734.39000000001</v>
          </cell>
          <cell r="G584">
            <v>8682.35</v>
          </cell>
          <cell r="H584">
            <v>2380.8899999999899</v>
          </cell>
          <cell r="I584">
            <v>13616.969999999899</v>
          </cell>
          <cell r="J584">
            <v>0</v>
          </cell>
          <cell r="K584">
            <v>15997.86</v>
          </cell>
          <cell r="L584">
            <v>182414.6</v>
          </cell>
          <cell r="M584">
            <v>26200.63</v>
          </cell>
          <cell r="N584">
            <v>0</v>
          </cell>
          <cell r="O584">
            <v>182414.6</v>
          </cell>
          <cell r="P584">
            <v>26200.63</v>
          </cell>
          <cell r="Q584">
            <v>748.89999999999895</v>
          </cell>
          <cell r="R584">
            <v>183163.5</v>
          </cell>
          <cell r="S584">
            <v>25451.73</v>
          </cell>
        </row>
        <row r="585">
          <cell r="A585" t="str">
            <v>1000/1430       POLIMAG S 5101</v>
          </cell>
          <cell r="B585" t="str">
            <v>1000252    AGROSKŁAD</v>
          </cell>
          <cell r="C585" t="str">
            <v>KC Centra dystrybucji</v>
          </cell>
          <cell r="D585">
            <v>7047.18</v>
          </cell>
          <cell r="E585">
            <v>7</v>
          </cell>
          <cell r="F585">
            <v>5931.04</v>
          </cell>
          <cell r="G585">
            <v>293.31</v>
          </cell>
          <cell r="H585">
            <v>82.51</v>
          </cell>
          <cell r="I585">
            <v>0</v>
          </cell>
          <cell r="J585">
            <v>0</v>
          </cell>
          <cell r="K585">
            <v>82.51</v>
          </cell>
          <cell r="L585">
            <v>6306.8599999999897</v>
          </cell>
          <cell r="M585">
            <v>740.32</v>
          </cell>
          <cell r="N585">
            <v>0</v>
          </cell>
          <cell r="O585">
            <v>6306.8599999999897</v>
          </cell>
          <cell r="P585">
            <v>740.32</v>
          </cell>
          <cell r="Q585">
            <v>28.18</v>
          </cell>
          <cell r="R585">
            <v>6335.04</v>
          </cell>
          <cell r="S585">
            <v>712.13999999999896</v>
          </cell>
        </row>
        <row r="586">
          <cell r="A586" t="str">
            <v>1000/1430       POLIMAG S 5101</v>
          </cell>
          <cell r="B586" t="str">
            <v>1000263    PRO-AGRO</v>
          </cell>
          <cell r="C586" t="str">
            <v>KC Centra dystrybucji</v>
          </cell>
          <cell r="D586">
            <v>46953.18</v>
          </cell>
          <cell r="E586">
            <v>46</v>
          </cell>
          <cell r="F586">
            <v>35919.709999999897</v>
          </cell>
          <cell r="G586">
            <v>1954.1199999999899</v>
          </cell>
          <cell r="H586">
            <v>542.16999999999905</v>
          </cell>
          <cell r="I586">
            <v>0</v>
          </cell>
          <cell r="J586">
            <v>0</v>
          </cell>
          <cell r="K586">
            <v>542.16999999999905</v>
          </cell>
          <cell r="L586">
            <v>38416</v>
          </cell>
          <cell r="M586">
            <v>8537.18</v>
          </cell>
          <cell r="N586">
            <v>0</v>
          </cell>
          <cell r="O586">
            <v>38416</v>
          </cell>
          <cell r="P586">
            <v>8537.18</v>
          </cell>
          <cell r="Q586">
            <v>170.539999999999</v>
          </cell>
          <cell r="R586">
            <v>38586.54</v>
          </cell>
          <cell r="S586">
            <v>8366.6399999999903</v>
          </cell>
        </row>
        <row r="587">
          <cell r="A587" t="str">
            <v>1000/1430       POLIMAG S 5101</v>
          </cell>
          <cell r="B587" t="str">
            <v>1000276    JAN GACH FIRMA HANDL</v>
          </cell>
          <cell r="C587" t="str">
            <v>KB Sprzed. bezpośrednia</v>
          </cell>
          <cell r="D587">
            <v>10128.6</v>
          </cell>
          <cell r="E587">
            <v>10</v>
          </cell>
          <cell r="F587">
            <v>8472.93</v>
          </cell>
          <cell r="G587">
            <v>421.6</v>
          </cell>
          <cell r="H587">
            <v>117.87</v>
          </cell>
          <cell r="I587">
            <v>0</v>
          </cell>
          <cell r="J587">
            <v>0</v>
          </cell>
          <cell r="K587">
            <v>117.87</v>
          </cell>
          <cell r="L587">
            <v>9012.3999999999905</v>
          </cell>
          <cell r="M587">
            <v>1116.2</v>
          </cell>
          <cell r="N587">
            <v>0</v>
          </cell>
          <cell r="O587">
            <v>9012.3999999999905</v>
          </cell>
          <cell r="P587">
            <v>1116.2</v>
          </cell>
          <cell r="Q587">
            <v>40.24</v>
          </cell>
          <cell r="R587">
            <v>9052.6399999999903</v>
          </cell>
          <cell r="S587">
            <v>1075.96</v>
          </cell>
        </row>
        <row r="588">
          <cell r="A588" t="str">
            <v>1000/1430       POLIMAG S 5101</v>
          </cell>
          <cell r="B588" t="str">
            <v>1000289    PLON A.Darzyński</v>
          </cell>
          <cell r="C588" t="str">
            <v>KB Sprzed. bezpośrednia</v>
          </cell>
          <cell r="D588">
            <v>24948</v>
          </cell>
          <cell r="E588">
            <v>24</v>
          </cell>
          <cell r="F588">
            <v>18740.72</v>
          </cell>
          <cell r="G588">
            <v>1038.3099999999899</v>
          </cell>
          <cell r="H588">
            <v>282.88</v>
          </cell>
          <cell r="I588">
            <v>1419.1199999999899</v>
          </cell>
          <cell r="J588">
            <v>0</v>
          </cell>
          <cell r="K588">
            <v>1702</v>
          </cell>
          <cell r="L588">
            <v>21481.029999999901</v>
          </cell>
          <cell r="M588">
            <v>3466.9699999999898</v>
          </cell>
          <cell r="N588">
            <v>0</v>
          </cell>
          <cell r="O588">
            <v>21481.029999999901</v>
          </cell>
          <cell r="P588">
            <v>3466.9699999999898</v>
          </cell>
          <cell r="Q588">
            <v>88.989999999999895</v>
          </cell>
          <cell r="R588">
            <v>21570.02</v>
          </cell>
          <cell r="S588">
            <v>3377.98</v>
          </cell>
        </row>
        <row r="589">
          <cell r="A589" t="str">
            <v>1000/1430       POLIMAG S 5101</v>
          </cell>
          <cell r="B589" t="str">
            <v>1000291    "AGRO-BIZNES" SP.J.</v>
          </cell>
          <cell r="C589" t="str">
            <v>KB Sprzed. bezpośrednia</v>
          </cell>
          <cell r="D589">
            <v>23806.560000000001</v>
          </cell>
          <cell r="E589">
            <v>24</v>
          </cell>
          <cell r="F589">
            <v>18740.72</v>
          </cell>
          <cell r="G589">
            <v>990.84</v>
          </cell>
          <cell r="H589">
            <v>282.88</v>
          </cell>
          <cell r="I589">
            <v>0</v>
          </cell>
          <cell r="J589">
            <v>0</v>
          </cell>
          <cell r="K589">
            <v>282.88</v>
          </cell>
          <cell r="L589">
            <v>20014.4399999999</v>
          </cell>
          <cell r="M589">
            <v>3792.1199999999899</v>
          </cell>
          <cell r="N589">
            <v>0</v>
          </cell>
          <cell r="O589">
            <v>20014.4399999999</v>
          </cell>
          <cell r="P589">
            <v>3792.1199999999899</v>
          </cell>
          <cell r="Q589">
            <v>88.989999999999895</v>
          </cell>
          <cell r="R589">
            <v>20103.43</v>
          </cell>
          <cell r="S589">
            <v>3703.13</v>
          </cell>
        </row>
        <row r="590">
          <cell r="A590" t="str">
            <v>1000/1430       POLIMAG S 5101</v>
          </cell>
          <cell r="B590" t="str">
            <v>1000293    PHM CHEMAT  M.Richte</v>
          </cell>
          <cell r="C590" t="str">
            <v>KB Sprzed. bezpośrednia</v>
          </cell>
          <cell r="D590">
            <v>12154.32</v>
          </cell>
          <cell r="E590">
            <v>12</v>
          </cell>
          <cell r="F590">
            <v>9370.36</v>
          </cell>
          <cell r="G590">
            <v>505.83999999999901</v>
          </cell>
          <cell r="H590">
            <v>141.44</v>
          </cell>
          <cell r="I590">
            <v>0</v>
          </cell>
          <cell r="J590">
            <v>0</v>
          </cell>
          <cell r="K590">
            <v>141.44</v>
          </cell>
          <cell r="L590">
            <v>10017.639999999899</v>
          </cell>
          <cell r="M590">
            <v>2136.6799999999898</v>
          </cell>
          <cell r="N590">
            <v>0</v>
          </cell>
          <cell r="O590">
            <v>10017.639999999899</v>
          </cell>
          <cell r="P590">
            <v>2136.6799999999898</v>
          </cell>
          <cell r="Q590">
            <v>44.479999999999897</v>
          </cell>
          <cell r="R590">
            <v>10062.120000000001</v>
          </cell>
          <cell r="S590">
            <v>2092.1999999999898</v>
          </cell>
        </row>
        <row r="591">
          <cell r="A591" t="str">
            <v>1000/1430       POLIMAG S 5101</v>
          </cell>
          <cell r="B591" t="str">
            <v>1000403    SOBIANEK</v>
          </cell>
          <cell r="C591" t="str">
            <v>KB Sprzed. bezpośrednia</v>
          </cell>
          <cell r="D591">
            <v>49570.559999999903</v>
          </cell>
          <cell r="E591">
            <v>48</v>
          </cell>
          <cell r="F591">
            <v>37481.440000000002</v>
          </cell>
          <cell r="G591">
            <v>2063.0599999999899</v>
          </cell>
          <cell r="H591">
            <v>565.76999999999896</v>
          </cell>
          <cell r="I591">
            <v>3815.1599999999899</v>
          </cell>
          <cell r="J591">
            <v>0</v>
          </cell>
          <cell r="K591">
            <v>4380.93</v>
          </cell>
          <cell r="L591">
            <v>43925.43</v>
          </cell>
          <cell r="M591">
            <v>5645.13</v>
          </cell>
          <cell r="N591">
            <v>0</v>
          </cell>
          <cell r="O591">
            <v>43925.43</v>
          </cell>
          <cell r="P591">
            <v>5645.13</v>
          </cell>
          <cell r="Q591">
            <v>177.94</v>
          </cell>
          <cell r="R591">
            <v>44103.37</v>
          </cell>
          <cell r="S591">
            <v>5467.1899999999896</v>
          </cell>
        </row>
        <row r="592">
          <cell r="A592" t="str">
            <v>1000/1430       POLIMAG S 5101</v>
          </cell>
          <cell r="B592" t="str">
            <v>1000403    SOBIANEK</v>
          </cell>
          <cell r="C592" t="str">
            <v>KC Centra dystrybucji</v>
          </cell>
          <cell r="D592">
            <v>28274.400000000001</v>
          </cell>
          <cell r="E592">
            <v>28</v>
          </cell>
          <cell r="F592">
            <v>21864.1699999999</v>
          </cell>
          <cell r="G592">
            <v>1176.74</v>
          </cell>
          <cell r="H592">
            <v>330.01999999999902</v>
          </cell>
          <cell r="I592">
            <v>0</v>
          </cell>
          <cell r="J592">
            <v>0</v>
          </cell>
          <cell r="K592">
            <v>330.01999999999902</v>
          </cell>
          <cell r="L592">
            <v>23370.93</v>
          </cell>
          <cell r="M592">
            <v>4903.47</v>
          </cell>
          <cell r="N592">
            <v>0</v>
          </cell>
          <cell r="O592">
            <v>23370.93</v>
          </cell>
          <cell r="P592">
            <v>4903.47</v>
          </cell>
          <cell r="Q592">
            <v>103.81</v>
          </cell>
          <cell r="R592">
            <v>23474.74</v>
          </cell>
          <cell r="S592">
            <v>4799.6599999999899</v>
          </cell>
        </row>
        <row r="593">
          <cell r="A593" t="str">
            <v>1000/1430       POLIMAG S 5101</v>
          </cell>
          <cell r="B593" t="str">
            <v>1000415    GÓRKA</v>
          </cell>
          <cell r="C593" t="str">
            <v>KB Sprzed. bezpośrednia</v>
          </cell>
          <cell r="D593">
            <v>23806.560000000001</v>
          </cell>
          <cell r="E593">
            <v>24</v>
          </cell>
          <cell r="F593">
            <v>18740.72</v>
          </cell>
          <cell r="G593">
            <v>990.84</v>
          </cell>
          <cell r="H593">
            <v>282.88</v>
          </cell>
          <cell r="I593">
            <v>0</v>
          </cell>
          <cell r="J593">
            <v>0</v>
          </cell>
          <cell r="K593">
            <v>282.88</v>
          </cell>
          <cell r="L593">
            <v>20014.4399999999</v>
          </cell>
          <cell r="M593">
            <v>3792.1199999999899</v>
          </cell>
          <cell r="N593">
            <v>0</v>
          </cell>
          <cell r="O593">
            <v>20014.4399999999</v>
          </cell>
          <cell r="P593">
            <v>3792.1199999999899</v>
          </cell>
          <cell r="Q593">
            <v>88.989999999999895</v>
          </cell>
          <cell r="R593">
            <v>20103.43</v>
          </cell>
          <cell r="S593">
            <v>3703.13</v>
          </cell>
        </row>
        <row r="594">
          <cell r="A594" t="str">
            <v>1000/1430       POLIMAG S 5101</v>
          </cell>
          <cell r="B594" t="str">
            <v>1000415    GÓRKA</v>
          </cell>
          <cell r="C594" t="str">
            <v>KC Centra dystrybucji</v>
          </cell>
          <cell r="D594">
            <v>105045.72</v>
          </cell>
          <cell r="E594">
            <v>104</v>
          </cell>
          <cell r="F594">
            <v>81209.8</v>
          </cell>
          <cell r="G594">
            <v>4371.88</v>
          </cell>
          <cell r="H594">
            <v>1225.8099999999899</v>
          </cell>
          <cell r="I594">
            <v>0</v>
          </cell>
          <cell r="J594">
            <v>0</v>
          </cell>
          <cell r="K594">
            <v>1225.8099999999899</v>
          </cell>
          <cell r="L594">
            <v>86807.49</v>
          </cell>
          <cell r="M594">
            <v>18238.23</v>
          </cell>
          <cell r="N594">
            <v>0</v>
          </cell>
          <cell r="O594">
            <v>86807.49</v>
          </cell>
          <cell r="P594">
            <v>18238.23</v>
          </cell>
          <cell r="Q594">
            <v>385.57999999999902</v>
          </cell>
          <cell r="R594">
            <v>87193.07</v>
          </cell>
          <cell r="S594">
            <v>17852.650000000001</v>
          </cell>
        </row>
        <row r="595">
          <cell r="A595" t="str">
            <v>1000/1430       POLIMAG S 5101</v>
          </cell>
          <cell r="B595" t="str">
            <v>1000524    "CHEMIROL" SP. Z O.O</v>
          </cell>
          <cell r="C595" t="str">
            <v>KB Sprzed. bezpośrednia</v>
          </cell>
          <cell r="D595">
            <v>218690.88</v>
          </cell>
          <cell r="E595">
            <v>216</v>
          </cell>
          <cell r="F595">
            <v>168666.48</v>
          </cell>
          <cell r="G595">
            <v>9101.7199999999903</v>
          </cell>
          <cell r="H595">
            <v>2545.9099999999899</v>
          </cell>
          <cell r="I595">
            <v>3726.7199999999898</v>
          </cell>
          <cell r="J595">
            <v>0</v>
          </cell>
          <cell r="K595">
            <v>6272.63</v>
          </cell>
          <cell r="L595">
            <v>184040.829999999</v>
          </cell>
          <cell r="M595">
            <v>34650.050000000003</v>
          </cell>
          <cell r="N595">
            <v>0</v>
          </cell>
          <cell r="O595">
            <v>184040.829999999</v>
          </cell>
          <cell r="P595">
            <v>34650.050000000003</v>
          </cell>
          <cell r="Q595">
            <v>800.78999999999905</v>
          </cell>
          <cell r="R595">
            <v>184841.62</v>
          </cell>
          <cell r="S595">
            <v>33849.26</v>
          </cell>
        </row>
        <row r="596">
          <cell r="A596" t="str">
            <v>1000/1430       POLIMAG S 5101</v>
          </cell>
          <cell r="B596" t="str">
            <v>1000592    NOŻYŃSKI</v>
          </cell>
          <cell r="C596" t="str">
            <v>KB Sprzed. bezpośrednia</v>
          </cell>
          <cell r="D596">
            <v>12562.2</v>
          </cell>
          <cell r="E596">
            <v>12</v>
          </cell>
          <cell r="F596">
            <v>9370.36</v>
          </cell>
          <cell r="G596">
            <v>522.80999999999904</v>
          </cell>
          <cell r="H596">
            <v>141.44</v>
          </cell>
          <cell r="I596">
            <v>946.08</v>
          </cell>
          <cell r="J596">
            <v>0</v>
          </cell>
          <cell r="K596">
            <v>1087.52</v>
          </cell>
          <cell r="L596">
            <v>10980.69</v>
          </cell>
          <cell r="M596">
            <v>1581.51</v>
          </cell>
          <cell r="N596">
            <v>0</v>
          </cell>
          <cell r="O596">
            <v>10980.69</v>
          </cell>
          <cell r="P596">
            <v>1581.51</v>
          </cell>
          <cell r="Q596">
            <v>44.479999999999897</v>
          </cell>
          <cell r="R596">
            <v>11025.17</v>
          </cell>
          <cell r="S596">
            <v>1537.03</v>
          </cell>
        </row>
        <row r="597">
          <cell r="A597" t="str">
            <v>1000/1430       POLIMAG S 5101</v>
          </cell>
          <cell r="B597" t="str">
            <v>1000607    POGES</v>
          </cell>
          <cell r="C597" t="str">
            <v>KB Sprzed. bezpośrednia</v>
          </cell>
          <cell r="D597">
            <v>23975.279999999901</v>
          </cell>
          <cell r="E597">
            <v>24</v>
          </cell>
          <cell r="F597">
            <v>18740.72</v>
          </cell>
          <cell r="G597">
            <v>997.82</v>
          </cell>
          <cell r="H597">
            <v>282.88</v>
          </cell>
          <cell r="I597">
            <v>0</v>
          </cell>
          <cell r="J597">
            <v>0</v>
          </cell>
          <cell r="K597">
            <v>282.88</v>
          </cell>
          <cell r="L597">
            <v>20021.4199999999</v>
          </cell>
          <cell r="M597">
            <v>3953.86</v>
          </cell>
          <cell r="N597">
            <v>0</v>
          </cell>
          <cell r="O597">
            <v>20021.4199999999</v>
          </cell>
          <cell r="P597">
            <v>3953.86</v>
          </cell>
          <cell r="Q597">
            <v>88.989999999999895</v>
          </cell>
          <cell r="R597">
            <v>20110.41</v>
          </cell>
          <cell r="S597">
            <v>3864.8699999999899</v>
          </cell>
        </row>
        <row r="598">
          <cell r="A598" t="str">
            <v>1000/1430       POLIMAG S 5101</v>
          </cell>
          <cell r="B598" t="str">
            <v>1000662    SZYMAŃSCY</v>
          </cell>
          <cell r="C598" t="str">
            <v>KB Sprzed. bezpośrednia</v>
          </cell>
          <cell r="D598">
            <v>48498.239999999903</v>
          </cell>
          <cell r="E598">
            <v>48</v>
          </cell>
          <cell r="F598">
            <v>37481.440000000002</v>
          </cell>
          <cell r="G598">
            <v>2018.43</v>
          </cell>
          <cell r="H598">
            <v>565.76999999999896</v>
          </cell>
          <cell r="I598">
            <v>1419.1199999999899</v>
          </cell>
          <cell r="J598">
            <v>0</v>
          </cell>
          <cell r="K598">
            <v>1984.89</v>
          </cell>
          <cell r="L598">
            <v>41484.76</v>
          </cell>
          <cell r="M598">
            <v>7013.4799999999896</v>
          </cell>
          <cell r="N598">
            <v>0</v>
          </cell>
          <cell r="O598">
            <v>41484.76</v>
          </cell>
          <cell r="P598">
            <v>7013.4799999999896</v>
          </cell>
          <cell r="Q598">
            <v>177.94</v>
          </cell>
          <cell r="R598">
            <v>41662.699999999903</v>
          </cell>
          <cell r="S598">
            <v>6835.54</v>
          </cell>
        </row>
        <row r="599">
          <cell r="A599" t="str">
            <v>1000/1430       POLIMAG S 5101</v>
          </cell>
          <cell r="B599" t="str">
            <v>1000675    Zaopatrz.Roln. Andrz</v>
          </cell>
          <cell r="C599" t="str">
            <v>KB Sprzed. bezpośrednia</v>
          </cell>
          <cell r="D599">
            <v>95375.699999999895</v>
          </cell>
          <cell r="E599">
            <v>92</v>
          </cell>
          <cell r="F599">
            <v>71839.419999999896</v>
          </cell>
          <cell r="G599">
            <v>3969.4299999999898</v>
          </cell>
          <cell r="H599">
            <v>1084.3699999999899</v>
          </cell>
          <cell r="I599">
            <v>5990.3199999999897</v>
          </cell>
          <cell r="J599">
            <v>0</v>
          </cell>
          <cell r="K599">
            <v>7074.6899999999896</v>
          </cell>
          <cell r="L599">
            <v>82883.539999999906</v>
          </cell>
          <cell r="M599">
            <v>12492.16</v>
          </cell>
          <cell r="N599">
            <v>0</v>
          </cell>
          <cell r="O599">
            <v>82883.539999999906</v>
          </cell>
          <cell r="P599">
            <v>12492.16</v>
          </cell>
          <cell r="Q599">
            <v>341.07999999999902</v>
          </cell>
          <cell r="R599">
            <v>83224.619999999893</v>
          </cell>
          <cell r="S599">
            <v>12151.08</v>
          </cell>
        </row>
        <row r="600">
          <cell r="A600" t="str">
            <v>1000/1430       POLIMAG S 5101</v>
          </cell>
          <cell r="B600" t="str">
            <v>1000675    Zaopatrz.Roln. Andrz</v>
          </cell>
          <cell r="C600" t="str">
            <v>KC Centra dystrybucji</v>
          </cell>
          <cell r="D600">
            <v>26362.560000000001</v>
          </cell>
          <cell r="E600">
            <v>26</v>
          </cell>
          <cell r="F600">
            <v>20701.029999999901</v>
          </cell>
          <cell r="G600">
            <v>1097.1600000000001</v>
          </cell>
          <cell r="H600">
            <v>306.44999999999902</v>
          </cell>
          <cell r="I600">
            <v>0</v>
          </cell>
          <cell r="J600">
            <v>0</v>
          </cell>
          <cell r="K600">
            <v>306.44999999999902</v>
          </cell>
          <cell r="L600">
            <v>22104.639999999901</v>
          </cell>
          <cell r="M600">
            <v>4257.92</v>
          </cell>
          <cell r="N600">
            <v>0</v>
          </cell>
          <cell r="O600">
            <v>22104.639999999901</v>
          </cell>
          <cell r="P600">
            <v>4257.92</v>
          </cell>
          <cell r="Q600">
            <v>98.299999999999898</v>
          </cell>
          <cell r="R600">
            <v>22202.9399999999</v>
          </cell>
          <cell r="S600">
            <v>4159.6199999999899</v>
          </cell>
        </row>
        <row r="601">
          <cell r="A601" t="str">
            <v>1000/1430       POLIMAG S 5101</v>
          </cell>
          <cell r="B601" t="str">
            <v>1000680    Giełda Rolna ZOLA Sp</v>
          </cell>
          <cell r="C601" t="str">
            <v>KB Sprzed. bezpośrednia</v>
          </cell>
          <cell r="D601">
            <v>25415.25</v>
          </cell>
          <cell r="E601">
            <v>25</v>
          </cell>
          <cell r="F601">
            <v>19521.580000000002</v>
          </cell>
          <cell r="G601">
            <v>1057.8</v>
          </cell>
          <cell r="H601">
            <v>294.64999999999901</v>
          </cell>
          <cell r="I601">
            <v>1345.53</v>
          </cell>
          <cell r="J601">
            <v>0</v>
          </cell>
          <cell r="K601">
            <v>1640.18</v>
          </cell>
          <cell r="L601">
            <v>22219.56</v>
          </cell>
          <cell r="M601">
            <v>3195.69</v>
          </cell>
          <cell r="N601">
            <v>0</v>
          </cell>
          <cell r="O601">
            <v>22219.56</v>
          </cell>
          <cell r="P601">
            <v>3195.69</v>
          </cell>
          <cell r="Q601">
            <v>92.689999999999898</v>
          </cell>
          <cell r="R601">
            <v>22312.25</v>
          </cell>
          <cell r="S601">
            <v>3103</v>
          </cell>
        </row>
        <row r="602">
          <cell r="A602" t="str">
            <v>1000/1430       POLIMAG S 5101</v>
          </cell>
          <cell r="B602" t="str">
            <v>1000858    BEISELEN - ATR Sp. z</v>
          </cell>
          <cell r="C602" t="str">
            <v>KB Sprzed. bezpośrednia</v>
          </cell>
          <cell r="D602">
            <v>48021.599999999897</v>
          </cell>
          <cell r="E602">
            <v>48</v>
          </cell>
          <cell r="F602">
            <v>37481.440000000002</v>
          </cell>
          <cell r="G602">
            <v>1998.6199999999899</v>
          </cell>
          <cell r="H602">
            <v>565.76999999999896</v>
          </cell>
          <cell r="I602">
            <v>0</v>
          </cell>
          <cell r="J602">
            <v>0</v>
          </cell>
          <cell r="K602">
            <v>565.76999999999896</v>
          </cell>
          <cell r="L602">
            <v>40045.83</v>
          </cell>
          <cell r="M602">
            <v>7975.77</v>
          </cell>
          <cell r="N602">
            <v>0</v>
          </cell>
          <cell r="O602">
            <v>40045.83</v>
          </cell>
          <cell r="P602">
            <v>7975.77</v>
          </cell>
          <cell r="Q602">
            <v>177.94</v>
          </cell>
          <cell r="R602">
            <v>40223.769999999902</v>
          </cell>
          <cell r="S602">
            <v>7797.8299999999899</v>
          </cell>
        </row>
        <row r="603">
          <cell r="A603" t="str">
            <v>1000/1430       POLIMAG S 5101</v>
          </cell>
          <cell r="B603" t="str">
            <v>1000982    TORAL Elżbieta Krupa</v>
          </cell>
          <cell r="C603" t="str">
            <v>KB Sprzed. bezpośrednia</v>
          </cell>
          <cell r="D603">
            <v>58533.87</v>
          </cell>
          <cell r="E603">
            <v>57</v>
          </cell>
          <cell r="F603">
            <v>44509.209999999897</v>
          </cell>
          <cell r="G603">
            <v>2436.11</v>
          </cell>
          <cell r="H603">
            <v>671.84</v>
          </cell>
          <cell r="I603">
            <v>2275.6199999999899</v>
          </cell>
          <cell r="J603">
            <v>0</v>
          </cell>
          <cell r="K603">
            <v>2947.46</v>
          </cell>
          <cell r="L603">
            <v>49892.779999999897</v>
          </cell>
          <cell r="M603">
            <v>8641.09</v>
          </cell>
          <cell r="N603">
            <v>0</v>
          </cell>
          <cell r="O603">
            <v>49892.779999999897</v>
          </cell>
          <cell r="P603">
            <v>8641.09</v>
          </cell>
          <cell r="Q603">
            <v>211.31</v>
          </cell>
          <cell r="R603">
            <v>50104.089999999902</v>
          </cell>
          <cell r="S603">
            <v>8429.7800000000007</v>
          </cell>
        </row>
        <row r="604">
          <cell r="A604" t="str">
            <v>1000/1430       POLIMAG S 5101</v>
          </cell>
          <cell r="B604" t="str">
            <v>1001481    Hurt.Śr.Ochr.Roślin-</v>
          </cell>
          <cell r="C604" t="str">
            <v>KB Sprzed. bezpośrednia</v>
          </cell>
          <cell r="D604">
            <v>100245.6</v>
          </cell>
          <cell r="E604">
            <v>96</v>
          </cell>
          <cell r="F604">
            <v>74962.880000000005</v>
          </cell>
          <cell r="G604">
            <v>4172.1099999999897</v>
          </cell>
          <cell r="H604">
            <v>1131.5</v>
          </cell>
          <cell r="I604">
            <v>7605.6</v>
          </cell>
          <cell r="J604">
            <v>0</v>
          </cell>
          <cell r="K604">
            <v>8737.1</v>
          </cell>
          <cell r="L604">
            <v>87872.089999999895</v>
          </cell>
          <cell r="M604">
            <v>12373.51</v>
          </cell>
          <cell r="N604">
            <v>0</v>
          </cell>
          <cell r="O604">
            <v>87872.089999999895</v>
          </cell>
          <cell r="P604">
            <v>12373.51</v>
          </cell>
          <cell r="Q604">
            <v>355.91</v>
          </cell>
          <cell r="R604">
            <v>88228</v>
          </cell>
          <cell r="S604">
            <v>12017.6</v>
          </cell>
        </row>
        <row r="605">
          <cell r="A605" t="str">
            <v>1000/1430       POLIMAG S 5101</v>
          </cell>
          <cell r="B605" t="str">
            <v>1001519    "ARGOL" LESZEK KALIS</v>
          </cell>
          <cell r="C605" t="str">
            <v>KC Centra dystrybucji</v>
          </cell>
          <cell r="D605">
            <v>4140</v>
          </cell>
          <cell r="E605">
            <v>4</v>
          </cell>
          <cell r="F605">
            <v>3389.17</v>
          </cell>
          <cell r="G605">
            <v>172.289999999999</v>
          </cell>
          <cell r="H605">
            <v>47.149999999999899</v>
          </cell>
          <cell r="I605">
            <v>0</v>
          </cell>
          <cell r="J605">
            <v>0</v>
          </cell>
          <cell r="K605">
            <v>47.149999999999899</v>
          </cell>
          <cell r="L605">
            <v>3608.61</v>
          </cell>
          <cell r="M605">
            <v>531.38999999999896</v>
          </cell>
          <cell r="N605">
            <v>0</v>
          </cell>
          <cell r="O605">
            <v>3608.61</v>
          </cell>
          <cell r="P605">
            <v>531.38999999999896</v>
          </cell>
          <cell r="Q605">
            <v>16.09</v>
          </cell>
          <cell r="R605">
            <v>3624.6999999999898</v>
          </cell>
          <cell r="S605">
            <v>515.29999999999905</v>
          </cell>
        </row>
        <row r="606">
          <cell r="A606" t="str">
            <v>1000/1430       POLIMAG S 5101</v>
          </cell>
          <cell r="B606" t="str">
            <v>1001522    AGRO-BIT</v>
          </cell>
          <cell r="C606" t="str">
            <v>KB Sprzed. bezpośrednia</v>
          </cell>
          <cell r="D606">
            <v>50173.199999999903</v>
          </cell>
          <cell r="E606">
            <v>48</v>
          </cell>
          <cell r="F606">
            <v>37481.440000000002</v>
          </cell>
          <cell r="G606">
            <v>2088.17</v>
          </cell>
          <cell r="H606">
            <v>565.76999999999896</v>
          </cell>
          <cell r="I606">
            <v>4038.2399999999898</v>
          </cell>
          <cell r="J606">
            <v>0</v>
          </cell>
          <cell r="K606">
            <v>4604.01</v>
          </cell>
          <cell r="L606">
            <v>44173.62</v>
          </cell>
          <cell r="M606">
            <v>5999.5799999999899</v>
          </cell>
          <cell r="N606">
            <v>0</v>
          </cell>
          <cell r="O606">
            <v>44173.62</v>
          </cell>
          <cell r="P606">
            <v>5999.5799999999899</v>
          </cell>
          <cell r="Q606">
            <v>177.94</v>
          </cell>
          <cell r="R606">
            <v>44351.559999999903</v>
          </cell>
          <cell r="S606">
            <v>5821.64</v>
          </cell>
        </row>
        <row r="607">
          <cell r="A607" t="str">
            <v>1000/1430       POLIMAG S 5101</v>
          </cell>
          <cell r="B607" t="str">
            <v>1001649    CDN</v>
          </cell>
          <cell r="C607" t="str">
            <v>KC Centra dystrybucji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54279.5</v>
          </cell>
          <cell r="J607">
            <v>0</v>
          </cell>
          <cell r="K607">
            <v>54279.5</v>
          </cell>
          <cell r="L607">
            <v>54279.5</v>
          </cell>
          <cell r="M607">
            <v>-54279.5</v>
          </cell>
          <cell r="N607">
            <v>0</v>
          </cell>
          <cell r="O607">
            <v>54279.5</v>
          </cell>
          <cell r="P607">
            <v>-54279.5</v>
          </cell>
          <cell r="Q607">
            <v>0</v>
          </cell>
          <cell r="R607">
            <v>54279.5</v>
          </cell>
          <cell r="S607">
            <v>-54279.5</v>
          </cell>
        </row>
        <row r="608">
          <cell r="A608" t="str">
            <v>1000/1430       POLIMAG S 5101</v>
          </cell>
          <cell r="B608" t="str">
            <v>1001662    AMPOL-MEROL Sp. z o.</v>
          </cell>
          <cell r="C608" t="str">
            <v>KB Sprzed. bezpośrednia</v>
          </cell>
          <cell r="D608">
            <v>121862.88</v>
          </cell>
          <cell r="E608">
            <v>120</v>
          </cell>
          <cell r="F608">
            <v>93703.6</v>
          </cell>
          <cell r="G608">
            <v>5071.8500000000004</v>
          </cell>
          <cell r="H608">
            <v>1414.39</v>
          </cell>
          <cell r="I608">
            <v>2462.4</v>
          </cell>
          <cell r="J608">
            <v>0</v>
          </cell>
          <cell r="K608">
            <v>3876.79</v>
          </cell>
          <cell r="L608">
            <v>102652.24</v>
          </cell>
          <cell r="M608">
            <v>19210.639999999901</v>
          </cell>
          <cell r="N608">
            <v>0</v>
          </cell>
          <cell r="O608">
            <v>102652.24</v>
          </cell>
          <cell r="P608">
            <v>19210.639999999901</v>
          </cell>
          <cell r="Q608">
            <v>444.88</v>
          </cell>
          <cell r="R608">
            <v>103097.12</v>
          </cell>
          <cell r="S608">
            <v>18765.7599999999</v>
          </cell>
        </row>
        <row r="609">
          <cell r="A609" t="str">
            <v>1000/1430       POLIMAG S 5101</v>
          </cell>
          <cell r="B609" t="str">
            <v>1001983    FAZOT</v>
          </cell>
          <cell r="C609" t="str">
            <v>KB Sprzed. bezpośrednia</v>
          </cell>
          <cell r="D609">
            <v>48763.32</v>
          </cell>
          <cell r="E609">
            <v>48</v>
          </cell>
          <cell r="F609">
            <v>37481.440000000002</v>
          </cell>
          <cell r="G609">
            <v>2029.5</v>
          </cell>
          <cell r="H609">
            <v>565.76999999999896</v>
          </cell>
          <cell r="I609">
            <v>1200.96</v>
          </cell>
          <cell r="J609">
            <v>0</v>
          </cell>
          <cell r="K609">
            <v>1766.73</v>
          </cell>
          <cell r="L609">
            <v>41277.669999999896</v>
          </cell>
          <cell r="M609">
            <v>7485.6499999999896</v>
          </cell>
          <cell r="N609">
            <v>0</v>
          </cell>
          <cell r="O609">
            <v>41277.669999999896</v>
          </cell>
          <cell r="P609">
            <v>7485.6499999999896</v>
          </cell>
          <cell r="Q609">
            <v>177.94</v>
          </cell>
          <cell r="R609">
            <v>41455.61</v>
          </cell>
          <cell r="S609">
            <v>7307.71</v>
          </cell>
        </row>
        <row r="610">
          <cell r="A610" t="str">
            <v>1000/1430       POLIMAG S 5101</v>
          </cell>
          <cell r="B610" t="str">
            <v>1001983    FAZOT</v>
          </cell>
          <cell r="C610" t="str">
            <v>KC Centra dystrybucji</v>
          </cell>
          <cell r="D610">
            <v>10098</v>
          </cell>
          <cell r="E610">
            <v>10</v>
          </cell>
          <cell r="F610">
            <v>8472.93</v>
          </cell>
          <cell r="G610">
            <v>420.25999999999902</v>
          </cell>
          <cell r="H610">
            <v>117.87</v>
          </cell>
          <cell r="I610">
            <v>0</v>
          </cell>
          <cell r="J610">
            <v>0</v>
          </cell>
          <cell r="K610">
            <v>117.87</v>
          </cell>
          <cell r="L610">
            <v>9011.0599999999904</v>
          </cell>
          <cell r="M610">
            <v>1086.94</v>
          </cell>
          <cell r="N610">
            <v>0</v>
          </cell>
          <cell r="O610">
            <v>9011.0599999999904</v>
          </cell>
          <cell r="P610">
            <v>1086.94</v>
          </cell>
          <cell r="Q610">
            <v>40.24</v>
          </cell>
          <cell r="R610">
            <v>9051.2999999999902</v>
          </cell>
          <cell r="S610">
            <v>1046.7</v>
          </cell>
        </row>
        <row r="611">
          <cell r="A611" t="str">
            <v>1000/1430       POLIMAG S 5101</v>
          </cell>
          <cell r="B611" t="str">
            <v>1001988    ROLNIK-KOŚCIAN</v>
          </cell>
          <cell r="C611" t="str">
            <v>KB Sprzed. bezpośrednia</v>
          </cell>
          <cell r="D611">
            <v>45847.44</v>
          </cell>
          <cell r="E611">
            <v>44</v>
          </cell>
          <cell r="F611">
            <v>34357.989999999903</v>
          </cell>
          <cell r="G611">
            <v>1908.0799999999899</v>
          </cell>
          <cell r="H611">
            <v>518.62</v>
          </cell>
          <cell r="I611">
            <v>0</v>
          </cell>
          <cell r="J611">
            <v>0</v>
          </cell>
          <cell r="K611">
            <v>518.62</v>
          </cell>
          <cell r="L611">
            <v>36784.69</v>
          </cell>
          <cell r="M611">
            <v>9062.75</v>
          </cell>
          <cell r="N611">
            <v>0</v>
          </cell>
          <cell r="O611">
            <v>36784.69</v>
          </cell>
          <cell r="P611">
            <v>9062.75</v>
          </cell>
          <cell r="Q611">
            <v>163.13</v>
          </cell>
          <cell r="R611">
            <v>36947.82</v>
          </cell>
          <cell r="S611">
            <v>8899.6200000000008</v>
          </cell>
        </row>
        <row r="612">
          <cell r="A612" t="str">
            <v>1000/1430       POLIMAG S 5101</v>
          </cell>
          <cell r="B612" t="str">
            <v>1001991    WAMEX</v>
          </cell>
          <cell r="C612" t="str">
            <v>KB Sprzed. bezpośrednia</v>
          </cell>
          <cell r="D612">
            <v>25124.400000000001</v>
          </cell>
          <cell r="E612">
            <v>24</v>
          </cell>
          <cell r="F612">
            <v>18740.72</v>
          </cell>
          <cell r="G612">
            <v>1045.68</v>
          </cell>
          <cell r="H612">
            <v>282.88</v>
          </cell>
          <cell r="I612">
            <v>1971.1199999999899</v>
          </cell>
          <cell r="J612">
            <v>0</v>
          </cell>
          <cell r="K612">
            <v>2254</v>
          </cell>
          <cell r="L612">
            <v>22040.400000000001</v>
          </cell>
          <cell r="M612">
            <v>3084</v>
          </cell>
          <cell r="N612">
            <v>0</v>
          </cell>
          <cell r="O612">
            <v>22040.400000000001</v>
          </cell>
          <cell r="P612">
            <v>3084</v>
          </cell>
          <cell r="Q612">
            <v>88.989999999999895</v>
          </cell>
          <cell r="R612">
            <v>22129.389999999901</v>
          </cell>
          <cell r="S612">
            <v>2995.01</v>
          </cell>
        </row>
        <row r="613">
          <cell r="A613" t="str">
            <v>1000/1430       POLIMAG S 5101</v>
          </cell>
          <cell r="B613" t="str">
            <v>1001994    SKR-STRZELCE</v>
          </cell>
          <cell r="C613" t="str">
            <v>KB Sprzed. bezpośrednia</v>
          </cell>
          <cell r="D613">
            <v>72900.479999999894</v>
          </cell>
          <cell r="E613">
            <v>72</v>
          </cell>
          <cell r="F613">
            <v>56222.16</v>
          </cell>
          <cell r="G613">
            <v>3034.05</v>
          </cell>
          <cell r="H613">
            <v>848.63999999999896</v>
          </cell>
          <cell r="I613">
            <v>1419.1199999999899</v>
          </cell>
          <cell r="J613">
            <v>0</v>
          </cell>
          <cell r="K613">
            <v>2267.7600000000002</v>
          </cell>
          <cell r="L613">
            <v>61523.97</v>
          </cell>
          <cell r="M613">
            <v>11376.51</v>
          </cell>
          <cell r="N613">
            <v>0</v>
          </cell>
          <cell r="O613">
            <v>61523.97</v>
          </cell>
          <cell r="P613">
            <v>11376.51</v>
          </cell>
          <cell r="Q613">
            <v>266.92</v>
          </cell>
          <cell r="R613">
            <v>61790.889999999898</v>
          </cell>
          <cell r="S613">
            <v>11109.59</v>
          </cell>
        </row>
        <row r="614">
          <cell r="A614" t="str">
            <v>1000/1430       POLIMAG S 5101</v>
          </cell>
          <cell r="B614" t="str">
            <v>1002009    AGROTECHNI</v>
          </cell>
          <cell r="C614" t="str">
            <v>KB Sprzed. bezpośrednia</v>
          </cell>
          <cell r="D614">
            <v>24960</v>
          </cell>
          <cell r="E614">
            <v>24</v>
          </cell>
          <cell r="F614">
            <v>18740.72</v>
          </cell>
          <cell r="G614">
            <v>1038.8099999999899</v>
          </cell>
          <cell r="H614">
            <v>282.88</v>
          </cell>
          <cell r="I614">
            <v>1805.52</v>
          </cell>
          <cell r="J614">
            <v>0</v>
          </cell>
          <cell r="K614">
            <v>2088.4</v>
          </cell>
          <cell r="L614">
            <v>21867.93</v>
          </cell>
          <cell r="M614">
            <v>3092.07</v>
          </cell>
          <cell r="N614">
            <v>0</v>
          </cell>
          <cell r="O614">
            <v>21867.93</v>
          </cell>
          <cell r="P614">
            <v>3092.07</v>
          </cell>
          <cell r="Q614">
            <v>88.989999999999895</v>
          </cell>
          <cell r="R614">
            <v>21956.9199999999</v>
          </cell>
          <cell r="S614">
            <v>3003.0799999999899</v>
          </cell>
        </row>
        <row r="615">
          <cell r="A615" t="str">
            <v>1000/1430       POLIMAG S 5101</v>
          </cell>
          <cell r="B615" t="str">
            <v>1002012    SKR-CZAPLI</v>
          </cell>
          <cell r="C615" t="str">
            <v>KB Sprzed. bezpośrednia</v>
          </cell>
          <cell r="D615">
            <v>24216.48</v>
          </cell>
          <cell r="E615">
            <v>24</v>
          </cell>
          <cell r="F615">
            <v>18740.72</v>
          </cell>
          <cell r="G615">
            <v>1007.87</v>
          </cell>
          <cell r="H615">
            <v>282.88</v>
          </cell>
          <cell r="I615">
            <v>0</v>
          </cell>
          <cell r="J615">
            <v>0</v>
          </cell>
          <cell r="K615">
            <v>282.88</v>
          </cell>
          <cell r="L615">
            <v>20031.47</v>
          </cell>
          <cell r="M615">
            <v>4185.01</v>
          </cell>
          <cell r="N615">
            <v>0</v>
          </cell>
          <cell r="O615">
            <v>20031.47</v>
          </cell>
          <cell r="P615">
            <v>4185.01</v>
          </cell>
          <cell r="Q615">
            <v>88.989999999999895</v>
          </cell>
          <cell r="R615">
            <v>20120.459999999901</v>
          </cell>
          <cell r="S615">
            <v>4096.0200000000004</v>
          </cell>
        </row>
        <row r="616">
          <cell r="A616" t="str">
            <v>1000/1430       POLIMAG S 5101</v>
          </cell>
          <cell r="B616" t="str">
            <v>1002151    "AGRO-HANDEL"</v>
          </cell>
          <cell r="C616" t="str">
            <v>KB Sprzed. bezpośrednia</v>
          </cell>
          <cell r="D616">
            <v>50097.599999999897</v>
          </cell>
          <cell r="E616">
            <v>48</v>
          </cell>
          <cell r="F616">
            <v>37481.440000000002</v>
          </cell>
          <cell r="G616">
            <v>2085</v>
          </cell>
          <cell r="H616">
            <v>565.76999999999896</v>
          </cell>
          <cell r="I616">
            <v>3558.2399999999898</v>
          </cell>
          <cell r="J616">
            <v>0</v>
          </cell>
          <cell r="K616">
            <v>4124.01</v>
          </cell>
          <cell r="L616">
            <v>43690.449999999903</v>
          </cell>
          <cell r="M616">
            <v>6407.1499999999896</v>
          </cell>
          <cell r="N616">
            <v>0</v>
          </cell>
          <cell r="O616">
            <v>43690.449999999903</v>
          </cell>
          <cell r="P616">
            <v>6407.1499999999896</v>
          </cell>
          <cell r="Q616">
            <v>177.94</v>
          </cell>
          <cell r="R616">
            <v>43868.389999999898</v>
          </cell>
          <cell r="S616">
            <v>6229.21</v>
          </cell>
        </row>
        <row r="617">
          <cell r="A617" t="str">
            <v>1000/1430       POLIMAG S 5101</v>
          </cell>
          <cell r="B617" t="str">
            <v>1002657    "AGROFIRMA"-TOMASZ W</v>
          </cell>
          <cell r="C617" t="str">
            <v>KB Sprzed. bezpośrednia</v>
          </cell>
          <cell r="D617">
            <v>107901.24</v>
          </cell>
          <cell r="E617">
            <v>108</v>
          </cell>
          <cell r="F617">
            <v>84333.24</v>
          </cell>
          <cell r="G617">
            <v>4490.76</v>
          </cell>
          <cell r="H617">
            <v>1272.96</v>
          </cell>
          <cell r="I617">
            <v>0</v>
          </cell>
          <cell r="J617">
            <v>0</v>
          </cell>
          <cell r="K617">
            <v>1272.96</v>
          </cell>
          <cell r="L617">
            <v>90096.960000000006</v>
          </cell>
          <cell r="M617">
            <v>17804.279999999901</v>
          </cell>
          <cell r="N617">
            <v>0</v>
          </cell>
          <cell r="O617">
            <v>90096.960000000006</v>
          </cell>
          <cell r="P617">
            <v>17804.279999999901</v>
          </cell>
          <cell r="Q617">
            <v>400.41</v>
          </cell>
          <cell r="R617">
            <v>90497.369999999893</v>
          </cell>
          <cell r="S617">
            <v>17403.869999999901</v>
          </cell>
        </row>
        <row r="618">
          <cell r="A618" t="str">
            <v>1000/1430       POLIMAG S 5101</v>
          </cell>
          <cell r="B618" t="str">
            <v>1002790    AGRO-SKŁAD SZYMON NO</v>
          </cell>
          <cell r="C618" t="str">
            <v>KB Sprzed. bezpośrednia</v>
          </cell>
          <cell r="D618">
            <v>60096.480000000003</v>
          </cell>
          <cell r="E618">
            <v>60</v>
          </cell>
          <cell r="F618">
            <v>46851.769999999902</v>
          </cell>
          <cell r="G618">
            <v>2501.19</v>
          </cell>
          <cell r="H618">
            <v>707.19</v>
          </cell>
          <cell r="I618">
            <v>0</v>
          </cell>
          <cell r="J618">
            <v>0</v>
          </cell>
          <cell r="K618">
            <v>707.19</v>
          </cell>
          <cell r="L618">
            <v>50060.15</v>
          </cell>
          <cell r="M618">
            <v>10036.33</v>
          </cell>
          <cell r="N618">
            <v>0</v>
          </cell>
          <cell r="O618">
            <v>50060.15</v>
          </cell>
          <cell r="P618">
            <v>10036.33</v>
          </cell>
          <cell r="Q618">
            <v>222.46</v>
          </cell>
          <cell r="R618">
            <v>50282.61</v>
          </cell>
          <cell r="S618">
            <v>9813.8700000000008</v>
          </cell>
        </row>
        <row r="619">
          <cell r="A619" t="str">
            <v>1000/1430       POLIMAG S 5101</v>
          </cell>
          <cell r="B619" t="str">
            <v>1002912    "SOMIR" SP. Z O.O.</v>
          </cell>
          <cell r="C619" t="str">
            <v>KB Sprzed. bezpośrednia</v>
          </cell>
          <cell r="D619">
            <v>47757.599999999897</v>
          </cell>
          <cell r="E619">
            <v>48</v>
          </cell>
          <cell r="F619">
            <v>37481.440000000002</v>
          </cell>
          <cell r="G619">
            <v>1987.63</v>
          </cell>
          <cell r="H619">
            <v>565.76999999999896</v>
          </cell>
          <cell r="I619">
            <v>0</v>
          </cell>
          <cell r="J619">
            <v>0</v>
          </cell>
          <cell r="K619">
            <v>565.76999999999896</v>
          </cell>
          <cell r="L619">
            <v>40034.839999999902</v>
          </cell>
          <cell r="M619">
            <v>7722.76</v>
          </cell>
          <cell r="N619">
            <v>0</v>
          </cell>
          <cell r="O619">
            <v>40034.839999999902</v>
          </cell>
          <cell r="P619">
            <v>7722.76</v>
          </cell>
          <cell r="Q619">
            <v>177.94</v>
          </cell>
          <cell r="R619">
            <v>40212.779999999897</v>
          </cell>
          <cell r="S619">
            <v>7544.8199999999897</v>
          </cell>
        </row>
        <row r="620">
          <cell r="A620" t="str">
            <v>1000/1430       POLIMAG S 5101</v>
          </cell>
          <cell r="B620" t="str">
            <v>1003056    LECHPOL SP. Z O.O.</v>
          </cell>
          <cell r="C620" t="str">
            <v>KB Sprzed. bezpośrednia</v>
          </cell>
          <cell r="D620">
            <v>48095.519999999902</v>
          </cell>
          <cell r="E620">
            <v>48</v>
          </cell>
          <cell r="F620">
            <v>37481.440000000002</v>
          </cell>
          <cell r="G620">
            <v>2001.69</v>
          </cell>
          <cell r="H620">
            <v>565.76999999999896</v>
          </cell>
          <cell r="I620">
            <v>0</v>
          </cell>
          <cell r="J620">
            <v>0</v>
          </cell>
          <cell r="K620">
            <v>565.76999999999896</v>
          </cell>
          <cell r="L620">
            <v>40048.9</v>
          </cell>
          <cell r="M620">
            <v>8046.6199999999899</v>
          </cell>
          <cell r="N620">
            <v>0</v>
          </cell>
          <cell r="O620">
            <v>40048.9</v>
          </cell>
          <cell r="P620">
            <v>8046.6199999999899</v>
          </cell>
          <cell r="Q620">
            <v>177.94</v>
          </cell>
          <cell r="R620">
            <v>40226.839999999902</v>
          </cell>
          <cell r="S620">
            <v>7868.68</v>
          </cell>
        </row>
        <row r="621">
          <cell r="A621" t="str">
            <v>1000/1430       POLIMAG S 5101</v>
          </cell>
          <cell r="B621" t="str">
            <v>1003315    ZAKŁAD OBROTU ROLNEG</v>
          </cell>
          <cell r="C621" t="str">
            <v>KB Sprzed. bezpośrednia</v>
          </cell>
          <cell r="D621">
            <v>25415.25</v>
          </cell>
          <cell r="E621">
            <v>25</v>
          </cell>
          <cell r="F621">
            <v>19521.580000000002</v>
          </cell>
          <cell r="G621">
            <v>1057.8</v>
          </cell>
          <cell r="H621">
            <v>294.64999999999901</v>
          </cell>
          <cell r="I621">
            <v>1814.5899999999899</v>
          </cell>
          <cell r="J621">
            <v>0</v>
          </cell>
          <cell r="K621">
            <v>2109.2399999999898</v>
          </cell>
          <cell r="L621">
            <v>22688.619999999901</v>
          </cell>
          <cell r="M621">
            <v>2726.63</v>
          </cell>
          <cell r="N621">
            <v>0</v>
          </cell>
          <cell r="O621">
            <v>22688.619999999901</v>
          </cell>
          <cell r="P621">
            <v>2726.63</v>
          </cell>
          <cell r="Q621">
            <v>92.689999999999898</v>
          </cell>
          <cell r="R621">
            <v>22781.31</v>
          </cell>
          <cell r="S621">
            <v>2633.94</v>
          </cell>
        </row>
        <row r="622">
          <cell r="A622" t="str">
            <v>1000/1430       POLIMAG S 5101</v>
          </cell>
          <cell r="B622" t="str">
            <v>1003315    ZAKŁAD OBROTU ROLNEG</v>
          </cell>
          <cell r="C622" t="str">
            <v>KC Centra dystrybucji</v>
          </cell>
          <cell r="D622">
            <v>4051.44</v>
          </cell>
          <cell r="E622">
            <v>4</v>
          </cell>
          <cell r="F622">
            <v>3123.4499999999898</v>
          </cell>
          <cell r="G622">
            <v>168.599999999999</v>
          </cell>
          <cell r="H622">
            <v>47.149999999999899</v>
          </cell>
          <cell r="I622">
            <v>0</v>
          </cell>
          <cell r="J622">
            <v>0</v>
          </cell>
          <cell r="K622">
            <v>47.149999999999899</v>
          </cell>
          <cell r="L622">
            <v>3339.1999999999898</v>
          </cell>
          <cell r="M622">
            <v>712.24</v>
          </cell>
          <cell r="N622">
            <v>0</v>
          </cell>
          <cell r="O622">
            <v>3339.1999999999898</v>
          </cell>
          <cell r="P622">
            <v>712.24</v>
          </cell>
          <cell r="Q622">
            <v>14.82</v>
          </cell>
          <cell r="R622">
            <v>3354.02</v>
          </cell>
          <cell r="S622">
            <v>697.41999999999905</v>
          </cell>
        </row>
        <row r="623">
          <cell r="A623" t="str">
            <v>1000/1430       POLIMAG S 5101</v>
          </cell>
          <cell r="B623" t="str">
            <v>1003605    "AGROMUND"</v>
          </cell>
          <cell r="C623" t="str">
            <v>KB Sprzed. bezpośrednia</v>
          </cell>
          <cell r="D623">
            <v>25124.400000000001</v>
          </cell>
          <cell r="E623">
            <v>24</v>
          </cell>
          <cell r="F623">
            <v>18740.72</v>
          </cell>
          <cell r="G623">
            <v>1045.68</v>
          </cell>
          <cell r="H623">
            <v>282.88</v>
          </cell>
          <cell r="I623">
            <v>1082.6400000000001</v>
          </cell>
          <cell r="J623">
            <v>0</v>
          </cell>
          <cell r="K623">
            <v>1365.52</v>
          </cell>
          <cell r="L623">
            <v>21151.9199999999</v>
          </cell>
          <cell r="M623">
            <v>3972.48</v>
          </cell>
          <cell r="N623">
            <v>0</v>
          </cell>
          <cell r="O623">
            <v>21151.9199999999</v>
          </cell>
          <cell r="P623">
            <v>3972.48</v>
          </cell>
          <cell r="Q623">
            <v>88.989999999999895</v>
          </cell>
          <cell r="R623">
            <v>21240.91</v>
          </cell>
          <cell r="S623">
            <v>3883.4899999999898</v>
          </cell>
        </row>
        <row r="624">
          <cell r="A624" t="str">
            <v>1000/1430       POLIMAG S 5101</v>
          </cell>
          <cell r="B624" t="str">
            <v>1003773    "NIRO"</v>
          </cell>
          <cell r="C624" t="str">
            <v>KB Sprzed. bezpośrednia</v>
          </cell>
          <cell r="D624">
            <v>23806.560000000001</v>
          </cell>
          <cell r="E624">
            <v>24</v>
          </cell>
          <cell r="F624">
            <v>18740.72</v>
          </cell>
          <cell r="G624">
            <v>990.84</v>
          </cell>
          <cell r="H624">
            <v>282.88</v>
          </cell>
          <cell r="I624">
            <v>0</v>
          </cell>
          <cell r="J624">
            <v>0</v>
          </cell>
          <cell r="K624">
            <v>282.88</v>
          </cell>
          <cell r="L624">
            <v>20014.4399999999</v>
          </cell>
          <cell r="M624">
            <v>3792.1199999999899</v>
          </cell>
          <cell r="N624">
            <v>0</v>
          </cell>
          <cell r="O624">
            <v>20014.4399999999</v>
          </cell>
          <cell r="P624">
            <v>3792.1199999999899</v>
          </cell>
          <cell r="Q624">
            <v>88.989999999999895</v>
          </cell>
          <cell r="R624">
            <v>20103.43</v>
          </cell>
          <cell r="S624">
            <v>3703.13</v>
          </cell>
        </row>
        <row r="625">
          <cell r="A625" t="str">
            <v>1000/1430       POLIMAG S 5101</v>
          </cell>
          <cell r="B625" t="str">
            <v>1003827    STAL-BUD</v>
          </cell>
          <cell r="C625" t="str">
            <v>KB Sprzed. bezpośrednia</v>
          </cell>
          <cell r="D625">
            <v>24948</v>
          </cell>
          <cell r="E625">
            <v>24</v>
          </cell>
          <cell r="F625">
            <v>18740.72</v>
          </cell>
          <cell r="G625">
            <v>1038.3099999999899</v>
          </cell>
          <cell r="H625">
            <v>282.88</v>
          </cell>
          <cell r="I625">
            <v>1971.1199999999899</v>
          </cell>
          <cell r="J625">
            <v>0</v>
          </cell>
          <cell r="K625">
            <v>2254</v>
          </cell>
          <cell r="L625">
            <v>22033.029999999901</v>
          </cell>
          <cell r="M625">
            <v>2914.9699999999898</v>
          </cell>
          <cell r="N625">
            <v>0</v>
          </cell>
          <cell r="O625">
            <v>22033.029999999901</v>
          </cell>
          <cell r="P625">
            <v>2914.9699999999898</v>
          </cell>
          <cell r="Q625">
            <v>88.989999999999895</v>
          </cell>
          <cell r="R625">
            <v>22122.02</v>
          </cell>
          <cell r="S625">
            <v>2825.98</v>
          </cell>
        </row>
        <row r="626">
          <cell r="A626" t="str">
            <v>1000/1430       POLIMAG S 5101</v>
          </cell>
          <cell r="B626" t="str">
            <v>1003857    EDMAR</v>
          </cell>
          <cell r="C626" t="str">
            <v>KB Sprzed. bezpośrednia</v>
          </cell>
          <cell r="D626">
            <v>420746.52</v>
          </cell>
          <cell r="E626">
            <v>408</v>
          </cell>
          <cell r="F626">
            <v>318592.239999999</v>
          </cell>
          <cell r="G626">
            <v>17511.02</v>
          </cell>
          <cell r="H626">
            <v>4808.93</v>
          </cell>
          <cell r="I626">
            <v>24891.360000000001</v>
          </cell>
          <cell r="J626">
            <v>0</v>
          </cell>
          <cell r="K626">
            <v>29700.29</v>
          </cell>
          <cell r="L626">
            <v>365803.549999999</v>
          </cell>
          <cell r="M626">
            <v>54942.97</v>
          </cell>
          <cell r="N626">
            <v>0</v>
          </cell>
          <cell r="O626">
            <v>365803.549999999</v>
          </cell>
          <cell r="P626">
            <v>54942.97</v>
          </cell>
          <cell r="Q626">
            <v>1512.63</v>
          </cell>
          <cell r="R626">
            <v>367316.179999999</v>
          </cell>
          <cell r="S626">
            <v>53430.339999999902</v>
          </cell>
        </row>
        <row r="627">
          <cell r="A627" t="str">
            <v>1000/1430       POLIMAG S 5101</v>
          </cell>
          <cell r="B627" t="str">
            <v>1003904    "AGROCHEMIK"</v>
          </cell>
          <cell r="C627" t="str">
            <v>KB Sprzed. bezpośrednia</v>
          </cell>
          <cell r="D627">
            <v>24872.400000000001</v>
          </cell>
          <cell r="E627">
            <v>24</v>
          </cell>
          <cell r="F627">
            <v>18740.72</v>
          </cell>
          <cell r="G627">
            <v>1035.1400000000001</v>
          </cell>
          <cell r="H627">
            <v>282.88</v>
          </cell>
          <cell r="I627">
            <v>1419.1199999999899</v>
          </cell>
          <cell r="J627">
            <v>0</v>
          </cell>
          <cell r="K627">
            <v>1702</v>
          </cell>
          <cell r="L627">
            <v>21477.86</v>
          </cell>
          <cell r="M627">
            <v>3394.54</v>
          </cell>
          <cell r="N627">
            <v>0</v>
          </cell>
          <cell r="O627">
            <v>21477.86</v>
          </cell>
          <cell r="P627">
            <v>3394.54</v>
          </cell>
          <cell r="Q627">
            <v>88.989999999999895</v>
          </cell>
          <cell r="R627">
            <v>21566.8499999999</v>
          </cell>
          <cell r="S627">
            <v>3305.55</v>
          </cell>
        </row>
        <row r="628">
          <cell r="A628" t="str">
            <v>1000/1430       POLIMAG S 5101</v>
          </cell>
          <cell r="B628" t="str">
            <v>1003981    GRUPA POLSKIE SKŁADY</v>
          </cell>
          <cell r="C628" t="str">
            <v>KB Sprzed. bezpośrednia</v>
          </cell>
          <cell r="D628">
            <v>16796.5099999999</v>
          </cell>
          <cell r="E628">
            <v>17</v>
          </cell>
          <cell r="F628">
            <v>13274.68</v>
          </cell>
          <cell r="G628">
            <v>699.02999999999895</v>
          </cell>
          <cell r="H628">
            <v>200.37</v>
          </cell>
          <cell r="I628">
            <v>0</v>
          </cell>
          <cell r="J628">
            <v>0</v>
          </cell>
          <cell r="K628">
            <v>200.37</v>
          </cell>
          <cell r="L628">
            <v>14174.08</v>
          </cell>
          <cell r="M628">
            <v>2622.4299999999898</v>
          </cell>
          <cell r="N628">
            <v>0</v>
          </cell>
          <cell r="O628">
            <v>14174.08</v>
          </cell>
          <cell r="P628">
            <v>2622.4299999999898</v>
          </cell>
          <cell r="Q628">
            <v>63.03</v>
          </cell>
          <cell r="R628">
            <v>14237.11</v>
          </cell>
          <cell r="S628">
            <v>2559.4</v>
          </cell>
        </row>
        <row r="629">
          <cell r="A629" t="str">
            <v>1000/1430       POLIMAG S 5101</v>
          </cell>
          <cell r="B629" t="str">
            <v>1004168    "OSADKOWSKI" SPÓŁKA</v>
          </cell>
          <cell r="C629" t="str">
            <v>KB Sprzed. bezpośrednia</v>
          </cell>
          <cell r="D629">
            <v>246164.399999999</v>
          </cell>
          <cell r="E629">
            <v>240</v>
          </cell>
          <cell r="F629">
            <v>187407.2</v>
          </cell>
          <cell r="G629">
            <v>10245.120000000001</v>
          </cell>
          <cell r="H629">
            <v>2828.78</v>
          </cell>
          <cell r="I629">
            <v>6417.84</v>
          </cell>
          <cell r="J629">
            <v>0</v>
          </cell>
          <cell r="K629">
            <v>9246.6200000000008</v>
          </cell>
          <cell r="L629">
            <v>206898.94</v>
          </cell>
          <cell r="M629">
            <v>39265.459999999897</v>
          </cell>
          <cell r="N629">
            <v>0</v>
          </cell>
          <cell r="O629">
            <v>206898.94</v>
          </cell>
          <cell r="P629">
            <v>39265.459999999897</v>
          </cell>
          <cell r="Q629">
            <v>889.78999999999905</v>
          </cell>
          <cell r="R629">
            <v>207788.73</v>
          </cell>
          <cell r="S629">
            <v>38375.669999999896</v>
          </cell>
        </row>
        <row r="630">
          <cell r="A630" t="str">
            <v>1000/1430       POLIMAG S 5101</v>
          </cell>
          <cell r="B630" t="str">
            <v>1004168    "OSADKOWSKI" SPÓŁKA</v>
          </cell>
          <cell r="C630" t="str">
            <v>KC Centra dystrybucji</v>
          </cell>
          <cell r="D630">
            <v>48813.120000000003</v>
          </cell>
          <cell r="E630">
            <v>48</v>
          </cell>
          <cell r="F630">
            <v>40670.080000000002</v>
          </cell>
          <cell r="G630">
            <v>2031.5599999999899</v>
          </cell>
          <cell r="H630">
            <v>565.76999999999896</v>
          </cell>
          <cell r="I630">
            <v>0</v>
          </cell>
          <cell r="J630">
            <v>0</v>
          </cell>
          <cell r="K630">
            <v>565.76999999999896</v>
          </cell>
          <cell r="L630">
            <v>43267.41</v>
          </cell>
          <cell r="M630">
            <v>5545.71</v>
          </cell>
          <cell r="N630">
            <v>0</v>
          </cell>
          <cell r="O630">
            <v>43267.41</v>
          </cell>
          <cell r="P630">
            <v>5545.71</v>
          </cell>
          <cell r="Q630">
            <v>193.099999999999</v>
          </cell>
          <cell r="R630">
            <v>43460.51</v>
          </cell>
          <cell r="S630">
            <v>5352.6099999999897</v>
          </cell>
        </row>
        <row r="631">
          <cell r="A631" t="str">
            <v>1000/1430       POLIMAG S 5101</v>
          </cell>
          <cell r="B631" t="str">
            <v>1004710    "AGRICOLA-LUBLIN" SP</v>
          </cell>
          <cell r="C631" t="str">
            <v>KB Sprzed. bezpośrednia</v>
          </cell>
          <cell r="D631">
            <v>57923.279999999897</v>
          </cell>
          <cell r="E631">
            <v>56</v>
          </cell>
          <cell r="F631">
            <v>43728.349999999897</v>
          </cell>
          <cell r="G631">
            <v>2410.6999999999898</v>
          </cell>
          <cell r="H631">
            <v>659.91999999999905</v>
          </cell>
          <cell r="I631">
            <v>3624.5999999999899</v>
          </cell>
          <cell r="J631">
            <v>0</v>
          </cell>
          <cell r="K631">
            <v>4284.5200000000004</v>
          </cell>
          <cell r="L631">
            <v>50423.57</v>
          </cell>
          <cell r="M631">
            <v>7499.71</v>
          </cell>
          <cell r="N631">
            <v>0</v>
          </cell>
          <cell r="O631">
            <v>50423.57</v>
          </cell>
          <cell r="P631">
            <v>7499.71</v>
          </cell>
          <cell r="Q631">
            <v>207.599999999999</v>
          </cell>
          <cell r="R631">
            <v>50631.169999999896</v>
          </cell>
          <cell r="S631">
            <v>7292.1099999999897</v>
          </cell>
        </row>
        <row r="632">
          <cell r="A632" t="str">
            <v>1000/1431       NPK 8-11-24-3</v>
          </cell>
          <cell r="B632" t="str">
            <v>1000080    CN-KIELCE</v>
          </cell>
          <cell r="C632" t="str">
            <v>KC Centra dystrybucji</v>
          </cell>
          <cell r="D632">
            <v>6460.56</v>
          </cell>
          <cell r="E632">
            <v>8</v>
          </cell>
          <cell r="F632">
            <v>5417.4499999999898</v>
          </cell>
          <cell r="G632">
            <v>268.89999999999901</v>
          </cell>
          <cell r="H632">
            <v>520.49</v>
          </cell>
          <cell r="I632">
            <v>0</v>
          </cell>
          <cell r="J632">
            <v>0</v>
          </cell>
          <cell r="K632">
            <v>520.49</v>
          </cell>
          <cell r="L632">
            <v>6206.84</v>
          </cell>
          <cell r="M632">
            <v>253.72</v>
          </cell>
          <cell r="N632">
            <v>0</v>
          </cell>
          <cell r="O632">
            <v>6206.84</v>
          </cell>
          <cell r="P632">
            <v>253.72</v>
          </cell>
          <cell r="Q632">
            <v>25.71</v>
          </cell>
          <cell r="R632">
            <v>6232.55</v>
          </cell>
          <cell r="S632">
            <v>228.009999999999</v>
          </cell>
        </row>
        <row r="633">
          <cell r="A633" t="str">
            <v>1000/1434       NPK 10-15-21</v>
          </cell>
          <cell r="B633" t="str">
            <v>1003056    LECHPOL SP. Z O.O.</v>
          </cell>
          <cell r="C633" t="str">
            <v>KB Sprzed. bezpośrednia</v>
          </cell>
          <cell r="D633">
            <v>3131.0999999999899</v>
          </cell>
          <cell r="E633">
            <v>4.5</v>
          </cell>
          <cell r="F633">
            <v>3407.98</v>
          </cell>
          <cell r="G633">
            <v>130.319999999999</v>
          </cell>
          <cell r="H633">
            <v>4.78</v>
          </cell>
          <cell r="I633">
            <v>0</v>
          </cell>
          <cell r="J633">
            <v>0</v>
          </cell>
          <cell r="K633">
            <v>4.78</v>
          </cell>
          <cell r="L633">
            <v>3543.0799999999899</v>
          </cell>
          <cell r="M633">
            <v>-411.98</v>
          </cell>
          <cell r="N633">
            <v>0</v>
          </cell>
          <cell r="O633">
            <v>3543.0799999999899</v>
          </cell>
          <cell r="P633">
            <v>-411.98</v>
          </cell>
          <cell r="Q633">
            <v>16.18</v>
          </cell>
          <cell r="R633">
            <v>3559.26</v>
          </cell>
          <cell r="S633">
            <v>-428.16</v>
          </cell>
        </row>
        <row r="634">
          <cell r="A634" t="str">
            <v>1000/1449       NPK 10-20-20</v>
          </cell>
          <cell r="B634" t="str">
            <v>1003056    LECHPOL SP. Z O.O.</v>
          </cell>
          <cell r="C634" t="str">
            <v>KB Sprzed. bezpośrednia</v>
          </cell>
          <cell r="D634">
            <v>190726.859999999</v>
          </cell>
          <cell r="E634">
            <v>258</v>
          </cell>
          <cell r="F634">
            <v>176100.79</v>
          </cell>
          <cell r="G634">
            <v>7937.85</v>
          </cell>
          <cell r="H634">
            <v>290.06</v>
          </cell>
          <cell r="I634">
            <v>0</v>
          </cell>
          <cell r="J634">
            <v>0</v>
          </cell>
          <cell r="K634">
            <v>290.06</v>
          </cell>
          <cell r="L634">
            <v>184328.7</v>
          </cell>
          <cell r="M634">
            <v>6398.1599999999899</v>
          </cell>
          <cell r="N634">
            <v>0</v>
          </cell>
          <cell r="O634">
            <v>184328.7</v>
          </cell>
          <cell r="P634">
            <v>6398.1599999999899</v>
          </cell>
          <cell r="Q634">
            <v>836.11</v>
          </cell>
          <cell r="R634">
            <v>185164.81</v>
          </cell>
          <cell r="S634">
            <v>5562.05</v>
          </cell>
        </row>
        <row r="635">
          <cell r="A635" t="str">
            <v>1000/1457       NPK 5-10-30Petroplon</v>
          </cell>
          <cell r="B635" t="str">
            <v>Nieprzypisane</v>
          </cell>
          <cell r="C635" t="str">
            <v>Nieprzypisane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12.84</v>
          </cell>
          <cell r="I635">
            <v>0</v>
          </cell>
          <cell r="J635">
            <v>0</v>
          </cell>
          <cell r="K635">
            <v>12.84</v>
          </cell>
          <cell r="L635">
            <v>12.84</v>
          </cell>
          <cell r="M635">
            <v>-12.84</v>
          </cell>
          <cell r="N635">
            <v>0</v>
          </cell>
          <cell r="O635">
            <v>12.84</v>
          </cell>
          <cell r="P635">
            <v>-12.84</v>
          </cell>
          <cell r="Q635">
            <v>0</v>
          </cell>
          <cell r="R635">
            <v>12.84</v>
          </cell>
          <cell r="S635">
            <v>-12.84</v>
          </cell>
        </row>
        <row r="636">
          <cell r="A636" t="str">
            <v>1000/1700       Mocznik</v>
          </cell>
          <cell r="B636" t="str">
            <v>Nieprzypisane</v>
          </cell>
          <cell r="C636" t="str">
            <v>Nieprzypisane</v>
          </cell>
          <cell r="D636">
            <v>0</v>
          </cell>
          <cell r="E636">
            <v>0</v>
          </cell>
          <cell r="F636">
            <v>6616.39</v>
          </cell>
          <cell r="G636">
            <v>0</v>
          </cell>
          <cell r="H636">
            <v>0</v>
          </cell>
          <cell r="I636">
            <v>-1779.1199999999899</v>
          </cell>
          <cell r="J636">
            <v>0</v>
          </cell>
          <cell r="K636">
            <v>-1779.1199999999899</v>
          </cell>
          <cell r="L636">
            <v>4837.2700000000004</v>
          </cell>
          <cell r="M636">
            <v>-4837.2700000000004</v>
          </cell>
          <cell r="N636">
            <v>0</v>
          </cell>
          <cell r="O636">
            <v>4837.2700000000004</v>
          </cell>
          <cell r="P636">
            <v>-4837.2700000000004</v>
          </cell>
          <cell r="Q636">
            <v>0</v>
          </cell>
          <cell r="R636">
            <v>4837.2700000000004</v>
          </cell>
          <cell r="S636">
            <v>-4837.2700000000004</v>
          </cell>
        </row>
        <row r="637">
          <cell r="A637" t="str">
            <v>1000/1700       Mocznik</v>
          </cell>
          <cell r="B637" t="str">
            <v>1000060    CIECH S.A.</v>
          </cell>
          <cell r="C637" t="str">
            <v>KB Sprzed. bezpośrednia</v>
          </cell>
          <cell r="D637">
            <v>102028.32</v>
          </cell>
          <cell r="E637">
            <v>120</v>
          </cell>
          <cell r="F637">
            <v>84160.6</v>
          </cell>
          <cell r="G637">
            <v>4246.3599999999897</v>
          </cell>
          <cell r="H637">
            <v>618.46</v>
          </cell>
          <cell r="I637">
            <v>4659.1199999999899</v>
          </cell>
          <cell r="J637">
            <v>0</v>
          </cell>
          <cell r="K637">
            <v>5277.5799999999899</v>
          </cell>
          <cell r="L637">
            <v>93684.539999999906</v>
          </cell>
          <cell r="M637">
            <v>8343.7800000000007</v>
          </cell>
          <cell r="N637">
            <v>0</v>
          </cell>
          <cell r="O637">
            <v>93684.539999999906</v>
          </cell>
          <cell r="P637">
            <v>8343.7800000000007</v>
          </cell>
          <cell r="Q637">
            <v>562.75</v>
          </cell>
          <cell r="R637">
            <v>94247.289999999906</v>
          </cell>
          <cell r="S637">
            <v>7781.0299999999897</v>
          </cell>
        </row>
        <row r="638">
          <cell r="A638" t="str">
            <v>1000/1700       Mocznik</v>
          </cell>
          <cell r="B638" t="str">
            <v>1000080    CN-KIELCE</v>
          </cell>
          <cell r="C638" t="str">
            <v>KB Sprzed. bezpośrednia</v>
          </cell>
          <cell r="D638">
            <v>104040</v>
          </cell>
          <cell r="E638">
            <v>120</v>
          </cell>
          <cell r="F638">
            <v>84160.61</v>
          </cell>
          <cell r="G638">
            <v>4330.0699999999897</v>
          </cell>
          <cell r="H638">
            <v>618.46</v>
          </cell>
          <cell r="I638">
            <v>8187.8699999999899</v>
          </cell>
          <cell r="J638">
            <v>0</v>
          </cell>
          <cell r="K638">
            <v>8806.3299999999908</v>
          </cell>
          <cell r="L638">
            <v>97297.009999999893</v>
          </cell>
          <cell r="M638">
            <v>6742.9899999999898</v>
          </cell>
          <cell r="N638">
            <v>0</v>
          </cell>
          <cell r="O638">
            <v>97297.009999999893</v>
          </cell>
          <cell r="P638">
            <v>6742.9899999999898</v>
          </cell>
          <cell r="Q638">
            <v>562.75</v>
          </cell>
          <cell r="R638">
            <v>97859.759999999893</v>
          </cell>
          <cell r="S638">
            <v>6180.2399999999898</v>
          </cell>
        </row>
        <row r="639">
          <cell r="A639" t="str">
            <v>1000/1700       Mocznik</v>
          </cell>
          <cell r="B639" t="str">
            <v>1000115    GS-BĘDZINO</v>
          </cell>
          <cell r="C639" t="str">
            <v>KB Sprzed. bezpośrednia</v>
          </cell>
          <cell r="D639">
            <v>20880</v>
          </cell>
          <cell r="E639">
            <v>24</v>
          </cell>
          <cell r="F639">
            <v>16832.119999999901</v>
          </cell>
          <cell r="G639">
            <v>869</v>
          </cell>
          <cell r="H639">
            <v>123.69</v>
          </cell>
          <cell r="I639">
            <v>688.55999999999904</v>
          </cell>
          <cell r="J639">
            <v>0</v>
          </cell>
          <cell r="K639">
            <v>812.25</v>
          </cell>
          <cell r="L639">
            <v>18513.369999999901</v>
          </cell>
          <cell r="M639">
            <v>2366.63</v>
          </cell>
          <cell r="N639">
            <v>0</v>
          </cell>
          <cell r="O639">
            <v>18513.369999999901</v>
          </cell>
          <cell r="P639">
            <v>2366.63</v>
          </cell>
          <cell r="Q639">
            <v>112.56</v>
          </cell>
          <cell r="R639">
            <v>18625.93</v>
          </cell>
          <cell r="S639">
            <v>2254.0700000000002</v>
          </cell>
        </row>
        <row r="640">
          <cell r="A640" t="str">
            <v>1000/1700       Mocznik</v>
          </cell>
          <cell r="B640" t="str">
            <v>1000117    SKIBA</v>
          </cell>
          <cell r="C640" t="str">
            <v>KB Sprzed. bezpośrednia</v>
          </cell>
          <cell r="D640">
            <v>20880</v>
          </cell>
          <cell r="E640">
            <v>24</v>
          </cell>
          <cell r="F640">
            <v>16832.119999999901</v>
          </cell>
          <cell r="G640">
            <v>869</v>
          </cell>
          <cell r="H640">
            <v>123.69</v>
          </cell>
          <cell r="I640">
            <v>1542.72</v>
          </cell>
          <cell r="J640">
            <v>0</v>
          </cell>
          <cell r="K640">
            <v>1666.41</v>
          </cell>
          <cell r="L640">
            <v>19367.529999999901</v>
          </cell>
          <cell r="M640">
            <v>1512.47</v>
          </cell>
          <cell r="N640">
            <v>0</v>
          </cell>
          <cell r="O640">
            <v>19367.529999999901</v>
          </cell>
          <cell r="P640">
            <v>1512.47</v>
          </cell>
          <cell r="Q640">
            <v>112.56</v>
          </cell>
          <cell r="R640">
            <v>19480.09</v>
          </cell>
          <cell r="S640">
            <v>1399.91</v>
          </cell>
        </row>
        <row r="641">
          <cell r="A641" t="str">
            <v>1000/1700       Mocznik</v>
          </cell>
          <cell r="B641" t="str">
            <v>1000120    GS-PABIANICE</v>
          </cell>
          <cell r="C641" t="str">
            <v>KB Sprzed. bezpośrednia</v>
          </cell>
          <cell r="D641">
            <v>20880</v>
          </cell>
          <cell r="E641">
            <v>24</v>
          </cell>
          <cell r="F641">
            <v>16832.119999999901</v>
          </cell>
          <cell r="G641">
            <v>869</v>
          </cell>
          <cell r="H641">
            <v>123.69</v>
          </cell>
          <cell r="I641">
            <v>1200.96</v>
          </cell>
          <cell r="J641">
            <v>0</v>
          </cell>
          <cell r="K641">
            <v>1324.65</v>
          </cell>
          <cell r="L641">
            <v>19025.77</v>
          </cell>
          <cell r="M641">
            <v>1854.23</v>
          </cell>
          <cell r="N641">
            <v>0</v>
          </cell>
          <cell r="O641">
            <v>19025.77</v>
          </cell>
          <cell r="P641">
            <v>1854.23</v>
          </cell>
          <cell r="Q641">
            <v>112.56</v>
          </cell>
          <cell r="R641">
            <v>19138.330000000002</v>
          </cell>
          <cell r="S641">
            <v>1741.67</v>
          </cell>
        </row>
        <row r="642">
          <cell r="A642" t="str">
            <v>1000/1700       Mocznik</v>
          </cell>
          <cell r="B642" t="str">
            <v>1000141    SKR-Łaszczów</v>
          </cell>
          <cell r="C642" t="str">
            <v>KB Sprzed. bezpośrednia</v>
          </cell>
          <cell r="D642">
            <v>61920</v>
          </cell>
          <cell r="E642">
            <v>72</v>
          </cell>
          <cell r="F642">
            <v>50496.36</v>
          </cell>
          <cell r="G642">
            <v>2577.0500000000002</v>
          </cell>
          <cell r="H642">
            <v>371.07999999999902</v>
          </cell>
          <cell r="I642">
            <v>5355.84</v>
          </cell>
          <cell r="J642">
            <v>0</v>
          </cell>
          <cell r="K642">
            <v>5726.92</v>
          </cell>
          <cell r="L642">
            <v>58800.33</v>
          </cell>
          <cell r="M642">
            <v>3119.67</v>
          </cell>
          <cell r="N642">
            <v>0</v>
          </cell>
          <cell r="O642">
            <v>58800.33</v>
          </cell>
          <cell r="P642">
            <v>3119.67</v>
          </cell>
          <cell r="Q642">
            <v>337.64999999999901</v>
          </cell>
          <cell r="R642">
            <v>59137.98</v>
          </cell>
          <cell r="S642">
            <v>2782.02</v>
          </cell>
        </row>
        <row r="643">
          <cell r="A643" t="str">
            <v>1000/1700       Mocznik</v>
          </cell>
          <cell r="B643" t="str">
            <v>1000182    AGRA NOWA</v>
          </cell>
          <cell r="C643" t="str">
            <v>KB Sprzed. bezpośrednia</v>
          </cell>
          <cell r="D643">
            <v>61188.160000000003</v>
          </cell>
          <cell r="E643">
            <v>73</v>
          </cell>
          <cell r="F643">
            <v>51197.699999999903</v>
          </cell>
          <cell r="G643">
            <v>2546.5799999999899</v>
          </cell>
          <cell r="H643">
            <v>376.23</v>
          </cell>
          <cell r="I643">
            <v>1431.0699999999899</v>
          </cell>
          <cell r="J643">
            <v>0</v>
          </cell>
          <cell r="K643">
            <v>1807.3</v>
          </cell>
          <cell r="L643">
            <v>55551.58</v>
          </cell>
          <cell r="M643">
            <v>5636.5799999999899</v>
          </cell>
          <cell r="N643">
            <v>0</v>
          </cell>
          <cell r="O643">
            <v>55551.58</v>
          </cell>
          <cell r="P643">
            <v>5636.5799999999899</v>
          </cell>
          <cell r="Q643">
            <v>342.33999999999901</v>
          </cell>
          <cell r="R643">
            <v>55893.919999999896</v>
          </cell>
          <cell r="S643">
            <v>5294.2399999999898</v>
          </cell>
        </row>
        <row r="644">
          <cell r="A644" t="str">
            <v>1000/1700       Mocznik</v>
          </cell>
          <cell r="B644" t="str">
            <v>1000192    ROLBUD</v>
          </cell>
          <cell r="C644" t="str">
            <v>KB Sprzed. bezpośrednia</v>
          </cell>
          <cell r="D644">
            <v>41110.32</v>
          </cell>
          <cell r="E644">
            <v>48</v>
          </cell>
          <cell r="F644">
            <v>33664.239999999903</v>
          </cell>
          <cell r="G644">
            <v>1710.99</v>
          </cell>
          <cell r="H644">
            <v>247.38</v>
          </cell>
          <cell r="I644">
            <v>2969.76</v>
          </cell>
          <cell r="J644">
            <v>0</v>
          </cell>
          <cell r="K644">
            <v>3217.1399999999899</v>
          </cell>
          <cell r="L644">
            <v>38592.370000000003</v>
          </cell>
          <cell r="M644">
            <v>2517.9499999999898</v>
          </cell>
          <cell r="N644">
            <v>0</v>
          </cell>
          <cell r="O644">
            <v>38592.370000000003</v>
          </cell>
          <cell r="P644">
            <v>2517.9499999999898</v>
          </cell>
          <cell r="Q644">
            <v>225.09</v>
          </cell>
          <cell r="R644">
            <v>38817.459999999897</v>
          </cell>
          <cell r="S644">
            <v>2292.86</v>
          </cell>
        </row>
        <row r="645">
          <cell r="A645" t="str">
            <v>1000/1700       Mocznik</v>
          </cell>
          <cell r="B645" t="str">
            <v>1000193    PUH 'WIEŻOWIEC' s.j.</v>
          </cell>
          <cell r="C645" t="str">
            <v>KB Sprzed. bezpośrednia</v>
          </cell>
          <cell r="D645">
            <v>59880</v>
          </cell>
          <cell r="E645">
            <v>72</v>
          </cell>
          <cell r="F645">
            <v>50496.36</v>
          </cell>
          <cell r="G645">
            <v>2492.1399999999899</v>
          </cell>
          <cell r="H645">
            <v>371.07999999999902</v>
          </cell>
          <cell r="I645">
            <v>0</v>
          </cell>
          <cell r="J645">
            <v>0</v>
          </cell>
          <cell r="K645">
            <v>371.07999999999902</v>
          </cell>
          <cell r="L645">
            <v>53359.58</v>
          </cell>
          <cell r="M645">
            <v>6520.42</v>
          </cell>
          <cell r="N645">
            <v>0</v>
          </cell>
          <cell r="O645">
            <v>53359.58</v>
          </cell>
          <cell r="P645">
            <v>6520.42</v>
          </cell>
          <cell r="Q645">
            <v>337.64999999999901</v>
          </cell>
          <cell r="R645">
            <v>53697.23</v>
          </cell>
          <cell r="S645">
            <v>6182.77</v>
          </cell>
        </row>
        <row r="646">
          <cell r="A646" t="str">
            <v>1000/1700       Mocznik</v>
          </cell>
          <cell r="B646" t="str">
            <v>1000203    BISO S.C.</v>
          </cell>
          <cell r="C646" t="str">
            <v>KB Sprzed. bezpośrednia</v>
          </cell>
          <cell r="D646">
            <v>20880</v>
          </cell>
          <cell r="E646">
            <v>24</v>
          </cell>
          <cell r="F646">
            <v>16832.119999999901</v>
          </cell>
          <cell r="G646">
            <v>869</v>
          </cell>
          <cell r="H646">
            <v>123.69</v>
          </cell>
          <cell r="I646">
            <v>1030.0799999999899</v>
          </cell>
          <cell r="J646">
            <v>0</v>
          </cell>
          <cell r="K646">
            <v>1153.77</v>
          </cell>
          <cell r="L646">
            <v>18854.889999999901</v>
          </cell>
          <cell r="M646">
            <v>2025.1099999999899</v>
          </cell>
          <cell r="N646">
            <v>0</v>
          </cell>
          <cell r="O646">
            <v>18854.889999999901</v>
          </cell>
          <cell r="P646">
            <v>2025.1099999999899</v>
          </cell>
          <cell r="Q646">
            <v>112.56</v>
          </cell>
          <cell r="R646">
            <v>18967.45</v>
          </cell>
          <cell r="S646">
            <v>1912.55</v>
          </cell>
        </row>
        <row r="647">
          <cell r="A647" t="str">
            <v>1000/1700       Mocznik</v>
          </cell>
          <cell r="B647" t="str">
            <v>1000205    SKŁODOWSKI</v>
          </cell>
          <cell r="C647" t="str">
            <v>KB Sprzed. bezpośrednia</v>
          </cell>
          <cell r="D647">
            <v>1301414.49</v>
          </cell>
          <cell r="E647">
            <v>1547.5</v>
          </cell>
          <cell r="F647">
            <v>1085321.1100000001</v>
          </cell>
          <cell r="G647">
            <v>54163.57</v>
          </cell>
          <cell r="H647">
            <v>7975.6599999999899</v>
          </cell>
          <cell r="I647">
            <v>108329.44</v>
          </cell>
          <cell r="J647">
            <v>0</v>
          </cell>
          <cell r="K647">
            <v>116305.1</v>
          </cell>
          <cell r="L647">
            <v>1255789.78</v>
          </cell>
          <cell r="M647">
            <v>45624.709999999897</v>
          </cell>
          <cell r="N647">
            <v>0</v>
          </cell>
          <cell r="O647">
            <v>1255789.78</v>
          </cell>
          <cell r="P647">
            <v>45624.709999999897</v>
          </cell>
          <cell r="Q647">
            <v>7257.0699999999897</v>
          </cell>
          <cell r="R647">
            <v>1263046.8500000001</v>
          </cell>
          <cell r="S647">
            <v>38367.639999999898</v>
          </cell>
        </row>
        <row r="648">
          <cell r="A648" t="str">
            <v>1000/1700       Mocznik</v>
          </cell>
          <cell r="B648" t="str">
            <v>1000219    BUTOR</v>
          </cell>
          <cell r="C648" t="str">
            <v>KB Sprzed. bezpośrednia</v>
          </cell>
          <cell r="D648">
            <v>103800</v>
          </cell>
          <cell r="E648">
            <v>120</v>
          </cell>
          <cell r="F648">
            <v>85970.33</v>
          </cell>
          <cell r="G648">
            <v>4320.0299999999897</v>
          </cell>
          <cell r="H648">
            <v>618.46</v>
          </cell>
          <cell r="I648">
            <v>5724.4799999999896</v>
          </cell>
          <cell r="J648">
            <v>0</v>
          </cell>
          <cell r="K648">
            <v>6342.9399999999896</v>
          </cell>
          <cell r="L648">
            <v>96633.3</v>
          </cell>
          <cell r="M648">
            <v>7166.6999999999898</v>
          </cell>
          <cell r="N648">
            <v>0</v>
          </cell>
          <cell r="O648">
            <v>96633.3</v>
          </cell>
          <cell r="P648">
            <v>7166.6999999999898</v>
          </cell>
          <cell r="Q648">
            <v>574.85</v>
          </cell>
          <cell r="R648">
            <v>97208.149999999907</v>
          </cell>
          <cell r="S648">
            <v>6591.85</v>
          </cell>
        </row>
        <row r="649">
          <cell r="A649" t="str">
            <v>1000/1700       Mocznik</v>
          </cell>
          <cell r="B649" t="str">
            <v>1000222    ROLPOL</v>
          </cell>
          <cell r="C649" t="str">
            <v>KB Sprzed. bezpośrednia</v>
          </cell>
          <cell r="D649">
            <v>326750.66999999899</v>
          </cell>
          <cell r="E649">
            <v>392</v>
          </cell>
          <cell r="F649">
            <v>274924.65000000002</v>
          </cell>
          <cell r="G649">
            <v>13598.99</v>
          </cell>
          <cell r="H649">
            <v>2020.3299999999899</v>
          </cell>
          <cell r="I649">
            <v>28051.7599999999</v>
          </cell>
          <cell r="J649">
            <v>0</v>
          </cell>
          <cell r="K649">
            <v>30072.09</v>
          </cell>
          <cell r="L649">
            <v>318595.72999999899</v>
          </cell>
          <cell r="M649">
            <v>8154.9399999999896</v>
          </cell>
          <cell r="N649">
            <v>0</v>
          </cell>
          <cell r="O649">
            <v>318595.72999999899</v>
          </cell>
          <cell r="P649">
            <v>8154.9399999999896</v>
          </cell>
          <cell r="Q649">
            <v>1838.3</v>
          </cell>
          <cell r="R649">
            <v>320434.03000000003</v>
          </cell>
          <cell r="S649">
            <v>6316.64</v>
          </cell>
        </row>
        <row r="650">
          <cell r="A650" t="str">
            <v>1000/1700       Mocznik</v>
          </cell>
          <cell r="B650" t="str">
            <v>1000235    ROLNIK</v>
          </cell>
          <cell r="C650" t="str">
            <v>KB Sprzed. bezpośrednia</v>
          </cell>
          <cell r="D650">
            <v>39323.040000000001</v>
          </cell>
          <cell r="E650">
            <v>48</v>
          </cell>
          <cell r="F650">
            <v>33664.239999999903</v>
          </cell>
          <cell r="G650">
            <v>1636.5799999999899</v>
          </cell>
          <cell r="H650">
            <v>247.38</v>
          </cell>
          <cell r="I650">
            <v>0</v>
          </cell>
          <cell r="J650">
            <v>0</v>
          </cell>
          <cell r="K650">
            <v>247.38</v>
          </cell>
          <cell r="L650">
            <v>35548.199999999903</v>
          </cell>
          <cell r="M650">
            <v>3774.84</v>
          </cell>
          <cell r="N650">
            <v>0</v>
          </cell>
          <cell r="O650">
            <v>35548.199999999903</v>
          </cell>
          <cell r="P650">
            <v>3774.84</v>
          </cell>
          <cell r="Q650">
            <v>225.09</v>
          </cell>
          <cell r="R650">
            <v>35773.29</v>
          </cell>
          <cell r="S650">
            <v>3549.75</v>
          </cell>
        </row>
        <row r="651">
          <cell r="A651" t="str">
            <v>1000/1700       Mocznik</v>
          </cell>
          <cell r="B651" t="str">
            <v>1000248    DYMNY</v>
          </cell>
          <cell r="C651" t="str">
            <v>KB Sprzed. bezpośrednia</v>
          </cell>
          <cell r="D651">
            <v>159198.72</v>
          </cell>
          <cell r="E651">
            <v>192</v>
          </cell>
          <cell r="F651">
            <v>135109.39000000001</v>
          </cell>
          <cell r="G651">
            <v>6625.68</v>
          </cell>
          <cell r="H651">
            <v>989.54999999999905</v>
          </cell>
          <cell r="I651">
            <v>0</v>
          </cell>
          <cell r="J651">
            <v>0</v>
          </cell>
          <cell r="K651">
            <v>989.54999999999905</v>
          </cell>
          <cell r="L651">
            <v>142724.62</v>
          </cell>
          <cell r="M651">
            <v>16474.0999999999</v>
          </cell>
          <cell r="N651">
            <v>0</v>
          </cell>
          <cell r="O651">
            <v>142724.62</v>
          </cell>
          <cell r="P651">
            <v>16474.0999999999</v>
          </cell>
          <cell r="Q651">
            <v>903.41999999999905</v>
          </cell>
          <cell r="R651">
            <v>143628.04</v>
          </cell>
          <cell r="S651">
            <v>15570.68</v>
          </cell>
        </row>
        <row r="652">
          <cell r="A652" t="str">
            <v>1000/1700       Mocznik</v>
          </cell>
          <cell r="B652" t="str">
            <v>1000252    AGROSKŁAD</v>
          </cell>
          <cell r="C652" t="str">
            <v>KB Sprzed. bezpośrednia</v>
          </cell>
          <cell r="D652">
            <v>718120.54</v>
          </cell>
          <cell r="E652">
            <v>854</v>
          </cell>
          <cell r="F652">
            <v>594106.62</v>
          </cell>
          <cell r="G652">
            <v>29887.4399999999</v>
          </cell>
          <cell r="H652">
            <v>4401.43</v>
          </cell>
          <cell r="I652">
            <v>36825.769999999902</v>
          </cell>
          <cell r="J652">
            <v>0</v>
          </cell>
          <cell r="K652">
            <v>41227.199999999903</v>
          </cell>
          <cell r="L652">
            <v>665221.26</v>
          </cell>
          <cell r="M652">
            <v>52899.279999999897</v>
          </cell>
          <cell r="N652">
            <v>0</v>
          </cell>
          <cell r="O652">
            <v>665221.26</v>
          </cell>
          <cell r="P652">
            <v>52899.279999999897</v>
          </cell>
          <cell r="Q652">
            <v>3972.52</v>
          </cell>
          <cell r="R652">
            <v>669193.78</v>
          </cell>
          <cell r="S652">
            <v>48926.76</v>
          </cell>
        </row>
        <row r="653">
          <cell r="A653" t="str">
            <v>1000/1700       Mocznik</v>
          </cell>
          <cell r="B653" t="str">
            <v>1000256    TYMIŃSKA</v>
          </cell>
          <cell r="C653" t="str">
            <v>KB Sprzed. bezpośrednia</v>
          </cell>
          <cell r="D653">
            <v>81386.639999999898</v>
          </cell>
          <cell r="E653">
            <v>96</v>
          </cell>
          <cell r="F653">
            <v>67328.479999999894</v>
          </cell>
          <cell r="G653">
            <v>3387.2199999999898</v>
          </cell>
          <cell r="H653">
            <v>494.76999999999902</v>
          </cell>
          <cell r="I653">
            <v>5203.1999999999898</v>
          </cell>
          <cell r="J653">
            <v>0</v>
          </cell>
          <cell r="K653">
            <v>5697.97</v>
          </cell>
          <cell r="L653">
            <v>76413.669999999896</v>
          </cell>
          <cell r="M653">
            <v>4972.97</v>
          </cell>
          <cell r="N653">
            <v>0</v>
          </cell>
          <cell r="O653">
            <v>76413.669999999896</v>
          </cell>
          <cell r="P653">
            <v>4972.97</v>
          </cell>
          <cell r="Q653">
            <v>450.18</v>
          </cell>
          <cell r="R653">
            <v>76863.850000000006</v>
          </cell>
          <cell r="S653">
            <v>4522.79</v>
          </cell>
        </row>
        <row r="654">
          <cell r="A654" t="str">
            <v>1000/1700       Mocznik</v>
          </cell>
          <cell r="B654" t="str">
            <v>1000257    MAGROL</v>
          </cell>
          <cell r="C654" t="str">
            <v>KB Sprzed. bezpośrednia</v>
          </cell>
          <cell r="D654">
            <v>39461.519999999902</v>
          </cell>
          <cell r="E654">
            <v>48</v>
          </cell>
          <cell r="F654">
            <v>33664.239999999903</v>
          </cell>
          <cell r="G654">
            <v>1642.3199999999899</v>
          </cell>
          <cell r="H654">
            <v>247.38</v>
          </cell>
          <cell r="I654">
            <v>0</v>
          </cell>
          <cell r="J654">
            <v>0</v>
          </cell>
          <cell r="K654">
            <v>247.38</v>
          </cell>
          <cell r="L654">
            <v>35553.94</v>
          </cell>
          <cell r="M654">
            <v>3907.5799999999899</v>
          </cell>
          <cell r="N654">
            <v>0</v>
          </cell>
          <cell r="O654">
            <v>35553.94</v>
          </cell>
          <cell r="P654">
            <v>3907.5799999999899</v>
          </cell>
          <cell r="Q654">
            <v>225.09</v>
          </cell>
          <cell r="R654">
            <v>35779.029999999897</v>
          </cell>
          <cell r="S654">
            <v>3682.4899999999898</v>
          </cell>
        </row>
        <row r="655">
          <cell r="A655" t="str">
            <v>1000/1700       Mocznik</v>
          </cell>
          <cell r="B655" t="str">
            <v>1000263    PRO-AGRO</v>
          </cell>
          <cell r="C655" t="str">
            <v>KB Sprzed. bezpośrednia</v>
          </cell>
          <cell r="D655">
            <v>62280</v>
          </cell>
          <cell r="E655">
            <v>72</v>
          </cell>
          <cell r="F655">
            <v>50496.36</v>
          </cell>
          <cell r="G655">
            <v>2592.0500000000002</v>
          </cell>
          <cell r="H655">
            <v>371.07999999999902</v>
          </cell>
          <cell r="I655">
            <v>5591.64</v>
          </cell>
          <cell r="J655">
            <v>0</v>
          </cell>
          <cell r="K655">
            <v>5962.72</v>
          </cell>
          <cell r="L655">
            <v>59051.129999999903</v>
          </cell>
          <cell r="M655">
            <v>3228.8699999999899</v>
          </cell>
          <cell r="N655">
            <v>0</v>
          </cell>
          <cell r="O655">
            <v>59051.129999999903</v>
          </cell>
          <cell r="P655">
            <v>3228.8699999999899</v>
          </cell>
          <cell r="Q655">
            <v>337.64999999999901</v>
          </cell>
          <cell r="R655">
            <v>59388.779999999897</v>
          </cell>
          <cell r="S655">
            <v>2891.2199999999898</v>
          </cell>
        </row>
        <row r="656">
          <cell r="A656" t="str">
            <v>1000/1700       Mocznik</v>
          </cell>
          <cell r="B656" t="str">
            <v>1000273    FILIPOWSKA</v>
          </cell>
          <cell r="C656" t="str">
            <v>KB Sprzed. bezpośrednia</v>
          </cell>
          <cell r="D656">
            <v>39299.68</v>
          </cell>
          <cell r="E656">
            <v>48</v>
          </cell>
          <cell r="F656">
            <v>33664.239999999903</v>
          </cell>
          <cell r="G656">
            <v>1635.5599999999899</v>
          </cell>
          <cell r="H656">
            <v>247.38</v>
          </cell>
          <cell r="I656">
            <v>0</v>
          </cell>
          <cell r="J656">
            <v>0</v>
          </cell>
          <cell r="K656">
            <v>247.38</v>
          </cell>
          <cell r="L656">
            <v>35547.18</v>
          </cell>
          <cell r="M656">
            <v>3752.5</v>
          </cell>
          <cell r="N656">
            <v>0</v>
          </cell>
          <cell r="O656">
            <v>35547.18</v>
          </cell>
          <cell r="P656">
            <v>3752.5</v>
          </cell>
          <cell r="Q656">
            <v>225.09</v>
          </cell>
          <cell r="R656">
            <v>35772.269999999902</v>
          </cell>
          <cell r="S656">
            <v>3527.4099999999899</v>
          </cell>
        </row>
        <row r="657">
          <cell r="A657" t="str">
            <v>1000/1700       Mocznik</v>
          </cell>
          <cell r="B657" t="str">
            <v>1000276    JAN GACH FIRMA HANDL</v>
          </cell>
          <cell r="C657" t="str">
            <v>KB Sprzed. bezpośrednia</v>
          </cell>
          <cell r="D657">
            <v>122423.28</v>
          </cell>
          <cell r="E657">
            <v>144</v>
          </cell>
          <cell r="F657">
            <v>101897.58</v>
          </cell>
          <cell r="G657">
            <v>5095.13</v>
          </cell>
          <cell r="H657">
            <v>742.14999999999895</v>
          </cell>
          <cell r="I657">
            <v>5095.3199999999897</v>
          </cell>
          <cell r="J657">
            <v>0</v>
          </cell>
          <cell r="K657">
            <v>5837.47</v>
          </cell>
          <cell r="L657">
            <v>112830.179999999</v>
          </cell>
          <cell r="M657">
            <v>9593.1</v>
          </cell>
          <cell r="N657">
            <v>0</v>
          </cell>
          <cell r="O657">
            <v>112830.179999999</v>
          </cell>
          <cell r="P657">
            <v>9593.1</v>
          </cell>
          <cell r="Q657">
            <v>681.33</v>
          </cell>
          <cell r="R657">
            <v>113511.50999999901</v>
          </cell>
          <cell r="S657">
            <v>8911.77</v>
          </cell>
        </row>
        <row r="658">
          <cell r="A658" t="str">
            <v>1000/1700       Mocznik</v>
          </cell>
          <cell r="B658" t="str">
            <v>1000277    ATRANS</v>
          </cell>
          <cell r="C658" t="str">
            <v>KB Sprzed. bezpośrednia</v>
          </cell>
          <cell r="D658">
            <v>165018</v>
          </cell>
          <cell r="E658">
            <v>192</v>
          </cell>
          <cell r="F658">
            <v>134656.959999999</v>
          </cell>
          <cell r="G658">
            <v>6867.8999999999896</v>
          </cell>
          <cell r="H658">
            <v>989.54999999999905</v>
          </cell>
          <cell r="I658">
            <v>11082.719999999899</v>
          </cell>
          <cell r="J658">
            <v>0</v>
          </cell>
          <cell r="K658">
            <v>12072.27</v>
          </cell>
          <cell r="L658">
            <v>153597.13</v>
          </cell>
          <cell r="M658">
            <v>11420.87</v>
          </cell>
          <cell r="N658">
            <v>0</v>
          </cell>
          <cell r="O658">
            <v>153597.13</v>
          </cell>
          <cell r="P658">
            <v>11420.87</v>
          </cell>
          <cell r="Q658">
            <v>900.39999999999895</v>
          </cell>
          <cell r="R658">
            <v>154497.53</v>
          </cell>
          <cell r="S658">
            <v>10520.469999999899</v>
          </cell>
        </row>
        <row r="659">
          <cell r="A659" t="str">
            <v>1000/1700       Mocznik</v>
          </cell>
          <cell r="B659" t="str">
            <v>1000289    PLON A.Darzyński</v>
          </cell>
          <cell r="C659" t="str">
            <v>KB Sprzed. bezpośrednia</v>
          </cell>
          <cell r="D659">
            <v>286253.76</v>
          </cell>
          <cell r="E659">
            <v>336</v>
          </cell>
          <cell r="F659">
            <v>236554.54</v>
          </cell>
          <cell r="G659">
            <v>11913.6</v>
          </cell>
          <cell r="H659">
            <v>1731.7</v>
          </cell>
          <cell r="I659">
            <v>17286.240000000002</v>
          </cell>
          <cell r="J659">
            <v>0</v>
          </cell>
          <cell r="K659">
            <v>19017.9399999999</v>
          </cell>
          <cell r="L659">
            <v>267486.08000000002</v>
          </cell>
          <cell r="M659">
            <v>18767.68</v>
          </cell>
          <cell r="N659">
            <v>0</v>
          </cell>
          <cell r="O659">
            <v>267486.08000000002</v>
          </cell>
          <cell r="P659">
            <v>18767.68</v>
          </cell>
          <cell r="Q659">
            <v>1581.74</v>
          </cell>
          <cell r="R659">
            <v>269067.82</v>
          </cell>
          <cell r="S659">
            <v>17185.9399999999</v>
          </cell>
        </row>
        <row r="660">
          <cell r="A660" t="str">
            <v>1000/1700       Mocznik</v>
          </cell>
          <cell r="B660" t="str">
            <v>1000291    "AGRO-BIZNES" SP.J.</v>
          </cell>
          <cell r="C660" t="str">
            <v>KB Sprzed. bezpośrednia</v>
          </cell>
          <cell r="D660">
            <v>39799.68</v>
          </cell>
          <cell r="E660">
            <v>48</v>
          </cell>
          <cell r="F660">
            <v>34116.669999999896</v>
          </cell>
          <cell r="G660">
            <v>1656.45</v>
          </cell>
          <cell r="H660">
            <v>247.38</v>
          </cell>
          <cell r="I660">
            <v>0</v>
          </cell>
          <cell r="J660">
            <v>0</v>
          </cell>
          <cell r="K660">
            <v>247.38</v>
          </cell>
          <cell r="L660">
            <v>36020.5</v>
          </cell>
          <cell r="M660">
            <v>3779.1799999999898</v>
          </cell>
          <cell r="N660">
            <v>0</v>
          </cell>
          <cell r="O660">
            <v>36020.5</v>
          </cell>
          <cell r="P660">
            <v>3779.1799999999898</v>
          </cell>
          <cell r="Q660">
            <v>228.15</v>
          </cell>
          <cell r="R660">
            <v>36248.65</v>
          </cell>
          <cell r="S660">
            <v>3551.03</v>
          </cell>
        </row>
        <row r="661">
          <cell r="A661" t="str">
            <v>1000/1700       Mocznik</v>
          </cell>
          <cell r="B661" t="str">
            <v>1000293    PHM CHEMAT  M.Richte</v>
          </cell>
          <cell r="C661" t="str">
            <v>KB Sprzed. bezpośrednia</v>
          </cell>
          <cell r="D661">
            <v>58626.959999999897</v>
          </cell>
          <cell r="E661">
            <v>72</v>
          </cell>
          <cell r="F661">
            <v>50496.36</v>
          </cell>
          <cell r="G661">
            <v>2440</v>
          </cell>
          <cell r="H661">
            <v>371.07999999999902</v>
          </cell>
          <cell r="I661">
            <v>0</v>
          </cell>
          <cell r="J661">
            <v>0</v>
          </cell>
          <cell r="K661">
            <v>371.07999999999902</v>
          </cell>
          <cell r="L661">
            <v>53307.44</v>
          </cell>
          <cell r="M661">
            <v>5319.52</v>
          </cell>
          <cell r="N661">
            <v>0</v>
          </cell>
          <cell r="O661">
            <v>53307.44</v>
          </cell>
          <cell r="P661">
            <v>5319.52</v>
          </cell>
          <cell r="Q661">
            <v>337.64999999999901</v>
          </cell>
          <cell r="R661">
            <v>53645.089999999902</v>
          </cell>
          <cell r="S661">
            <v>4981.8699999999899</v>
          </cell>
        </row>
        <row r="662">
          <cell r="A662" t="str">
            <v>1000/1700       Mocznik</v>
          </cell>
          <cell r="B662" t="str">
            <v>1000322    ZZUIP-KOPL</v>
          </cell>
          <cell r="C662" t="str">
            <v>KB Sprzed. bezpośrednia</v>
          </cell>
          <cell r="D662">
            <v>20520</v>
          </cell>
          <cell r="E662">
            <v>24</v>
          </cell>
          <cell r="F662">
            <v>16832.119999999901</v>
          </cell>
          <cell r="G662">
            <v>853.97</v>
          </cell>
          <cell r="H662">
            <v>123.69</v>
          </cell>
          <cell r="I662">
            <v>1710.72</v>
          </cell>
          <cell r="J662">
            <v>0</v>
          </cell>
          <cell r="K662">
            <v>1834.41</v>
          </cell>
          <cell r="L662">
            <v>19520.5</v>
          </cell>
          <cell r="M662">
            <v>999.5</v>
          </cell>
          <cell r="N662">
            <v>0</v>
          </cell>
          <cell r="O662">
            <v>19520.5</v>
          </cell>
          <cell r="P662">
            <v>999.5</v>
          </cell>
          <cell r="Q662">
            <v>112.56</v>
          </cell>
          <cell r="R662">
            <v>19633.060000000001</v>
          </cell>
          <cell r="S662">
            <v>886.94</v>
          </cell>
        </row>
        <row r="663">
          <cell r="A663" t="str">
            <v>1000/1700       Mocznik</v>
          </cell>
          <cell r="B663" t="str">
            <v>1000403    SOBIANEK</v>
          </cell>
          <cell r="C663" t="str">
            <v>KB Sprzed. bezpośrednia</v>
          </cell>
          <cell r="D663">
            <v>1124253.51</v>
          </cell>
          <cell r="E663">
            <v>1331</v>
          </cell>
          <cell r="F663">
            <v>934838.63</v>
          </cell>
          <cell r="G663">
            <v>46790.3</v>
          </cell>
          <cell r="H663">
            <v>6859.84</v>
          </cell>
          <cell r="I663">
            <v>94949.85</v>
          </cell>
          <cell r="J663">
            <v>0</v>
          </cell>
          <cell r="K663">
            <v>101809.69</v>
          </cell>
          <cell r="L663">
            <v>1083438.6200000001</v>
          </cell>
          <cell r="M663">
            <v>40814.889999999898</v>
          </cell>
          <cell r="N663">
            <v>0</v>
          </cell>
          <cell r="O663">
            <v>1083438.6200000001</v>
          </cell>
          <cell r="P663">
            <v>40814.889999999898</v>
          </cell>
          <cell r="Q663">
            <v>6250.8699999999899</v>
          </cell>
          <cell r="R663">
            <v>1089689.49</v>
          </cell>
          <cell r="S663">
            <v>34564.019999999902</v>
          </cell>
        </row>
        <row r="664">
          <cell r="A664" t="str">
            <v>1000/1700       Mocznik</v>
          </cell>
          <cell r="B664" t="str">
            <v>1000506    AUREPIO SP. Z O.O.</v>
          </cell>
          <cell r="C664" t="str">
            <v>KB Sprzed. bezpośrednia</v>
          </cell>
          <cell r="D664">
            <v>30028.4399999999</v>
          </cell>
          <cell r="E664">
            <v>36</v>
          </cell>
          <cell r="F664">
            <v>25248.18</v>
          </cell>
          <cell r="G664">
            <v>1249.76</v>
          </cell>
          <cell r="H664">
            <v>185.539999999999</v>
          </cell>
          <cell r="I664">
            <v>650.39999999999895</v>
          </cell>
          <cell r="J664">
            <v>0</v>
          </cell>
          <cell r="K664">
            <v>835.94</v>
          </cell>
          <cell r="L664">
            <v>27333.88</v>
          </cell>
          <cell r="M664">
            <v>2694.5599999999899</v>
          </cell>
          <cell r="N664">
            <v>0</v>
          </cell>
          <cell r="O664">
            <v>27333.88</v>
          </cell>
          <cell r="P664">
            <v>2694.5599999999899</v>
          </cell>
          <cell r="Q664">
            <v>168.819999999999</v>
          </cell>
          <cell r="R664">
            <v>27502.7</v>
          </cell>
          <cell r="S664">
            <v>2525.7399999999898</v>
          </cell>
        </row>
        <row r="665">
          <cell r="A665" t="str">
            <v>1000/1700       Mocznik</v>
          </cell>
          <cell r="B665" t="str">
            <v>1000524    "CHEMIROL" SP. Z O.O</v>
          </cell>
          <cell r="C665" t="str">
            <v>KB Sprzed. bezpośrednia</v>
          </cell>
          <cell r="D665">
            <v>161939.04</v>
          </cell>
          <cell r="E665">
            <v>192</v>
          </cell>
          <cell r="F665">
            <v>135561.82</v>
          </cell>
          <cell r="G665">
            <v>6739.6999999999898</v>
          </cell>
          <cell r="H665">
            <v>989.53999999999905</v>
          </cell>
          <cell r="I665">
            <v>5101.68</v>
          </cell>
          <cell r="J665">
            <v>0</v>
          </cell>
          <cell r="K665">
            <v>6091.22</v>
          </cell>
          <cell r="L665">
            <v>148392.739999999</v>
          </cell>
          <cell r="M665">
            <v>13546.299999999899</v>
          </cell>
          <cell r="N665">
            <v>0</v>
          </cell>
          <cell r="O665">
            <v>148392.739999999</v>
          </cell>
          <cell r="P665">
            <v>13546.299999999899</v>
          </cell>
          <cell r="Q665">
            <v>906.44</v>
          </cell>
          <cell r="R665">
            <v>149299.179999999</v>
          </cell>
          <cell r="S665">
            <v>12639.86</v>
          </cell>
        </row>
        <row r="666">
          <cell r="A666" t="str">
            <v>1000/1700       Mocznik</v>
          </cell>
          <cell r="B666" t="str">
            <v>1000525    MAX-PLON</v>
          </cell>
          <cell r="C666" t="str">
            <v>KB Sprzed. bezpośrednia</v>
          </cell>
          <cell r="D666">
            <v>41400</v>
          </cell>
          <cell r="E666">
            <v>48</v>
          </cell>
          <cell r="F666">
            <v>33664.239999999903</v>
          </cell>
          <cell r="G666">
            <v>1723.05</v>
          </cell>
          <cell r="H666">
            <v>247.38</v>
          </cell>
          <cell r="I666">
            <v>4152.4799999999896</v>
          </cell>
          <cell r="J666">
            <v>0</v>
          </cell>
          <cell r="K666">
            <v>4399.8599999999897</v>
          </cell>
          <cell r="L666">
            <v>39787.15</v>
          </cell>
          <cell r="M666">
            <v>1612.8499999999899</v>
          </cell>
          <cell r="N666">
            <v>0</v>
          </cell>
          <cell r="O666">
            <v>39787.15</v>
          </cell>
          <cell r="P666">
            <v>1612.8499999999899</v>
          </cell>
          <cell r="Q666">
            <v>225.09</v>
          </cell>
          <cell r="R666">
            <v>40012.239999999903</v>
          </cell>
          <cell r="S666">
            <v>1387.76</v>
          </cell>
        </row>
        <row r="667">
          <cell r="A667" t="str">
            <v>1000/1700       Mocznik</v>
          </cell>
          <cell r="B667" t="str">
            <v>1000592    NOŻYŃSKI</v>
          </cell>
          <cell r="C667" t="str">
            <v>KB Sprzed. bezpośrednia</v>
          </cell>
          <cell r="D667">
            <v>20880</v>
          </cell>
          <cell r="E667">
            <v>24</v>
          </cell>
          <cell r="F667">
            <v>17284.549999999901</v>
          </cell>
          <cell r="G667">
            <v>869</v>
          </cell>
          <cell r="H667">
            <v>123.69</v>
          </cell>
          <cell r="I667">
            <v>1892.16</v>
          </cell>
          <cell r="J667">
            <v>0</v>
          </cell>
          <cell r="K667">
            <v>2015.8499999999899</v>
          </cell>
          <cell r="L667">
            <v>20169.400000000001</v>
          </cell>
          <cell r="M667">
            <v>710.6</v>
          </cell>
          <cell r="N667">
            <v>0</v>
          </cell>
          <cell r="O667">
            <v>20169.400000000001</v>
          </cell>
          <cell r="P667">
            <v>710.6</v>
          </cell>
          <cell r="Q667">
            <v>115.59</v>
          </cell>
          <cell r="R667">
            <v>20284.990000000002</v>
          </cell>
          <cell r="S667">
            <v>595.00999999999897</v>
          </cell>
        </row>
        <row r="668">
          <cell r="A668" t="str">
            <v>1000/1700       Mocznik</v>
          </cell>
          <cell r="B668" t="str">
            <v>1000607    POGES</v>
          </cell>
          <cell r="C668" t="str">
            <v>KB Sprzed. bezpośrednia</v>
          </cell>
          <cell r="D668">
            <v>20138.16</v>
          </cell>
          <cell r="E668">
            <v>24</v>
          </cell>
          <cell r="F668">
            <v>16832.119999999901</v>
          </cell>
          <cell r="G668">
            <v>838.13</v>
          </cell>
          <cell r="H668">
            <v>123.69</v>
          </cell>
          <cell r="I668">
            <v>0</v>
          </cell>
          <cell r="J668">
            <v>0</v>
          </cell>
          <cell r="K668">
            <v>123.69</v>
          </cell>
          <cell r="L668">
            <v>17793.9399999999</v>
          </cell>
          <cell r="M668">
            <v>2344.2199999999898</v>
          </cell>
          <cell r="N668">
            <v>0</v>
          </cell>
          <cell r="O668">
            <v>17793.9399999999</v>
          </cell>
          <cell r="P668">
            <v>2344.2199999999898</v>
          </cell>
          <cell r="Q668">
            <v>112.56</v>
          </cell>
          <cell r="R668">
            <v>17906.5</v>
          </cell>
          <cell r="S668">
            <v>2231.6599999999899</v>
          </cell>
        </row>
        <row r="669">
          <cell r="A669" t="str">
            <v>1000/1700       Mocznik</v>
          </cell>
          <cell r="B669" t="str">
            <v>1000662    SZYMAŃSCY</v>
          </cell>
          <cell r="C669" t="str">
            <v>KB Sprzed. bezpośrednia</v>
          </cell>
          <cell r="D669">
            <v>455115.679999999</v>
          </cell>
          <cell r="E669">
            <v>538</v>
          </cell>
          <cell r="F669">
            <v>378667.89</v>
          </cell>
          <cell r="G669">
            <v>18941.4399999999</v>
          </cell>
          <cell r="H669">
            <v>2772.8</v>
          </cell>
          <cell r="I669">
            <v>24122.52</v>
          </cell>
          <cell r="J669">
            <v>0</v>
          </cell>
          <cell r="K669">
            <v>26895.32</v>
          </cell>
          <cell r="L669">
            <v>424504.65</v>
          </cell>
          <cell r="M669">
            <v>30611.029999999901</v>
          </cell>
          <cell r="N669">
            <v>0</v>
          </cell>
          <cell r="O669">
            <v>424504.65</v>
          </cell>
          <cell r="P669">
            <v>30611.029999999901</v>
          </cell>
          <cell r="Q669">
            <v>2531.9899999999898</v>
          </cell>
          <cell r="R669">
            <v>427036.64</v>
          </cell>
          <cell r="S669">
            <v>28079.040000000001</v>
          </cell>
        </row>
        <row r="670">
          <cell r="A670" t="str">
            <v>1000/1700       Mocznik</v>
          </cell>
          <cell r="B670" t="str">
            <v>1000675    Zaopatrz.Roln. Andrz</v>
          </cell>
          <cell r="C670" t="str">
            <v>KB Sprzed. bezpośrednia</v>
          </cell>
          <cell r="D670">
            <v>224259.84</v>
          </cell>
          <cell r="E670">
            <v>264</v>
          </cell>
          <cell r="F670">
            <v>186058.179999999</v>
          </cell>
          <cell r="G670">
            <v>9333.5</v>
          </cell>
          <cell r="H670">
            <v>1360.6199999999899</v>
          </cell>
          <cell r="I670">
            <v>9634.3199999999906</v>
          </cell>
          <cell r="J670">
            <v>0</v>
          </cell>
          <cell r="K670">
            <v>10994.94</v>
          </cell>
          <cell r="L670">
            <v>206386.62</v>
          </cell>
          <cell r="M670">
            <v>17873.22</v>
          </cell>
          <cell r="N670">
            <v>0</v>
          </cell>
          <cell r="O670">
            <v>206386.62</v>
          </cell>
          <cell r="P670">
            <v>17873.22</v>
          </cell>
          <cell r="Q670">
            <v>1244.0899999999899</v>
          </cell>
          <cell r="R670">
            <v>207630.709999999</v>
          </cell>
          <cell r="S670">
            <v>16629.13</v>
          </cell>
        </row>
        <row r="671">
          <cell r="A671" t="str">
            <v>1000/1700       Mocznik</v>
          </cell>
          <cell r="B671" t="str">
            <v>1000680    Giełda Rolna ZOLA Sp</v>
          </cell>
          <cell r="C671" t="str">
            <v>KB Sprzed. bezpośrednia</v>
          </cell>
          <cell r="D671">
            <v>21101.25</v>
          </cell>
          <cell r="E671">
            <v>25</v>
          </cell>
          <cell r="F671">
            <v>17533.459999999901</v>
          </cell>
          <cell r="G671">
            <v>878.17999999999904</v>
          </cell>
          <cell r="H671">
            <v>128.849999999999</v>
          </cell>
          <cell r="I671">
            <v>1345.53</v>
          </cell>
          <cell r="J671">
            <v>0</v>
          </cell>
          <cell r="K671">
            <v>1474.38</v>
          </cell>
          <cell r="L671">
            <v>19886.02</v>
          </cell>
          <cell r="M671">
            <v>1215.23</v>
          </cell>
          <cell r="N671">
            <v>0</v>
          </cell>
          <cell r="O671">
            <v>19886.02</v>
          </cell>
          <cell r="P671">
            <v>1215.23</v>
          </cell>
          <cell r="Q671">
            <v>117.239999999999</v>
          </cell>
          <cell r="R671">
            <v>20003.2599999999</v>
          </cell>
          <cell r="S671">
            <v>1097.99</v>
          </cell>
        </row>
        <row r="672">
          <cell r="A672" t="str">
            <v>1000/1700       Mocznik</v>
          </cell>
          <cell r="B672" t="str">
            <v>1000725    SGS-LUBLIN</v>
          </cell>
          <cell r="C672" t="str">
            <v>KB Sprzed. bezpośrednia</v>
          </cell>
          <cell r="D672">
            <v>41400</v>
          </cell>
          <cell r="E672">
            <v>48</v>
          </cell>
          <cell r="F672">
            <v>33664.239999999903</v>
          </cell>
          <cell r="G672">
            <v>1723.05</v>
          </cell>
          <cell r="H672">
            <v>247.38</v>
          </cell>
          <cell r="I672">
            <v>3681.1199999999899</v>
          </cell>
          <cell r="J672">
            <v>0</v>
          </cell>
          <cell r="K672">
            <v>3928.5</v>
          </cell>
          <cell r="L672">
            <v>39315.79</v>
          </cell>
          <cell r="M672">
            <v>2084.21</v>
          </cell>
          <cell r="N672">
            <v>0</v>
          </cell>
          <cell r="O672">
            <v>39315.79</v>
          </cell>
          <cell r="P672">
            <v>2084.21</v>
          </cell>
          <cell r="Q672">
            <v>225.09</v>
          </cell>
          <cell r="R672">
            <v>39540.879999999903</v>
          </cell>
          <cell r="S672">
            <v>1859.1199999999899</v>
          </cell>
        </row>
        <row r="673">
          <cell r="A673" t="str">
            <v>1000/1700       Mocznik</v>
          </cell>
          <cell r="B673" t="str">
            <v>1000808    TERRA Sp. z o.o.</v>
          </cell>
          <cell r="C673" t="str">
            <v>KB Sprzed. bezpośrednia</v>
          </cell>
          <cell r="D673">
            <v>40276.32</v>
          </cell>
          <cell r="E673">
            <v>48</v>
          </cell>
          <cell r="F673">
            <v>33664.239999999903</v>
          </cell>
          <cell r="G673">
            <v>1676.22</v>
          </cell>
          <cell r="H673">
            <v>247.38</v>
          </cell>
          <cell r="I673">
            <v>0</v>
          </cell>
          <cell r="J673">
            <v>0</v>
          </cell>
          <cell r="K673">
            <v>247.38</v>
          </cell>
          <cell r="L673">
            <v>35587.839999999902</v>
          </cell>
          <cell r="M673">
            <v>4688.4799999999896</v>
          </cell>
          <cell r="N673">
            <v>0</v>
          </cell>
          <cell r="O673">
            <v>35587.839999999902</v>
          </cell>
          <cell r="P673">
            <v>4688.4799999999896</v>
          </cell>
          <cell r="Q673">
            <v>225.09</v>
          </cell>
          <cell r="R673">
            <v>35812.93</v>
          </cell>
          <cell r="S673">
            <v>4463.3900000000003</v>
          </cell>
        </row>
        <row r="674">
          <cell r="A674" t="str">
            <v>1000/1700       Mocznik</v>
          </cell>
          <cell r="B674" t="str">
            <v>1000858    BEISELEN - ATR Sp. z</v>
          </cell>
          <cell r="C674" t="str">
            <v>KB Sprzed. bezpośrednia</v>
          </cell>
          <cell r="D674">
            <v>40276.32</v>
          </cell>
          <cell r="E674">
            <v>48</v>
          </cell>
          <cell r="F674">
            <v>34116.669999999896</v>
          </cell>
          <cell r="G674">
            <v>1676.26</v>
          </cell>
          <cell r="H674">
            <v>247.38</v>
          </cell>
          <cell r="I674">
            <v>0</v>
          </cell>
          <cell r="J674">
            <v>0</v>
          </cell>
          <cell r="K674">
            <v>247.38</v>
          </cell>
          <cell r="L674">
            <v>36040.309999999903</v>
          </cell>
          <cell r="M674">
            <v>4236.01</v>
          </cell>
          <cell r="N674">
            <v>0</v>
          </cell>
          <cell r="O674">
            <v>36040.309999999903</v>
          </cell>
          <cell r="P674">
            <v>4236.01</v>
          </cell>
          <cell r="Q674">
            <v>228.15</v>
          </cell>
          <cell r="R674">
            <v>36268.459999999897</v>
          </cell>
          <cell r="S674">
            <v>4007.86</v>
          </cell>
        </row>
        <row r="675">
          <cell r="A675" t="str">
            <v>1000/1700       Mocznik</v>
          </cell>
          <cell r="B675" t="str">
            <v>1000982    TORAL Elżbieta Krupa</v>
          </cell>
          <cell r="C675" t="str">
            <v>KB Sprzed. bezpośrednia</v>
          </cell>
          <cell r="D675">
            <v>85050</v>
          </cell>
          <cell r="E675">
            <v>99</v>
          </cell>
          <cell r="F675">
            <v>69432.5</v>
          </cell>
          <cell r="G675">
            <v>3539.6799999999898</v>
          </cell>
          <cell r="H675">
            <v>510.24</v>
          </cell>
          <cell r="I675">
            <v>3317.57</v>
          </cell>
          <cell r="J675">
            <v>0</v>
          </cell>
          <cell r="K675">
            <v>3827.8099999999899</v>
          </cell>
          <cell r="L675">
            <v>76799.990000000005</v>
          </cell>
          <cell r="M675">
            <v>8250.01</v>
          </cell>
          <cell r="N675">
            <v>0</v>
          </cell>
          <cell r="O675">
            <v>76799.990000000005</v>
          </cell>
          <cell r="P675">
            <v>8250.01</v>
          </cell>
          <cell r="Q675">
            <v>464.26999999999902</v>
          </cell>
          <cell r="R675">
            <v>77264.259999999893</v>
          </cell>
          <cell r="S675">
            <v>7785.7399999999898</v>
          </cell>
        </row>
        <row r="676">
          <cell r="A676" t="str">
            <v>1000/1700       Mocznik</v>
          </cell>
          <cell r="B676" t="str">
            <v>1001007    "KRONOPOL" SP. Z O.O</v>
          </cell>
          <cell r="C676" t="str">
            <v>KB Sprzed. bezpośrednia</v>
          </cell>
          <cell r="D676">
            <v>3356721</v>
          </cell>
          <cell r="E676">
            <v>3925.7399999999898</v>
          </cell>
          <cell r="F676">
            <v>2696839.5</v>
          </cell>
          <cell r="G676">
            <v>139703.399999999</v>
          </cell>
          <cell r="H676">
            <v>20232.869999999901</v>
          </cell>
          <cell r="I676">
            <v>0</v>
          </cell>
          <cell r="J676">
            <v>0</v>
          </cell>
          <cell r="K676">
            <v>20232.869999999901</v>
          </cell>
          <cell r="L676">
            <v>2856775.77</v>
          </cell>
          <cell r="M676">
            <v>499945.22999999899</v>
          </cell>
          <cell r="N676">
            <v>0</v>
          </cell>
          <cell r="O676">
            <v>2856775.77</v>
          </cell>
          <cell r="P676">
            <v>499945.22999999899</v>
          </cell>
          <cell r="Q676">
            <v>18032.619999999901</v>
          </cell>
          <cell r="R676">
            <v>2874808.39</v>
          </cell>
          <cell r="S676">
            <v>481912.609999999</v>
          </cell>
        </row>
        <row r="677">
          <cell r="A677" t="str">
            <v>1000/1700       Mocznik</v>
          </cell>
          <cell r="B677" t="str">
            <v>1001024    TALAGA</v>
          </cell>
          <cell r="C677" t="str">
            <v>KB Sprzed. bezpośrednia</v>
          </cell>
          <cell r="D677">
            <v>38093.97</v>
          </cell>
          <cell r="E677">
            <v>46.5</v>
          </cell>
          <cell r="F677">
            <v>32612.23</v>
          </cell>
          <cell r="G677">
            <v>1585.4</v>
          </cell>
          <cell r="H677">
            <v>239.66</v>
          </cell>
          <cell r="I677">
            <v>0</v>
          </cell>
          <cell r="J677">
            <v>0</v>
          </cell>
          <cell r="K677">
            <v>239.66</v>
          </cell>
          <cell r="L677">
            <v>34437.29</v>
          </cell>
          <cell r="M677">
            <v>3656.6799999999898</v>
          </cell>
          <cell r="N677">
            <v>0</v>
          </cell>
          <cell r="O677">
            <v>34437.29</v>
          </cell>
          <cell r="P677">
            <v>3656.6799999999898</v>
          </cell>
          <cell r="Q677">
            <v>218.05</v>
          </cell>
          <cell r="R677">
            <v>34655.339999999902</v>
          </cell>
          <cell r="S677">
            <v>3438.63</v>
          </cell>
        </row>
        <row r="678">
          <cell r="A678" t="str">
            <v>1000/1700       Mocznik</v>
          </cell>
          <cell r="B678" t="str">
            <v>1001206    KRONO-CHEM Sp. z o.o</v>
          </cell>
          <cell r="C678" t="str">
            <v>KB Sprzed. bezpośrednia</v>
          </cell>
          <cell r="D678">
            <v>5064691.5</v>
          </cell>
          <cell r="E678">
            <v>6139.02</v>
          </cell>
          <cell r="F678">
            <v>4175134.93</v>
          </cell>
          <cell r="G678">
            <v>210787.38</v>
          </cell>
          <cell r="H678">
            <v>31639.889999999901</v>
          </cell>
          <cell r="I678">
            <v>0</v>
          </cell>
          <cell r="J678">
            <v>0</v>
          </cell>
          <cell r="K678">
            <v>31639.889999999901</v>
          </cell>
          <cell r="L678">
            <v>4417562.2</v>
          </cell>
          <cell r="M678">
            <v>647129.30000000005</v>
          </cell>
          <cell r="N678">
            <v>0</v>
          </cell>
          <cell r="O678">
            <v>4417562.2</v>
          </cell>
          <cell r="P678">
            <v>647129.30000000005</v>
          </cell>
          <cell r="Q678">
            <v>27917.299999999901</v>
          </cell>
          <cell r="R678">
            <v>4445479.5</v>
          </cell>
          <cell r="S678">
            <v>619212</v>
          </cell>
        </row>
        <row r="679">
          <cell r="A679" t="str">
            <v>1000/1700       Mocznik</v>
          </cell>
          <cell r="B679" t="str">
            <v>1001253    ROL-MECH SP. Z O.O.</v>
          </cell>
          <cell r="C679" t="str">
            <v>KB Sprzed. bezpośrednia</v>
          </cell>
          <cell r="D679">
            <v>21360</v>
          </cell>
          <cell r="E679">
            <v>24</v>
          </cell>
          <cell r="F679">
            <v>16832.119999999901</v>
          </cell>
          <cell r="G679">
            <v>889.00999999999897</v>
          </cell>
          <cell r="H679">
            <v>123.69</v>
          </cell>
          <cell r="I679">
            <v>2076.2399999999898</v>
          </cell>
          <cell r="J679">
            <v>0</v>
          </cell>
          <cell r="K679">
            <v>2199.9299999999898</v>
          </cell>
          <cell r="L679">
            <v>19921.060000000001</v>
          </cell>
          <cell r="M679">
            <v>1438.94</v>
          </cell>
          <cell r="N679">
            <v>0</v>
          </cell>
          <cell r="O679">
            <v>19921.060000000001</v>
          </cell>
          <cell r="P679">
            <v>1438.94</v>
          </cell>
          <cell r="Q679">
            <v>112.56</v>
          </cell>
          <cell r="R679">
            <v>20033.619999999901</v>
          </cell>
          <cell r="S679">
            <v>1326.38</v>
          </cell>
        </row>
        <row r="680">
          <cell r="A680" t="str">
            <v>1000/1700       Mocznik</v>
          </cell>
          <cell r="B680" t="str">
            <v>1001481    Hurt.Śr.Ochr.Roślin-</v>
          </cell>
          <cell r="C680" t="str">
            <v>KB Sprzed. bezpośrednia</v>
          </cell>
          <cell r="D680">
            <v>41880</v>
          </cell>
          <cell r="E680">
            <v>48</v>
          </cell>
          <cell r="F680">
            <v>33664.239999999903</v>
          </cell>
          <cell r="G680">
            <v>1742.97</v>
          </cell>
          <cell r="H680">
            <v>247.38</v>
          </cell>
          <cell r="I680">
            <v>3594.96</v>
          </cell>
          <cell r="J680">
            <v>0</v>
          </cell>
          <cell r="K680">
            <v>3842.34</v>
          </cell>
          <cell r="L680">
            <v>39249.550000000003</v>
          </cell>
          <cell r="M680">
            <v>2630.4499999999898</v>
          </cell>
          <cell r="N680">
            <v>0</v>
          </cell>
          <cell r="O680">
            <v>39249.550000000003</v>
          </cell>
          <cell r="P680">
            <v>2630.4499999999898</v>
          </cell>
          <cell r="Q680">
            <v>225.09</v>
          </cell>
          <cell r="R680">
            <v>39474.639999999898</v>
          </cell>
          <cell r="S680">
            <v>2405.36</v>
          </cell>
        </row>
        <row r="681">
          <cell r="A681" t="str">
            <v>1000/1700       Mocznik</v>
          </cell>
          <cell r="B681" t="str">
            <v>1001522    AGRO-BIT</v>
          </cell>
          <cell r="C681" t="str">
            <v>KB Sprzed. bezpośrednia</v>
          </cell>
          <cell r="D681">
            <v>103680</v>
          </cell>
          <cell r="E681">
            <v>120</v>
          </cell>
          <cell r="F681">
            <v>84613.029999999897</v>
          </cell>
          <cell r="G681">
            <v>4315.0699999999897</v>
          </cell>
          <cell r="H681">
            <v>618.46</v>
          </cell>
          <cell r="I681">
            <v>9066.95999999999</v>
          </cell>
          <cell r="J681">
            <v>0</v>
          </cell>
          <cell r="K681">
            <v>9685.42</v>
          </cell>
          <cell r="L681">
            <v>98613.52</v>
          </cell>
          <cell r="M681">
            <v>5066.4799999999896</v>
          </cell>
          <cell r="N681">
            <v>0</v>
          </cell>
          <cell r="O681">
            <v>98613.52</v>
          </cell>
          <cell r="P681">
            <v>5066.4799999999896</v>
          </cell>
          <cell r="Q681">
            <v>565.76999999999896</v>
          </cell>
          <cell r="R681">
            <v>99179.289999999906</v>
          </cell>
          <cell r="S681">
            <v>4500.71</v>
          </cell>
        </row>
        <row r="682">
          <cell r="A682" t="str">
            <v>1000/1700       Mocznik</v>
          </cell>
          <cell r="B682" t="str">
            <v>1001662    AMPOL-MEROL Sp. z o.</v>
          </cell>
          <cell r="C682" t="str">
            <v>KB Sprzed. bezpośrednia</v>
          </cell>
          <cell r="D682">
            <v>768876.71999999904</v>
          </cell>
          <cell r="E682">
            <v>912</v>
          </cell>
          <cell r="F682">
            <v>641882.70999999903</v>
          </cell>
          <cell r="G682">
            <v>31999.95</v>
          </cell>
          <cell r="H682">
            <v>4700.34</v>
          </cell>
          <cell r="I682">
            <v>34829.040000000001</v>
          </cell>
          <cell r="J682">
            <v>0</v>
          </cell>
          <cell r="K682">
            <v>39529.379999999903</v>
          </cell>
          <cell r="L682">
            <v>713412.04</v>
          </cell>
          <cell r="M682">
            <v>55464.68</v>
          </cell>
          <cell r="N682">
            <v>0</v>
          </cell>
          <cell r="O682">
            <v>713412.04</v>
          </cell>
          <cell r="P682">
            <v>55464.68</v>
          </cell>
          <cell r="Q682">
            <v>4291.9899999999898</v>
          </cell>
          <cell r="R682">
            <v>717704.03</v>
          </cell>
          <cell r="S682">
            <v>51172.69</v>
          </cell>
        </row>
        <row r="683">
          <cell r="A683" t="str">
            <v>1000/1700       Mocznik</v>
          </cell>
          <cell r="B683" t="str">
            <v>1001701    INTRAT-BRZ</v>
          </cell>
          <cell r="C683" t="str">
            <v>KB Sprzed. bezpośrednia</v>
          </cell>
          <cell r="D683">
            <v>39323.040000000001</v>
          </cell>
          <cell r="E683">
            <v>48</v>
          </cell>
          <cell r="F683">
            <v>33664.239999999903</v>
          </cell>
          <cell r="G683">
            <v>1636.5799999999899</v>
          </cell>
          <cell r="H683">
            <v>247.38</v>
          </cell>
          <cell r="I683">
            <v>0</v>
          </cell>
          <cell r="J683">
            <v>0</v>
          </cell>
          <cell r="K683">
            <v>247.38</v>
          </cell>
          <cell r="L683">
            <v>35548.199999999903</v>
          </cell>
          <cell r="M683">
            <v>3774.84</v>
          </cell>
          <cell r="N683">
            <v>0</v>
          </cell>
          <cell r="O683">
            <v>35548.199999999903</v>
          </cell>
          <cell r="P683">
            <v>3774.84</v>
          </cell>
          <cell r="Q683">
            <v>225.09</v>
          </cell>
          <cell r="R683">
            <v>35773.29</v>
          </cell>
          <cell r="S683">
            <v>3549.75</v>
          </cell>
        </row>
        <row r="684">
          <cell r="A684" t="str">
            <v>1000/1700       Mocznik</v>
          </cell>
          <cell r="B684" t="str">
            <v>1001983    FAZOT</v>
          </cell>
          <cell r="C684" t="str">
            <v>KB Sprzed. bezpośrednia</v>
          </cell>
          <cell r="D684">
            <v>168969.299999999</v>
          </cell>
          <cell r="E684">
            <v>200</v>
          </cell>
          <cell r="F684">
            <v>140267.67000000001</v>
          </cell>
          <cell r="G684">
            <v>7032.3299999999899</v>
          </cell>
          <cell r="H684">
            <v>1030.78</v>
          </cell>
          <cell r="I684">
            <v>6254.76</v>
          </cell>
          <cell r="J684">
            <v>0</v>
          </cell>
          <cell r="K684">
            <v>7285.54</v>
          </cell>
          <cell r="L684">
            <v>154585.54</v>
          </cell>
          <cell r="M684">
            <v>14383.76</v>
          </cell>
          <cell r="N684">
            <v>0</v>
          </cell>
          <cell r="O684">
            <v>154585.54</v>
          </cell>
          <cell r="P684">
            <v>14383.76</v>
          </cell>
          <cell r="Q684">
            <v>937.90999999999894</v>
          </cell>
          <cell r="R684">
            <v>155523.45000000001</v>
          </cell>
          <cell r="S684">
            <v>13445.85</v>
          </cell>
        </row>
        <row r="685">
          <cell r="A685" t="str">
            <v>1000/1700       Mocznik</v>
          </cell>
          <cell r="B685" t="str">
            <v>1001985    GS-BANIE</v>
          </cell>
          <cell r="C685" t="str">
            <v>KB Sprzed. bezpośrednia</v>
          </cell>
          <cell r="D685">
            <v>49503.4</v>
          </cell>
          <cell r="E685">
            <v>70</v>
          </cell>
          <cell r="F685">
            <v>46965</v>
          </cell>
          <cell r="G685">
            <v>2060.3000000000002</v>
          </cell>
          <cell r="H685">
            <v>159.78</v>
          </cell>
          <cell r="I685">
            <v>0</v>
          </cell>
          <cell r="J685">
            <v>0</v>
          </cell>
          <cell r="K685">
            <v>159.78</v>
          </cell>
          <cell r="L685">
            <v>49185.08</v>
          </cell>
          <cell r="M685">
            <v>318.31999999999903</v>
          </cell>
          <cell r="N685">
            <v>0</v>
          </cell>
          <cell r="O685">
            <v>49185.08</v>
          </cell>
          <cell r="P685">
            <v>318.31999999999903</v>
          </cell>
          <cell r="Q685">
            <v>145.38</v>
          </cell>
          <cell r="R685">
            <v>49330.459999999897</v>
          </cell>
          <cell r="S685">
            <v>172.94</v>
          </cell>
        </row>
        <row r="686">
          <cell r="A686" t="str">
            <v>1000/1700       Mocznik</v>
          </cell>
          <cell r="B686" t="str">
            <v>1001988    ROLNIK-KOŚCIAN</v>
          </cell>
          <cell r="C686" t="str">
            <v>KB Sprzed. bezpośrednia</v>
          </cell>
          <cell r="D686">
            <v>953133.3</v>
          </cell>
          <cell r="E686">
            <v>1150</v>
          </cell>
          <cell r="F686">
            <v>806991.51</v>
          </cell>
          <cell r="G686">
            <v>39668.489999999903</v>
          </cell>
          <cell r="H686">
            <v>5926.9799999999896</v>
          </cell>
          <cell r="I686">
            <v>18084.080000000002</v>
          </cell>
          <cell r="J686">
            <v>0</v>
          </cell>
          <cell r="K686">
            <v>24011.06</v>
          </cell>
          <cell r="L686">
            <v>870671.06</v>
          </cell>
          <cell r="M686">
            <v>82462.240000000005</v>
          </cell>
          <cell r="N686">
            <v>0</v>
          </cell>
          <cell r="O686">
            <v>870671.06</v>
          </cell>
          <cell r="P686">
            <v>82462.240000000005</v>
          </cell>
          <cell r="Q686">
            <v>5396.01</v>
          </cell>
          <cell r="R686">
            <v>876067.06999999902</v>
          </cell>
          <cell r="S686">
            <v>77066.229999999894</v>
          </cell>
        </row>
        <row r="687">
          <cell r="A687" t="str">
            <v>1000/1700       Mocznik</v>
          </cell>
          <cell r="B687" t="str">
            <v>1001991    WAMEX</v>
          </cell>
          <cell r="C687" t="str">
            <v>KB Sprzed. bezpośrednia</v>
          </cell>
          <cell r="D687">
            <v>533877.71999999904</v>
          </cell>
          <cell r="E687">
            <v>628</v>
          </cell>
          <cell r="F687">
            <v>440440.47999999899</v>
          </cell>
          <cell r="G687">
            <v>22219.49</v>
          </cell>
          <cell r="H687">
            <v>3236.65</v>
          </cell>
          <cell r="I687">
            <v>37873.919999999896</v>
          </cell>
          <cell r="J687">
            <v>0</v>
          </cell>
          <cell r="K687">
            <v>41110.57</v>
          </cell>
          <cell r="L687">
            <v>503770.53999999899</v>
          </cell>
          <cell r="M687">
            <v>30107.18</v>
          </cell>
          <cell r="N687">
            <v>0</v>
          </cell>
          <cell r="O687">
            <v>503770.53999999899</v>
          </cell>
          <cell r="P687">
            <v>30107.18</v>
          </cell>
          <cell r="Q687">
            <v>2945.03</v>
          </cell>
          <cell r="R687">
            <v>506715.57</v>
          </cell>
          <cell r="S687">
            <v>27162.15</v>
          </cell>
        </row>
        <row r="688">
          <cell r="A688" t="str">
            <v>1000/1700       Mocznik</v>
          </cell>
          <cell r="B688" t="str">
            <v>1001994    SKR-STRZELCE</v>
          </cell>
          <cell r="C688" t="str">
            <v>KB Sprzed. bezpośrednia</v>
          </cell>
          <cell r="D688">
            <v>312523.739999999</v>
          </cell>
          <cell r="E688">
            <v>377</v>
          </cell>
          <cell r="F688">
            <v>266346.22999999899</v>
          </cell>
          <cell r="G688">
            <v>13006.95</v>
          </cell>
          <cell r="H688">
            <v>1943.01</v>
          </cell>
          <cell r="I688">
            <v>0</v>
          </cell>
          <cell r="J688">
            <v>0</v>
          </cell>
          <cell r="K688">
            <v>1943.01</v>
          </cell>
          <cell r="L688">
            <v>281296.19</v>
          </cell>
          <cell r="M688">
            <v>31227.549999999901</v>
          </cell>
          <cell r="N688">
            <v>0</v>
          </cell>
          <cell r="O688">
            <v>281296.19</v>
          </cell>
          <cell r="P688">
            <v>31227.549999999901</v>
          </cell>
          <cell r="Q688">
            <v>1780.95</v>
          </cell>
          <cell r="R688">
            <v>283077.14</v>
          </cell>
          <cell r="S688">
            <v>29446.5999999999</v>
          </cell>
        </row>
        <row r="689">
          <cell r="A689" t="str">
            <v>1000/1700       Mocznik</v>
          </cell>
          <cell r="B689" t="str">
            <v>1002004    AZOT</v>
          </cell>
          <cell r="C689" t="str">
            <v>KB Sprzed. bezpośrednia</v>
          </cell>
          <cell r="D689">
            <v>41110.32</v>
          </cell>
          <cell r="E689">
            <v>48</v>
          </cell>
          <cell r="F689">
            <v>33664.239999999903</v>
          </cell>
          <cell r="G689">
            <v>1710.99</v>
          </cell>
          <cell r="H689">
            <v>247.38</v>
          </cell>
          <cell r="I689">
            <v>2759.52</v>
          </cell>
          <cell r="J689">
            <v>0</v>
          </cell>
          <cell r="K689">
            <v>3006.9</v>
          </cell>
          <cell r="L689">
            <v>38382.129999999903</v>
          </cell>
          <cell r="M689">
            <v>2728.19</v>
          </cell>
          <cell r="N689">
            <v>0</v>
          </cell>
          <cell r="O689">
            <v>38382.129999999903</v>
          </cell>
          <cell r="P689">
            <v>2728.19</v>
          </cell>
          <cell r="Q689">
            <v>225.09</v>
          </cell>
          <cell r="R689">
            <v>38607.22</v>
          </cell>
          <cell r="S689">
            <v>2503.0999999999899</v>
          </cell>
        </row>
        <row r="690">
          <cell r="A690" t="str">
            <v>1000/1700       Mocznik</v>
          </cell>
          <cell r="B690" t="str">
            <v>1002005    LAMCH-TOMI</v>
          </cell>
          <cell r="C690" t="str">
            <v>KB Sprzed. bezpośrednia</v>
          </cell>
          <cell r="D690">
            <v>19303.9199999999</v>
          </cell>
          <cell r="E690">
            <v>24</v>
          </cell>
          <cell r="F690">
            <v>16832.119999999901</v>
          </cell>
          <cell r="G690">
            <v>803.41999999999905</v>
          </cell>
          <cell r="H690">
            <v>123.69</v>
          </cell>
          <cell r="I690">
            <v>0</v>
          </cell>
          <cell r="J690">
            <v>0</v>
          </cell>
          <cell r="K690">
            <v>123.69</v>
          </cell>
          <cell r="L690">
            <v>17759.23</v>
          </cell>
          <cell r="M690">
            <v>1544.69</v>
          </cell>
          <cell r="N690">
            <v>0</v>
          </cell>
          <cell r="O690">
            <v>17759.23</v>
          </cell>
          <cell r="P690">
            <v>1544.69</v>
          </cell>
          <cell r="Q690">
            <v>112.56</v>
          </cell>
          <cell r="R690">
            <v>17871.79</v>
          </cell>
          <cell r="S690">
            <v>1432.13</v>
          </cell>
        </row>
        <row r="691">
          <cell r="A691" t="str">
            <v>1000/1700       Mocznik</v>
          </cell>
          <cell r="B691" t="str">
            <v>1002007    STAMPOL</v>
          </cell>
          <cell r="C691" t="str">
            <v>KB Sprzed. bezpośrednia</v>
          </cell>
          <cell r="D691">
            <v>41467.68</v>
          </cell>
          <cell r="E691">
            <v>48</v>
          </cell>
          <cell r="F691">
            <v>33664.239999999903</v>
          </cell>
          <cell r="G691">
            <v>1725.9</v>
          </cell>
          <cell r="H691">
            <v>247.38</v>
          </cell>
          <cell r="I691">
            <v>3710.6399999999899</v>
          </cell>
          <cell r="J691">
            <v>0</v>
          </cell>
          <cell r="K691">
            <v>3958.02</v>
          </cell>
          <cell r="L691">
            <v>39348.160000000003</v>
          </cell>
          <cell r="M691">
            <v>2119.52</v>
          </cell>
          <cell r="N691">
            <v>0</v>
          </cell>
          <cell r="O691">
            <v>39348.160000000003</v>
          </cell>
          <cell r="P691">
            <v>2119.52</v>
          </cell>
          <cell r="Q691">
            <v>225.09</v>
          </cell>
          <cell r="R691">
            <v>39573.25</v>
          </cell>
          <cell r="S691">
            <v>1894.43</v>
          </cell>
        </row>
        <row r="692">
          <cell r="A692" t="str">
            <v>1000/1700       Mocznik</v>
          </cell>
          <cell r="B692" t="str">
            <v>1002009    AGROTECHNI</v>
          </cell>
          <cell r="C692" t="str">
            <v>KB Sprzed. bezpośrednia</v>
          </cell>
          <cell r="D692">
            <v>85000</v>
          </cell>
          <cell r="E692">
            <v>100</v>
          </cell>
          <cell r="F692">
            <v>70133.839999999895</v>
          </cell>
          <cell r="G692">
            <v>3537.59</v>
          </cell>
          <cell r="H692">
            <v>515.38999999999896</v>
          </cell>
          <cell r="I692">
            <v>7787.5799999999899</v>
          </cell>
          <cell r="J692">
            <v>0</v>
          </cell>
          <cell r="K692">
            <v>8302.9699999999903</v>
          </cell>
          <cell r="L692">
            <v>81974.399999999907</v>
          </cell>
          <cell r="M692">
            <v>3025.5999999999899</v>
          </cell>
          <cell r="N692">
            <v>0</v>
          </cell>
          <cell r="O692">
            <v>81974.399999999907</v>
          </cell>
          <cell r="P692">
            <v>3025.5999999999899</v>
          </cell>
          <cell r="Q692">
            <v>468.95999999999901</v>
          </cell>
          <cell r="R692">
            <v>82443.360000000001</v>
          </cell>
          <cell r="S692">
            <v>2556.6399999999899</v>
          </cell>
        </row>
        <row r="693">
          <cell r="A693" t="str">
            <v>1000/1700       Mocznik</v>
          </cell>
          <cell r="B693" t="str">
            <v>1002010    BOGUSZ</v>
          </cell>
          <cell r="C693" t="str">
            <v>KB Sprzed. bezpośrednia</v>
          </cell>
          <cell r="D693">
            <v>103693.92</v>
          </cell>
          <cell r="E693">
            <v>120</v>
          </cell>
          <cell r="F693">
            <v>84160.6</v>
          </cell>
          <cell r="G693">
            <v>4315.67</v>
          </cell>
          <cell r="H693">
            <v>618.46</v>
          </cell>
          <cell r="I693">
            <v>8002.3199999999897</v>
          </cell>
          <cell r="J693">
            <v>0</v>
          </cell>
          <cell r="K693">
            <v>8620.7800000000007</v>
          </cell>
          <cell r="L693">
            <v>97097.05</v>
          </cell>
          <cell r="M693">
            <v>6596.8699999999899</v>
          </cell>
          <cell r="N693">
            <v>0</v>
          </cell>
          <cell r="O693">
            <v>97097.05</v>
          </cell>
          <cell r="P693">
            <v>6596.8699999999899</v>
          </cell>
          <cell r="Q693">
            <v>562.75</v>
          </cell>
          <cell r="R693">
            <v>97659.8</v>
          </cell>
          <cell r="S693">
            <v>6034.1199999999899</v>
          </cell>
        </row>
        <row r="694">
          <cell r="A694" t="str">
            <v>1000/1700       Mocznik</v>
          </cell>
          <cell r="B694" t="str">
            <v>1002047    Chempest</v>
          </cell>
          <cell r="C694" t="str">
            <v>KB Sprzed. bezpośrednia</v>
          </cell>
          <cell r="D694">
            <v>19012.5</v>
          </cell>
          <cell r="E694">
            <v>22.5</v>
          </cell>
          <cell r="F694">
            <v>16204.27</v>
          </cell>
          <cell r="G694">
            <v>791.26999999999896</v>
          </cell>
          <cell r="H694">
            <v>115.959999999999</v>
          </cell>
          <cell r="I694">
            <v>0</v>
          </cell>
          <cell r="J694">
            <v>0</v>
          </cell>
          <cell r="K694">
            <v>115.959999999999</v>
          </cell>
          <cell r="L694">
            <v>17111.5</v>
          </cell>
          <cell r="M694">
            <v>1901</v>
          </cell>
          <cell r="N694">
            <v>0</v>
          </cell>
          <cell r="O694">
            <v>17111.5</v>
          </cell>
          <cell r="P694">
            <v>1901</v>
          </cell>
          <cell r="Q694">
            <v>108.349999999999</v>
          </cell>
          <cell r="R694">
            <v>17219.8499999999</v>
          </cell>
          <cell r="S694">
            <v>1792.65</v>
          </cell>
        </row>
        <row r="695">
          <cell r="A695" t="str">
            <v>1000/1700       Mocznik</v>
          </cell>
          <cell r="B695" t="str">
            <v>1002050    "SYLWEK"</v>
          </cell>
          <cell r="C695" t="str">
            <v>KB Sprzed. bezpośrednia</v>
          </cell>
          <cell r="D695">
            <v>41770</v>
          </cell>
          <cell r="E695">
            <v>49</v>
          </cell>
          <cell r="F695">
            <v>34365.58</v>
          </cell>
          <cell r="G695">
            <v>1738.41</v>
          </cell>
          <cell r="H695">
            <v>252.539999999999</v>
          </cell>
          <cell r="I695">
            <v>3710.3299999999899</v>
          </cell>
          <cell r="J695">
            <v>0</v>
          </cell>
          <cell r="K695">
            <v>3962.8699999999899</v>
          </cell>
          <cell r="L695">
            <v>40066.86</v>
          </cell>
          <cell r="M695">
            <v>1703.14</v>
          </cell>
          <cell r="N695">
            <v>0</v>
          </cell>
          <cell r="O695">
            <v>40066.86</v>
          </cell>
          <cell r="P695">
            <v>1703.14</v>
          </cell>
          <cell r="Q695">
            <v>229.789999999999</v>
          </cell>
          <cell r="R695">
            <v>40296.65</v>
          </cell>
          <cell r="S695">
            <v>1473.3499999999899</v>
          </cell>
        </row>
        <row r="696">
          <cell r="A696" t="str">
            <v>1000/1700       Mocznik</v>
          </cell>
          <cell r="B696" t="str">
            <v>1002056    GS-Koronowo</v>
          </cell>
          <cell r="C696" t="str">
            <v>KB Sprzed. bezpośrednia</v>
          </cell>
          <cell r="D696">
            <v>53760</v>
          </cell>
          <cell r="E696">
            <v>62</v>
          </cell>
          <cell r="F696">
            <v>42804.489999999903</v>
          </cell>
          <cell r="G696">
            <v>2237.42</v>
          </cell>
          <cell r="H696">
            <v>319.54000000000002</v>
          </cell>
          <cell r="I696">
            <v>2553.52</v>
          </cell>
          <cell r="J696">
            <v>0</v>
          </cell>
          <cell r="K696">
            <v>2873.0599999999899</v>
          </cell>
          <cell r="L696">
            <v>47914.97</v>
          </cell>
          <cell r="M696">
            <v>5845.0299999999897</v>
          </cell>
          <cell r="N696">
            <v>0</v>
          </cell>
          <cell r="O696">
            <v>47914.97</v>
          </cell>
          <cell r="P696">
            <v>5845.0299999999897</v>
          </cell>
          <cell r="Q696">
            <v>286.22000000000003</v>
          </cell>
          <cell r="R696">
            <v>48201.19</v>
          </cell>
          <cell r="S696">
            <v>5558.81</v>
          </cell>
        </row>
        <row r="697">
          <cell r="A697" t="str">
            <v>1000/1700       Mocznik</v>
          </cell>
          <cell r="B697" t="str">
            <v>1002058    GS-Gardeja</v>
          </cell>
          <cell r="C697" t="str">
            <v>KB Sprzed. bezpośrednia</v>
          </cell>
          <cell r="D697">
            <v>21101.25</v>
          </cell>
          <cell r="E697">
            <v>25</v>
          </cell>
          <cell r="F697">
            <v>17533.459999999901</v>
          </cell>
          <cell r="G697">
            <v>878.17999999999904</v>
          </cell>
          <cell r="H697">
            <v>128.849999999999</v>
          </cell>
          <cell r="I697">
            <v>1194.6600000000001</v>
          </cell>
          <cell r="J697">
            <v>0</v>
          </cell>
          <cell r="K697">
            <v>1323.51</v>
          </cell>
          <cell r="L697">
            <v>19735.150000000001</v>
          </cell>
          <cell r="M697">
            <v>1366.0999999999899</v>
          </cell>
          <cell r="N697">
            <v>0</v>
          </cell>
          <cell r="O697">
            <v>19735.150000000001</v>
          </cell>
          <cell r="P697">
            <v>1366.0999999999899</v>
          </cell>
          <cell r="Q697">
            <v>117.239999999999</v>
          </cell>
          <cell r="R697">
            <v>19852.389999999901</v>
          </cell>
          <cell r="S697">
            <v>1248.8599999999899</v>
          </cell>
        </row>
        <row r="698">
          <cell r="A698" t="str">
            <v>1000/1700       Mocznik</v>
          </cell>
          <cell r="B698" t="str">
            <v>1002324    KRONOSPAN SZCZECINEK</v>
          </cell>
          <cell r="C698" t="str">
            <v>KB Sprzed. bezpośrednia</v>
          </cell>
          <cell r="D698">
            <v>36936</v>
          </cell>
          <cell r="E698">
            <v>43.2</v>
          </cell>
          <cell r="F698">
            <v>32374.4399999999</v>
          </cell>
          <cell r="G698">
            <v>1537.23</v>
          </cell>
          <cell r="H698">
            <v>222.65</v>
          </cell>
          <cell r="I698">
            <v>0</v>
          </cell>
          <cell r="J698">
            <v>0</v>
          </cell>
          <cell r="K698">
            <v>222.65</v>
          </cell>
          <cell r="L698">
            <v>34134.32</v>
          </cell>
          <cell r="M698">
            <v>2801.6799999999898</v>
          </cell>
          <cell r="N698">
            <v>0</v>
          </cell>
          <cell r="O698">
            <v>34134.32</v>
          </cell>
          <cell r="P698">
            <v>2801.6799999999898</v>
          </cell>
          <cell r="Q698">
            <v>216.47</v>
          </cell>
          <cell r="R698">
            <v>34350.79</v>
          </cell>
          <cell r="S698">
            <v>2585.21</v>
          </cell>
        </row>
        <row r="699">
          <cell r="A699" t="str">
            <v>1000/1700       Mocznik</v>
          </cell>
          <cell r="B699" t="str">
            <v>1002556    "AGROPLON" SP. Z O.O</v>
          </cell>
          <cell r="C699" t="str">
            <v>KB Sprzed. bezpośrednia</v>
          </cell>
          <cell r="D699">
            <v>20280</v>
          </cell>
          <cell r="E699">
            <v>24</v>
          </cell>
          <cell r="F699">
            <v>16832.119999999901</v>
          </cell>
          <cell r="G699">
            <v>844</v>
          </cell>
          <cell r="H699">
            <v>123.69</v>
          </cell>
          <cell r="I699">
            <v>0</v>
          </cell>
          <cell r="J699">
            <v>0</v>
          </cell>
          <cell r="K699">
            <v>123.69</v>
          </cell>
          <cell r="L699">
            <v>17799.810000000001</v>
          </cell>
          <cell r="M699">
            <v>2480.19</v>
          </cell>
          <cell r="N699">
            <v>0</v>
          </cell>
          <cell r="O699">
            <v>17799.810000000001</v>
          </cell>
          <cell r="P699">
            <v>2480.19</v>
          </cell>
          <cell r="Q699">
            <v>112.56</v>
          </cell>
          <cell r="R699">
            <v>17912.369999999901</v>
          </cell>
          <cell r="S699">
            <v>2367.63</v>
          </cell>
        </row>
        <row r="700">
          <cell r="A700" t="str">
            <v>1000/1700       Mocznik</v>
          </cell>
          <cell r="B700" t="str">
            <v>1002657    "AGROFIRMA"-TOMASZ W</v>
          </cell>
          <cell r="C700" t="str">
            <v>KB Sprzed. bezpośrednia</v>
          </cell>
          <cell r="D700">
            <v>103256</v>
          </cell>
          <cell r="E700">
            <v>124</v>
          </cell>
          <cell r="F700">
            <v>88398.649999999907</v>
          </cell>
          <cell r="G700">
            <v>4297.3900000000003</v>
          </cell>
          <cell r="H700">
            <v>639.08000000000004</v>
          </cell>
          <cell r="I700">
            <v>0</v>
          </cell>
          <cell r="J700">
            <v>0</v>
          </cell>
          <cell r="K700">
            <v>639.08000000000004</v>
          </cell>
          <cell r="L700">
            <v>93335.119999999893</v>
          </cell>
          <cell r="M700">
            <v>9920.8799999999901</v>
          </cell>
          <cell r="N700">
            <v>0</v>
          </cell>
          <cell r="O700">
            <v>93335.119999999893</v>
          </cell>
          <cell r="P700">
            <v>9920.8799999999901</v>
          </cell>
          <cell r="Q700">
            <v>591.09</v>
          </cell>
          <cell r="R700">
            <v>93926.21</v>
          </cell>
          <cell r="S700">
            <v>9329.7900000000009</v>
          </cell>
        </row>
        <row r="701">
          <cell r="A701" t="str">
            <v>1000/1700       Mocznik</v>
          </cell>
          <cell r="B701" t="str">
            <v>1002722    AGRO-CHEM</v>
          </cell>
          <cell r="C701" t="str">
            <v>KB Sprzed. bezpośrednia</v>
          </cell>
          <cell r="D701">
            <v>19303.9199999999</v>
          </cell>
          <cell r="E701">
            <v>24</v>
          </cell>
          <cell r="F701">
            <v>16832.119999999901</v>
          </cell>
          <cell r="G701">
            <v>803.41999999999905</v>
          </cell>
          <cell r="H701">
            <v>123.69</v>
          </cell>
          <cell r="I701">
            <v>0</v>
          </cell>
          <cell r="J701">
            <v>0</v>
          </cell>
          <cell r="K701">
            <v>123.69</v>
          </cell>
          <cell r="L701">
            <v>17759.23</v>
          </cell>
          <cell r="M701">
            <v>1544.69</v>
          </cell>
          <cell r="N701">
            <v>0</v>
          </cell>
          <cell r="O701">
            <v>17759.23</v>
          </cell>
          <cell r="P701">
            <v>1544.69</v>
          </cell>
          <cell r="Q701">
            <v>112.56</v>
          </cell>
          <cell r="R701">
            <v>17871.79</v>
          </cell>
          <cell r="S701">
            <v>1432.13</v>
          </cell>
        </row>
        <row r="702">
          <cell r="A702" t="str">
            <v>1000/1700       Mocznik</v>
          </cell>
          <cell r="B702" t="str">
            <v>1002790    AGRO-SKŁAD SZYMON NO</v>
          </cell>
          <cell r="C702" t="str">
            <v>KB Sprzed. bezpośrednia</v>
          </cell>
          <cell r="D702">
            <v>171389.42</v>
          </cell>
          <cell r="E702">
            <v>207.5</v>
          </cell>
          <cell r="F702">
            <v>146272.16</v>
          </cell>
          <cell r="G702">
            <v>7133.0699999999897</v>
          </cell>
          <cell r="H702">
            <v>1069.44</v>
          </cell>
          <cell r="I702">
            <v>0</v>
          </cell>
          <cell r="J702">
            <v>0</v>
          </cell>
          <cell r="K702">
            <v>1069.44</v>
          </cell>
          <cell r="L702">
            <v>154474.67000000001</v>
          </cell>
          <cell r="M702">
            <v>16914.75</v>
          </cell>
          <cell r="N702">
            <v>0</v>
          </cell>
          <cell r="O702">
            <v>154474.67000000001</v>
          </cell>
          <cell r="P702">
            <v>16914.75</v>
          </cell>
          <cell r="Q702">
            <v>978.04999999999905</v>
          </cell>
          <cell r="R702">
            <v>155452.72</v>
          </cell>
          <cell r="S702">
            <v>15936.7</v>
          </cell>
        </row>
        <row r="703">
          <cell r="A703" t="str">
            <v>1000/1700       Mocznik</v>
          </cell>
          <cell r="B703" t="str">
            <v>1002912    "SOMIR" SP. Z O.O.</v>
          </cell>
          <cell r="C703" t="str">
            <v>KB Sprzed. bezpośrednia</v>
          </cell>
          <cell r="D703">
            <v>40276.32</v>
          </cell>
          <cell r="E703">
            <v>48</v>
          </cell>
          <cell r="F703">
            <v>33664.239999999903</v>
          </cell>
          <cell r="G703">
            <v>1676.22</v>
          </cell>
          <cell r="H703">
            <v>247.38</v>
          </cell>
          <cell r="I703">
            <v>0</v>
          </cell>
          <cell r="J703">
            <v>0</v>
          </cell>
          <cell r="K703">
            <v>247.38</v>
          </cell>
          <cell r="L703">
            <v>35587.839999999902</v>
          </cell>
          <cell r="M703">
            <v>4688.4799999999896</v>
          </cell>
          <cell r="N703">
            <v>0</v>
          </cell>
          <cell r="O703">
            <v>35587.839999999902</v>
          </cell>
          <cell r="P703">
            <v>4688.4799999999896</v>
          </cell>
          <cell r="Q703">
            <v>225.09</v>
          </cell>
          <cell r="R703">
            <v>35812.93</v>
          </cell>
          <cell r="S703">
            <v>4463.3900000000003</v>
          </cell>
        </row>
        <row r="704">
          <cell r="A704" t="str">
            <v>1000/1700       Mocznik</v>
          </cell>
          <cell r="B704" t="str">
            <v>1002956    MIROSŁAW ULENBERG "U</v>
          </cell>
          <cell r="C704" t="str">
            <v>KB Sprzed. bezpośrednia</v>
          </cell>
          <cell r="D704">
            <v>20880</v>
          </cell>
          <cell r="E704">
            <v>24</v>
          </cell>
          <cell r="F704">
            <v>16832.119999999901</v>
          </cell>
          <cell r="G704">
            <v>869</v>
          </cell>
          <cell r="H704">
            <v>123.69</v>
          </cell>
          <cell r="I704">
            <v>798.96</v>
          </cell>
          <cell r="J704">
            <v>0</v>
          </cell>
          <cell r="K704">
            <v>922.64999999999895</v>
          </cell>
          <cell r="L704">
            <v>18623.77</v>
          </cell>
          <cell r="M704">
            <v>2256.23</v>
          </cell>
          <cell r="N704">
            <v>0</v>
          </cell>
          <cell r="O704">
            <v>18623.77</v>
          </cell>
          <cell r="P704">
            <v>2256.23</v>
          </cell>
          <cell r="Q704">
            <v>112.56</v>
          </cell>
          <cell r="R704">
            <v>18736.330000000002</v>
          </cell>
          <cell r="S704">
            <v>2143.67</v>
          </cell>
        </row>
        <row r="705">
          <cell r="A705" t="str">
            <v>1000/1700       Mocznik</v>
          </cell>
          <cell r="B705" t="str">
            <v>1002959    "AGROMAX"</v>
          </cell>
          <cell r="C705" t="str">
            <v>KB Sprzed. bezpośrednia</v>
          </cell>
          <cell r="D705">
            <v>41760</v>
          </cell>
          <cell r="E705">
            <v>48</v>
          </cell>
          <cell r="F705">
            <v>33664.239999999903</v>
          </cell>
          <cell r="G705">
            <v>1737.99</v>
          </cell>
          <cell r="H705">
            <v>247.38</v>
          </cell>
          <cell r="I705">
            <v>2181.1199999999899</v>
          </cell>
          <cell r="J705">
            <v>0</v>
          </cell>
          <cell r="K705">
            <v>2428.5</v>
          </cell>
          <cell r="L705">
            <v>37830.730000000003</v>
          </cell>
          <cell r="M705">
            <v>3929.27</v>
          </cell>
          <cell r="N705">
            <v>0</v>
          </cell>
          <cell r="O705">
            <v>37830.730000000003</v>
          </cell>
          <cell r="P705">
            <v>3929.27</v>
          </cell>
          <cell r="Q705">
            <v>225.09</v>
          </cell>
          <cell r="R705">
            <v>38055.82</v>
          </cell>
          <cell r="S705">
            <v>3704.1799999999898</v>
          </cell>
        </row>
        <row r="706">
          <cell r="A706" t="str">
            <v>1000/1700       Mocznik</v>
          </cell>
          <cell r="B706" t="str">
            <v>1003020    YARA POLAND</v>
          </cell>
          <cell r="C706" t="str">
            <v>KB Sprzed. bezpośrednia</v>
          </cell>
          <cell r="D706">
            <v>58984.559999999903</v>
          </cell>
          <cell r="E706">
            <v>72</v>
          </cell>
          <cell r="F706">
            <v>50496.36</v>
          </cell>
          <cell r="G706">
            <v>2454.88</v>
          </cell>
          <cell r="H706">
            <v>371.07999999999902</v>
          </cell>
          <cell r="I706">
            <v>0</v>
          </cell>
          <cell r="J706">
            <v>0</v>
          </cell>
          <cell r="K706">
            <v>371.07999999999902</v>
          </cell>
          <cell r="L706">
            <v>53322.32</v>
          </cell>
          <cell r="M706">
            <v>5662.2399999999898</v>
          </cell>
          <cell r="N706">
            <v>0</v>
          </cell>
          <cell r="O706">
            <v>53322.32</v>
          </cell>
          <cell r="P706">
            <v>5662.2399999999898</v>
          </cell>
          <cell r="Q706">
            <v>337.64999999999901</v>
          </cell>
          <cell r="R706">
            <v>53659.97</v>
          </cell>
          <cell r="S706">
            <v>5324.59</v>
          </cell>
        </row>
        <row r="707">
          <cell r="A707" t="str">
            <v>1000/1700       Mocznik</v>
          </cell>
          <cell r="B707" t="str">
            <v>1003056    LECHPOL SP. Z O.O.</v>
          </cell>
          <cell r="C707" t="str">
            <v>KB Sprzed. bezpośrednia</v>
          </cell>
          <cell r="D707">
            <v>478449.52</v>
          </cell>
          <cell r="E707">
            <v>575.94000000000005</v>
          </cell>
          <cell r="F707">
            <v>404282.21</v>
          </cell>
          <cell r="G707">
            <v>19912.549999999901</v>
          </cell>
          <cell r="H707">
            <v>2968.3299999999899</v>
          </cell>
          <cell r="I707">
            <v>2165.2800000000002</v>
          </cell>
          <cell r="J707">
            <v>0</v>
          </cell>
          <cell r="K707">
            <v>5133.6099999999897</v>
          </cell>
          <cell r="L707">
            <v>429328.37</v>
          </cell>
          <cell r="M707">
            <v>49121.15</v>
          </cell>
          <cell r="N707">
            <v>0</v>
          </cell>
          <cell r="O707">
            <v>429328.37</v>
          </cell>
          <cell r="P707">
            <v>49121.15</v>
          </cell>
          <cell r="Q707">
            <v>2703.2399999999898</v>
          </cell>
          <cell r="R707">
            <v>432031.609999999</v>
          </cell>
          <cell r="S707">
            <v>46417.91</v>
          </cell>
        </row>
        <row r="708">
          <cell r="A708" t="str">
            <v>1000/1700       Mocznik</v>
          </cell>
          <cell r="B708" t="str">
            <v>1003167    CENTRALA NASIENNA</v>
          </cell>
          <cell r="C708" t="str">
            <v>KB Sprzed. bezpośrednia</v>
          </cell>
          <cell r="D708">
            <v>20880</v>
          </cell>
          <cell r="E708">
            <v>24</v>
          </cell>
          <cell r="F708">
            <v>16832.119999999901</v>
          </cell>
          <cell r="G708">
            <v>869</v>
          </cell>
          <cell r="H708">
            <v>123.69</v>
          </cell>
          <cell r="I708">
            <v>1174.8</v>
          </cell>
          <cell r="J708">
            <v>0</v>
          </cell>
          <cell r="K708">
            <v>1298.49</v>
          </cell>
          <cell r="L708">
            <v>18999.61</v>
          </cell>
          <cell r="M708">
            <v>1880.39</v>
          </cell>
          <cell r="N708">
            <v>0</v>
          </cell>
          <cell r="O708">
            <v>18999.61</v>
          </cell>
          <cell r="P708">
            <v>1880.39</v>
          </cell>
          <cell r="Q708">
            <v>112.56</v>
          </cell>
          <cell r="R708">
            <v>19112.1699999999</v>
          </cell>
          <cell r="S708">
            <v>1767.8299999999899</v>
          </cell>
        </row>
        <row r="709">
          <cell r="A709" t="str">
            <v>1000/1700       Mocznik</v>
          </cell>
          <cell r="B709" t="str">
            <v>1003365    "EUROL"</v>
          </cell>
          <cell r="C709" t="str">
            <v>KB Sprzed. bezpośrednia</v>
          </cell>
          <cell r="D709">
            <v>19498</v>
          </cell>
          <cell r="E709">
            <v>23.8</v>
          </cell>
          <cell r="F709">
            <v>16691.86</v>
          </cell>
          <cell r="G709">
            <v>811.46</v>
          </cell>
          <cell r="H709">
            <v>122.66</v>
          </cell>
          <cell r="I709">
            <v>0</v>
          </cell>
          <cell r="J709">
            <v>0</v>
          </cell>
          <cell r="K709">
            <v>122.66</v>
          </cell>
          <cell r="L709">
            <v>17625.98</v>
          </cell>
          <cell r="M709">
            <v>1872.02</v>
          </cell>
          <cell r="N709">
            <v>0</v>
          </cell>
          <cell r="O709">
            <v>17625.98</v>
          </cell>
          <cell r="P709">
            <v>1872.02</v>
          </cell>
          <cell r="Q709">
            <v>111.61</v>
          </cell>
          <cell r="R709">
            <v>17737.59</v>
          </cell>
          <cell r="S709">
            <v>1760.41</v>
          </cell>
        </row>
        <row r="710">
          <cell r="A710" t="str">
            <v>1000/1700       Mocznik</v>
          </cell>
          <cell r="B710" t="str">
            <v>1003605    "AGROMUND"</v>
          </cell>
          <cell r="C710" t="str">
            <v>KB Sprzed. bezpośrednia</v>
          </cell>
          <cell r="D710">
            <v>105093.84</v>
          </cell>
          <cell r="E710">
            <v>120</v>
          </cell>
          <cell r="F710">
            <v>84160.6</v>
          </cell>
          <cell r="G710">
            <v>4373.8999999999896</v>
          </cell>
          <cell r="H710">
            <v>618.46</v>
          </cell>
          <cell r="I710">
            <v>4575.3599999999897</v>
          </cell>
          <cell r="J710">
            <v>0</v>
          </cell>
          <cell r="K710">
            <v>5193.8199999999897</v>
          </cell>
          <cell r="L710">
            <v>93728.320000000007</v>
          </cell>
          <cell r="M710">
            <v>11365.52</v>
          </cell>
          <cell r="N710">
            <v>0</v>
          </cell>
          <cell r="O710">
            <v>93728.320000000007</v>
          </cell>
          <cell r="P710">
            <v>11365.52</v>
          </cell>
          <cell r="Q710">
            <v>562.75</v>
          </cell>
          <cell r="R710">
            <v>94291.07</v>
          </cell>
          <cell r="S710">
            <v>10802.77</v>
          </cell>
        </row>
        <row r="711">
          <cell r="A711" t="str">
            <v>1000/1700       Mocznik</v>
          </cell>
          <cell r="B711" t="str">
            <v>1003857    EDMAR</v>
          </cell>
          <cell r="C711" t="str">
            <v>KB Sprzed. bezpośrednia</v>
          </cell>
          <cell r="D711">
            <v>468988.44</v>
          </cell>
          <cell r="E711">
            <v>556</v>
          </cell>
          <cell r="F711">
            <v>389363.76</v>
          </cell>
          <cell r="G711">
            <v>19518.84</v>
          </cell>
          <cell r="H711">
            <v>2865.5799999999899</v>
          </cell>
          <cell r="I711">
            <v>18928.34</v>
          </cell>
          <cell r="J711">
            <v>0</v>
          </cell>
          <cell r="K711">
            <v>21793.9199999999</v>
          </cell>
          <cell r="L711">
            <v>430676.52</v>
          </cell>
          <cell r="M711">
            <v>38311.919999999896</v>
          </cell>
          <cell r="N711">
            <v>0</v>
          </cell>
          <cell r="O711">
            <v>430676.52</v>
          </cell>
          <cell r="P711">
            <v>38311.919999999896</v>
          </cell>
          <cell r="Q711">
            <v>2603.5100000000002</v>
          </cell>
          <cell r="R711">
            <v>433280.03</v>
          </cell>
          <cell r="S711">
            <v>35708.410000000003</v>
          </cell>
        </row>
        <row r="712">
          <cell r="A712" t="str">
            <v>1000/1700       Mocznik</v>
          </cell>
          <cell r="B712" t="str">
            <v>1003867    "ERG"</v>
          </cell>
          <cell r="C712" t="str">
            <v>KB Sprzed. bezpośrednia</v>
          </cell>
          <cell r="D712">
            <v>126720</v>
          </cell>
          <cell r="E712">
            <v>144</v>
          </cell>
          <cell r="F712">
            <v>100992.72</v>
          </cell>
          <cell r="G712">
            <v>5273.9399999999896</v>
          </cell>
          <cell r="H712">
            <v>742.15999999999894</v>
          </cell>
          <cell r="I712">
            <v>0</v>
          </cell>
          <cell r="J712">
            <v>0</v>
          </cell>
          <cell r="K712">
            <v>742.15999999999894</v>
          </cell>
          <cell r="L712">
            <v>107008.82</v>
          </cell>
          <cell r="M712">
            <v>19711.18</v>
          </cell>
          <cell r="N712">
            <v>0</v>
          </cell>
          <cell r="O712">
            <v>107008.82</v>
          </cell>
          <cell r="P712">
            <v>19711.18</v>
          </cell>
          <cell r="Q712">
            <v>675.28999999999905</v>
          </cell>
          <cell r="R712">
            <v>107684.11</v>
          </cell>
          <cell r="S712">
            <v>19035.889999999901</v>
          </cell>
        </row>
        <row r="713">
          <cell r="A713" t="str">
            <v>1000/1700       Mocznik</v>
          </cell>
          <cell r="B713" t="str">
            <v>1003904    "AGROCHEMIK"</v>
          </cell>
          <cell r="C713" t="str">
            <v>KB Sprzed. bezpośrednia</v>
          </cell>
          <cell r="D713">
            <v>62280</v>
          </cell>
          <cell r="E713">
            <v>72</v>
          </cell>
          <cell r="F713">
            <v>50496.36</v>
          </cell>
          <cell r="G713">
            <v>2592.0500000000002</v>
          </cell>
          <cell r="H713">
            <v>371.07999999999902</v>
          </cell>
          <cell r="I713">
            <v>4257.3599999999897</v>
          </cell>
          <cell r="J713">
            <v>0</v>
          </cell>
          <cell r="K713">
            <v>4628.4399999999896</v>
          </cell>
          <cell r="L713">
            <v>57716.849999999897</v>
          </cell>
          <cell r="M713">
            <v>4563.1499999999896</v>
          </cell>
          <cell r="N713">
            <v>0</v>
          </cell>
          <cell r="O713">
            <v>57716.849999999897</v>
          </cell>
          <cell r="P713">
            <v>4563.1499999999896</v>
          </cell>
          <cell r="Q713">
            <v>337.64999999999901</v>
          </cell>
          <cell r="R713">
            <v>58054.5</v>
          </cell>
          <cell r="S713">
            <v>4225.5</v>
          </cell>
        </row>
        <row r="714">
          <cell r="A714" t="str">
            <v>1000/1700       Mocznik</v>
          </cell>
          <cell r="B714" t="str">
            <v>1003981    GRUPA POLSKIE SKŁADY</v>
          </cell>
          <cell r="C714" t="str">
            <v>KB Sprzed. bezpośrednia</v>
          </cell>
          <cell r="D714">
            <v>19661.52</v>
          </cell>
          <cell r="E714">
            <v>24</v>
          </cell>
          <cell r="F714">
            <v>16832.119999999901</v>
          </cell>
          <cell r="G714">
            <v>818.32</v>
          </cell>
          <cell r="H714">
            <v>123.69</v>
          </cell>
          <cell r="I714">
            <v>0</v>
          </cell>
          <cell r="J714">
            <v>0</v>
          </cell>
          <cell r="K714">
            <v>123.69</v>
          </cell>
          <cell r="L714">
            <v>17774.13</v>
          </cell>
          <cell r="M714">
            <v>1887.39</v>
          </cell>
          <cell r="N714">
            <v>0</v>
          </cell>
          <cell r="O714">
            <v>17774.13</v>
          </cell>
          <cell r="P714">
            <v>1887.39</v>
          </cell>
          <cell r="Q714">
            <v>112.56</v>
          </cell>
          <cell r="R714">
            <v>17886.6899999999</v>
          </cell>
          <cell r="S714">
            <v>1774.8299999999899</v>
          </cell>
        </row>
        <row r="715">
          <cell r="A715" t="str">
            <v>1000/1700       Mocznik</v>
          </cell>
          <cell r="B715" t="str">
            <v>1003988    BLENDING Sp.z o.o.</v>
          </cell>
          <cell r="C715" t="str">
            <v>KB Sprzed. bezpośrednia</v>
          </cell>
          <cell r="D715">
            <v>40762.769999999902</v>
          </cell>
          <cell r="E715">
            <v>49</v>
          </cell>
          <cell r="F715">
            <v>34365.58</v>
          </cell>
          <cell r="G715">
            <v>1696.55</v>
          </cell>
          <cell r="H715">
            <v>252.539999999999</v>
          </cell>
          <cell r="I715">
            <v>1118.52</v>
          </cell>
          <cell r="J715">
            <v>0</v>
          </cell>
          <cell r="K715">
            <v>1371.0599999999899</v>
          </cell>
          <cell r="L715">
            <v>37433.19</v>
          </cell>
          <cell r="M715">
            <v>3329.5799999999899</v>
          </cell>
          <cell r="N715">
            <v>0</v>
          </cell>
          <cell r="O715">
            <v>37433.19</v>
          </cell>
          <cell r="P715">
            <v>3329.5799999999899</v>
          </cell>
          <cell r="Q715">
            <v>229.789999999999</v>
          </cell>
          <cell r="R715">
            <v>37662.980000000003</v>
          </cell>
          <cell r="S715">
            <v>3099.79</v>
          </cell>
        </row>
        <row r="716">
          <cell r="A716" t="str">
            <v>1000/1700       Mocznik</v>
          </cell>
          <cell r="B716" t="str">
            <v>1004168    "OSADKOWSKI" SPÓŁKA</v>
          </cell>
          <cell r="C716" t="str">
            <v>KB Sprzed. bezpośrednia</v>
          </cell>
          <cell r="D716">
            <v>226840</v>
          </cell>
          <cell r="E716">
            <v>268</v>
          </cell>
          <cell r="F716">
            <v>188147.20000000001</v>
          </cell>
          <cell r="G716">
            <v>9440.86</v>
          </cell>
          <cell r="H716">
            <v>1381.25</v>
          </cell>
          <cell r="I716">
            <v>9779.34</v>
          </cell>
          <cell r="J716">
            <v>0</v>
          </cell>
          <cell r="K716">
            <v>11160.59</v>
          </cell>
          <cell r="L716">
            <v>208748.649999999</v>
          </cell>
          <cell r="M716">
            <v>18091.3499999999</v>
          </cell>
          <cell r="N716">
            <v>0</v>
          </cell>
          <cell r="O716">
            <v>208748.649999999</v>
          </cell>
          <cell r="P716">
            <v>18091.3499999999</v>
          </cell>
          <cell r="Q716">
            <v>1258.05</v>
          </cell>
          <cell r="R716">
            <v>210006.7</v>
          </cell>
          <cell r="S716">
            <v>16833.299999999901</v>
          </cell>
        </row>
        <row r="717">
          <cell r="A717" t="str">
            <v>1000/1700       Mocznik</v>
          </cell>
          <cell r="B717" t="str">
            <v>1004208    Morawski-Sprzed.Art.</v>
          </cell>
          <cell r="C717" t="str">
            <v>KB Sprzed. bezpośrednia</v>
          </cell>
          <cell r="D717">
            <v>61844.160000000003</v>
          </cell>
          <cell r="E717">
            <v>72</v>
          </cell>
          <cell r="F717">
            <v>50496.36</v>
          </cell>
          <cell r="G717">
            <v>2573.88</v>
          </cell>
          <cell r="H717">
            <v>371.07999999999902</v>
          </cell>
          <cell r="I717">
            <v>4538.6400000000003</v>
          </cell>
          <cell r="J717">
            <v>0</v>
          </cell>
          <cell r="K717">
            <v>4909.72</v>
          </cell>
          <cell r="L717">
            <v>57979.959999999897</v>
          </cell>
          <cell r="M717">
            <v>3864.1999999999898</v>
          </cell>
          <cell r="N717">
            <v>0</v>
          </cell>
          <cell r="O717">
            <v>57979.959999999897</v>
          </cell>
          <cell r="P717">
            <v>3864.1999999999898</v>
          </cell>
          <cell r="Q717">
            <v>337.64999999999901</v>
          </cell>
          <cell r="R717">
            <v>58317.61</v>
          </cell>
          <cell r="S717">
            <v>3526.55</v>
          </cell>
        </row>
        <row r="718">
          <cell r="A718" t="str">
            <v>1000/1700       Mocznik</v>
          </cell>
          <cell r="B718" t="str">
            <v>1004340    "AGRO-TECH"</v>
          </cell>
          <cell r="C718" t="str">
            <v>KB Sprzed. bezpośrednia</v>
          </cell>
          <cell r="D718">
            <v>40395.360000000001</v>
          </cell>
          <cell r="E718">
            <v>48</v>
          </cell>
          <cell r="F718">
            <v>33664.239999999903</v>
          </cell>
          <cell r="G718">
            <v>1681.22</v>
          </cell>
          <cell r="H718">
            <v>247.38</v>
          </cell>
          <cell r="I718">
            <v>3863.04</v>
          </cell>
          <cell r="J718">
            <v>0</v>
          </cell>
          <cell r="K718">
            <v>4110.42</v>
          </cell>
          <cell r="L718">
            <v>39455.879999999903</v>
          </cell>
          <cell r="M718">
            <v>939.48</v>
          </cell>
          <cell r="N718">
            <v>0</v>
          </cell>
          <cell r="O718">
            <v>39455.879999999903</v>
          </cell>
          <cell r="P718">
            <v>939.48</v>
          </cell>
          <cell r="Q718">
            <v>225.09</v>
          </cell>
          <cell r="R718">
            <v>39680.97</v>
          </cell>
          <cell r="S718">
            <v>714.38999999999896</v>
          </cell>
        </row>
        <row r="719">
          <cell r="A719" t="str">
            <v>1000/1700       Mocznik</v>
          </cell>
          <cell r="B719" t="str">
            <v>1004710    "AGRICOLA-LUBLIN" SP</v>
          </cell>
          <cell r="C719" t="str">
            <v>KB Sprzed. bezpośrednia</v>
          </cell>
          <cell r="D719">
            <v>41586.959999999897</v>
          </cell>
          <cell r="E719">
            <v>48</v>
          </cell>
          <cell r="F719">
            <v>33664.239999999903</v>
          </cell>
          <cell r="G719">
            <v>1730.8099999999899</v>
          </cell>
          <cell r="H719">
            <v>247.38</v>
          </cell>
          <cell r="I719">
            <v>3558.2399999999898</v>
          </cell>
          <cell r="J719">
            <v>0</v>
          </cell>
          <cell r="K719">
            <v>3805.6199999999899</v>
          </cell>
          <cell r="L719">
            <v>39200.669999999896</v>
          </cell>
          <cell r="M719">
            <v>2386.29</v>
          </cell>
          <cell r="N719">
            <v>0</v>
          </cell>
          <cell r="O719">
            <v>39200.669999999896</v>
          </cell>
          <cell r="P719">
            <v>2386.29</v>
          </cell>
          <cell r="Q719">
            <v>225.09</v>
          </cell>
          <cell r="R719">
            <v>39425.760000000002</v>
          </cell>
          <cell r="S719">
            <v>2161.1999999999898</v>
          </cell>
        </row>
        <row r="720">
          <cell r="A720" t="str">
            <v>1000/1700       Mocznik</v>
          </cell>
          <cell r="B720" t="str">
            <v>3000000    ZBIORCZY</v>
          </cell>
          <cell r="C720" t="str">
            <v>KB Sprzed. bezpośrednia</v>
          </cell>
          <cell r="D720">
            <v>71699.19</v>
          </cell>
          <cell r="E720">
            <v>79</v>
          </cell>
          <cell r="F720">
            <v>56159.8</v>
          </cell>
          <cell r="G720">
            <v>2984.13</v>
          </cell>
          <cell r="H720">
            <v>407.44</v>
          </cell>
          <cell r="I720">
            <v>0</v>
          </cell>
          <cell r="J720">
            <v>0</v>
          </cell>
          <cell r="K720">
            <v>407.44</v>
          </cell>
          <cell r="L720">
            <v>59551.37</v>
          </cell>
          <cell r="M720">
            <v>12147.82</v>
          </cell>
          <cell r="N720">
            <v>0</v>
          </cell>
          <cell r="O720">
            <v>59551.37</v>
          </cell>
          <cell r="P720">
            <v>12147.82</v>
          </cell>
          <cell r="Q720">
            <v>375.51999999999902</v>
          </cell>
          <cell r="R720">
            <v>59926.889999999898</v>
          </cell>
          <cell r="S720">
            <v>11772.299999999899</v>
          </cell>
        </row>
        <row r="721">
          <cell r="A721" t="str">
            <v>1000/1700       Mocznik</v>
          </cell>
          <cell r="B721" t="str">
            <v>3000000    ZBIORCZY</v>
          </cell>
          <cell r="C721" t="str">
            <v>KG Sprzed. gotówkowa</v>
          </cell>
          <cell r="D721">
            <v>3572.84</v>
          </cell>
          <cell r="E721">
            <v>4</v>
          </cell>
          <cell r="F721">
            <v>2708.6199999999899</v>
          </cell>
          <cell r="G721">
            <v>148.66</v>
          </cell>
          <cell r="H721">
            <v>20.6099999999999</v>
          </cell>
          <cell r="I721">
            <v>0</v>
          </cell>
          <cell r="J721">
            <v>0</v>
          </cell>
          <cell r="K721">
            <v>20.6099999999999</v>
          </cell>
          <cell r="L721">
            <v>2877.8899999999899</v>
          </cell>
          <cell r="M721">
            <v>694.95</v>
          </cell>
          <cell r="N721">
            <v>0</v>
          </cell>
          <cell r="O721">
            <v>2877.8899999999899</v>
          </cell>
          <cell r="P721">
            <v>694.95</v>
          </cell>
          <cell r="Q721">
            <v>18.12</v>
          </cell>
          <cell r="R721">
            <v>2896.01</v>
          </cell>
          <cell r="S721">
            <v>676.83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Odbiorcy nawozy kraj I. 200 (2)"/>
      <sheetName val="Odbiorcy nawozy kraj I. 2007"/>
      <sheetName val="Arkusz1"/>
      <sheetName val="Arkusz2"/>
      <sheetName val="Arkusz3"/>
      <sheetName val="Arkusz3 (2)"/>
      <sheetName val="Ranking luty 2007"/>
      <sheetName val="Odbiorcy_nawozy_kraj_I__200_(2)"/>
      <sheetName val="Odbiorcy_nawozy_kraj_I__2007"/>
      <sheetName val="Arkusz3_(2)"/>
      <sheetName val="Ranking_luty_2007"/>
      <sheetName val="nawozy"/>
      <sheetName val="Odbiorcy_nawozy_kraj_I__200_(21"/>
      <sheetName val="Odbiorcy_nawozy_kraj_I__20071"/>
      <sheetName val="Arkusz3_(2)1"/>
      <sheetName val="Ranking_luty_20071"/>
      <sheetName val="Odbiorcy_nawozy_kraj_I__200_(22"/>
      <sheetName val="Odbiorcy_nawozy_kraj_I__20072"/>
      <sheetName val="Arkusz3_(2)2"/>
      <sheetName val="Ranking_luty_20072"/>
      <sheetName val="Odbiorcy_nawozy_kraj_I__200_(23"/>
      <sheetName val="Odbiorcy_nawozy_kraj_I__20073"/>
      <sheetName val="Arkusz3_(2)3"/>
      <sheetName val="Ranking_luty_20073"/>
      <sheetName val="Odbiorcy_nawozy_kraj_I__200_(25"/>
      <sheetName val="Odbiorcy_nawozy_kraj_I__20075"/>
      <sheetName val="Arkusz3_(2)5"/>
      <sheetName val="Ranking_luty_20075"/>
      <sheetName val="Odbiorcy_nawozy_kraj_I__200_(24"/>
      <sheetName val="Odbiorcy_nawozy_kraj_I__20074"/>
      <sheetName val="Arkusz3_(2)4"/>
      <sheetName val="Ranking_luty_20074"/>
      <sheetName val="Odbiorcy_nawozy_kraj_I__200_(26"/>
      <sheetName val="Odbiorcy_nawozy_kraj_I__20076"/>
      <sheetName val="Arkusz3_(2)6"/>
      <sheetName val="Ranking_luty_20076"/>
      <sheetName val="Odbiorcy_nawozy_kraj_I__200_(27"/>
      <sheetName val="Odbiorcy_nawozy_kraj_I__20077"/>
      <sheetName val="Arkusz3_(2)7"/>
      <sheetName val="Ranking_luty_20077"/>
    </sheetNames>
    <sheetDataSet>
      <sheetData sheetId="0" refreshError="1"/>
      <sheetData sheetId="1" refreshError="1"/>
      <sheetData sheetId="2" refreshError="1">
        <row r="4">
          <cell r="D4" t="str">
            <v>KB Sprzed. bezpośrednia</v>
          </cell>
        </row>
        <row r="5">
          <cell r="D5" t="str">
            <v>KB Sprzed. bezpośrednia</v>
          </cell>
        </row>
        <row r="6">
          <cell r="D6" t="str">
            <v>KB Sprzed. bezpośrednia</v>
          </cell>
        </row>
        <row r="7">
          <cell r="D7" t="str">
            <v>KB Sprzed. bezpośrednia</v>
          </cell>
        </row>
        <row r="8">
          <cell r="D8" t="str">
            <v>KB Sprzed. bezpośrednia</v>
          </cell>
        </row>
        <row r="9">
          <cell r="D9" t="str">
            <v>KB Sprzed. bezpośrednia</v>
          </cell>
        </row>
        <row r="10">
          <cell r="D10" t="str">
            <v>KB Sprzed. bezpośrednia</v>
          </cell>
        </row>
        <row r="11">
          <cell r="D11" t="str">
            <v>KB Sprzed. bezpośrednia</v>
          </cell>
        </row>
        <row r="12">
          <cell r="D12" t="str">
            <v>KB Sprzed. bezpośrednia</v>
          </cell>
        </row>
        <row r="13">
          <cell r="D13" t="str">
            <v>KB Sprzed. bezpośrednia</v>
          </cell>
        </row>
        <row r="14">
          <cell r="D14" t="str">
            <v>KB Sprzed. bezpośrednia</v>
          </cell>
        </row>
        <row r="15">
          <cell r="D15" t="str">
            <v>KB Sprzed. bezpośrednia</v>
          </cell>
        </row>
        <row r="16">
          <cell r="D16" t="str">
            <v>KB Sprzed. bezpośrednia</v>
          </cell>
        </row>
        <row r="17">
          <cell r="D17" t="str">
            <v>KB Sprzed. bezpośrednia</v>
          </cell>
        </row>
        <row r="18">
          <cell r="D18" t="str">
            <v>KB Sprzed. bezpośrednia</v>
          </cell>
        </row>
        <row r="19">
          <cell r="D19" t="str">
            <v>KB Sprzed. bezpośrednia</v>
          </cell>
        </row>
        <row r="20">
          <cell r="D20" t="str">
            <v>KB Sprzed. bezpośrednia</v>
          </cell>
        </row>
        <row r="21">
          <cell r="D21" t="str">
            <v>KB Sprzed. bezpośrednia</v>
          </cell>
        </row>
        <row r="22">
          <cell r="D22" t="str">
            <v>KB Sprzed. bezpośrednia</v>
          </cell>
        </row>
        <row r="23">
          <cell r="D23" t="str">
            <v>KB Sprzed. bezpośrednia</v>
          </cell>
        </row>
        <row r="24">
          <cell r="D24" t="str">
            <v>KB Sprzed. bezpośrednia</v>
          </cell>
        </row>
        <row r="25">
          <cell r="D25" t="str">
            <v>KB Sprzed. bezpośrednia</v>
          </cell>
        </row>
        <row r="26">
          <cell r="D26" t="str">
            <v>KB Sprzed. bezpośrednia</v>
          </cell>
        </row>
        <row r="27">
          <cell r="D27" t="str">
            <v>KB Sprzed. bezpośrednia</v>
          </cell>
        </row>
        <row r="28">
          <cell r="D28" t="str">
            <v>KB Sprzed. bezpośrednia</v>
          </cell>
        </row>
        <row r="29">
          <cell r="D29" t="str">
            <v>KB Sprzed. bezpośrednia</v>
          </cell>
        </row>
        <row r="30">
          <cell r="D30" t="str">
            <v>KB Sprzed. bezpośrednia</v>
          </cell>
        </row>
        <row r="31">
          <cell r="D31" t="str">
            <v>KB Sprzed. bezpośrednia</v>
          </cell>
        </row>
        <row r="32">
          <cell r="D32" t="str">
            <v>KB Sprzed. bezpośrednia</v>
          </cell>
        </row>
        <row r="33">
          <cell r="D33" t="str">
            <v>KB Sprzed. bezpośrednia</v>
          </cell>
        </row>
        <row r="34">
          <cell r="D34" t="str">
            <v>KB Sprzed. bezpośrednia</v>
          </cell>
        </row>
        <row r="35">
          <cell r="D35" t="str">
            <v>KB Sprzed. bezpośrednia</v>
          </cell>
        </row>
        <row r="36">
          <cell r="D36" t="str">
            <v>KB Sprzed. bezpośrednia</v>
          </cell>
        </row>
        <row r="37">
          <cell r="D37" t="str">
            <v>KB Sprzed. bezpośrednia</v>
          </cell>
        </row>
        <row r="38">
          <cell r="D38" t="str">
            <v>KB Sprzed. bezpośrednia</v>
          </cell>
        </row>
        <row r="39">
          <cell r="D39" t="str">
            <v>KB Sprzed. bezpośrednia</v>
          </cell>
        </row>
        <row r="40">
          <cell r="D40" t="str">
            <v>KB Sprzed. bezpośrednia</v>
          </cell>
        </row>
        <row r="41">
          <cell r="D41" t="str">
            <v>KB Sprzed. bezpośrednia</v>
          </cell>
        </row>
        <row r="42">
          <cell r="D42" t="str">
            <v>KB Sprzed. bezpośrednia</v>
          </cell>
        </row>
        <row r="43">
          <cell r="D43" t="str">
            <v>KB Sprzed. bezpośrednia</v>
          </cell>
        </row>
        <row r="44">
          <cell r="D44" t="str">
            <v>KB Sprzed. bezpośrednia</v>
          </cell>
        </row>
        <row r="45">
          <cell r="D45" t="str">
            <v>KB Sprzed. bezpośrednia</v>
          </cell>
        </row>
        <row r="46">
          <cell r="D46" t="str">
            <v>KB Sprzed. bezpośrednia</v>
          </cell>
        </row>
        <row r="47">
          <cell r="D47" t="str">
            <v>KB Sprzed. bezpośrednia</v>
          </cell>
        </row>
        <row r="48">
          <cell r="D48" t="str">
            <v>KB Sprzed. bezpośrednia</v>
          </cell>
        </row>
        <row r="49">
          <cell r="D49" t="str">
            <v>KB Sprzed. bezpośrednia</v>
          </cell>
        </row>
        <row r="50">
          <cell r="D50" t="str">
            <v>KB Sprzed. bezpośrednia</v>
          </cell>
        </row>
        <row r="51">
          <cell r="D51" t="str">
            <v>KB Sprzed. bezpośrednia</v>
          </cell>
        </row>
        <row r="52">
          <cell r="D52" t="str">
            <v>KB Sprzed. bezpośrednia</v>
          </cell>
        </row>
        <row r="53">
          <cell r="D53" t="str">
            <v>KB Sprzed. bezpośrednia</v>
          </cell>
        </row>
        <row r="54">
          <cell r="D54" t="str">
            <v>KB Sprzed. bezpośrednia</v>
          </cell>
        </row>
        <row r="55">
          <cell r="D55" t="str">
            <v>KB Sprzed. bezpośrednia</v>
          </cell>
        </row>
        <row r="56">
          <cell r="D56" t="str">
            <v>KB Sprzed. bezpośrednia</v>
          </cell>
        </row>
        <row r="57">
          <cell r="D57" t="str">
            <v>KB Sprzed. bezpośrednia</v>
          </cell>
        </row>
        <row r="58">
          <cell r="D58" t="str">
            <v>KB Sprzed. bezpośrednia</v>
          </cell>
        </row>
        <row r="59">
          <cell r="D59" t="str">
            <v>KB Sprzed. bezpośrednia</v>
          </cell>
        </row>
        <row r="60">
          <cell r="D60" t="str">
            <v>KB Sprzed. bezpośrednia</v>
          </cell>
        </row>
        <row r="61">
          <cell r="D61" t="str">
            <v>KB Sprzed. bezpośrednia</v>
          </cell>
        </row>
        <row r="62">
          <cell r="D62" t="str">
            <v>KB Sprzed. bezpośrednia</v>
          </cell>
        </row>
        <row r="63">
          <cell r="D63" t="str">
            <v>KB Sprzed. bezpośrednia</v>
          </cell>
        </row>
        <row r="64">
          <cell r="D64" t="str">
            <v>KB Sprzed. bezpośrednia</v>
          </cell>
        </row>
        <row r="65">
          <cell r="D65" t="str">
            <v>KB Sprzed. bezpośrednia</v>
          </cell>
        </row>
        <row r="66">
          <cell r="D66" t="str">
            <v>KB Sprzed. bezpośrednia</v>
          </cell>
        </row>
        <row r="67">
          <cell r="D67" t="str">
            <v>KB Sprzed. bezpośrednia</v>
          </cell>
        </row>
        <row r="68">
          <cell r="D68" t="str">
            <v>KB Sprzed. bezpośrednia</v>
          </cell>
        </row>
        <row r="69">
          <cell r="D69" t="str">
            <v>KB Sprzed. bezpośrednia</v>
          </cell>
        </row>
        <row r="70">
          <cell r="D70" t="str">
            <v>KB Sprzed. bezpośrednia</v>
          </cell>
        </row>
        <row r="71">
          <cell r="D71" t="str">
            <v>KB Sprzed. bezpośrednia</v>
          </cell>
        </row>
        <row r="72">
          <cell r="D72" t="str">
            <v>KB Sprzed. bezpośrednia</v>
          </cell>
        </row>
        <row r="73">
          <cell r="D73" t="str">
            <v>KB Sprzed. bezpośrednia</v>
          </cell>
        </row>
        <row r="74">
          <cell r="D74" t="str">
            <v>KB Sprzed. bezpośrednia</v>
          </cell>
        </row>
        <row r="75">
          <cell r="D75" t="str">
            <v>KB Sprzed. bezpośrednia</v>
          </cell>
        </row>
        <row r="76">
          <cell r="D76" t="str">
            <v>KB Sprzed. bezpośrednia</v>
          </cell>
        </row>
        <row r="77">
          <cell r="D77" t="str">
            <v>KB Sprzed. bezpośrednia</v>
          </cell>
        </row>
        <row r="78">
          <cell r="D78" t="str">
            <v>KB Sprzed. bezpośrednia</v>
          </cell>
        </row>
        <row r="79">
          <cell r="D79" t="str">
            <v>KB Sprzed. bezpośrednia</v>
          </cell>
        </row>
        <row r="80">
          <cell r="D80" t="str">
            <v>KB Sprzed. bezpośrednia</v>
          </cell>
        </row>
        <row r="81">
          <cell r="D81" t="str">
            <v>KB Sprzed. bezpośrednia</v>
          </cell>
        </row>
        <row r="82">
          <cell r="D82" t="str">
            <v>KB Sprzed. bezpośrednia</v>
          </cell>
        </row>
        <row r="83">
          <cell r="D83" t="str">
            <v>KB Sprzed. bezpośrednia</v>
          </cell>
        </row>
        <row r="84">
          <cell r="D84" t="str">
            <v>KB Sprzed. bezpośrednia</v>
          </cell>
        </row>
        <row r="85">
          <cell r="D85" t="str">
            <v>KB Sprzed. bezpośrednia</v>
          </cell>
        </row>
        <row r="86">
          <cell r="D86" t="str">
            <v>KB Sprzed. bezpośrednia</v>
          </cell>
        </row>
        <row r="87">
          <cell r="D87" t="str">
            <v>KB Sprzed. bezpośrednia</v>
          </cell>
        </row>
        <row r="88">
          <cell r="D88" t="str">
            <v>KB Sprzed. bezpośrednia</v>
          </cell>
        </row>
        <row r="89">
          <cell r="D89" t="str">
            <v>KB Sprzed. bezpośrednia</v>
          </cell>
        </row>
        <row r="90">
          <cell r="D90" t="str">
            <v>KB Sprzed. bezpośrednia</v>
          </cell>
        </row>
        <row r="91">
          <cell r="D91" t="str">
            <v>KB Sprzed. bezpośrednia</v>
          </cell>
        </row>
        <row r="92">
          <cell r="D92" t="str">
            <v>KB Sprzed. bezpośrednia</v>
          </cell>
        </row>
        <row r="93">
          <cell r="D93" t="str">
            <v>KB Sprzed. bezpośrednia</v>
          </cell>
        </row>
        <row r="94">
          <cell r="D94" t="str">
            <v>KB Sprzed. bezpośrednia</v>
          </cell>
        </row>
        <row r="95">
          <cell r="D95" t="str">
            <v>KB Sprzed. bezpośrednia</v>
          </cell>
        </row>
        <row r="96">
          <cell r="D96" t="str">
            <v>KB Sprzed. bezpośrednia</v>
          </cell>
        </row>
        <row r="97">
          <cell r="D97" t="str">
            <v>KB Sprzed. bezpośrednia</v>
          </cell>
        </row>
        <row r="98">
          <cell r="D98" t="str">
            <v>KB Sprzed. bezpośrednia</v>
          </cell>
        </row>
        <row r="99">
          <cell r="D99" t="str">
            <v>KB Sprzed. bezpośrednia</v>
          </cell>
        </row>
        <row r="100">
          <cell r="D100" t="str">
            <v>KB Sprzed. bezpośrednia</v>
          </cell>
        </row>
        <row r="101">
          <cell r="D101" t="str">
            <v>KB Sprzed. bezpośrednia</v>
          </cell>
        </row>
        <row r="102">
          <cell r="D102" t="str">
            <v>KB Sprzed. bezpośrednia</v>
          </cell>
        </row>
        <row r="103">
          <cell r="D103" t="str">
            <v>KB Sprzed. bezpośrednia</v>
          </cell>
        </row>
        <row r="104">
          <cell r="D104" t="str">
            <v>KB Sprzed. bezpośrednia</v>
          </cell>
        </row>
        <row r="105">
          <cell r="D105" t="str">
            <v>KB Sprzed. bezpośrednia</v>
          </cell>
        </row>
        <row r="106">
          <cell r="D106" t="str">
            <v>KB Sprzed. bezpośrednia</v>
          </cell>
        </row>
        <row r="107">
          <cell r="D107" t="str">
            <v>KB Sprzed. bezpośrednia</v>
          </cell>
        </row>
        <row r="108">
          <cell r="D108" t="str">
            <v>KB Sprzed. bezpośrednia</v>
          </cell>
        </row>
        <row r="109">
          <cell r="D109" t="str">
            <v>KB Sprzed. bezpośrednia</v>
          </cell>
        </row>
        <row r="110">
          <cell r="D110" t="str">
            <v>KB Sprzed. bezpośrednia</v>
          </cell>
        </row>
        <row r="111">
          <cell r="D111" t="str">
            <v>KB Sprzed. bezpośrednia</v>
          </cell>
        </row>
        <row r="112">
          <cell r="D112" t="str">
            <v>KB Sprzed. bezpośrednia</v>
          </cell>
        </row>
        <row r="113">
          <cell r="D113" t="str">
            <v>KB Sprzed. bezpośrednia</v>
          </cell>
        </row>
        <row r="114">
          <cell r="D114" t="str">
            <v>KB Sprzed. bezpośrednia</v>
          </cell>
        </row>
        <row r="115">
          <cell r="D115" t="str">
            <v>KB Sprzed. bezpośrednia</v>
          </cell>
        </row>
        <row r="116">
          <cell r="D116" t="str">
            <v>KB Sprzed. bezpośrednia</v>
          </cell>
        </row>
        <row r="117">
          <cell r="D117" t="str">
            <v>KB Sprzed. bezpośrednia</v>
          </cell>
        </row>
        <row r="118">
          <cell r="D118" t="str">
            <v>KB Sprzed. bezpośrednia</v>
          </cell>
        </row>
        <row r="119">
          <cell r="D119" t="str">
            <v>KB Sprzed. bezpośrednia</v>
          </cell>
        </row>
        <row r="120">
          <cell r="D120" t="str">
            <v>KB Sprzed. bezpośrednia</v>
          </cell>
        </row>
        <row r="121">
          <cell r="D121" t="str">
            <v>KB Sprzed. bezpośrednia</v>
          </cell>
        </row>
        <row r="122">
          <cell r="D122" t="str">
            <v>KB Sprzed. bezpośrednia</v>
          </cell>
        </row>
        <row r="123">
          <cell r="D123" t="str">
            <v>KB Sprzed. bezpośrednia</v>
          </cell>
        </row>
        <row r="124">
          <cell r="D124" t="str">
            <v>KB Sprzed. bezpośrednia</v>
          </cell>
        </row>
        <row r="125">
          <cell r="D125" t="str">
            <v>KC Centra dystrybucji</v>
          </cell>
        </row>
        <row r="126">
          <cell r="D126" t="str">
            <v>KC Centra dystrybucji</v>
          </cell>
        </row>
        <row r="127">
          <cell r="D127" t="str">
            <v>KC Centra dystrybucji</v>
          </cell>
        </row>
        <row r="128">
          <cell r="D128" t="str">
            <v>KC Centra dystrybucji</v>
          </cell>
        </row>
        <row r="129">
          <cell r="D129" t="str">
            <v>KC Centra dystrybucji</v>
          </cell>
        </row>
        <row r="130">
          <cell r="D130" t="str">
            <v>KC Centra dystrybucji</v>
          </cell>
        </row>
        <row r="131">
          <cell r="D131" t="str">
            <v>KC Centra dystrybucji</v>
          </cell>
        </row>
        <row r="132">
          <cell r="D132" t="str">
            <v>KC Centra dystrybucji</v>
          </cell>
        </row>
        <row r="133">
          <cell r="D133" t="str">
            <v>KC Centra dystrybucji</v>
          </cell>
        </row>
        <row r="134">
          <cell r="D134" t="str">
            <v>KC Centra dystrybucji</v>
          </cell>
        </row>
        <row r="135">
          <cell r="D135" t="str">
            <v>KC Centra dystrybucji</v>
          </cell>
        </row>
        <row r="136">
          <cell r="D136" t="str">
            <v>KC Centra dystrybucji</v>
          </cell>
        </row>
        <row r="137">
          <cell r="D137" t="str">
            <v>KC Centra dystrybucji</v>
          </cell>
        </row>
        <row r="138">
          <cell r="D138" t="str">
            <v>KC Centra dystrybucji</v>
          </cell>
        </row>
        <row r="139">
          <cell r="D139" t="str">
            <v>KC Centra dystrybucji</v>
          </cell>
        </row>
        <row r="140">
          <cell r="D140" t="str">
            <v>KC Centra dystrybucji</v>
          </cell>
        </row>
        <row r="141">
          <cell r="D141" t="str">
            <v>KC Centra dystrybucji</v>
          </cell>
        </row>
        <row r="142">
          <cell r="D142" t="str">
            <v>KC Centra dystrybucji</v>
          </cell>
        </row>
        <row r="143">
          <cell r="D143" t="str">
            <v>KC Centra dystrybucji</v>
          </cell>
        </row>
        <row r="144">
          <cell r="D144" t="str">
            <v>KC Centra dystrybucji</v>
          </cell>
        </row>
        <row r="145">
          <cell r="D145" t="str">
            <v>KC Centra dystrybucji</v>
          </cell>
        </row>
        <row r="146">
          <cell r="D146" t="str">
            <v>KC Centra dystrybucji</v>
          </cell>
        </row>
        <row r="147">
          <cell r="D147" t="str">
            <v>KC Centra dystrybucji</v>
          </cell>
        </row>
        <row r="148">
          <cell r="D148" t="str">
            <v>KC Centra dystrybucji</v>
          </cell>
        </row>
        <row r="149">
          <cell r="D149" t="str">
            <v>KC Centra dystrybucji</v>
          </cell>
        </row>
        <row r="150">
          <cell r="D150" t="str">
            <v>KC Centra dystrybucji</v>
          </cell>
        </row>
        <row r="151">
          <cell r="D151" t="str">
            <v>KC Centra dystrybucji</v>
          </cell>
        </row>
        <row r="152">
          <cell r="D152" t="str">
            <v>KC Centra dystrybucji</v>
          </cell>
        </row>
        <row r="153">
          <cell r="D153" t="str">
            <v>KC Centra dystrybucji</v>
          </cell>
        </row>
        <row r="154">
          <cell r="D154" t="str">
            <v>KC Centra dystrybucji</v>
          </cell>
        </row>
        <row r="155">
          <cell r="D155" t="str">
            <v>KC Centra dystrybucji</v>
          </cell>
        </row>
        <row r="156">
          <cell r="D156" t="str">
            <v>KC Centra dystrybucji</v>
          </cell>
        </row>
        <row r="157">
          <cell r="D157" t="str">
            <v>KC Centra dystrybucji</v>
          </cell>
        </row>
        <row r="158">
          <cell r="D158" t="str">
            <v>KC Centra dystrybucji</v>
          </cell>
        </row>
        <row r="159">
          <cell r="D159" t="str">
            <v>KC Centra dystrybucji</v>
          </cell>
        </row>
        <row r="160">
          <cell r="D160" t="str">
            <v>KC Centra dystrybucji</v>
          </cell>
        </row>
        <row r="161">
          <cell r="D161" t="str">
            <v>KC Centra dystrybucji</v>
          </cell>
        </row>
        <row r="162">
          <cell r="D162" t="str">
            <v>KC Centra dystrybucji</v>
          </cell>
        </row>
        <row r="163">
          <cell r="D163" t="str">
            <v>KC Centra dystrybucji</v>
          </cell>
        </row>
        <row r="164">
          <cell r="D164" t="str">
            <v>KC Centra dystrybucji</v>
          </cell>
        </row>
        <row r="165">
          <cell r="D165" t="str">
            <v>KC Centra dystrybucji</v>
          </cell>
        </row>
        <row r="166">
          <cell r="D166" t="str">
            <v>KC Centra dystrybucji</v>
          </cell>
        </row>
        <row r="167">
          <cell r="D167" t="str">
            <v>KC Centra dystrybucji</v>
          </cell>
        </row>
        <row r="168">
          <cell r="D168" t="str">
            <v>KC Centra dystrybucji</v>
          </cell>
        </row>
        <row r="169">
          <cell r="D169" t="str">
            <v>KC Centra dystrybucji</v>
          </cell>
        </row>
        <row r="170">
          <cell r="D170" t="str">
            <v>KC Centra dystrybucji</v>
          </cell>
        </row>
        <row r="171">
          <cell r="D171" t="str">
            <v>KC Centra dystrybucji</v>
          </cell>
        </row>
        <row r="172">
          <cell r="D172" t="str">
            <v>KC Centra dystrybucji</v>
          </cell>
        </row>
        <row r="173">
          <cell r="D173" t="str">
            <v>KC Centra dystrybucji</v>
          </cell>
        </row>
        <row r="174">
          <cell r="D174" t="str">
            <v>KC Centra dystrybucji</v>
          </cell>
        </row>
        <row r="175">
          <cell r="D175" t="str">
            <v>KC Centra dystrybucji</v>
          </cell>
        </row>
        <row r="176">
          <cell r="D176" t="str">
            <v>KC Centra dystrybucji</v>
          </cell>
        </row>
        <row r="177">
          <cell r="D177" t="str">
            <v>KC Centra dystrybucji</v>
          </cell>
        </row>
        <row r="178">
          <cell r="D178" t="str">
            <v>KC Centra dystrybucji</v>
          </cell>
        </row>
        <row r="179">
          <cell r="D179" t="str">
            <v>KC Centra dystrybucji</v>
          </cell>
        </row>
        <row r="180">
          <cell r="D180" t="str">
            <v>KC Centra dystrybucji</v>
          </cell>
        </row>
        <row r="181">
          <cell r="D181" t="str">
            <v>KC Centra dystrybucji</v>
          </cell>
        </row>
        <row r="182">
          <cell r="D182" t="str">
            <v>KC Centra dystrybucji</v>
          </cell>
        </row>
        <row r="183">
          <cell r="D183" t="str">
            <v>KC Centra dystrybucji</v>
          </cell>
        </row>
        <row r="184">
          <cell r="D184" t="str">
            <v>KC Centra dystrybucji</v>
          </cell>
        </row>
        <row r="185">
          <cell r="D185" t="str">
            <v>KC Centra dystrybucji</v>
          </cell>
        </row>
        <row r="186">
          <cell r="D186" t="str">
            <v>KC Centra dystrybucji</v>
          </cell>
        </row>
        <row r="187">
          <cell r="D187" t="str">
            <v>KC Centra dystrybucji</v>
          </cell>
        </row>
        <row r="188">
          <cell r="D188" t="str">
            <v>KC Centra dystrybucji</v>
          </cell>
        </row>
        <row r="189">
          <cell r="D189" t="str">
            <v>KC Centra dystrybucji</v>
          </cell>
        </row>
        <row r="190">
          <cell r="D190" t="str">
            <v>KC Centra dystrybucji</v>
          </cell>
        </row>
        <row r="191">
          <cell r="D191" t="str">
            <v>KC Centra dystrybucji</v>
          </cell>
        </row>
        <row r="192">
          <cell r="D192" t="str">
            <v>KC Centra dystrybucji</v>
          </cell>
        </row>
        <row r="193">
          <cell r="D193" t="str">
            <v>KC Centra dystrybucji</v>
          </cell>
        </row>
        <row r="194">
          <cell r="D194" t="str">
            <v>KC Centra dystrybucji</v>
          </cell>
        </row>
        <row r="195">
          <cell r="D195" t="str">
            <v>Nieprzypisane</v>
          </cell>
        </row>
        <row r="196">
          <cell r="D196" t="str">
            <v>Nieprzypisane</v>
          </cell>
        </row>
        <row r="197">
          <cell r="D197" t="str">
            <v>KB Sprzed. bezpośrednia</v>
          </cell>
        </row>
        <row r="198">
          <cell r="D198" t="str">
            <v>KB Sprzed. bezpośrednia</v>
          </cell>
        </row>
        <row r="199">
          <cell r="D199" t="str">
            <v>KB Sprzed. bezpośrednia</v>
          </cell>
        </row>
        <row r="200">
          <cell r="D200" t="str">
            <v>KB Sprzed. bezpośrednia</v>
          </cell>
        </row>
        <row r="201">
          <cell r="D201" t="str">
            <v>KB Sprzed. bezpośrednia</v>
          </cell>
        </row>
        <row r="202">
          <cell r="D202" t="str">
            <v>KB Sprzed. bezpośrednia</v>
          </cell>
        </row>
        <row r="203">
          <cell r="D203" t="str">
            <v>KB Sprzed. bezpośrednia</v>
          </cell>
        </row>
        <row r="204">
          <cell r="D204" t="str">
            <v>KB Sprzed. bezpośrednia</v>
          </cell>
        </row>
        <row r="205">
          <cell r="D205" t="str">
            <v>KB Sprzed. bezpośrednia</v>
          </cell>
        </row>
        <row r="206">
          <cell r="D206" t="str">
            <v>KB Sprzed. bezpośrednia</v>
          </cell>
        </row>
        <row r="207">
          <cell r="D207" t="str">
            <v>KB Sprzed. bezpośrednia</v>
          </cell>
        </row>
        <row r="208">
          <cell r="D208" t="str">
            <v>KB Sprzed. bezpośrednia</v>
          </cell>
        </row>
        <row r="209">
          <cell r="D209" t="str">
            <v>KB Sprzed. bezpośrednia</v>
          </cell>
        </row>
        <row r="210">
          <cell r="D210" t="str">
            <v>KB Sprzed. bezpośrednia</v>
          </cell>
        </row>
        <row r="211">
          <cell r="D211" t="str">
            <v>KB Sprzed. bezpośrednia</v>
          </cell>
        </row>
        <row r="212">
          <cell r="D212" t="str">
            <v>KB Sprzed. bezpośrednia</v>
          </cell>
        </row>
        <row r="213">
          <cell r="D213" t="str">
            <v>KB Sprzed. bezpośrednia</v>
          </cell>
        </row>
        <row r="214">
          <cell r="D214" t="str">
            <v>KB Sprzed. bezpośrednia</v>
          </cell>
        </row>
        <row r="215">
          <cell r="D215" t="str">
            <v>KB Sprzed. bezpośrednia</v>
          </cell>
        </row>
        <row r="216">
          <cell r="D216" t="str">
            <v>KB Sprzed. bezpośrednia</v>
          </cell>
        </row>
        <row r="217">
          <cell r="D217" t="str">
            <v>KB Sprzed. bezpośrednia</v>
          </cell>
        </row>
        <row r="218">
          <cell r="D218" t="str">
            <v>KB Sprzed. bezpośrednia</v>
          </cell>
        </row>
        <row r="219">
          <cell r="D219" t="str">
            <v>KB Sprzed. bezpośrednia</v>
          </cell>
        </row>
        <row r="220">
          <cell r="D220" t="str">
            <v>KB Sprzed. bezpośrednia</v>
          </cell>
        </row>
        <row r="221">
          <cell r="D221" t="str">
            <v>KB Sprzed. bezpośrednia</v>
          </cell>
        </row>
        <row r="222">
          <cell r="D222" t="str">
            <v>KB Sprzed. bezpośrednia</v>
          </cell>
        </row>
        <row r="223">
          <cell r="D223" t="str">
            <v>KB Sprzed. bezpośrednia</v>
          </cell>
        </row>
        <row r="224">
          <cell r="D224" t="str">
            <v>KB Sprzed. bezpośrednia</v>
          </cell>
        </row>
        <row r="225">
          <cell r="D225" t="str">
            <v>KB Sprzed. bezpośrednia</v>
          </cell>
        </row>
        <row r="226">
          <cell r="D226" t="str">
            <v>KB Sprzed. bezpośrednia</v>
          </cell>
        </row>
        <row r="227">
          <cell r="D227" t="str">
            <v>KB Sprzed. bezpośrednia</v>
          </cell>
        </row>
        <row r="228">
          <cell r="D228" t="str">
            <v>KB Sprzed. bezpośrednia</v>
          </cell>
        </row>
        <row r="229">
          <cell r="D229" t="str">
            <v>KB Sprzed. bezpośrednia</v>
          </cell>
        </row>
        <row r="230">
          <cell r="D230" t="str">
            <v>KB Sprzed. bezpośrednia</v>
          </cell>
        </row>
        <row r="231">
          <cell r="D231" t="str">
            <v>KB Sprzed. bezpośrednia</v>
          </cell>
        </row>
        <row r="232">
          <cell r="D232" t="str">
            <v>KB Sprzed. bezpośrednia</v>
          </cell>
        </row>
        <row r="233">
          <cell r="D233" t="str">
            <v>KB Sprzed. bezpośrednia</v>
          </cell>
        </row>
        <row r="234">
          <cell r="D234" t="str">
            <v>KB Sprzed. bezpośrednia</v>
          </cell>
        </row>
        <row r="235">
          <cell r="D235" t="str">
            <v>KB Sprzed. bezpośrednia</v>
          </cell>
        </row>
        <row r="236">
          <cell r="D236" t="str">
            <v>KB Sprzed. bezpośrednia</v>
          </cell>
        </row>
        <row r="237">
          <cell r="D237" t="str">
            <v>KB Sprzed. bezpośrednia</v>
          </cell>
        </row>
        <row r="238">
          <cell r="D238" t="str">
            <v>KB Sprzed. bezpośrednia</v>
          </cell>
        </row>
        <row r="239">
          <cell r="D239" t="str">
            <v>KB Sprzed. bezpośrednia</v>
          </cell>
        </row>
        <row r="240">
          <cell r="D240" t="str">
            <v>KB Sprzed. bezpośrednia</v>
          </cell>
        </row>
        <row r="241">
          <cell r="D241" t="str">
            <v>KB Sprzed. bezpośrednia</v>
          </cell>
        </row>
        <row r="242">
          <cell r="D242" t="str">
            <v>KB Sprzed. bezpośrednia</v>
          </cell>
        </row>
        <row r="243">
          <cell r="D243" t="str">
            <v>KB Sprzed. bezpośrednia</v>
          </cell>
        </row>
        <row r="244">
          <cell r="D244" t="str">
            <v>KB Sprzed. bezpośrednia</v>
          </cell>
        </row>
        <row r="245">
          <cell r="D245" t="str">
            <v>KB Sprzed. bezpośrednia</v>
          </cell>
        </row>
        <row r="246">
          <cell r="D246" t="str">
            <v>KB Sprzed. bezpośrednia</v>
          </cell>
        </row>
        <row r="247">
          <cell r="D247" t="str">
            <v>KB Sprzed. bezpośrednia</v>
          </cell>
        </row>
        <row r="248">
          <cell r="D248" t="str">
            <v>KB Sprzed. bezpośrednia</v>
          </cell>
        </row>
        <row r="249">
          <cell r="D249" t="str">
            <v>KB Sprzed. bezpośrednia</v>
          </cell>
        </row>
        <row r="250">
          <cell r="D250" t="str">
            <v>KB Sprzed. bezpośrednia</v>
          </cell>
        </row>
        <row r="251">
          <cell r="D251" t="str">
            <v>KB Sprzed. bezpośrednia</v>
          </cell>
        </row>
        <row r="252">
          <cell r="D252" t="str">
            <v>KB Sprzed. bezpośrednia</v>
          </cell>
        </row>
        <row r="253">
          <cell r="D253" t="str">
            <v>KB Sprzed. bezpośrednia</v>
          </cell>
        </row>
        <row r="254">
          <cell r="D254" t="str">
            <v>KB Sprzed. bezpośrednia</v>
          </cell>
        </row>
        <row r="255">
          <cell r="D255" t="str">
            <v>KB Sprzed. bezpośrednia</v>
          </cell>
        </row>
        <row r="256">
          <cell r="D256" t="str">
            <v>KB Sprzed. bezpośrednia</v>
          </cell>
        </row>
        <row r="257">
          <cell r="D257" t="str">
            <v>KB Sprzed. bezpośrednia</v>
          </cell>
        </row>
        <row r="258">
          <cell r="D258" t="str">
            <v>KB Sprzed. bezpośrednia</v>
          </cell>
        </row>
        <row r="259">
          <cell r="D259" t="str">
            <v>KB Sprzed. bezpośrednia</v>
          </cell>
        </row>
        <row r="260">
          <cell r="D260" t="str">
            <v>KB Sprzed. bezpośrednia</v>
          </cell>
        </row>
        <row r="261">
          <cell r="D261" t="str">
            <v>KB Sprzed. bezpośrednia</v>
          </cell>
        </row>
        <row r="262">
          <cell r="D262" t="str">
            <v>KB Sprzed. bezpośrednia</v>
          </cell>
        </row>
        <row r="263">
          <cell r="D263" t="str">
            <v>KB Sprzed. bezpośrednia</v>
          </cell>
        </row>
        <row r="264">
          <cell r="D264" t="str">
            <v>KB Sprzed. bezpośrednia</v>
          </cell>
        </row>
        <row r="265">
          <cell r="D265" t="str">
            <v>KB Sprzed. bezpośrednia</v>
          </cell>
        </row>
        <row r="266">
          <cell r="D266" t="str">
            <v>KB Sprzed. bezpośrednia</v>
          </cell>
        </row>
        <row r="267">
          <cell r="D267" t="str">
            <v>KB Sprzed. bezpośrednia</v>
          </cell>
        </row>
        <row r="268">
          <cell r="D268" t="str">
            <v>KB Sprzed. bezpośrednia</v>
          </cell>
        </row>
        <row r="269">
          <cell r="D269" t="str">
            <v>KB Sprzed. bezpośrednia</v>
          </cell>
        </row>
        <row r="270">
          <cell r="D270" t="str">
            <v>KB Sprzed. bezpośrednia</v>
          </cell>
        </row>
        <row r="271">
          <cell r="D271" t="str">
            <v>KB Sprzed. bezpośrednia</v>
          </cell>
        </row>
        <row r="272">
          <cell r="D272" t="str">
            <v>KB Sprzed. bezpośrednia</v>
          </cell>
        </row>
        <row r="273">
          <cell r="D273" t="str">
            <v>KB Sprzed. bezpośrednia</v>
          </cell>
        </row>
        <row r="274">
          <cell r="D274" t="str">
            <v>KB Sprzed. bezpośrednia</v>
          </cell>
        </row>
        <row r="275">
          <cell r="D275" t="str">
            <v>KB Sprzed. bezpośrednia</v>
          </cell>
        </row>
        <row r="276">
          <cell r="D276" t="str">
            <v>KB Sprzed. bezpośrednia</v>
          </cell>
        </row>
        <row r="277">
          <cell r="D277" t="str">
            <v>KB Sprzed. bezpośrednia</v>
          </cell>
        </row>
        <row r="278">
          <cell r="D278" t="str">
            <v>KB Sprzed. bezpośrednia</v>
          </cell>
        </row>
        <row r="279">
          <cell r="D279" t="str">
            <v>KB Sprzed. bezpośrednia</v>
          </cell>
        </row>
        <row r="280">
          <cell r="D280" t="str">
            <v>KB Sprzed. bezpośrednia</v>
          </cell>
        </row>
        <row r="281">
          <cell r="D281" t="str">
            <v>KB Sprzed. bezpośrednia</v>
          </cell>
        </row>
        <row r="282">
          <cell r="D282" t="str">
            <v>KB Sprzed. bezpośrednia</v>
          </cell>
        </row>
        <row r="283">
          <cell r="D283" t="str">
            <v>KB Sprzed. bezpośrednia</v>
          </cell>
        </row>
        <row r="284">
          <cell r="D284" t="str">
            <v>KB Sprzed. bezpośrednia</v>
          </cell>
        </row>
        <row r="285">
          <cell r="D285" t="str">
            <v>KB Sprzed. bezpośrednia</v>
          </cell>
        </row>
        <row r="286">
          <cell r="D286" t="str">
            <v>KB Sprzed. bezpośrednia</v>
          </cell>
        </row>
        <row r="287">
          <cell r="D287" t="str">
            <v>KB Sprzed. bezpośrednia</v>
          </cell>
        </row>
        <row r="288">
          <cell r="D288" t="str">
            <v>KB Sprzed. bezpośrednia</v>
          </cell>
        </row>
        <row r="289">
          <cell r="D289" t="str">
            <v>KB Sprzed. bezpośrednia</v>
          </cell>
        </row>
        <row r="290">
          <cell r="D290" t="str">
            <v>KB Sprzed. bezpośrednia</v>
          </cell>
        </row>
        <row r="291">
          <cell r="D291" t="str">
            <v>KB Sprzed. bezpośrednia</v>
          </cell>
        </row>
        <row r="292">
          <cell r="D292" t="str">
            <v>KB Sprzed. bezpośrednia</v>
          </cell>
        </row>
        <row r="293">
          <cell r="D293" t="str">
            <v>KB Sprzed. bezpośrednia</v>
          </cell>
        </row>
        <row r="294">
          <cell r="D294" t="str">
            <v>KB Sprzed. bezpośrednia</v>
          </cell>
        </row>
        <row r="295">
          <cell r="D295" t="str">
            <v>KB Sprzed. bezpośrednia</v>
          </cell>
        </row>
        <row r="296">
          <cell r="D296" t="str">
            <v>KB Sprzed. bezpośrednia</v>
          </cell>
        </row>
        <row r="297">
          <cell r="D297" t="str">
            <v>KB Sprzed. bezpośrednia</v>
          </cell>
        </row>
        <row r="298">
          <cell r="D298" t="str">
            <v>KB Sprzed. bezpośrednia</v>
          </cell>
        </row>
        <row r="299">
          <cell r="D299" t="str">
            <v>KB Sprzed. bezpośrednia</v>
          </cell>
        </row>
        <row r="300">
          <cell r="D300" t="str">
            <v>KB Sprzed. bezpośrednia</v>
          </cell>
        </row>
        <row r="301">
          <cell r="D301" t="str">
            <v>KB Sprzed. bezpośrednia</v>
          </cell>
        </row>
        <row r="302">
          <cell r="D302" t="str">
            <v>KB Sprzed. bezpośrednia</v>
          </cell>
        </row>
        <row r="303">
          <cell r="D303" t="str">
            <v>KB Sprzed. bezpośrednia</v>
          </cell>
        </row>
        <row r="304">
          <cell r="D304" t="str">
            <v>KB Sprzed. bezpośrednia</v>
          </cell>
        </row>
        <row r="305">
          <cell r="D305" t="str">
            <v>KB Sprzed. bezpośrednia</v>
          </cell>
        </row>
        <row r="306">
          <cell r="D306" t="str">
            <v>KB Sprzed. bezpośrednia</v>
          </cell>
        </row>
        <row r="307">
          <cell r="D307" t="str">
            <v>KB Sprzed. bezpośrednia</v>
          </cell>
        </row>
        <row r="308">
          <cell r="D308" t="str">
            <v>KB Sprzed. bezpośrednia</v>
          </cell>
        </row>
        <row r="309">
          <cell r="D309" t="str">
            <v>KB Sprzed. bezpośrednia</v>
          </cell>
        </row>
        <row r="310">
          <cell r="D310" t="str">
            <v>KB Sprzed. bezpośrednia</v>
          </cell>
        </row>
        <row r="311">
          <cell r="D311" t="str">
            <v>KB Sprzed. bezpośrednia</v>
          </cell>
        </row>
        <row r="312">
          <cell r="D312" t="str">
            <v>KB Sprzed. bezpośrednia</v>
          </cell>
        </row>
        <row r="313">
          <cell r="D313" t="str">
            <v>KB Sprzed. bezpośrednia</v>
          </cell>
        </row>
        <row r="314">
          <cell r="D314" t="str">
            <v>KB Sprzed. bezpośrednia</v>
          </cell>
        </row>
        <row r="315">
          <cell r="D315" t="str">
            <v>KB Sprzed. bezpośrednia</v>
          </cell>
        </row>
        <row r="316">
          <cell r="D316" t="str">
            <v>KB Sprzed. bezpośrednia</v>
          </cell>
        </row>
        <row r="317">
          <cell r="D317" t="str">
            <v>KC Centra dystrybucji</v>
          </cell>
        </row>
        <row r="318">
          <cell r="D318" t="str">
            <v>KC Centra dystrybucji</v>
          </cell>
        </row>
        <row r="319">
          <cell r="D319" t="str">
            <v>KC Centra dystrybucji</v>
          </cell>
        </row>
        <row r="320">
          <cell r="D320" t="str">
            <v>KC Centra dystrybucji</v>
          </cell>
        </row>
        <row r="321">
          <cell r="D321" t="str">
            <v>KC Centra dystrybucji</v>
          </cell>
        </row>
        <row r="322">
          <cell r="D322" t="str">
            <v>KC Centra dystrybucji</v>
          </cell>
        </row>
        <row r="323">
          <cell r="D323" t="str">
            <v>KC Centra dystrybucji</v>
          </cell>
        </row>
        <row r="324">
          <cell r="D324" t="str">
            <v>KC Centra dystrybucji</v>
          </cell>
        </row>
        <row r="325">
          <cell r="D325" t="str">
            <v>KC Centra dystrybucji</v>
          </cell>
        </row>
        <row r="326">
          <cell r="D326" t="str">
            <v>KC Centra dystrybucji</v>
          </cell>
        </row>
        <row r="327">
          <cell r="D327" t="str">
            <v>KC Centra dystrybucji</v>
          </cell>
        </row>
        <row r="328">
          <cell r="D328" t="str">
            <v>KC Centra dystrybucji</v>
          </cell>
        </row>
        <row r="329">
          <cell r="D329" t="str">
            <v>KC Centra dystrybucji</v>
          </cell>
        </row>
        <row r="330">
          <cell r="D330" t="str">
            <v>KC Centra dystrybucji</v>
          </cell>
        </row>
        <row r="331">
          <cell r="D331" t="str">
            <v>KC Centra dystrybucji</v>
          </cell>
        </row>
        <row r="332">
          <cell r="D332" t="str">
            <v>KC Centra dystrybucji</v>
          </cell>
        </row>
        <row r="333">
          <cell r="D333" t="str">
            <v>KC Centra dystrybucji</v>
          </cell>
        </row>
        <row r="334">
          <cell r="D334" t="str">
            <v>KC Centra dystrybucji</v>
          </cell>
        </row>
        <row r="335">
          <cell r="D335" t="str">
            <v>KC Centra dystrybucji</v>
          </cell>
        </row>
        <row r="336">
          <cell r="D336" t="str">
            <v>KC Centra dystrybucji</v>
          </cell>
        </row>
        <row r="337">
          <cell r="D337" t="str">
            <v>KC Centra dystrybucji</v>
          </cell>
        </row>
        <row r="338">
          <cell r="D338" t="str">
            <v>KC Centra dystrybucji</v>
          </cell>
        </row>
        <row r="339">
          <cell r="D339" t="str">
            <v>KC Centra dystrybucji</v>
          </cell>
        </row>
        <row r="340">
          <cell r="D340" t="str">
            <v>KC Centra dystrybucji</v>
          </cell>
        </row>
        <row r="341">
          <cell r="D341" t="str">
            <v>KC Centra dystrybucji</v>
          </cell>
        </row>
        <row r="342">
          <cell r="D342" t="str">
            <v>KC Centra dystrybucji</v>
          </cell>
        </row>
        <row r="343">
          <cell r="D343" t="str">
            <v>KC Centra dystrybucji</v>
          </cell>
        </row>
        <row r="344">
          <cell r="D344" t="str">
            <v>KC Centra dystrybucji</v>
          </cell>
        </row>
        <row r="345">
          <cell r="D345" t="str">
            <v>KC Centra dystrybucji</v>
          </cell>
        </row>
        <row r="346">
          <cell r="D346" t="str">
            <v>KC Centra dystrybucji</v>
          </cell>
        </row>
        <row r="347">
          <cell r="D347" t="str">
            <v>KC Centra dystrybucji</v>
          </cell>
        </row>
        <row r="348">
          <cell r="D348" t="str">
            <v>KC Centra dystrybucji</v>
          </cell>
        </row>
        <row r="349">
          <cell r="D349" t="str">
            <v>KC Centra dystrybucji</v>
          </cell>
        </row>
        <row r="350">
          <cell r="D350" t="str">
            <v>KC Centra dystrybucji</v>
          </cell>
        </row>
        <row r="351">
          <cell r="D351" t="str">
            <v>KC Centra dystrybucji</v>
          </cell>
        </row>
        <row r="352">
          <cell r="D352" t="str">
            <v>KC Centra dystrybucji</v>
          </cell>
        </row>
        <row r="353">
          <cell r="D353" t="str">
            <v>KC Centra dystrybucji</v>
          </cell>
        </row>
        <row r="354">
          <cell r="D354" t="str">
            <v>KC Centra dystrybucji</v>
          </cell>
        </row>
        <row r="355">
          <cell r="D355" t="str">
            <v>KC Centra dystrybucji</v>
          </cell>
        </row>
        <row r="356">
          <cell r="D356" t="str">
            <v>KC Centra dystrybucji</v>
          </cell>
        </row>
        <row r="357">
          <cell r="D357" t="str">
            <v>KC Centra dystrybucji</v>
          </cell>
        </row>
        <row r="358">
          <cell r="D358" t="str">
            <v>KC Centra dystrybucji</v>
          </cell>
        </row>
        <row r="359">
          <cell r="D359" t="str">
            <v>KC Centra dystrybucji</v>
          </cell>
        </row>
        <row r="360">
          <cell r="D360" t="str">
            <v>KC Centra dystrybucji</v>
          </cell>
        </row>
        <row r="361">
          <cell r="D361" t="str">
            <v>KC Centra dystrybucji</v>
          </cell>
        </row>
        <row r="362">
          <cell r="D362" t="str">
            <v>KC Centra dystrybucji</v>
          </cell>
        </row>
        <row r="363">
          <cell r="D363" t="str">
            <v>KC Centra dystrybucji</v>
          </cell>
        </row>
        <row r="364">
          <cell r="D364" t="str">
            <v>KC Centra dystrybucji</v>
          </cell>
        </row>
        <row r="365">
          <cell r="D365" t="str">
            <v>KC Centra dystrybucji</v>
          </cell>
        </row>
        <row r="366">
          <cell r="D366" t="str">
            <v>KC Centra dystrybucji</v>
          </cell>
        </row>
        <row r="367">
          <cell r="D367" t="str">
            <v>KC Centra dystrybucji</v>
          </cell>
        </row>
        <row r="368">
          <cell r="D368" t="str">
            <v>KC Centra dystrybucji</v>
          </cell>
        </row>
        <row r="369">
          <cell r="D369" t="str">
            <v>KC Centra dystrybucji</v>
          </cell>
        </row>
        <row r="370">
          <cell r="D370" t="str">
            <v>KC Centra dystrybucji</v>
          </cell>
        </row>
        <row r="371">
          <cell r="D371" t="str">
            <v>KC Centra dystrybucji</v>
          </cell>
        </row>
        <row r="372">
          <cell r="D372" t="str">
            <v>KC Centra dystrybucji</v>
          </cell>
        </row>
        <row r="373">
          <cell r="D373" t="str">
            <v>KC Centra dystrybucji</v>
          </cell>
        </row>
        <row r="374">
          <cell r="D374" t="str">
            <v>KC Centra dystrybucji</v>
          </cell>
        </row>
        <row r="375">
          <cell r="D375" t="str">
            <v>KC Centra dystrybucji</v>
          </cell>
        </row>
        <row r="376">
          <cell r="D376" t="str">
            <v>KC Centra dystrybucji</v>
          </cell>
        </row>
        <row r="377">
          <cell r="D377" t="str">
            <v>KC Centra dystrybucji</v>
          </cell>
        </row>
        <row r="378">
          <cell r="D378" t="str">
            <v>KC Centra dystrybucji</v>
          </cell>
        </row>
        <row r="379">
          <cell r="D379" t="str">
            <v>KC Centra dystrybucji</v>
          </cell>
        </row>
        <row r="380">
          <cell r="D380" t="str">
            <v>KC Centra dystrybucji</v>
          </cell>
        </row>
        <row r="381">
          <cell r="D381" t="str">
            <v>KC Centra dystrybucji</v>
          </cell>
        </row>
        <row r="382">
          <cell r="D382" t="str">
            <v>KC Centra dystrybucji</v>
          </cell>
        </row>
        <row r="383">
          <cell r="D383" t="str">
            <v>KC Centra dystrybucji</v>
          </cell>
        </row>
        <row r="384">
          <cell r="D384" t="str">
            <v>KC Centra dystrybucji</v>
          </cell>
        </row>
        <row r="385">
          <cell r="D385" t="str">
            <v>KC Centra dystrybucji</v>
          </cell>
        </row>
        <row r="386">
          <cell r="D386" t="str">
            <v>KC Centra dystrybucji</v>
          </cell>
        </row>
        <row r="387">
          <cell r="D387" t="str">
            <v>KC Centra dystrybucji</v>
          </cell>
        </row>
        <row r="388">
          <cell r="D388" t="str">
            <v>KC Centra dystrybucji</v>
          </cell>
        </row>
        <row r="389">
          <cell r="D389" t="str">
            <v>Nieprzypisane</v>
          </cell>
        </row>
        <row r="390">
          <cell r="D390" t="str">
            <v>Nieprzypisane</v>
          </cell>
        </row>
        <row r="391">
          <cell r="D391" t="str">
            <v>Nieprzypisane</v>
          </cell>
        </row>
        <row r="392">
          <cell r="D392" t="str">
            <v>KB Sprzed. bezpośrednia</v>
          </cell>
        </row>
        <row r="393">
          <cell r="D393" t="str">
            <v>KB Sprzed. bezpośrednia</v>
          </cell>
        </row>
        <row r="394">
          <cell r="D394" t="str">
            <v>KB Sprzed. bezpośrednia</v>
          </cell>
        </row>
        <row r="395">
          <cell r="D395" t="str">
            <v>KB Sprzed. bezpośrednia</v>
          </cell>
        </row>
        <row r="396">
          <cell r="D396" t="str">
            <v>KB Sprzed. bezpośrednia</v>
          </cell>
        </row>
        <row r="397">
          <cell r="D397" t="str">
            <v>KB Sprzed. bezpośrednia</v>
          </cell>
        </row>
        <row r="398">
          <cell r="D398" t="str">
            <v>KB Sprzed. bezpośrednia</v>
          </cell>
        </row>
        <row r="399">
          <cell r="D399" t="str">
            <v>KB Sprzed. bezpośrednia</v>
          </cell>
        </row>
        <row r="400">
          <cell r="D400" t="str">
            <v>KB Sprzed. bezpośrednia</v>
          </cell>
        </row>
        <row r="401">
          <cell r="D401" t="str">
            <v>KB Sprzed. bezpośrednia</v>
          </cell>
        </row>
        <row r="402">
          <cell r="D402" t="str">
            <v>KB Sprzed. bezpośrednia</v>
          </cell>
        </row>
        <row r="403">
          <cell r="D403" t="str">
            <v>KB Sprzed. bezpośrednia</v>
          </cell>
        </row>
        <row r="404">
          <cell r="D404" t="str">
            <v>KB Sprzed. bezpośrednia</v>
          </cell>
        </row>
        <row r="405">
          <cell r="D405" t="str">
            <v>KB Sprzed. bezpośrednia</v>
          </cell>
        </row>
        <row r="406">
          <cell r="D406" t="str">
            <v>KB Sprzed. bezpośrednia</v>
          </cell>
        </row>
        <row r="407">
          <cell r="D407" t="str">
            <v>KB Sprzed. bezpośrednia</v>
          </cell>
        </row>
        <row r="408">
          <cell r="D408" t="str">
            <v>KB Sprzed. bezpośrednia</v>
          </cell>
        </row>
        <row r="409">
          <cell r="D409" t="str">
            <v>KB Sprzed. bezpośrednia</v>
          </cell>
        </row>
        <row r="410">
          <cell r="D410" t="str">
            <v>KB Sprzed. bezpośrednia</v>
          </cell>
        </row>
        <row r="411">
          <cell r="D411" t="str">
            <v>KB Sprzed. bezpośrednia</v>
          </cell>
        </row>
        <row r="412">
          <cell r="D412" t="str">
            <v>KB Sprzed. bezpośrednia</v>
          </cell>
        </row>
        <row r="413">
          <cell r="D413" t="str">
            <v>KB Sprzed. bezpośrednia</v>
          </cell>
        </row>
        <row r="414">
          <cell r="D414" t="str">
            <v>KB Sprzed. bezpośrednia</v>
          </cell>
        </row>
        <row r="415">
          <cell r="D415" t="str">
            <v>KB Sprzed. bezpośrednia</v>
          </cell>
        </row>
        <row r="416">
          <cell r="D416" t="str">
            <v>KB Sprzed. bezpośrednia</v>
          </cell>
        </row>
        <row r="417">
          <cell r="D417" t="str">
            <v>KB Sprzed. bezpośrednia</v>
          </cell>
        </row>
        <row r="418">
          <cell r="D418" t="str">
            <v>KB Sprzed. bezpośrednia</v>
          </cell>
        </row>
        <row r="419">
          <cell r="D419" t="str">
            <v>KB Sprzed. bezpośrednia</v>
          </cell>
        </row>
        <row r="420">
          <cell r="D420" t="str">
            <v>KB Sprzed. bezpośrednia</v>
          </cell>
        </row>
        <row r="421">
          <cell r="D421" t="str">
            <v>KB Sprzed. bezpośrednia</v>
          </cell>
        </row>
        <row r="422">
          <cell r="D422" t="str">
            <v>KB Sprzed. bezpośrednia</v>
          </cell>
        </row>
        <row r="423">
          <cell r="D423" t="str">
            <v>KB Sprzed. bezpośrednia</v>
          </cell>
        </row>
        <row r="424">
          <cell r="D424" t="str">
            <v>KB Sprzed. bezpośrednia</v>
          </cell>
        </row>
        <row r="425">
          <cell r="D425" t="str">
            <v>KB Sprzed. bezpośrednia</v>
          </cell>
        </row>
        <row r="426">
          <cell r="D426" t="str">
            <v>KB Sprzed. bezpośrednia</v>
          </cell>
        </row>
        <row r="427">
          <cell r="D427" t="str">
            <v>KB Sprzed. bezpośrednia</v>
          </cell>
        </row>
        <row r="428">
          <cell r="D428" t="str">
            <v>KB Sprzed. bezpośrednia</v>
          </cell>
        </row>
        <row r="429">
          <cell r="D429" t="str">
            <v>KB Sprzed. bezpośrednia</v>
          </cell>
        </row>
        <row r="430">
          <cell r="D430" t="str">
            <v>KB Sprzed. bezpośrednia</v>
          </cell>
        </row>
        <row r="431">
          <cell r="D431" t="str">
            <v>KB Sprzed. bezpośrednia</v>
          </cell>
        </row>
        <row r="432">
          <cell r="D432" t="str">
            <v>KB Sprzed. bezpośrednia</v>
          </cell>
        </row>
        <row r="433">
          <cell r="D433" t="str">
            <v>KB Sprzed. bezpośrednia</v>
          </cell>
        </row>
        <row r="434">
          <cell r="D434" t="str">
            <v>KB Sprzed. bezpośrednia</v>
          </cell>
        </row>
        <row r="435">
          <cell r="D435" t="str">
            <v>KB Sprzed. bezpośrednia</v>
          </cell>
        </row>
        <row r="436">
          <cell r="D436" t="str">
            <v>KB Sprzed. bezpośrednia</v>
          </cell>
        </row>
        <row r="437">
          <cell r="D437" t="str">
            <v>KB Sprzed. bezpośrednia</v>
          </cell>
        </row>
        <row r="438">
          <cell r="D438" t="str">
            <v>KB Sprzed. bezpośrednia</v>
          </cell>
        </row>
        <row r="439">
          <cell r="D439" t="str">
            <v>KB Sprzed. bezpośrednia</v>
          </cell>
        </row>
        <row r="440">
          <cell r="D440" t="str">
            <v>KB Sprzed. bezpośrednia</v>
          </cell>
        </row>
        <row r="441">
          <cell r="D441" t="str">
            <v>KB Sprzed. bezpośrednia</v>
          </cell>
        </row>
        <row r="442">
          <cell r="D442" t="str">
            <v>KB Sprzed. bezpośrednia</v>
          </cell>
        </row>
        <row r="443">
          <cell r="D443" t="str">
            <v>KB Sprzed. bezpośrednia</v>
          </cell>
        </row>
        <row r="444">
          <cell r="D444" t="str">
            <v>KB Sprzed. bezpośrednia</v>
          </cell>
        </row>
        <row r="445">
          <cell r="D445" t="str">
            <v>KB Sprzed. bezpośrednia</v>
          </cell>
        </row>
        <row r="446">
          <cell r="D446" t="str">
            <v>KB Sprzed. bezpośrednia</v>
          </cell>
        </row>
        <row r="447">
          <cell r="D447" t="str">
            <v>KB Sprzed. bezpośrednia</v>
          </cell>
        </row>
        <row r="448">
          <cell r="D448" t="str">
            <v>KB Sprzed. bezpośrednia</v>
          </cell>
        </row>
        <row r="449">
          <cell r="D449" t="str">
            <v>KB Sprzed. bezpośrednia</v>
          </cell>
        </row>
        <row r="450">
          <cell r="D450" t="str">
            <v>KB Sprzed. bezpośrednia</v>
          </cell>
        </row>
        <row r="451">
          <cell r="D451" t="str">
            <v>KB Sprzed. bezpośrednia</v>
          </cell>
        </row>
        <row r="452">
          <cell r="D452" t="str">
            <v>KB Sprzed. bezpośrednia</v>
          </cell>
        </row>
        <row r="453">
          <cell r="D453" t="str">
            <v>KB Sprzed. bezpośrednia</v>
          </cell>
        </row>
        <row r="454">
          <cell r="D454" t="str">
            <v>KB Sprzed. bezpośrednia</v>
          </cell>
        </row>
        <row r="455">
          <cell r="D455" t="str">
            <v>KB Sprzed. bezpośrednia</v>
          </cell>
        </row>
        <row r="456">
          <cell r="D456" t="str">
            <v>KB Sprzed. bezpośrednia</v>
          </cell>
        </row>
        <row r="457">
          <cell r="D457" t="str">
            <v>KB Sprzed. bezpośrednia</v>
          </cell>
        </row>
        <row r="458">
          <cell r="D458" t="str">
            <v>KB Sprzed. bezpośrednia</v>
          </cell>
        </row>
        <row r="459">
          <cell r="D459" t="str">
            <v>KB Sprzed. bezpośrednia</v>
          </cell>
        </row>
        <row r="460">
          <cell r="D460" t="str">
            <v>KB Sprzed. bezpośrednia</v>
          </cell>
        </row>
        <row r="461">
          <cell r="D461" t="str">
            <v>KB Sprzed. bezpośrednia</v>
          </cell>
        </row>
        <row r="462">
          <cell r="D462" t="str">
            <v>KB Sprzed. bezpośrednia</v>
          </cell>
        </row>
        <row r="463">
          <cell r="D463" t="str">
            <v>KB Sprzed. bezpośrednia</v>
          </cell>
        </row>
        <row r="464">
          <cell r="D464" t="str">
            <v>KB Sprzed. bezpośrednia</v>
          </cell>
        </row>
        <row r="465">
          <cell r="D465" t="str">
            <v>KB Sprzed. bezpośrednia</v>
          </cell>
        </row>
        <row r="466">
          <cell r="D466" t="str">
            <v>KB Sprzed. bezpośrednia</v>
          </cell>
        </row>
        <row r="467">
          <cell r="D467" t="str">
            <v>KB Sprzed. bezpośrednia</v>
          </cell>
        </row>
        <row r="468">
          <cell r="D468" t="str">
            <v>KB Sprzed. bezpośrednia</v>
          </cell>
        </row>
        <row r="469">
          <cell r="D469" t="str">
            <v>KB Sprzed. bezpośrednia</v>
          </cell>
        </row>
        <row r="470">
          <cell r="D470" t="str">
            <v>KB Sprzed. bezpośrednia</v>
          </cell>
        </row>
        <row r="471">
          <cell r="D471" t="str">
            <v>KB Sprzed. bezpośrednia</v>
          </cell>
        </row>
        <row r="472">
          <cell r="D472" t="str">
            <v>KB Sprzed. bezpośrednia</v>
          </cell>
        </row>
        <row r="473">
          <cell r="D473" t="str">
            <v>KB Sprzed. bezpośrednia</v>
          </cell>
        </row>
        <row r="474">
          <cell r="D474" t="str">
            <v>KB Sprzed. bezpośrednia</v>
          </cell>
        </row>
        <row r="475">
          <cell r="D475" t="str">
            <v>KB Sprzed. bezpośrednia</v>
          </cell>
        </row>
        <row r="476">
          <cell r="D476" t="str">
            <v>KB Sprzed. bezpośrednia</v>
          </cell>
        </row>
        <row r="477">
          <cell r="D477" t="str">
            <v>KB Sprzed. bezpośrednia</v>
          </cell>
        </row>
        <row r="478">
          <cell r="D478" t="str">
            <v>KB Sprzed. bezpośrednia</v>
          </cell>
        </row>
        <row r="479">
          <cell r="D479" t="str">
            <v>KC Centra dystrybucji</v>
          </cell>
        </row>
        <row r="480">
          <cell r="D480" t="str">
            <v>KC Centra dystrybucji</v>
          </cell>
        </row>
        <row r="481">
          <cell r="D481" t="str">
            <v>KC Centra dystrybucji</v>
          </cell>
        </row>
        <row r="482">
          <cell r="D482" t="str">
            <v>KC Centra dystrybucji</v>
          </cell>
        </row>
        <row r="483">
          <cell r="D483" t="str">
            <v>KC Centra dystrybucji</v>
          </cell>
        </row>
        <row r="484">
          <cell r="D484" t="str">
            <v>KC Centra dystrybucji</v>
          </cell>
        </row>
        <row r="485">
          <cell r="D485" t="str">
            <v>KC Centra dystrybucji</v>
          </cell>
        </row>
        <row r="486">
          <cell r="D486" t="str">
            <v>KC Centra dystrybucji</v>
          </cell>
        </row>
        <row r="487">
          <cell r="D487" t="str">
            <v>KC Centra dystrybucji</v>
          </cell>
        </row>
        <row r="488">
          <cell r="D488" t="str">
            <v>KC Centra dystrybucji</v>
          </cell>
        </row>
        <row r="489">
          <cell r="D489" t="str">
            <v>KC Centra dystrybucji</v>
          </cell>
        </row>
        <row r="490">
          <cell r="D490" t="str">
            <v>KC Centra dystrybucji</v>
          </cell>
        </row>
        <row r="491">
          <cell r="D491" t="str">
            <v>KC Centra dystrybucji</v>
          </cell>
        </row>
        <row r="492">
          <cell r="D492" t="str">
            <v>KC Centra dystrybucji</v>
          </cell>
        </row>
        <row r="493">
          <cell r="D493" t="str">
            <v>KC Centra dystrybucji</v>
          </cell>
        </row>
        <row r="494">
          <cell r="D494" t="str">
            <v>KC Centra dystrybucji</v>
          </cell>
        </row>
        <row r="495">
          <cell r="D495" t="str">
            <v>KC Centra dystrybucji</v>
          </cell>
        </row>
        <row r="496">
          <cell r="D496" t="str">
            <v>KC Centra dystrybucji</v>
          </cell>
        </row>
        <row r="497">
          <cell r="D497" t="str">
            <v>KC Centra dystrybucji</v>
          </cell>
        </row>
        <row r="498">
          <cell r="D498" t="str">
            <v>KC Centra dystrybucji</v>
          </cell>
        </row>
        <row r="499">
          <cell r="D499" t="str">
            <v>KC Centra dystrybucji</v>
          </cell>
        </row>
        <row r="500">
          <cell r="D500" t="str">
            <v>KC Centra dystrybucji</v>
          </cell>
        </row>
        <row r="501">
          <cell r="D501" t="str">
            <v>KC Centra dystrybucji</v>
          </cell>
        </row>
        <row r="502">
          <cell r="D502" t="str">
            <v>KC Centra dystrybucji</v>
          </cell>
        </row>
        <row r="503">
          <cell r="D503" t="str">
            <v>KC Centra dystrybucji</v>
          </cell>
        </row>
        <row r="504">
          <cell r="D504" t="str">
            <v>KC Centra dystrybucji</v>
          </cell>
        </row>
        <row r="505">
          <cell r="D505" t="str">
            <v>KC Centra dystrybucji</v>
          </cell>
        </row>
        <row r="506">
          <cell r="D506" t="str">
            <v>KC Centra dystrybucji</v>
          </cell>
        </row>
        <row r="507">
          <cell r="D507" t="str">
            <v>KC Centra dystrybucji</v>
          </cell>
        </row>
        <row r="508">
          <cell r="D508" t="str">
            <v>KC Centra dystrybucji</v>
          </cell>
        </row>
        <row r="509">
          <cell r="D509" t="str">
            <v>KC Centra dystrybucji</v>
          </cell>
        </row>
        <row r="510">
          <cell r="D510" t="str">
            <v>KC Centra dystrybucji</v>
          </cell>
        </row>
        <row r="511">
          <cell r="D511" t="str">
            <v>KC Centra dystrybucji</v>
          </cell>
        </row>
        <row r="512">
          <cell r="D512" t="str">
            <v>KC Centra dystrybucji</v>
          </cell>
        </row>
        <row r="513">
          <cell r="D513" t="str">
            <v>KC Centra dystrybucji</v>
          </cell>
        </row>
        <row r="514">
          <cell r="D514" t="str">
            <v>KC Centra dystrybucji</v>
          </cell>
        </row>
        <row r="515">
          <cell r="D515" t="str">
            <v>KC Centra dystrybucji</v>
          </cell>
        </row>
        <row r="516">
          <cell r="D516" t="str">
            <v>KC Centra dystrybucji</v>
          </cell>
        </row>
        <row r="517">
          <cell r="D517" t="str">
            <v>KC Centra dystrybucji</v>
          </cell>
        </row>
        <row r="518">
          <cell r="D518" t="str">
            <v>KC Centra dystrybucji</v>
          </cell>
        </row>
        <row r="519">
          <cell r="D519" t="str">
            <v>KC Centra dystrybucji</v>
          </cell>
        </row>
        <row r="520">
          <cell r="D520" t="str">
            <v>KC Centra dystrybucji</v>
          </cell>
        </row>
        <row r="521">
          <cell r="D521" t="str">
            <v>KC Centra dystrybucji</v>
          </cell>
        </row>
        <row r="522">
          <cell r="D522" t="str">
            <v>KC Centra dystrybucji</v>
          </cell>
        </row>
        <row r="523">
          <cell r="D523" t="str">
            <v>KC Centra dystrybucji</v>
          </cell>
        </row>
        <row r="524">
          <cell r="D524" t="str">
            <v>KC Centra dystrybucji</v>
          </cell>
        </row>
        <row r="525">
          <cell r="D525" t="str">
            <v>Nieprzypisane</v>
          </cell>
        </row>
        <row r="526">
          <cell r="D526" t="str">
            <v>KB Sprzed. bezpośrednia</v>
          </cell>
        </row>
        <row r="527">
          <cell r="D527" t="str">
            <v>KB Sprzed. bezpośrednia</v>
          </cell>
        </row>
        <row r="528">
          <cell r="D528" t="str">
            <v>KB Sprzed. bezpośrednia</v>
          </cell>
        </row>
        <row r="529">
          <cell r="D529" t="str">
            <v>KB Sprzed. bezpośrednia</v>
          </cell>
        </row>
        <row r="530">
          <cell r="D530" t="str">
            <v>KB Sprzed. bezpośrednia</v>
          </cell>
        </row>
        <row r="531">
          <cell r="D531" t="str">
            <v>KB Sprzed. bezpośrednia</v>
          </cell>
        </row>
        <row r="532">
          <cell r="D532" t="str">
            <v>KB Sprzed. bezpośrednia</v>
          </cell>
        </row>
        <row r="533">
          <cell r="D533" t="str">
            <v>KB Sprzed. bezpośrednia</v>
          </cell>
        </row>
        <row r="534">
          <cell r="D534" t="str">
            <v>KB Sprzed. bezpośrednia</v>
          </cell>
        </row>
        <row r="535">
          <cell r="D535" t="str">
            <v>KB Sprzed. bezpośrednia</v>
          </cell>
        </row>
        <row r="536">
          <cell r="D536" t="str">
            <v>KB Sprzed. bezpośrednia</v>
          </cell>
        </row>
        <row r="537">
          <cell r="D537" t="str">
            <v>KB Sprzed. bezpośrednia</v>
          </cell>
        </row>
        <row r="538">
          <cell r="D538" t="str">
            <v>KB Sprzed. bezpośrednia</v>
          </cell>
        </row>
        <row r="539">
          <cell r="D539" t="str">
            <v>KB Sprzed. bezpośrednia</v>
          </cell>
        </row>
        <row r="540">
          <cell r="D540" t="str">
            <v>KB Sprzed. bezpośrednia</v>
          </cell>
        </row>
        <row r="541">
          <cell r="D541" t="str">
            <v>KB Sprzed. bezpośrednia</v>
          </cell>
        </row>
        <row r="542">
          <cell r="D542" t="str">
            <v>KB Sprzed. bezpośrednia</v>
          </cell>
        </row>
        <row r="543">
          <cell r="D543" t="str">
            <v>KB Sprzed. bezpośrednia</v>
          </cell>
        </row>
        <row r="544">
          <cell r="D544" t="str">
            <v>KB Sprzed. bezpośrednia</v>
          </cell>
        </row>
        <row r="545">
          <cell r="D545" t="str">
            <v>KB Sprzed. bezpośrednia</v>
          </cell>
        </row>
        <row r="546">
          <cell r="D546" t="str">
            <v>KB Sprzed. bezpośrednia</v>
          </cell>
        </row>
        <row r="547">
          <cell r="D547" t="str">
            <v>KB Sprzed. bezpośrednia</v>
          </cell>
        </row>
        <row r="548">
          <cell r="D548" t="str">
            <v>KB Sprzed. bezpośrednia</v>
          </cell>
        </row>
        <row r="549">
          <cell r="D549" t="str">
            <v>KB Sprzed. bezpośrednia</v>
          </cell>
        </row>
        <row r="550">
          <cell r="D550" t="str">
            <v>KB Sprzed. bezpośrednia</v>
          </cell>
        </row>
        <row r="551">
          <cell r="D551" t="str">
            <v>KB Sprzed. bezpośrednia</v>
          </cell>
        </row>
        <row r="552">
          <cell r="D552" t="str">
            <v>KB Sprzed. bezpośrednia</v>
          </cell>
        </row>
        <row r="553">
          <cell r="D553" t="str">
            <v>KB Sprzed. bezpośrednia</v>
          </cell>
        </row>
        <row r="554">
          <cell r="D554" t="str">
            <v>KB Sprzed. bezpośrednia</v>
          </cell>
        </row>
        <row r="555">
          <cell r="D555" t="str">
            <v>KB Sprzed. bezpośrednia</v>
          </cell>
        </row>
        <row r="556">
          <cell r="D556" t="str">
            <v>KB Sprzed. bezpośrednia</v>
          </cell>
        </row>
        <row r="557">
          <cell r="D557" t="str">
            <v>KB Sprzed. bezpośrednia</v>
          </cell>
        </row>
        <row r="558">
          <cell r="D558" t="str">
            <v>KB Sprzed. bezpośrednia</v>
          </cell>
        </row>
        <row r="559">
          <cell r="D559" t="str">
            <v>KB Sprzed. bezpośrednia</v>
          </cell>
        </row>
        <row r="560">
          <cell r="D560" t="str">
            <v>KB Sprzed. bezpośrednia</v>
          </cell>
        </row>
        <row r="561">
          <cell r="D561" t="str">
            <v>KB Sprzed. bezpośrednia</v>
          </cell>
        </row>
        <row r="562">
          <cell r="D562" t="str">
            <v>KB Sprzed. bezpośrednia</v>
          </cell>
        </row>
        <row r="563">
          <cell r="D563" t="str">
            <v>KB Sprzed. bezpośrednia</v>
          </cell>
        </row>
        <row r="564">
          <cell r="D564" t="str">
            <v>KB Sprzed. bezpośrednia</v>
          </cell>
        </row>
        <row r="565">
          <cell r="D565" t="str">
            <v>KB Sprzed. bezpośrednia</v>
          </cell>
        </row>
        <row r="566">
          <cell r="D566" t="str">
            <v>KB Sprzed. bezpośrednia</v>
          </cell>
        </row>
        <row r="567">
          <cell r="D567" t="str">
            <v>KB Sprzed. bezpośrednia</v>
          </cell>
        </row>
        <row r="568">
          <cell r="D568" t="str">
            <v>KB Sprzed. bezpośrednia</v>
          </cell>
        </row>
        <row r="569">
          <cell r="D569" t="str">
            <v>KB Sprzed. bezpośrednia</v>
          </cell>
        </row>
        <row r="570">
          <cell r="D570" t="str">
            <v>KB Sprzed. bezpośrednia</v>
          </cell>
        </row>
        <row r="571">
          <cell r="D571" t="str">
            <v>KB Sprzed. bezpośrednia</v>
          </cell>
        </row>
        <row r="572">
          <cell r="D572" t="str">
            <v>KB Sprzed. bezpośrednia</v>
          </cell>
        </row>
        <row r="573">
          <cell r="D573" t="str">
            <v>KB Sprzed. bezpośrednia</v>
          </cell>
        </row>
        <row r="574">
          <cell r="D574" t="str">
            <v>KB Sprzed. bezpośrednia</v>
          </cell>
        </row>
        <row r="575">
          <cell r="D575" t="str">
            <v>KB Sprzed. bezpośrednia</v>
          </cell>
        </row>
        <row r="576">
          <cell r="D576" t="str">
            <v>KB Sprzed. bezpośrednia</v>
          </cell>
        </row>
        <row r="577">
          <cell r="D577" t="str">
            <v>KB Sprzed. bezpośrednia</v>
          </cell>
        </row>
        <row r="578">
          <cell r="D578" t="str">
            <v>KB Sprzed. bezpośrednia</v>
          </cell>
        </row>
        <row r="579">
          <cell r="D579" t="str">
            <v>KB Sprzed. bezpośrednia</v>
          </cell>
        </row>
        <row r="580">
          <cell r="D580" t="str">
            <v>KC Centra dystrybucji</v>
          </cell>
        </row>
        <row r="581">
          <cell r="D581" t="str">
            <v>KC Centra dystrybucji</v>
          </cell>
        </row>
        <row r="582">
          <cell r="D582" t="str">
            <v>KC Centra dystrybucji</v>
          </cell>
        </row>
        <row r="583">
          <cell r="D583" t="str">
            <v>KC Centra dystrybucji</v>
          </cell>
        </row>
        <row r="584">
          <cell r="D584" t="str">
            <v>KC Centra dystrybucji</v>
          </cell>
        </row>
        <row r="585">
          <cell r="D585" t="str">
            <v>KC Centra dystrybucji</v>
          </cell>
        </row>
        <row r="586">
          <cell r="D586" t="str">
            <v>KC Centra dystrybucji</v>
          </cell>
        </row>
        <row r="587">
          <cell r="D587" t="str">
            <v>KC Centra dystrybucji</v>
          </cell>
        </row>
        <row r="588">
          <cell r="D588" t="str">
            <v>KB Sprzed. bezpośrednia</v>
          </cell>
        </row>
        <row r="589">
          <cell r="D589" t="str">
            <v>KB Sprzed. bezpośrednia</v>
          </cell>
        </row>
        <row r="590">
          <cell r="D590" t="str">
            <v>KB Sprzed. bezpośrednia</v>
          </cell>
        </row>
        <row r="591">
          <cell r="D591" t="str">
            <v>KB Sprzed. bezpośrednia</v>
          </cell>
        </row>
        <row r="592">
          <cell r="D592" t="str">
            <v>KB Sprzed. bezpośrednia</v>
          </cell>
        </row>
        <row r="593">
          <cell r="D593" t="str">
            <v>KB Sprzed. bezpośrednia</v>
          </cell>
        </row>
        <row r="594">
          <cell r="D594" t="str">
            <v>KB Sprzed. bezpośrednia</v>
          </cell>
        </row>
        <row r="595">
          <cell r="D595" t="str">
            <v>KB Sprzed. bezpośrednia</v>
          </cell>
        </row>
        <row r="596">
          <cell r="D596" t="str">
            <v>KB Sprzed. bezpośrednia</v>
          </cell>
        </row>
        <row r="597">
          <cell r="D597" t="str">
            <v>KB Sprzed. bezpośrednia</v>
          </cell>
        </row>
        <row r="598">
          <cell r="D598" t="str">
            <v>KB Sprzed. bezpośrednia</v>
          </cell>
        </row>
        <row r="599">
          <cell r="D599" t="str">
            <v>KB Sprzed. bezpośrednia</v>
          </cell>
        </row>
        <row r="600">
          <cell r="D600" t="str">
            <v>KB Sprzed. bezpośrednia</v>
          </cell>
        </row>
        <row r="601">
          <cell r="D601" t="str">
            <v>KB Sprzed. bezpośrednia</v>
          </cell>
        </row>
        <row r="602">
          <cell r="D602" t="str">
            <v>KB Sprzed. bezpośrednia</v>
          </cell>
        </row>
        <row r="603">
          <cell r="D603" t="str">
            <v>KB Sprzed. bezpośrednia</v>
          </cell>
        </row>
        <row r="604">
          <cell r="D604" t="str">
            <v>KB Sprzed. bezpośrednia</v>
          </cell>
        </row>
        <row r="605">
          <cell r="D605" t="str">
            <v>KB Sprzed. bezpośrednia</v>
          </cell>
        </row>
        <row r="606">
          <cell r="D606" t="str">
            <v>KB Sprzed. bezpośrednia</v>
          </cell>
        </row>
        <row r="607">
          <cell r="D607" t="str">
            <v>KB Sprzed. bezpośrednia</v>
          </cell>
        </row>
        <row r="608">
          <cell r="D608" t="str">
            <v>KB Sprzed. bezpośrednia</v>
          </cell>
        </row>
        <row r="609">
          <cell r="D609" t="str">
            <v>KB Sprzed. bezpośrednia</v>
          </cell>
        </row>
        <row r="610">
          <cell r="D610" t="str">
            <v>KB Sprzed. bezpośrednia</v>
          </cell>
        </row>
        <row r="611">
          <cell r="D611" t="str">
            <v>KB Sprzed. bezpośrednia</v>
          </cell>
        </row>
        <row r="612">
          <cell r="D612" t="str">
            <v>KB Sprzed. bezpośrednia</v>
          </cell>
        </row>
        <row r="613">
          <cell r="D613" t="str">
            <v>KB Sprzed. bezpośrednia</v>
          </cell>
        </row>
        <row r="614">
          <cell r="D614" t="str">
            <v>KB Sprzed. bezpośrednia</v>
          </cell>
        </row>
        <row r="615">
          <cell r="D615" t="str">
            <v>KB Sprzed. bezpośrednia</v>
          </cell>
        </row>
        <row r="616">
          <cell r="D616" t="str">
            <v>KB Sprzed. bezpośrednia</v>
          </cell>
        </row>
        <row r="617">
          <cell r="D617" t="str">
            <v>KB Sprzed. bezpośrednia</v>
          </cell>
        </row>
        <row r="618">
          <cell r="D618" t="str">
            <v>KB Sprzed. bezpośrednia</v>
          </cell>
        </row>
        <row r="619">
          <cell r="D619" t="str">
            <v>KB Sprzed. bezpośrednia</v>
          </cell>
        </row>
        <row r="620">
          <cell r="D620" t="str">
            <v>KB Sprzed. bezpośrednia</v>
          </cell>
        </row>
        <row r="621">
          <cell r="D621" t="str">
            <v>KB Sprzed. bezpośrednia</v>
          </cell>
        </row>
        <row r="622">
          <cell r="D622" t="str">
            <v>KB Sprzed. bezpośrednia</v>
          </cell>
        </row>
        <row r="623">
          <cell r="D623" t="str">
            <v>KB Sprzed. bezpośrednia</v>
          </cell>
        </row>
        <row r="624">
          <cell r="D624" t="str">
            <v>KB Sprzed. bezpośrednia</v>
          </cell>
        </row>
        <row r="625">
          <cell r="D625" t="str">
            <v>KB Sprzed. bezpośrednia</v>
          </cell>
        </row>
        <row r="626">
          <cell r="D626" t="str">
            <v>KB Sprzed. bezpośrednia</v>
          </cell>
        </row>
        <row r="627">
          <cell r="D627" t="str">
            <v>KB Sprzed. bezpośrednia</v>
          </cell>
        </row>
        <row r="628">
          <cell r="D628" t="str">
            <v>KB Sprzed. bezpośrednia</v>
          </cell>
        </row>
        <row r="629">
          <cell r="D629" t="str">
            <v>KB Sprzed. bezpośrednia</v>
          </cell>
        </row>
        <row r="630">
          <cell r="D630" t="str">
            <v>KB Sprzed. bezpośrednia</v>
          </cell>
        </row>
        <row r="631">
          <cell r="D631" t="str">
            <v>KB Sprzed. bezpośrednia</v>
          </cell>
        </row>
        <row r="632">
          <cell r="D632" t="str">
            <v>KB Sprzed. bezpośrednia</v>
          </cell>
        </row>
        <row r="633">
          <cell r="D633" t="str">
            <v>KB Sprzed. bezpośrednia</v>
          </cell>
        </row>
        <row r="634">
          <cell r="D634" t="str">
            <v>KB Sprzed. bezpośrednia</v>
          </cell>
        </row>
        <row r="635">
          <cell r="D635" t="str">
            <v>KB Sprzed. bezpośrednia</v>
          </cell>
        </row>
        <row r="636">
          <cell r="D636" t="str">
            <v>KB Sprzed. bezpośrednia</v>
          </cell>
        </row>
        <row r="637">
          <cell r="D637" t="str">
            <v>KB Sprzed. bezpośrednia</v>
          </cell>
        </row>
        <row r="638">
          <cell r="D638" t="str">
            <v>KB Sprzed. bezpośrednia</v>
          </cell>
        </row>
        <row r="639">
          <cell r="D639" t="str">
            <v>KB Sprzed. bezpośrednia</v>
          </cell>
        </row>
        <row r="640">
          <cell r="D640" t="str">
            <v>KB Sprzed. bezpośrednia</v>
          </cell>
        </row>
        <row r="641">
          <cell r="D641" t="str">
            <v>KB Sprzed. bezpośrednia</v>
          </cell>
        </row>
        <row r="642">
          <cell r="D642" t="str">
            <v>KB Sprzed. bezpośrednia</v>
          </cell>
        </row>
        <row r="643">
          <cell r="D643" t="str">
            <v>KB Sprzed. bezpośrednia</v>
          </cell>
        </row>
        <row r="644">
          <cell r="D644" t="str">
            <v>KB Sprzed. bezpośrednia</v>
          </cell>
        </row>
        <row r="645">
          <cell r="D645" t="str">
            <v>KB Sprzed. bezpośrednia</v>
          </cell>
        </row>
        <row r="646">
          <cell r="D646" t="str">
            <v>KB Sprzed. bezpośrednia</v>
          </cell>
        </row>
        <row r="647">
          <cell r="D647" t="str">
            <v>KB Sprzed. bezpośrednia</v>
          </cell>
        </row>
        <row r="648">
          <cell r="D648" t="str">
            <v>KB Sprzed. bezpośrednia</v>
          </cell>
        </row>
        <row r="649">
          <cell r="D649" t="str">
            <v>KB Sprzed. bezpośrednia</v>
          </cell>
        </row>
        <row r="650">
          <cell r="D650" t="str">
            <v>KB Sprzed. bezpośrednia</v>
          </cell>
        </row>
        <row r="651">
          <cell r="D651" t="str">
            <v>KB Sprzed. bezpośrednia</v>
          </cell>
        </row>
        <row r="652">
          <cell r="D652" t="str">
            <v>KB Sprzed. bezpośrednia</v>
          </cell>
        </row>
        <row r="653">
          <cell r="D653" t="str">
            <v>KB Sprzed. bezpośrednia</v>
          </cell>
        </row>
        <row r="654">
          <cell r="D654" t="str">
            <v>KB Sprzed. bezpośrednia</v>
          </cell>
        </row>
        <row r="655">
          <cell r="D655" t="str">
            <v>KB Sprzed. bezpośrednia</v>
          </cell>
        </row>
        <row r="656">
          <cell r="D656" t="str">
            <v>KB Sprzed. bezpośrednia</v>
          </cell>
        </row>
        <row r="657">
          <cell r="D657" t="str">
            <v>KB Sprzed. bezpośrednia</v>
          </cell>
        </row>
        <row r="658">
          <cell r="D658" t="str">
            <v>KB Sprzed. bezpośrednia</v>
          </cell>
        </row>
        <row r="659">
          <cell r="D659" t="str">
            <v>KB Sprzed. bezpośrednia</v>
          </cell>
        </row>
        <row r="660">
          <cell r="D660" t="str">
            <v>KB Sprzed. bezpośrednia</v>
          </cell>
        </row>
        <row r="661">
          <cell r="D661" t="str">
            <v>KB Sprzed. bezpośrednia</v>
          </cell>
        </row>
        <row r="662">
          <cell r="D662" t="str">
            <v>KB Sprzed. bezpośrednia</v>
          </cell>
        </row>
        <row r="663">
          <cell r="D663" t="str">
            <v>KB Sprzed. bezpośrednia</v>
          </cell>
        </row>
        <row r="664">
          <cell r="D664" t="str">
            <v>KB Sprzed. bezpośrednia</v>
          </cell>
        </row>
        <row r="665">
          <cell r="D665" t="str">
            <v>KB Sprzed. bezpośrednia</v>
          </cell>
        </row>
        <row r="666">
          <cell r="D666" t="str">
            <v>KB Sprzed. bezpośrednia</v>
          </cell>
        </row>
        <row r="667">
          <cell r="D667" t="str">
            <v>KB Sprzed. bezpośrednia</v>
          </cell>
        </row>
        <row r="668">
          <cell r="D668" t="str">
            <v>KB Sprzed. bezpośrednia</v>
          </cell>
        </row>
        <row r="669">
          <cell r="D669" t="str">
            <v>KB Sprzed. bezpośrednia</v>
          </cell>
        </row>
        <row r="670">
          <cell r="D670" t="str">
            <v>KB Sprzed. bezpośrednia</v>
          </cell>
        </row>
        <row r="671">
          <cell r="D671" t="str">
            <v>KB Sprzed. bezpośrednia</v>
          </cell>
        </row>
        <row r="672">
          <cell r="D672" t="str">
            <v>KB Sprzed. bezpośrednia</v>
          </cell>
        </row>
        <row r="673">
          <cell r="D673" t="str">
            <v>KB Sprzed. bezpośrednia</v>
          </cell>
        </row>
        <row r="674">
          <cell r="D674" t="str">
            <v>KB Sprzed. bezpośrednia</v>
          </cell>
        </row>
        <row r="675">
          <cell r="D675" t="str">
            <v>KB Sprzed. bezpośrednia</v>
          </cell>
        </row>
        <row r="676">
          <cell r="D676" t="str">
            <v>KB Sprzed. bezpośrednia</v>
          </cell>
        </row>
        <row r="677">
          <cell r="D677" t="str">
            <v>KB Sprzed. bezpośrednia</v>
          </cell>
        </row>
        <row r="678">
          <cell r="D678" t="str">
            <v>KB Sprzed. bezpośrednia</v>
          </cell>
        </row>
        <row r="679">
          <cell r="D679" t="str">
            <v>KB Sprzed. bezpośrednia</v>
          </cell>
        </row>
        <row r="680">
          <cell r="D680" t="str">
            <v>KB Sprzed. bezpośrednia</v>
          </cell>
        </row>
        <row r="681">
          <cell r="D681" t="str">
            <v>KB Sprzed. bezpośrednia</v>
          </cell>
        </row>
        <row r="682">
          <cell r="D682" t="str">
            <v>KB Sprzed. bezpośrednia</v>
          </cell>
        </row>
        <row r="683">
          <cell r="D683" t="str">
            <v>KB Sprzed. bezpośrednia</v>
          </cell>
        </row>
        <row r="684">
          <cell r="D684" t="str">
            <v>KB Sprzed. bezpośrednia</v>
          </cell>
        </row>
        <row r="685">
          <cell r="D685" t="str">
            <v>KB Sprzed. bezpośrednia</v>
          </cell>
        </row>
        <row r="686">
          <cell r="D686" t="str">
            <v>KB Sprzed. bezpośrednia</v>
          </cell>
        </row>
        <row r="687">
          <cell r="D687" t="str">
            <v>KB Sprzed. bezpośrednia</v>
          </cell>
        </row>
        <row r="688">
          <cell r="D688" t="str">
            <v>KB Sprzed. bezpośrednia</v>
          </cell>
        </row>
        <row r="689">
          <cell r="D689" t="str">
            <v>KB Sprzed. bezpośrednia</v>
          </cell>
        </row>
        <row r="690">
          <cell r="D690" t="str">
            <v>KB Sprzed. bezpośrednia</v>
          </cell>
        </row>
        <row r="691">
          <cell r="D691" t="str">
            <v>KC Centra dystrybucji</v>
          </cell>
        </row>
        <row r="692">
          <cell r="D692" t="str">
            <v>KC Centra dystrybucji</v>
          </cell>
        </row>
        <row r="693">
          <cell r="D693" t="str">
            <v>KC Centra dystrybucji</v>
          </cell>
        </row>
        <row r="694">
          <cell r="D694" t="str">
            <v>KC Centra dystrybucji</v>
          </cell>
        </row>
        <row r="695">
          <cell r="D695" t="str">
            <v>KC Centra dystrybucji</v>
          </cell>
        </row>
        <row r="696">
          <cell r="D696" t="str">
            <v>KC Centra dystrybucji</v>
          </cell>
        </row>
        <row r="697">
          <cell r="D697" t="str">
            <v>KC Centra dystrybucji</v>
          </cell>
        </row>
        <row r="698">
          <cell r="D698" t="str">
            <v>KC Centra dystrybucji</v>
          </cell>
        </row>
        <row r="699">
          <cell r="D699" t="str">
            <v>KC Centra dystrybucji</v>
          </cell>
        </row>
        <row r="700">
          <cell r="D700" t="str">
            <v>KC Centra dystrybucji</v>
          </cell>
        </row>
        <row r="701">
          <cell r="D701" t="str">
            <v>KC Centra dystrybucji</v>
          </cell>
        </row>
        <row r="702">
          <cell r="D702" t="str">
            <v>KC Centra dystrybucji</v>
          </cell>
        </row>
        <row r="703">
          <cell r="D703" t="str">
            <v>KC Centra dystrybucji</v>
          </cell>
        </row>
        <row r="704">
          <cell r="D704" t="str">
            <v>KC Centra dystrybucji</v>
          </cell>
        </row>
        <row r="705">
          <cell r="D705" t="str">
            <v>KC Centra dystrybucji</v>
          </cell>
        </row>
        <row r="706">
          <cell r="D706" t="str">
            <v>KC Centra dystrybucji</v>
          </cell>
        </row>
        <row r="707">
          <cell r="D707" t="str">
            <v>KC Centra dystrybucji</v>
          </cell>
        </row>
        <row r="708">
          <cell r="D708" t="str">
            <v>KC Centra dystrybucji</v>
          </cell>
        </row>
        <row r="709">
          <cell r="D709" t="str">
            <v>KC Centra dystrybucji</v>
          </cell>
        </row>
        <row r="710">
          <cell r="D710" t="str">
            <v>KC Centra dystrybucji</v>
          </cell>
        </row>
        <row r="711">
          <cell r="D711" t="str">
            <v>KC Centra dystrybucji</v>
          </cell>
        </row>
        <row r="712">
          <cell r="D712" t="str">
            <v>KC Centra dystrybucji</v>
          </cell>
        </row>
        <row r="713">
          <cell r="D713" t="str">
            <v>KC Centra dystrybucji</v>
          </cell>
        </row>
        <row r="714">
          <cell r="D714" t="str">
            <v>KC Centra dystrybucji</v>
          </cell>
        </row>
        <row r="715">
          <cell r="D715" t="str">
            <v>KC Centra dystrybucji</v>
          </cell>
        </row>
        <row r="716">
          <cell r="D716" t="str">
            <v>KC Centra dystrybucji</v>
          </cell>
        </row>
        <row r="717">
          <cell r="D717" t="str">
            <v>KC Centra dystrybucji</v>
          </cell>
        </row>
        <row r="718">
          <cell r="D718" t="str">
            <v>KC Centra dystrybucji</v>
          </cell>
        </row>
        <row r="719">
          <cell r="D719" t="str">
            <v>KC Centra dystrybucji</v>
          </cell>
        </row>
        <row r="720">
          <cell r="D720" t="str">
            <v>KC Centra dystrybucji</v>
          </cell>
        </row>
        <row r="721">
          <cell r="D721" t="str">
            <v>KC Centra dystrybucji</v>
          </cell>
        </row>
        <row r="722">
          <cell r="D722" t="str">
            <v>KC Centra dystrybucji</v>
          </cell>
        </row>
        <row r="723">
          <cell r="D723" t="str">
            <v>KC Centra dystrybucji</v>
          </cell>
        </row>
        <row r="724">
          <cell r="D724" t="str">
            <v>KC Centra dystrybucji</v>
          </cell>
        </row>
        <row r="725">
          <cell r="D725" t="str">
            <v>KC Centra dystrybucji</v>
          </cell>
        </row>
        <row r="726">
          <cell r="D726" t="str">
            <v>KC Centra dystrybucji</v>
          </cell>
        </row>
        <row r="727">
          <cell r="D727" t="str">
            <v>KC Centra dystrybucji</v>
          </cell>
        </row>
        <row r="728">
          <cell r="D728" t="str">
            <v>KC Centra dystrybucji</v>
          </cell>
        </row>
        <row r="729">
          <cell r="D729" t="str">
            <v>KC Centra dystrybucji</v>
          </cell>
        </row>
        <row r="730">
          <cell r="D730" t="str">
            <v>KC Centra dystrybucji</v>
          </cell>
        </row>
        <row r="731">
          <cell r="D731" t="str">
            <v>KC Centra dystrybucji</v>
          </cell>
        </row>
        <row r="732">
          <cell r="D732" t="str">
            <v>KC Centra dystrybucji</v>
          </cell>
        </row>
        <row r="733">
          <cell r="D733" t="str">
            <v>KC Centra dystrybucji</v>
          </cell>
        </row>
        <row r="734">
          <cell r="D734" t="str">
            <v>KC Centra dystrybucji</v>
          </cell>
        </row>
        <row r="735">
          <cell r="D735" t="str">
            <v>KC Centra dystrybucji</v>
          </cell>
        </row>
        <row r="736">
          <cell r="D736" t="str">
            <v>KC Centra dystrybucji</v>
          </cell>
        </row>
        <row r="737">
          <cell r="D737" t="str">
            <v>KC Centra dystrybucji</v>
          </cell>
        </row>
        <row r="738">
          <cell r="D738" t="str">
            <v>KC Centra dystrybucji</v>
          </cell>
        </row>
        <row r="739">
          <cell r="D739" t="str">
            <v>KC Centra dystrybucji</v>
          </cell>
        </row>
        <row r="740">
          <cell r="D740" t="str">
            <v>KC Centra dystrybucji</v>
          </cell>
        </row>
        <row r="741">
          <cell r="D741" t="str">
            <v>KC Centra dystrybucji</v>
          </cell>
        </row>
        <row r="742">
          <cell r="D742" t="str">
            <v>KC Centra dystrybucji</v>
          </cell>
        </row>
        <row r="743">
          <cell r="D743" t="str">
            <v>Nieprzypisane</v>
          </cell>
        </row>
        <row r="744">
          <cell r="D744" t="str">
            <v>KB Sprzed. bezpośrednia</v>
          </cell>
        </row>
        <row r="745">
          <cell r="D745" t="str">
            <v>KB Sprzed. bezpośrednia</v>
          </cell>
        </row>
        <row r="746">
          <cell r="D746" t="str">
            <v>KB Sprzed. bezpośrednia</v>
          </cell>
        </row>
        <row r="747">
          <cell r="D747" t="str">
            <v>KB Sprzed. bezpośrednia</v>
          </cell>
        </row>
        <row r="748">
          <cell r="D748" t="str">
            <v>KB Sprzed. bezpośrednia</v>
          </cell>
        </row>
        <row r="749">
          <cell r="D749" t="str">
            <v>KB Sprzed. bezpośrednia</v>
          </cell>
        </row>
        <row r="750">
          <cell r="D750" t="str">
            <v>KB Sprzed. bezpośrednia</v>
          </cell>
        </row>
        <row r="751">
          <cell r="D751" t="str">
            <v>KB Sprzed. bezpośrednia</v>
          </cell>
        </row>
        <row r="752">
          <cell r="D752" t="str">
            <v>KB Sprzed. bezpośrednia</v>
          </cell>
        </row>
        <row r="753">
          <cell r="D753" t="str">
            <v>KB Sprzed. bezpośrednia</v>
          </cell>
        </row>
        <row r="754">
          <cell r="D754" t="str">
            <v>KB Sprzed. bezpośrednia</v>
          </cell>
        </row>
        <row r="755">
          <cell r="D755" t="str">
            <v>KB Sprzed. bezpośrednia</v>
          </cell>
        </row>
        <row r="756">
          <cell r="D756" t="str">
            <v>KB Sprzed. bezpośrednia</v>
          </cell>
        </row>
        <row r="757">
          <cell r="D757" t="str">
            <v>KB Sprzed. bezpośrednia</v>
          </cell>
        </row>
        <row r="758">
          <cell r="D758" t="str">
            <v>KB Sprzed. bezpośrednia</v>
          </cell>
        </row>
        <row r="759">
          <cell r="D759" t="str">
            <v>KB Sprzed. bezpośrednia</v>
          </cell>
        </row>
        <row r="760">
          <cell r="D760" t="str">
            <v>KB Sprzed. bezpośrednia</v>
          </cell>
        </row>
        <row r="761">
          <cell r="D761" t="str">
            <v>KB Sprzed. bezpośrednia</v>
          </cell>
        </row>
        <row r="762">
          <cell r="D762" t="str">
            <v>KB Sprzed. bezpośrednia</v>
          </cell>
        </row>
        <row r="763">
          <cell r="D763" t="str">
            <v>KB Sprzed. bezpośrednia</v>
          </cell>
        </row>
        <row r="764">
          <cell r="D764" t="str">
            <v>KB Sprzed. bezpośrednia</v>
          </cell>
        </row>
        <row r="765">
          <cell r="D765" t="str">
            <v>KB Sprzed. bezpośrednia</v>
          </cell>
        </row>
        <row r="766">
          <cell r="D766" t="str">
            <v>KB Sprzed. bezpośrednia</v>
          </cell>
        </row>
        <row r="767">
          <cell r="D767" t="str">
            <v>KB Sprzed. bezpośrednia</v>
          </cell>
        </row>
        <row r="768">
          <cell r="D768" t="str">
            <v>KB Sprzed. bezpośrednia</v>
          </cell>
        </row>
        <row r="769">
          <cell r="D769" t="str">
            <v>KB Sprzed. bezpośrednia</v>
          </cell>
        </row>
        <row r="770">
          <cell r="D770" t="str">
            <v>KB Sprzed. bezpośrednia</v>
          </cell>
        </row>
        <row r="771">
          <cell r="D771" t="str">
            <v>KB Sprzed. bezpośrednia</v>
          </cell>
        </row>
        <row r="772">
          <cell r="D772" t="str">
            <v>KB Sprzed. bezpośrednia</v>
          </cell>
        </row>
        <row r="773">
          <cell r="D773" t="str">
            <v>KB Sprzed. bezpośrednia</v>
          </cell>
        </row>
        <row r="774">
          <cell r="D774" t="str">
            <v>KB Sprzed. bezpośrednia</v>
          </cell>
        </row>
        <row r="775">
          <cell r="D775" t="str">
            <v>KB Sprzed. bezpośrednia</v>
          </cell>
        </row>
        <row r="776">
          <cell r="D776" t="str">
            <v>KB Sprzed. bezpośrednia</v>
          </cell>
        </row>
        <row r="777">
          <cell r="D777" t="str">
            <v>KB Sprzed. bezpośrednia</v>
          </cell>
        </row>
        <row r="778">
          <cell r="D778" t="str">
            <v>KB Sprzed. bezpośrednia</v>
          </cell>
        </row>
        <row r="779">
          <cell r="D779" t="str">
            <v>KB Sprzed. bezpośrednia</v>
          </cell>
        </row>
        <row r="780">
          <cell r="D780" t="str">
            <v>KB Sprzed. bezpośrednia</v>
          </cell>
        </row>
        <row r="781">
          <cell r="D781" t="str">
            <v>KB Sprzed. bezpośrednia</v>
          </cell>
        </row>
        <row r="782">
          <cell r="D782" t="str">
            <v>KB Sprzed. bezpośrednia</v>
          </cell>
        </row>
        <row r="783">
          <cell r="D783" t="str">
            <v>KB Sprzed. bezpośrednia</v>
          </cell>
        </row>
        <row r="784">
          <cell r="D784" t="str">
            <v>KB Sprzed. bezpośrednia</v>
          </cell>
        </row>
        <row r="785">
          <cell r="D785" t="str">
            <v>KB Sprzed. bezpośrednia</v>
          </cell>
        </row>
        <row r="786">
          <cell r="D786" t="str">
            <v>KB Sprzed. bezpośrednia</v>
          </cell>
        </row>
        <row r="787">
          <cell r="D787" t="str">
            <v>KB Sprzed. bezpośrednia</v>
          </cell>
        </row>
        <row r="788">
          <cell r="D788" t="str">
            <v>KB Sprzed. bezpośrednia</v>
          </cell>
        </row>
        <row r="789">
          <cell r="D789" t="str">
            <v>KB Sprzed. bezpośrednia</v>
          </cell>
        </row>
        <row r="790">
          <cell r="D790" t="str">
            <v>KB Sprzed. bezpośrednia</v>
          </cell>
        </row>
        <row r="791">
          <cell r="D791" t="str">
            <v>KB Sprzed. bezpośrednia</v>
          </cell>
        </row>
        <row r="792">
          <cell r="D792" t="str">
            <v>KB Sprzed. bezpośrednia</v>
          </cell>
        </row>
        <row r="793">
          <cell r="D793" t="str">
            <v>KB Sprzed. bezpośrednia</v>
          </cell>
        </row>
        <row r="794">
          <cell r="D794" t="str">
            <v>KB Sprzed. bezpośrednia</v>
          </cell>
        </row>
        <row r="795">
          <cell r="D795" t="str">
            <v>KB Sprzed. bezpośrednia</v>
          </cell>
        </row>
        <row r="796">
          <cell r="D796" t="str">
            <v>KB Sprzed. bezpośrednia</v>
          </cell>
        </row>
        <row r="797">
          <cell r="D797" t="str">
            <v>KB Sprzed. bezpośrednia</v>
          </cell>
        </row>
        <row r="798">
          <cell r="D798" t="str">
            <v>KB Sprzed. bezpośrednia</v>
          </cell>
        </row>
        <row r="799">
          <cell r="D799" t="str">
            <v>KB Sprzed. bezpośrednia</v>
          </cell>
        </row>
        <row r="800">
          <cell r="D800" t="str">
            <v>KB Sprzed. bezpośrednia</v>
          </cell>
        </row>
        <row r="801">
          <cell r="D801" t="str">
            <v>KB Sprzed. bezpośrednia</v>
          </cell>
        </row>
        <row r="802">
          <cell r="D802" t="str">
            <v>KB Sprzed. bezpośrednia</v>
          </cell>
        </row>
        <row r="803">
          <cell r="D803" t="str">
            <v>KB Sprzed. bezpośrednia</v>
          </cell>
        </row>
        <row r="804">
          <cell r="D804" t="str">
            <v>KB Sprzed. bezpośrednia</v>
          </cell>
        </row>
        <row r="805">
          <cell r="D805" t="str">
            <v>KB Sprzed. bezpośrednia</v>
          </cell>
        </row>
        <row r="806">
          <cell r="D806" t="str">
            <v>KB Sprzed. bezpośrednia</v>
          </cell>
        </row>
        <row r="807">
          <cell r="D807" t="str">
            <v>KB Sprzed. bezpośrednia</v>
          </cell>
        </row>
        <row r="808">
          <cell r="D808" t="str">
            <v>KB Sprzed. bezpośrednia</v>
          </cell>
        </row>
        <row r="809">
          <cell r="D809" t="str">
            <v>KB Sprzed. bezpośrednia</v>
          </cell>
        </row>
        <row r="810">
          <cell r="D810" t="str">
            <v>KB Sprzed. bezpośrednia</v>
          </cell>
        </row>
        <row r="811">
          <cell r="D811" t="str">
            <v>KB Sprzed. bezpośrednia</v>
          </cell>
        </row>
        <row r="812">
          <cell r="D812" t="str">
            <v>KB Sprzed. bezpośrednia</v>
          </cell>
        </row>
        <row r="813">
          <cell r="D813" t="str">
            <v>KB Sprzed. bezpośrednia</v>
          </cell>
        </row>
        <row r="814">
          <cell r="D814" t="str">
            <v>KB Sprzed. bezpośrednia</v>
          </cell>
        </row>
        <row r="815">
          <cell r="D815" t="str">
            <v>KB Sprzed. bezpośrednia</v>
          </cell>
        </row>
        <row r="816">
          <cell r="D816" t="str">
            <v>KB Sprzed. bezpośrednia</v>
          </cell>
        </row>
        <row r="817">
          <cell r="D817" t="str">
            <v>KB Sprzed. bezpośrednia</v>
          </cell>
        </row>
        <row r="818">
          <cell r="D818" t="str">
            <v>KB Sprzed. bezpośrednia</v>
          </cell>
        </row>
        <row r="819">
          <cell r="D819" t="str">
            <v>KB Sprzed. bezpośrednia</v>
          </cell>
        </row>
        <row r="820">
          <cell r="D820" t="str">
            <v>KB Sprzed. bezpośrednia</v>
          </cell>
        </row>
        <row r="821">
          <cell r="D821" t="str">
            <v>KB Sprzed. bezpośrednia</v>
          </cell>
        </row>
        <row r="822">
          <cell r="D822" t="str">
            <v>KB Sprzed. bezpośrednia</v>
          </cell>
        </row>
        <row r="823">
          <cell r="D823" t="str">
            <v>KB Sprzed. bezpośrednia</v>
          </cell>
        </row>
        <row r="824">
          <cell r="D824" t="str">
            <v>KB Sprzed. bezpośrednia</v>
          </cell>
        </row>
        <row r="825">
          <cell r="D825" t="str">
            <v>KB Sprzed. bezpośrednia</v>
          </cell>
        </row>
        <row r="826">
          <cell r="D826" t="str">
            <v>KB Sprzed. bezpośrednia</v>
          </cell>
        </row>
        <row r="827">
          <cell r="D827" t="str">
            <v>KB Sprzed. bezpośrednia</v>
          </cell>
        </row>
        <row r="828">
          <cell r="D828" t="str">
            <v>KB Sprzed. bezpośrednia</v>
          </cell>
        </row>
        <row r="829">
          <cell r="D829" t="str">
            <v>KB Sprzed. bezpośrednia</v>
          </cell>
        </row>
        <row r="830">
          <cell r="D830" t="str">
            <v>KB Sprzed. bezpośrednia</v>
          </cell>
        </row>
        <row r="831">
          <cell r="D831" t="str">
            <v>KB Sprzed. bezpośrednia</v>
          </cell>
        </row>
        <row r="832">
          <cell r="D832" t="str">
            <v>KB Sprzed. bezpośrednia</v>
          </cell>
        </row>
        <row r="833">
          <cell r="D833" t="str">
            <v>KB Sprzed. bezpośrednia</v>
          </cell>
        </row>
        <row r="834">
          <cell r="D834" t="str">
            <v>KB Sprzed. bezpośrednia</v>
          </cell>
        </row>
        <row r="835">
          <cell r="D835" t="str">
            <v>KB Sprzed. bezpośrednia</v>
          </cell>
        </row>
        <row r="836">
          <cell r="D836" t="str">
            <v>KB Sprzed. bezpośrednia</v>
          </cell>
        </row>
        <row r="837">
          <cell r="D837" t="str">
            <v>KB Sprzed. bezpośrednia</v>
          </cell>
        </row>
        <row r="838">
          <cell r="D838" t="str">
            <v>KB Sprzed. bezpośrednia</v>
          </cell>
        </row>
        <row r="839">
          <cell r="D839" t="str">
            <v>KB Sprzed. bezpośrednia</v>
          </cell>
        </row>
        <row r="840">
          <cell r="D840" t="str">
            <v>KB Sprzed. bezpośrednia</v>
          </cell>
        </row>
        <row r="841">
          <cell r="D841" t="str">
            <v>KB Sprzed. bezpośrednia</v>
          </cell>
        </row>
        <row r="842">
          <cell r="D842" t="str">
            <v>KB Sprzed. bezpośrednia</v>
          </cell>
        </row>
        <row r="843">
          <cell r="D843" t="str">
            <v>KC Centra dystrybucji</v>
          </cell>
        </row>
        <row r="844">
          <cell r="D844" t="str">
            <v>KC Centra dystrybucji</v>
          </cell>
        </row>
        <row r="845">
          <cell r="D845" t="str">
            <v>KC Centra dystrybucji</v>
          </cell>
        </row>
        <row r="846">
          <cell r="D846" t="str">
            <v>KC Centra dystrybucji</v>
          </cell>
        </row>
        <row r="847">
          <cell r="D847" t="str">
            <v>KC Centra dystrybucji</v>
          </cell>
        </row>
        <row r="848">
          <cell r="D848" t="str">
            <v>KC Centra dystrybucji</v>
          </cell>
        </row>
        <row r="849">
          <cell r="D849" t="str">
            <v>KC Centra dystrybucji</v>
          </cell>
        </row>
        <row r="850">
          <cell r="D850" t="str">
            <v>KC Centra dystrybucji</v>
          </cell>
        </row>
        <row r="851">
          <cell r="D851" t="str">
            <v>KC Centra dystrybucji</v>
          </cell>
        </row>
        <row r="852">
          <cell r="D852" t="str">
            <v>KC Centra dystrybucji</v>
          </cell>
        </row>
        <row r="853">
          <cell r="D853" t="str">
            <v>KC Centra dystrybucji</v>
          </cell>
        </row>
        <row r="854">
          <cell r="D854" t="str">
            <v>KC Centra dystrybucji</v>
          </cell>
        </row>
        <row r="855">
          <cell r="D855" t="str">
            <v>KC Centra dystrybucji</v>
          </cell>
        </row>
        <row r="856">
          <cell r="D856" t="str">
            <v>KC Centra dystrybucji</v>
          </cell>
        </row>
        <row r="857">
          <cell r="D857" t="str">
            <v>KC Centra dystrybucji</v>
          </cell>
        </row>
        <row r="858">
          <cell r="D858" t="str">
            <v>KC Centra dystrybucji</v>
          </cell>
        </row>
        <row r="859">
          <cell r="D859" t="str">
            <v>KC Centra dystrybucji</v>
          </cell>
        </row>
        <row r="860">
          <cell r="D860" t="str">
            <v>KC Centra dystrybucji</v>
          </cell>
        </row>
        <row r="861">
          <cell r="D861" t="str">
            <v>KC Centra dystrybucji</v>
          </cell>
        </row>
        <row r="862">
          <cell r="D862" t="str">
            <v>KC Centra dystrybucji</v>
          </cell>
        </row>
        <row r="863">
          <cell r="D863" t="str">
            <v>KC Centra dystrybucji</v>
          </cell>
        </row>
        <row r="864">
          <cell r="D864" t="str">
            <v>KC Centra dystrybucji</v>
          </cell>
        </row>
        <row r="865">
          <cell r="D865" t="str">
            <v>KC Centra dystrybucji</v>
          </cell>
        </row>
        <row r="866">
          <cell r="D866" t="str">
            <v>KC Centra dystrybucji</v>
          </cell>
        </row>
        <row r="867">
          <cell r="D867" t="str">
            <v>KC Centra dystrybucji</v>
          </cell>
        </row>
        <row r="868">
          <cell r="D868" t="str">
            <v>KC Centra dystrybucji</v>
          </cell>
        </row>
        <row r="869">
          <cell r="D869" t="str">
            <v>KC Centra dystrybucji</v>
          </cell>
        </row>
        <row r="870">
          <cell r="D870" t="str">
            <v>KC Centra dystrybucji</v>
          </cell>
        </row>
        <row r="871">
          <cell r="D871" t="str">
            <v>KC Centra dystrybucji</v>
          </cell>
        </row>
        <row r="872">
          <cell r="D872" t="str">
            <v>KC Centra dystrybucji</v>
          </cell>
        </row>
        <row r="873">
          <cell r="D873" t="str">
            <v>KC Centra dystrybucji</v>
          </cell>
        </row>
        <row r="874">
          <cell r="D874" t="str">
            <v>KC Centra dystrybucji</v>
          </cell>
        </row>
        <row r="875">
          <cell r="D875" t="str">
            <v>KC Centra dystrybucji</v>
          </cell>
        </row>
        <row r="876">
          <cell r="D876" t="str">
            <v>KC Centra dystrybucji</v>
          </cell>
        </row>
        <row r="877">
          <cell r="D877" t="str">
            <v>KC Centra dystrybucji</v>
          </cell>
        </row>
        <row r="878">
          <cell r="D878" t="str">
            <v>KC Centra dystrybucji</v>
          </cell>
        </row>
        <row r="879">
          <cell r="D879" t="str">
            <v>KC Centra dystrybucji</v>
          </cell>
        </row>
        <row r="880">
          <cell r="D880" t="str">
            <v>KC Centra dystrybucji</v>
          </cell>
        </row>
        <row r="881">
          <cell r="D881" t="str">
            <v>KC Centra dystrybucji</v>
          </cell>
        </row>
        <row r="882">
          <cell r="D882" t="str">
            <v>KC Centra dystrybucji</v>
          </cell>
        </row>
        <row r="883">
          <cell r="D883" t="str">
            <v>KC Centra dystrybucji</v>
          </cell>
        </row>
        <row r="884">
          <cell r="D884" t="str">
            <v>KC Centra dystrybucji</v>
          </cell>
        </row>
        <row r="885">
          <cell r="D885" t="str">
            <v>KC Centra dystrybucji</v>
          </cell>
        </row>
        <row r="886">
          <cell r="D886" t="str">
            <v>KC Centra dystrybucji</v>
          </cell>
        </row>
        <row r="887">
          <cell r="D887" t="str">
            <v>KC Centra dystrybucji</v>
          </cell>
        </row>
        <row r="888">
          <cell r="D888" t="str">
            <v>KC Centra dystrybucji</v>
          </cell>
        </row>
        <row r="889">
          <cell r="D889" t="str">
            <v>KC Centra dystrybucji</v>
          </cell>
        </row>
        <row r="890">
          <cell r="D890" t="str">
            <v>Nieprzypisane</v>
          </cell>
        </row>
        <row r="891">
          <cell r="D891" t="str">
            <v>KB Sprzed. bezpośrednia</v>
          </cell>
        </row>
        <row r="892">
          <cell r="D892" t="str">
            <v>KB Sprzed. bezpośrednia</v>
          </cell>
        </row>
        <row r="893">
          <cell r="D893" t="str">
            <v>KB Sprzed. bezpośrednia</v>
          </cell>
        </row>
        <row r="894">
          <cell r="D894" t="str">
            <v>KB Sprzed. bezpośrednia</v>
          </cell>
        </row>
        <row r="895">
          <cell r="D895" t="str">
            <v>KB Sprzed. bezpośrednia</v>
          </cell>
        </row>
        <row r="896">
          <cell r="D896" t="str">
            <v>KB Sprzed. bezpośrednia</v>
          </cell>
        </row>
        <row r="897">
          <cell r="D897" t="str">
            <v>KB Sprzed. bezpośrednia</v>
          </cell>
        </row>
        <row r="898">
          <cell r="D898" t="str">
            <v>KB Sprzed. bezpośrednia</v>
          </cell>
        </row>
        <row r="899">
          <cell r="D899" t="str">
            <v>KB Sprzed. bezpośrednia</v>
          </cell>
        </row>
        <row r="900">
          <cell r="D900" t="str">
            <v>KB Sprzed. bezpośrednia</v>
          </cell>
        </row>
        <row r="901">
          <cell r="D901" t="str">
            <v>KB Sprzed. bezpośrednia</v>
          </cell>
        </row>
        <row r="902">
          <cell r="D902" t="str">
            <v>KB Sprzed. bezpośrednia</v>
          </cell>
        </row>
        <row r="903">
          <cell r="D903" t="str">
            <v>KB Sprzed. bezpośrednia</v>
          </cell>
        </row>
        <row r="904">
          <cell r="D904" t="str">
            <v>KB Sprzed. bezpośrednia</v>
          </cell>
        </row>
        <row r="905">
          <cell r="D905" t="str">
            <v>KB Sprzed. bezpośrednia</v>
          </cell>
        </row>
        <row r="906">
          <cell r="D906" t="str">
            <v>KB Sprzed. bezpośrednia</v>
          </cell>
        </row>
        <row r="907">
          <cell r="D907" t="str">
            <v>KB Sprzed. bezpośrednia</v>
          </cell>
        </row>
        <row r="908">
          <cell r="D908" t="str">
            <v>KB Sprzed. bezpośrednia</v>
          </cell>
        </row>
        <row r="909">
          <cell r="D909" t="str">
            <v>KB Sprzed. bezpośrednia</v>
          </cell>
        </row>
        <row r="910">
          <cell r="D910" t="str">
            <v>KB Sprzed. bezpośrednia</v>
          </cell>
        </row>
        <row r="911">
          <cell r="D911" t="str">
            <v>KB Sprzed. bezpośrednia</v>
          </cell>
        </row>
        <row r="912">
          <cell r="D912" t="str">
            <v>KB Sprzed. bezpośrednia</v>
          </cell>
        </row>
        <row r="913">
          <cell r="D913" t="str">
            <v>KB Sprzed. bezpośrednia</v>
          </cell>
        </row>
        <row r="914">
          <cell r="D914" t="str">
            <v>KB Sprzed. bezpośrednia</v>
          </cell>
        </row>
        <row r="915">
          <cell r="D915" t="str">
            <v>KB Sprzed. bezpośrednia</v>
          </cell>
        </row>
        <row r="916">
          <cell r="D916" t="str">
            <v>KB Sprzed. bezpośrednia</v>
          </cell>
        </row>
        <row r="917">
          <cell r="D917" t="str">
            <v>KB Sprzed. bezpośrednia</v>
          </cell>
        </row>
        <row r="918">
          <cell r="D918" t="str">
            <v>KB Sprzed. bezpośrednia</v>
          </cell>
        </row>
        <row r="919">
          <cell r="D919" t="str">
            <v>KB Sprzed. bezpośrednia</v>
          </cell>
        </row>
        <row r="920">
          <cell r="D920" t="str">
            <v>KB Sprzed. bezpośrednia</v>
          </cell>
        </row>
        <row r="921">
          <cell r="D921" t="str">
            <v>KB Sprzed. bezpośrednia</v>
          </cell>
        </row>
        <row r="922">
          <cell r="D922" t="str">
            <v>KB Sprzed. bezpośrednia</v>
          </cell>
        </row>
        <row r="923">
          <cell r="D923" t="str">
            <v>KB Sprzed. bezpośrednia</v>
          </cell>
        </row>
        <row r="924">
          <cell r="D924" t="str">
            <v>KB Sprzed. bezpośrednia</v>
          </cell>
        </row>
        <row r="925">
          <cell r="D925" t="str">
            <v>KB Sprzed. bezpośrednia</v>
          </cell>
        </row>
        <row r="926">
          <cell r="D926" t="str">
            <v>KB Sprzed. bezpośrednia</v>
          </cell>
        </row>
        <row r="927">
          <cell r="D927" t="str">
            <v>KB Sprzed. bezpośrednia</v>
          </cell>
        </row>
        <row r="928">
          <cell r="D928" t="str">
            <v>KB Sprzed. bezpośrednia</v>
          </cell>
        </row>
        <row r="929">
          <cell r="D929" t="str">
            <v>KB Sprzed. bezpośrednia</v>
          </cell>
        </row>
        <row r="930">
          <cell r="D930" t="str">
            <v>KB Sprzed. bezpośrednia</v>
          </cell>
        </row>
        <row r="931">
          <cell r="D931" t="str">
            <v>KB Sprzed. bezpośrednia</v>
          </cell>
        </row>
        <row r="932">
          <cell r="D932" t="str">
            <v>KB Sprzed. bezpośrednia</v>
          </cell>
        </row>
        <row r="933">
          <cell r="D933" t="str">
            <v>KB Sprzed. bezpośrednia</v>
          </cell>
        </row>
        <row r="934">
          <cell r="D934" t="str">
            <v>KB Sprzed. bezpośrednia</v>
          </cell>
        </row>
        <row r="935">
          <cell r="D935" t="str">
            <v>KB Sprzed. bezpośrednia</v>
          </cell>
        </row>
        <row r="936">
          <cell r="D936" t="str">
            <v>KB Sprzed. bezpośrednia</v>
          </cell>
        </row>
        <row r="937">
          <cell r="D937" t="str">
            <v>KB Sprzed. bezpośrednia</v>
          </cell>
        </row>
        <row r="938">
          <cell r="D938" t="str">
            <v>KB Sprzed. bezpośrednia</v>
          </cell>
        </row>
        <row r="939">
          <cell r="D939" t="str">
            <v>KB Sprzed. bezpośrednia</v>
          </cell>
        </row>
        <row r="940">
          <cell r="D940" t="str">
            <v>KB Sprzed. bezpośrednia</v>
          </cell>
        </row>
        <row r="941">
          <cell r="D941" t="str">
            <v>KB Sprzed. bezpośrednia</v>
          </cell>
        </row>
        <row r="942">
          <cell r="D942" t="str">
            <v>KB Sprzed. bezpośrednia</v>
          </cell>
        </row>
        <row r="943">
          <cell r="D943" t="str">
            <v>KB Sprzed. bezpośrednia</v>
          </cell>
        </row>
        <row r="944">
          <cell r="D944" t="str">
            <v>KB Sprzed. bezpośrednia</v>
          </cell>
        </row>
        <row r="945">
          <cell r="D945" t="str">
            <v>KB Sprzed. bezpośrednia</v>
          </cell>
        </row>
        <row r="946">
          <cell r="D946" t="str">
            <v>KB Sprzed. bezpośrednia</v>
          </cell>
        </row>
        <row r="947">
          <cell r="D947" t="str">
            <v>KB Sprzed. bezpośrednia</v>
          </cell>
        </row>
        <row r="948">
          <cell r="D948" t="str">
            <v>KB Sprzed. bezpośrednia</v>
          </cell>
        </row>
        <row r="949">
          <cell r="D949" t="str">
            <v>KB Sprzed. bezpośrednia</v>
          </cell>
        </row>
        <row r="950">
          <cell r="D950" t="str">
            <v>KB Sprzed. bezpośrednia</v>
          </cell>
        </row>
        <row r="951">
          <cell r="D951" t="str">
            <v>KB Sprzed. bezpośrednia</v>
          </cell>
        </row>
        <row r="952">
          <cell r="D952" t="str">
            <v>KB Sprzed. bezpośrednia</v>
          </cell>
        </row>
        <row r="953">
          <cell r="D953" t="str">
            <v>KB Sprzed. bezpośrednia</v>
          </cell>
        </row>
        <row r="954">
          <cell r="D954" t="str">
            <v>KB Sprzed. bezpośrednia</v>
          </cell>
        </row>
        <row r="955">
          <cell r="D955" t="str">
            <v>KB Sprzed. bezpośrednia</v>
          </cell>
        </row>
        <row r="956">
          <cell r="D956" t="str">
            <v>KB Sprzed. bezpośrednia</v>
          </cell>
        </row>
        <row r="957">
          <cell r="D957" t="str">
            <v>KB Sprzed. bezpośrednia</v>
          </cell>
        </row>
        <row r="958">
          <cell r="D958" t="str">
            <v>KB Sprzed. bezpośrednia</v>
          </cell>
        </row>
        <row r="959">
          <cell r="D959" t="str">
            <v>KB Sprzed. bezpośrednia</v>
          </cell>
        </row>
        <row r="960">
          <cell r="D960" t="str">
            <v>KB Sprzed. bezpośrednia</v>
          </cell>
        </row>
        <row r="961">
          <cell r="D961" t="str">
            <v>KB Sprzed. bezpośrednia</v>
          </cell>
        </row>
        <row r="962">
          <cell r="D962" t="str">
            <v>KB Sprzed. bezpośrednia</v>
          </cell>
        </row>
        <row r="963">
          <cell r="D963" t="str">
            <v>KB Sprzed. bezpośrednia</v>
          </cell>
        </row>
        <row r="964">
          <cell r="D964" t="str">
            <v>KB Sprzed. bezpośrednia</v>
          </cell>
        </row>
        <row r="965">
          <cell r="D965" t="str">
            <v>KB Sprzed. bezpośrednia</v>
          </cell>
        </row>
        <row r="966">
          <cell r="D966" t="str">
            <v>KB Sprzed. bezpośrednia</v>
          </cell>
        </row>
        <row r="967">
          <cell r="D967" t="str">
            <v>KB Sprzed. bezpośrednia</v>
          </cell>
        </row>
        <row r="968">
          <cell r="D968" t="str">
            <v>KB Sprzed. bezpośrednia</v>
          </cell>
        </row>
        <row r="969">
          <cell r="D969" t="str">
            <v>KB Sprzed. bezpośrednia</v>
          </cell>
        </row>
        <row r="970">
          <cell r="D970" t="str">
            <v>KB Sprzed. bezpośrednia</v>
          </cell>
        </row>
        <row r="971">
          <cell r="D971" t="str">
            <v>KB Sprzed. bezpośrednia</v>
          </cell>
        </row>
        <row r="972">
          <cell r="D972" t="str">
            <v>KB Sprzed. bezpośrednia</v>
          </cell>
        </row>
        <row r="973">
          <cell r="D973" t="str">
            <v>KB Sprzed. bezpośrednia</v>
          </cell>
        </row>
        <row r="974">
          <cell r="D974" t="str">
            <v>KB Sprzed. bezpośrednia</v>
          </cell>
        </row>
        <row r="975">
          <cell r="D975" t="str">
            <v>KB Sprzed. bezpośrednia</v>
          </cell>
        </row>
        <row r="976">
          <cell r="D976" t="str">
            <v>KB Sprzed. bezpośrednia</v>
          </cell>
        </row>
        <row r="977">
          <cell r="D977" t="str">
            <v>KB Sprzed. bezpośrednia</v>
          </cell>
        </row>
        <row r="978">
          <cell r="D978" t="str">
            <v>KB Sprzed. bezpośrednia</v>
          </cell>
        </row>
        <row r="979">
          <cell r="D979" t="str">
            <v>KB Sprzed. bezpośrednia</v>
          </cell>
        </row>
        <row r="980">
          <cell r="D980" t="str">
            <v>KB Sprzed. bezpośrednia</v>
          </cell>
        </row>
        <row r="981">
          <cell r="D981" t="str">
            <v>KB Sprzed. bezpośrednia</v>
          </cell>
        </row>
        <row r="982">
          <cell r="D982" t="str">
            <v>KB Sprzed. bezpośrednia</v>
          </cell>
        </row>
        <row r="983">
          <cell r="D983" t="str">
            <v>KB Sprzed. bezpośrednia</v>
          </cell>
        </row>
        <row r="984">
          <cell r="D984" t="str">
            <v>KB Sprzed. bezpośrednia</v>
          </cell>
        </row>
        <row r="985">
          <cell r="D985" t="str">
            <v>KB Sprzed. bezpośrednia</v>
          </cell>
        </row>
        <row r="986">
          <cell r="D986" t="str">
            <v>KB Sprzed. bezpośrednia</v>
          </cell>
        </row>
        <row r="987">
          <cell r="D987" t="str">
            <v>KB Sprzed. bezpośrednia</v>
          </cell>
        </row>
        <row r="988">
          <cell r="D988" t="str">
            <v>KB Sprzed. bezpośrednia</v>
          </cell>
        </row>
        <row r="989">
          <cell r="D989" t="str">
            <v>KB Sprzed. bezpośrednia</v>
          </cell>
        </row>
        <row r="990">
          <cell r="D990" t="str">
            <v>KB Sprzed. bezpośrednia</v>
          </cell>
        </row>
        <row r="991">
          <cell r="D991" t="str">
            <v>KB Sprzed. bezpośrednia</v>
          </cell>
        </row>
        <row r="992">
          <cell r="D992" t="str">
            <v>KB Sprzed. bezpośrednia</v>
          </cell>
        </row>
        <row r="993">
          <cell r="D993" t="str">
            <v>KB Sprzed. bezpośrednia</v>
          </cell>
        </row>
        <row r="994">
          <cell r="D994" t="str">
            <v>KB Sprzed. bezpośrednia</v>
          </cell>
        </row>
        <row r="995">
          <cell r="D995" t="str">
            <v>KB Sprzed. bezpośrednia</v>
          </cell>
        </row>
        <row r="996">
          <cell r="D996" t="str">
            <v>KB Sprzed. bezpośrednia</v>
          </cell>
        </row>
        <row r="997">
          <cell r="D997" t="str">
            <v>KB Sprzed. bezpośrednia</v>
          </cell>
        </row>
        <row r="998">
          <cell r="D998" t="str">
            <v>KB Sprzed. bezpośrednia</v>
          </cell>
        </row>
        <row r="999">
          <cell r="D999" t="str">
            <v>KB Sprzed. bezpośrednia</v>
          </cell>
        </row>
        <row r="1000">
          <cell r="D1000" t="str">
            <v>KB Sprzed. bezpośrednia</v>
          </cell>
        </row>
        <row r="1001">
          <cell r="D1001" t="str">
            <v>KB Sprzed. bezpośrednia</v>
          </cell>
        </row>
        <row r="1002">
          <cell r="D1002" t="str">
            <v>KB Sprzed. bezpośrednia</v>
          </cell>
        </row>
        <row r="1003">
          <cell r="D1003" t="str">
            <v>KB Sprzed. bezpośrednia</v>
          </cell>
        </row>
        <row r="1004">
          <cell r="D1004" t="str">
            <v>KB Sprzed. bezpośrednia</v>
          </cell>
        </row>
        <row r="1005">
          <cell r="D1005" t="str">
            <v>KB Sprzed. bezpośrednia</v>
          </cell>
        </row>
        <row r="1006">
          <cell r="D1006" t="str">
            <v>KB Sprzed. bezpośrednia</v>
          </cell>
        </row>
        <row r="1007">
          <cell r="D1007" t="str">
            <v>KB Sprzed. bezpośrednia</v>
          </cell>
        </row>
        <row r="1008">
          <cell r="D1008" t="str">
            <v>KB Sprzed. bezpośrednia</v>
          </cell>
        </row>
        <row r="1009">
          <cell r="D1009" t="str">
            <v>KB Sprzed. bezpośrednia</v>
          </cell>
        </row>
        <row r="1010">
          <cell r="D1010" t="str">
            <v>KB Sprzed. bezpośrednia</v>
          </cell>
        </row>
        <row r="1011">
          <cell r="D1011" t="str">
            <v>KB Sprzed. bezpośrednia</v>
          </cell>
        </row>
        <row r="1012">
          <cell r="D1012" t="str">
            <v>KB Sprzed. bezpośrednia</v>
          </cell>
        </row>
        <row r="1013">
          <cell r="D1013" t="str">
            <v>KB Sprzed. bezpośrednia</v>
          </cell>
        </row>
        <row r="1014">
          <cell r="D1014" t="str">
            <v>KB Sprzed. bezpośrednia</v>
          </cell>
        </row>
        <row r="1015">
          <cell r="D1015" t="str">
            <v>KB Sprzed. bezpośrednia</v>
          </cell>
        </row>
        <row r="1016">
          <cell r="D1016" t="str">
            <v>KB Sprzed. bezpośrednia</v>
          </cell>
        </row>
        <row r="1017">
          <cell r="D1017" t="str">
            <v>KB Sprzed. bezpośrednia</v>
          </cell>
        </row>
        <row r="1018">
          <cell r="D1018" t="str">
            <v>KB Sprzed. bezpośrednia</v>
          </cell>
        </row>
        <row r="1019">
          <cell r="D1019" t="str">
            <v>KB Sprzed. bezpośrednia</v>
          </cell>
        </row>
        <row r="1020">
          <cell r="D1020" t="str">
            <v>KB Sprzed. bezpośrednia</v>
          </cell>
        </row>
        <row r="1021">
          <cell r="D1021" t="str">
            <v>KB Sprzed. bezpośrednia</v>
          </cell>
        </row>
        <row r="1022">
          <cell r="D1022" t="str">
            <v>KB Sprzed. bezpośrednia</v>
          </cell>
        </row>
        <row r="1023">
          <cell r="D1023" t="str">
            <v>KB Sprzed. bezpośrednia</v>
          </cell>
        </row>
        <row r="1024">
          <cell r="D1024" t="str">
            <v>KB Sprzed. bezpośrednia</v>
          </cell>
        </row>
        <row r="1025">
          <cell r="D1025" t="str">
            <v>KB Sprzed. bezpośrednia</v>
          </cell>
        </row>
        <row r="1026">
          <cell r="D1026" t="str">
            <v>KB Sprzed. bezpośrednia</v>
          </cell>
        </row>
        <row r="1027">
          <cell r="D1027" t="str">
            <v>KB Sprzed. bezpośrednia</v>
          </cell>
        </row>
        <row r="1028">
          <cell r="D1028" t="str">
            <v>KB Sprzed. bezpośrednia</v>
          </cell>
        </row>
        <row r="1029">
          <cell r="D1029" t="str">
            <v>KB Sprzed. bezpośrednia</v>
          </cell>
        </row>
        <row r="1030">
          <cell r="D1030" t="str">
            <v>KB Sprzed. bezpośrednia</v>
          </cell>
        </row>
        <row r="1031">
          <cell r="D1031" t="str">
            <v>KB Sprzed. bezpośrednia</v>
          </cell>
        </row>
        <row r="1032">
          <cell r="D1032" t="str">
            <v>KB Sprzed. bezpośrednia</v>
          </cell>
        </row>
        <row r="1033">
          <cell r="D1033" t="str">
            <v>KB Sprzed. bezpośrednia</v>
          </cell>
        </row>
        <row r="1034">
          <cell r="D1034" t="str">
            <v>KB Sprzed. bezpośrednia</v>
          </cell>
        </row>
        <row r="1035">
          <cell r="D1035" t="str">
            <v>KB Sprzed. bezpośrednia</v>
          </cell>
        </row>
        <row r="1036">
          <cell r="D1036" t="str">
            <v>KB Sprzed. bezpośrednia</v>
          </cell>
        </row>
        <row r="1037">
          <cell r="D1037" t="str">
            <v>KB Sprzed. bezpośrednia</v>
          </cell>
        </row>
        <row r="1038">
          <cell r="D1038" t="str">
            <v>KB Sprzed. bezpośrednia</v>
          </cell>
        </row>
        <row r="1039">
          <cell r="D1039" t="str">
            <v>KB Sprzed. bezpośrednia</v>
          </cell>
        </row>
        <row r="1040">
          <cell r="D1040" t="str">
            <v>KB Sprzed. bezpośrednia</v>
          </cell>
        </row>
        <row r="1041">
          <cell r="D1041" t="str">
            <v>KB Sprzed. bezpośrednia</v>
          </cell>
        </row>
        <row r="1042">
          <cell r="D1042" t="str">
            <v>KB Sprzed. bezpośrednia</v>
          </cell>
        </row>
        <row r="1043">
          <cell r="D1043" t="str">
            <v>KB Sprzed. bezpośrednia</v>
          </cell>
        </row>
        <row r="1044">
          <cell r="D1044" t="str">
            <v>KB Sprzed. bezpośrednia</v>
          </cell>
        </row>
        <row r="1045">
          <cell r="D1045" t="str">
            <v>KC Centra dystrybucji</v>
          </cell>
        </row>
        <row r="1046">
          <cell r="D1046" t="str">
            <v>KC Centra dystrybucji</v>
          </cell>
        </row>
        <row r="1047">
          <cell r="D1047" t="str">
            <v>KC Centra dystrybucji</v>
          </cell>
        </row>
        <row r="1048">
          <cell r="D1048" t="str">
            <v>KC Centra dystrybucji</v>
          </cell>
        </row>
        <row r="1049">
          <cell r="D1049" t="str">
            <v>KC Centra dystrybucji</v>
          </cell>
        </row>
        <row r="1050">
          <cell r="D1050" t="str">
            <v>KC Centra dystrybucji</v>
          </cell>
        </row>
        <row r="1051">
          <cell r="D1051" t="str">
            <v>KC Centra dystrybucji</v>
          </cell>
        </row>
        <row r="1052">
          <cell r="D1052" t="str">
            <v>KC Centra dystrybucji</v>
          </cell>
        </row>
        <row r="1053">
          <cell r="D1053" t="str">
            <v>KC Centra dystrybucji</v>
          </cell>
        </row>
        <row r="1054">
          <cell r="D1054" t="str">
            <v>KC Centra dystrybucji</v>
          </cell>
        </row>
        <row r="1055">
          <cell r="D1055" t="str">
            <v>KC Centra dystrybucji</v>
          </cell>
        </row>
        <row r="1056">
          <cell r="D1056" t="str">
            <v>KC Centra dystrybucji</v>
          </cell>
        </row>
        <row r="1057">
          <cell r="D1057" t="str">
            <v>KC Centra dystrybucji</v>
          </cell>
        </row>
        <row r="1058">
          <cell r="D1058" t="str">
            <v>KC Centra dystrybucji</v>
          </cell>
        </row>
        <row r="1059">
          <cell r="D1059" t="str">
            <v>KC Centra dystrybucji</v>
          </cell>
        </row>
        <row r="1060">
          <cell r="D1060" t="str">
            <v>KC Centra dystrybucji</v>
          </cell>
        </row>
        <row r="1061">
          <cell r="D1061" t="str">
            <v>KC Centra dystrybucji</v>
          </cell>
        </row>
        <row r="1062">
          <cell r="D1062" t="str">
            <v>KC Centra dystrybucji</v>
          </cell>
        </row>
        <row r="1063">
          <cell r="D1063" t="str">
            <v>KC Centra dystrybucji</v>
          </cell>
        </row>
        <row r="1064">
          <cell r="D1064" t="str">
            <v>KC Centra dystrybucji</v>
          </cell>
        </row>
        <row r="1065">
          <cell r="D1065" t="str">
            <v>KC Centra dystrybucji</v>
          </cell>
        </row>
        <row r="1066">
          <cell r="D1066" t="str">
            <v>KC Centra dystrybucji</v>
          </cell>
        </row>
        <row r="1067">
          <cell r="D1067" t="str">
            <v>KC Centra dystrybucji</v>
          </cell>
        </row>
        <row r="1068">
          <cell r="D1068" t="str">
            <v>KC Centra dystrybucji</v>
          </cell>
        </row>
        <row r="1069">
          <cell r="D1069" t="str">
            <v>KC Centra dystrybucji</v>
          </cell>
        </row>
        <row r="1070">
          <cell r="D1070" t="str">
            <v>KC Centra dystrybucji</v>
          </cell>
        </row>
        <row r="1071">
          <cell r="D1071" t="str">
            <v>KC Centra dystrybucji</v>
          </cell>
        </row>
        <row r="1072">
          <cell r="D1072" t="str">
            <v>KC Centra dystrybucji</v>
          </cell>
        </row>
        <row r="1073">
          <cell r="D1073" t="str">
            <v>KC Centra dystrybucji</v>
          </cell>
        </row>
        <row r="1074">
          <cell r="D1074" t="str">
            <v>KC Centra dystrybucji</v>
          </cell>
        </row>
        <row r="1075">
          <cell r="D1075" t="str">
            <v>KC Centra dystrybucji</v>
          </cell>
        </row>
        <row r="1076">
          <cell r="D1076" t="str">
            <v>KC Centra dystrybucji</v>
          </cell>
        </row>
        <row r="1077">
          <cell r="D1077" t="str">
            <v>KC Centra dystrybucji</v>
          </cell>
        </row>
        <row r="1078">
          <cell r="D1078" t="str">
            <v>KC Centra dystrybucji</v>
          </cell>
        </row>
        <row r="1079">
          <cell r="D1079" t="str">
            <v>KC Centra dystrybucji</v>
          </cell>
        </row>
        <row r="1080">
          <cell r="D1080" t="str">
            <v>KC Centra dystrybucji</v>
          </cell>
        </row>
        <row r="1081">
          <cell r="D1081" t="str">
            <v>KC Centra dystrybucji</v>
          </cell>
        </row>
        <row r="1082">
          <cell r="D1082" t="str">
            <v>KC Centra dystrybucji</v>
          </cell>
        </row>
        <row r="1083">
          <cell r="D1083" t="str">
            <v>KC Centra dystrybucji</v>
          </cell>
        </row>
        <row r="1084">
          <cell r="D1084" t="str">
            <v>KC Centra dystrybucji</v>
          </cell>
        </row>
        <row r="1085">
          <cell r="D1085" t="str">
            <v>KC Centra dystrybucji</v>
          </cell>
        </row>
        <row r="1086">
          <cell r="D1086" t="str">
            <v>KC Centra dystrybucji</v>
          </cell>
        </row>
        <row r="1087">
          <cell r="D1087" t="str">
            <v>KC Centra dystrybucji</v>
          </cell>
        </row>
        <row r="1088">
          <cell r="D1088" t="str">
            <v>KC Centra dystrybucji</v>
          </cell>
        </row>
        <row r="1089">
          <cell r="D1089" t="str">
            <v>KC Centra dystrybucji</v>
          </cell>
        </row>
        <row r="1090">
          <cell r="D1090" t="str">
            <v>KC Centra dystrybucji</v>
          </cell>
        </row>
        <row r="1091">
          <cell r="D1091" t="str">
            <v>KC Centra dystrybucji</v>
          </cell>
        </row>
        <row r="1092">
          <cell r="D1092" t="str">
            <v>KC Centra dystrybucji</v>
          </cell>
        </row>
        <row r="1093">
          <cell r="D1093" t="str">
            <v>KC Centra dystrybucji</v>
          </cell>
        </row>
        <row r="1094">
          <cell r="D1094" t="str">
            <v>KC Centra dystrybucji</v>
          </cell>
        </row>
        <row r="1095">
          <cell r="D1095" t="str">
            <v>KC Centra dystrybucji</v>
          </cell>
        </row>
        <row r="1096">
          <cell r="D1096" t="str">
            <v>KC Centra dystrybucji</v>
          </cell>
        </row>
        <row r="1097">
          <cell r="D1097" t="str">
            <v>KC Centra dystrybucji</v>
          </cell>
        </row>
        <row r="1098">
          <cell r="D1098" t="str">
            <v>KC Centra dystrybucji</v>
          </cell>
        </row>
        <row r="1099">
          <cell r="D1099" t="str">
            <v>KC Centra dystrybucji</v>
          </cell>
        </row>
        <row r="1100">
          <cell r="D1100" t="str">
            <v>KC Centra dystrybucji</v>
          </cell>
        </row>
        <row r="1101">
          <cell r="D1101" t="str">
            <v>KC Centra dystrybucji</v>
          </cell>
        </row>
        <row r="1102">
          <cell r="D1102" t="str">
            <v>KC Centra dystrybucji</v>
          </cell>
        </row>
        <row r="1103">
          <cell r="D1103" t="str">
            <v>KC Centra dystrybucji</v>
          </cell>
        </row>
        <row r="1104">
          <cell r="D1104" t="str">
            <v>KC Centra dystrybucji</v>
          </cell>
        </row>
        <row r="1105">
          <cell r="D1105" t="str">
            <v>KC Centra dystrybucji</v>
          </cell>
        </row>
        <row r="1106">
          <cell r="D1106" t="str">
            <v>KC Centra dystrybucji</v>
          </cell>
        </row>
        <row r="1107">
          <cell r="D1107" t="str">
            <v>KC Centra dystrybucji</v>
          </cell>
        </row>
        <row r="1108">
          <cell r="D1108" t="str">
            <v>KC Centra dystrybucji</v>
          </cell>
        </row>
        <row r="1109">
          <cell r="D1109" t="str">
            <v>KC Centra dystrybucji</v>
          </cell>
        </row>
        <row r="1110">
          <cell r="D1110" t="str">
            <v>Nieprzypisane</v>
          </cell>
        </row>
        <row r="1111">
          <cell r="D1111" t="str">
            <v>Nieprzypisane</v>
          </cell>
        </row>
        <row r="1112">
          <cell r="D1112" t="str">
            <v>KB Sprzed. bezpośrednia</v>
          </cell>
        </row>
        <row r="1113">
          <cell r="D1113" t="str">
            <v>KB Sprzed. bezpośrednia</v>
          </cell>
        </row>
        <row r="1114">
          <cell r="D1114" t="str">
            <v>KB Sprzed. bezpośrednia</v>
          </cell>
        </row>
        <row r="1115">
          <cell r="D1115" t="str">
            <v>KB Sprzed. bezpośrednia</v>
          </cell>
        </row>
        <row r="1116">
          <cell r="D1116" t="str">
            <v>KB Sprzed. bezpośrednia</v>
          </cell>
        </row>
        <row r="1117">
          <cell r="D1117" t="str">
            <v>KB Sprzed. bezpośrednia</v>
          </cell>
        </row>
        <row r="1118">
          <cell r="D1118" t="str">
            <v>KB Sprzed. bezpośrednia</v>
          </cell>
        </row>
        <row r="1119">
          <cell r="D1119" t="str">
            <v>KB Sprzed. bezpośrednia</v>
          </cell>
        </row>
        <row r="1120">
          <cell r="D1120" t="str">
            <v>KB Sprzed. bezpośrednia</v>
          </cell>
        </row>
        <row r="1121">
          <cell r="D1121" t="str">
            <v>KB Sprzed. bezpośrednia</v>
          </cell>
        </row>
        <row r="1122">
          <cell r="D1122" t="str">
            <v>KB Sprzed. bezpośrednia</v>
          </cell>
        </row>
        <row r="1123">
          <cell r="D1123" t="str">
            <v>KB Sprzed. bezpośrednia</v>
          </cell>
        </row>
        <row r="1124">
          <cell r="D1124" t="str">
            <v>KB Sprzed. bezpośrednia</v>
          </cell>
        </row>
        <row r="1125">
          <cell r="D1125" t="str">
            <v>KB Sprzed. bezpośrednia</v>
          </cell>
        </row>
        <row r="1126">
          <cell r="D1126" t="str">
            <v>KB Sprzed. bezpośrednia</v>
          </cell>
        </row>
        <row r="1127">
          <cell r="D1127" t="str">
            <v>KB Sprzed. bezpośrednia</v>
          </cell>
        </row>
        <row r="1128">
          <cell r="D1128" t="str">
            <v>KB Sprzed. bezpośrednia</v>
          </cell>
        </row>
        <row r="1129">
          <cell r="D1129" t="str">
            <v>KB Sprzed. bezpośrednia</v>
          </cell>
        </row>
        <row r="1130">
          <cell r="D1130" t="str">
            <v>KB Sprzed. bezpośrednia</v>
          </cell>
        </row>
        <row r="1131">
          <cell r="D1131" t="str">
            <v>KB Sprzed. bezpośrednia</v>
          </cell>
        </row>
        <row r="1132">
          <cell r="D1132" t="str">
            <v>KB Sprzed. bezpośrednia</v>
          </cell>
        </row>
        <row r="1133">
          <cell r="D1133" t="str">
            <v>KB Sprzed. bezpośrednia</v>
          </cell>
        </row>
        <row r="1134">
          <cell r="D1134" t="str">
            <v>KB Sprzed. bezpośrednia</v>
          </cell>
        </row>
        <row r="1135">
          <cell r="D1135" t="str">
            <v>KB Sprzed. bezpośrednia</v>
          </cell>
        </row>
        <row r="1136">
          <cell r="D1136" t="str">
            <v>KB Sprzed. bezpośrednia</v>
          </cell>
        </row>
        <row r="1137">
          <cell r="D1137" t="str">
            <v>KB Sprzed. bezpośrednia</v>
          </cell>
        </row>
        <row r="1138">
          <cell r="D1138" t="str">
            <v>KB Sprzed. bezpośrednia</v>
          </cell>
        </row>
        <row r="1139">
          <cell r="D1139" t="str">
            <v>KB Sprzed. bezpośrednia</v>
          </cell>
        </row>
        <row r="1140">
          <cell r="D1140" t="str">
            <v>KB Sprzed. bezpośrednia</v>
          </cell>
        </row>
        <row r="1141">
          <cell r="D1141" t="str">
            <v>KB Sprzed. bezpośrednia</v>
          </cell>
        </row>
        <row r="1142">
          <cell r="D1142" t="str">
            <v>KB Sprzed. bezpośrednia</v>
          </cell>
        </row>
        <row r="1143">
          <cell r="D1143" t="str">
            <v>KB Sprzed. bezpośrednia</v>
          </cell>
        </row>
        <row r="1144">
          <cell r="D1144" t="str">
            <v>KB Sprzed. bezpośrednia</v>
          </cell>
        </row>
        <row r="1145">
          <cell r="D1145" t="str">
            <v>KB Sprzed. bezpośrednia</v>
          </cell>
        </row>
        <row r="1146">
          <cell r="D1146" t="str">
            <v>KB Sprzed. bezpośrednia</v>
          </cell>
        </row>
        <row r="1147">
          <cell r="D1147" t="str">
            <v>KB Sprzed. bezpośrednia</v>
          </cell>
        </row>
        <row r="1148">
          <cell r="D1148" t="str">
            <v>KB Sprzed. bezpośrednia</v>
          </cell>
        </row>
        <row r="1149">
          <cell r="D1149" t="str">
            <v>KB Sprzed. bezpośrednia</v>
          </cell>
        </row>
        <row r="1150">
          <cell r="D1150" t="str">
            <v>KB Sprzed. bezpośrednia</v>
          </cell>
        </row>
        <row r="1151">
          <cell r="D1151" t="str">
            <v>KB Sprzed. bezpośrednia</v>
          </cell>
        </row>
        <row r="1152">
          <cell r="D1152" t="str">
            <v>KB Sprzed. bezpośrednia</v>
          </cell>
        </row>
        <row r="1153">
          <cell r="D1153" t="str">
            <v>KB Sprzed. bezpośrednia</v>
          </cell>
        </row>
        <row r="1154">
          <cell r="D1154" t="str">
            <v>KB Sprzed. bezpośrednia</v>
          </cell>
        </row>
        <row r="1155">
          <cell r="D1155" t="str">
            <v>KB Sprzed. bezpośrednia</v>
          </cell>
        </row>
        <row r="1156">
          <cell r="D1156" t="str">
            <v>KB Sprzed. bezpośrednia</v>
          </cell>
        </row>
        <row r="1157">
          <cell r="D1157" t="str">
            <v>KB Sprzed. bezpośrednia</v>
          </cell>
        </row>
        <row r="1158">
          <cell r="D1158" t="str">
            <v>KB Sprzed. bezpośrednia</v>
          </cell>
        </row>
        <row r="1159">
          <cell r="D1159" t="str">
            <v>KB Sprzed. bezpośrednia</v>
          </cell>
        </row>
        <row r="1160">
          <cell r="D1160" t="str">
            <v>KB Sprzed. bezpośrednia</v>
          </cell>
        </row>
        <row r="1161">
          <cell r="D1161" t="str">
            <v>KB Sprzed. bezpośrednia</v>
          </cell>
        </row>
        <row r="1162">
          <cell r="D1162" t="str">
            <v>KB Sprzed. bezpośrednia</v>
          </cell>
        </row>
        <row r="1163">
          <cell r="D1163" t="str">
            <v>KB Sprzed. bezpośrednia</v>
          </cell>
        </row>
        <row r="1164">
          <cell r="D1164" t="str">
            <v>KB Sprzed. bezpośrednia</v>
          </cell>
        </row>
        <row r="1165">
          <cell r="D1165" t="str">
            <v>KB Sprzed. bezpośrednia</v>
          </cell>
        </row>
        <row r="1166">
          <cell r="D1166" t="str">
            <v>KB Sprzed. bezpośrednia</v>
          </cell>
        </row>
        <row r="1167">
          <cell r="D1167" t="str">
            <v>KB Sprzed. bezpośrednia</v>
          </cell>
        </row>
        <row r="1168">
          <cell r="D1168" t="str">
            <v>KB Sprzed. bezpośrednia</v>
          </cell>
        </row>
        <row r="1169">
          <cell r="D1169" t="str">
            <v>KB Sprzed. bezpośrednia</v>
          </cell>
        </row>
        <row r="1170">
          <cell r="D1170" t="str">
            <v>KB Sprzed. bezpośrednia</v>
          </cell>
        </row>
        <row r="1171">
          <cell r="D1171" t="str">
            <v>KB Sprzed. bezpośrednia</v>
          </cell>
        </row>
        <row r="1172">
          <cell r="D1172" t="str">
            <v>KB Sprzed. bezpośrednia</v>
          </cell>
        </row>
        <row r="1173">
          <cell r="D1173" t="str">
            <v>KB Sprzed. bezpośrednia</v>
          </cell>
        </row>
        <row r="1174">
          <cell r="D1174" t="str">
            <v>KB Sprzed. bezpośrednia</v>
          </cell>
        </row>
        <row r="1175">
          <cell r="D1175" t="str">
            <v>KB Sprzed. bezpośrednia</v>
          </cell>
        </row>
        <row r="1176">
          <cell r="D1176" t="str">
            <v>KB Sprzed. bezpośrednia</v>
          </cell>
        </row>
        <row r="1177">
          <cell r="D1177" t="str">
            <v>KB Sprzed. bezpośrednia</v>
          </cell>
        </row>
        <row r="1178">
          <cell r="D1178" t="str">
            <v>KB Sprzed. bezpośrednia</v>
          </cell>
        </row>
        <row r="1179">
          <cell r="D1179" t="str">
            <v>KB Sprzed. bezpośrednia</v>
          </cell>
        </row>
        <row r="1180">
          <cell r="D1180" t="str">
            <v>KB Sprzed. bezpośrednia</v>
          </cell>
        </row>
        <row r="1181">
          <cell r="D1181" t="str">
            <v>KB Sprzed. bezpośrednia</v>
          </cell>
        </row>
        <row r="1182">
          <cell r="D1182" t="str">
            <v>KB Sprzed. bezpośrednia</v>
          </cell>
        </row>
        <row r="1183">
          <cell r="D1183" t="str">
            <v>KB Sprzed. bezpośrednia</v>
          </cell>
        </row>
        <row r="1184">
          <cell r="D1184" t="str">
            <v>KB Sprzed. bezpośrednia</v>
          </cell>
        </row>
        <row r="1185">
          <cell r="D1185" t="str">
            <v>KB Sprzed. bezpośrednia</v>
          </cell>
        </row>
        <row r="1186">
          <cell r="D1186" t="str">
            <v>KB Sprzed. bezpośrednia</v>
          </cell>
        </row>
        <row r="1187">
          <cell r="D1187" t="str">
            <v>KB Sprzed. bezpośrednia</v>
          </cell>
        </row>
        <row r="1188">
          <cell r="D1188" t="str">
            <v>KB Sprzed. bezpośrednia</v>
          </cell>
        </row>
        <row r="1189">
          <cell r="D1189" t="str">
            <v>KB Sprzed. bezpośrednia</v>
          </cell>
        </row>
        <row r="1190">
          <cell r="D1190" t="str">
            <v>KB Sprzed. bezpośrednia</v>
          </cell>
        </row>
        <row r="1191">
          <cell r="D1191" t="str">
            <v>KB Sprzed. bezpośrednia</v>
          </cell>
        </row>
        <row r="1192">
          <cell r="D1192" t="str">
            <v>KB Sprzed. bezpośrednia</v>
          </cell>
        </row>
        <row r="1193">
          <cell r="D1193" t="str">
            <v>KB Sprzed. bezpośrednia</v>
          </cell>
        </row>
        <row r="1194">
          <cell r="D1194" t="str">
            <v>KB Sprzed. bezpośrednia</v>
          </cell>
        </row>
        <row r="1195">
          <cell r="D1195" t="str">
            <v>KB Sprzed. bezpośrednia</v>
          </cell>
        </row>
        <row r="1196">
          <cell r="D1196" t="str">
            <v>KB Sprzed. bezpośrednia</v>
          </cell>
        </row>
        <row r="1197">
          <cell r="D1197" t="str">
            <v>KB Sprzed. bezpośrednia</v>
          </cell>
        </row>
        <row r="1198">
          <cell r="D1198" t="str">
            <v>KB Sprzed. bezpośrednia</v>
          </cell>
        </row>
        <row r="1199">
          <cell r="D1199" t="str">
            <v>KB Sprzed. bezpośrednia</v>
          </cell>
        </row>
        <row r="1200">
          <cell r="D1200" t="str">
            <v>KB Sprzed. bezpośrednia</v>
          </cell>
        </row>
        <row r="1201">
          <cell r="D1201" t="str">
            <v>KB Sprzed. bezpośrednia</v>
          </cell>
        </row>
        <row r="1202">
          <cell r="D1202" t="str">
            <v>KB Sprzed. bezpośrednia</v>
          </cell>
        </row>
        <row r="1203">
          <cell r="D1203" t="str">
            <v>KB Sprzed. bezpośrednia</v>
          </cell>
        </row>
        <row r="1204">
          <cell r="D1204" t="str">
            <v>KB Sprzed. bezpośrednia</v>
          </cell>
        </row>
        <row r="1205">
          <cell r="D1205" t="str">
            <v>KB Sprzed. bezpośrednia</v>
          </cell>
        </row>
        <row r="1206">
          <cell r="D1206" t="str">
            <v>KB Sprzed. bezpośrednia</v>
          </cell>
        </row>
        <row r="1207">
          <cell r="D1207" t="str">
            <v>KB Sprzed. bezpośrednia</v>
          </cell>
        </row>
        <row r="1208">
          <cell r="D1208" t="str">
            <v>KB Sprzed. bezpośrednia</v>
          </cell>
        </row>
        <row r="1209">
          <cell r="D1209" t="str">
            <v>KB Sprzed. bezpośrednia</v>
          </cell>
        </row>
        <row r="1210">
          <cell r="D1210" t="str">
            <v>KB Sprzed. bezpośrednia</v>
          </cell>
        </row>
        <row r="1211">
          <cell r="D1211" t="str">
            <v>KB Sprzed. bezpośrednia</v>
          </cell>
        </row>
        <row r="1212">
          <cell r="D1212" t="str">
            <v>KB Sprzed. bezpośrednia</v>
          </cell>
        </row>
        <row r="1213">
          <cell r="D1213" t="str">
            <v>KB Sprzed. bezpośrednia</v>
          </cell>
        </row>
        <row r="1214">
          <cell r="D1214" t="str">
            <v>KB Sprzed. bezpośrednia</v>
          </cell>
        </row>
        <row r="1215">
          <cell r="D1215" t="str">
            <v>KB Sprzed. bezpośrednia</v>
          </cell>
        </row>
        <row r="1216">
          <cell r="D1216" t="str">
            <v>KB Sprzed. bezpośrednia</v>
          </cell>
        </row>
        <row r="1217">
          <cell r="D1217" t="str">
            <v>KB Sprzed. bezpośrednia</v>
          </cell>
        </row>
        <row r="1218">
          <cell r="D1218" t="str">
            <v>KB Sprzed. bezpośrednia</v>
          </cell>
        </row>
        <row r="1219">
          <cell r="D1219" t="str">
            <v>KB Sprzed. bezpośrednia</v>
          </cell>
        </row>
        <row r="1220">
          <cell r="D1220" t="str">
            <v>KB Sprzed. bezpośrednia</v>
          </cell>
        </row>
        <row r="1221">
          <cell r="D1221" t="str">
            <v>KB Sprzed. bezpośrednia</v>
          </cell>
        </row>
        <row r="1222">
          <cell r="D1222" t="str">
            <v>KB Sprzed. bezpośrednia</v>
          </cell>
        </row>
        <row r="1223">
          <cell r="D1223" t="str">
            <v>KB Sprzed. bezpośrednia</v>
          </cell>
        </row>
        <row r="1224">
          <cell r="D1224" t="str">
            <v>KB Sprzed. bezpośrednia</v>
          </cell>
        </row>
        <row r="1225">
          <cell r="D1225" t="str">
            <v>KB Sprzed. bezpośrednia</v>
          </cell>
        </row>
        <row r="1226">
          <cell r="D1226" t="str">
            <v>KB Sprzed. bezpośrednia</v>
          </cell>
        </row>
        <row r="1227">
          <cell r="D1227" t="str">
            <v>KB Sprzed. bezpośrednia</v>
          </cell>
        </row>
        <row r="1228">
          <cell r="D1228" t="str">
            <v>KB Sprzed. bezpośrednia</v>
          </cell>
        </row>
        <row r="1229">
          <cell r="D1229" t="str">
            <v>KB Sprzed. bezpośrednia</v>
          </cell>
        </row>
        <row r="1230">
          <cell r="D1230" t="str">
            <v>KB Sprzed. bezpośrednia</v>
          </cell>
        </row>
        <row r="1231">
          <cell r="D1231" t="str">
            <v>KB Sprzed. bezpośrednia</v>
          </cell>
        </row>
        <row r="1232">
          <cell r="D1232" t="str">
            <v>KB Sprzed. bezpośrednia</v>
          </cell>
        </row>
        <row r="1233">
          <cell r="D1233" t="str">
            <v>KB Sprzed. bezpośrednia</v>
          </cell>
        </row>
        <row r="1234">
          <cell r="D1234" t="str">
            <v>KB Sprzed. bezpośrednia</v>
          </cell>
        </row>
        <row r="1235">
          <cell r="D1235" t="str">
            <v>KB Sprzed. bezpośrednia</v>
          </cell>
        </row>
        <row r="1236">
          <cell r="D1236" t="str">
            <v>KB Sprzed. bezpośrednia</v>
          </cell>
        </row>
        <row r="1237">
          <cell r="D1237" t="str">
            <v>KB Sprzed. bezpośrednia</v>
          </cell>
        </row>
        <row r="1238">
          <cell r="D1238" t="str">
            <v>KB Sprzed. bezpośrednia</v>
          </cell>
        </row>
        <row r="1239">
          <cell r="D1239" t="str">
            <v>KC Centra dystrybucji</v>
          </cell>
        </row>
        <row r="1240">
          <cell r="D1240" t="str">
            <v>KC Centra dystrybucji</v>
          </cell>
        </row>
        <row r="1241">
          <cell r="D1241" t="str">
            <v>KC Centra dystrybucji</v>
          </cell>
        </row>
        <row r="1242">
          <cell r="D1242" t="str">
            <v>KC Centra dystrybucji</v>
          </cell>
        </row>
        <row r="1243">
          <cell r="D1243" t="str">
            <v>KC Centra dystrybucji</v>
          </cell>
        </row>
        <row r="1244">
          <cell r="D1244" t="str">
            <v>KC Centra dystrybucji</v>
          </cell>
        </row>
        <row r="1245">
          <cell r="D1245" t="str">
            <v>KC Centra dystrybucji</v>
          </cell>
        </row>
        <row r="1246">
          <cell r="D1246" t="str">
            <v>KC Centra dystrybucji</v>
          </cell>
        </row>
        <row r="1247">
          <cell r="D1247" t="str">
            <v>KC Centra dystrybucji</v>
          </cell>
        </row>
        <row r="1248">
          <cell r="D1248" t="str">
            <v>KC Centra dystrybucji</v>
          </cell>
        </row>
        <row r="1249">
          <cell r="D1249" t="str">
            <v>KC Centra dystrybucji</v>
          </cell>
        </row>
        <row r="1250">
          <cell r="D1250" t="str">
            <v>KC Centra dystrybucji</v>
          </cell>
        </row>
        <row r="1251">
          <cell r="D1251" t="str">
            <v>KC Centra dystrybucji</v>
          </cell>
        </row>
        <row r="1252">
          <cell r="D1252" t="str">
            <v>KC Centra dystrybucji</v>
          </cell>
        </row>
        <row r="1253">
          <cell r="D1253" t="str">
            <v>KC Centra dystrybucji</v>
          </cell>
        </row>
        <row r="1254">
          <cell r="D1254" t="str">
            <v>KC Centra dystrybucji</v>
          </cell>
        </row>
        <row r="1255">
          <cell r="D1255" t="str">
            <v>KC Centra dystrybucji</v>
          </cell>
        </row>
        <row r="1256">
          <cell r="D1256" t="str">
            <v>KC Centra dystrybucji</v>
          </cell>
        </row>
        <row r="1257">
          <cell r="D1257" t="str">
            <v>KC Centra dystrybucji</v>
          </cell>
        </row>
        <row r="1258">
          <cell r="D1258" t="str">
            <v>KC Centra dystrybucji</v>
          </cell>
        </row>
        <row r="1259">
          <cell r="D1259" t="str">
            <v>KC Centra dystrybucji</v>
          </cell>
        </row>
        <row r="1260">
          <cell r="D1260" t="str">
            <v>KC Centra dystrybucji</v>
          </cell>
        </row>
        <row r="1261">
          <cell r="D1261" t="str">
            <v>KC Centra dystrybucji</v>
          </cell>
        </row>
        <row r="1262">
          <cell r="D1262" t="str">
            <v>KC Centra dystrybucji</v>
          </cell>
        </row>
        <row r="1263">
          <cell r="D1263" t="str">
            <v>KC Centra dystrybucji</v>
          </cell>
        </row>
        <row r="1264">
          <cell r="D1264" t="str">
            <v>KC Centra dystrybucji</v>
          </cell>
        </row>
        <row r="1265">
          <cell r="D1265" t="str">
            <v>KC Centra dystrybucji</v>
          </cell>
        </row>
        <row r="1266">
          <cell r="D1266" t="str">
            <v>KC Centra dystrybucji</v>
          </cell>
        </row>
        <row r="1267">
          <cell r="D1267" t="str">
            <v>KC Centra dystrybucji</v>
          </cell>
        </row>
        <row r="1268">
          <cell r="D1268" t="str">
            <v>KC Centra dystrybucji</v>
          </cell>
        </row>
        <row r="1269">
          <cell r="D1269" t="str">
            <v>KC Centra dystrybucji</v>
          </cell>
        </row>
        <row r="1270">
          <cell r="D1270" t="str">
            <v>KC Centra dystrybucji</v>
          </cell>
        </row>
        <row r="1271">
          <cell r="D1271" t="str">
            <v>KC Centra dystrybucji</v>
          </cell>
        </row>
        <row r="1272">
          <cell r="D1272" t="str">
            <v>KC Centra dystrybucji</v>
          </cell>
        </row>
        <row r="1273">
          <cell r="D1273" t="str">
            <v>KC Centra dystrybucji</v>
          </cell>
        </row>
        <row r="1274">
          <cell r="D1274" t="str">
            <v>KC Centra dystrybucji</v>
          </cell>
        </row>
        <row r="1275">
          <cell r="D1275" t="str">
            <v>Nieprzypisane</v>
          </cell>
        </row>
        <row r="1276">
          <cell r="D1276" t="str">
            <v>KB Sprzed. bezpośrednia</v>
          </cell>
        </row>
        <row r="1277">
          <cell r="D1277" t="str">
            <v>KB Sprzed. bezpośrednia</v>
          </cell>
        </row>
        <row r="1278">
          <cell r="D1278" t="str">
            <v>KB Sprzed. bezpośrednia</v>
          </cell>
        </row>
        <row r="1279">
          <cell r="D1279" t="str">
            <v>KB Sprzed. bezpośrednia</v>
          </cell>
        </row>
        <row r="1280">
          <cell r="D1280" t="str">
            <v>KB Sprzed. bezpośrednia</v>
          </cell>
        </row>
        <row r="1281">
          <cell r="D1281" t="str">
            <v>KB Sprzed. bezpośrednia</v>
          </cell>
        </row>
        <row r="1282">
          <cell r="D1282" t="str">
            <v>KB Sprzed. bezpośrednia</v>
          </cell>
        </row>
        <row r="1283">
          <cell r="D1283" t="str">
            <v>KB Sprzed. bezpośrednia</v>
          </cell>
        </row>
        <row r="1284">
          <cell r="D1284" t="str">
            <v>KB Sprzed. bezpośrednia</v>
          </cell>
        </row>
        <row r="1285">
          <cell r="D1285" t="str">
            <v>KB Sprzed. bezpośrednia</v>
          </cell>
        </row>
        <row r="1286">
          <cell r="D1286" t="str">
            <v>KB Sprzed. bezpośrednia</v>
          </cell>
        </row>
        <row r="1287">
          <cell r="D1287" t="str">
            <v>KB Sprzed. bezpośrednia</v>
          </cell>
        </row>
        <row r="1288">
          <cell r="D1288" t="str">
            <v>KB Sprzed. bezpośrednia</v>
          </cell>
        </row>
        <row r="1289">
          <cell r="D1289" t="str">
            <v>KB Sprzed. bezpośrednia</v>
          </cell>
        </row>
        <row r="1290">
          <cell r="D1290" t="str">
            <v>KB Sprzed. bezpośrednia</v>
          </cell>
        </row>
        <row r="1291">
          <cell r="D1291" t="str">
            <v>KB Sprzed. bezpośrednia</v>
          </cell>
        </row>
        <row r="1292">
          <cell r="D1292" t="str">
            <v>KB Sprzed. bezpośrednia</v>
          </cell>
        </row>
        <row r="1293">
          <cell r="D1293" t="str">
            <v>KB Sprzed. bezpośrednia</v>
          </cell>
        </row>
        <row r="1294">
          <cell r="D1294" t="str">
            <v>KB Sprzed. bezpośrednia</v>
          </cell>
        </row>
        <row r="1295">
          <cell r="D1295" t="str">
            <v>KB Sprzed. bezpośrednia</v>
          </cell>
        </row>
        <row r="1296">
          <cell r="D1296" t="str">
            <v>KB Sprzed. bezpośrednia</v>
          </cell>
        </row>
        <row r="1297">
          <cell r="D1297" t="str">
            <v>KB Sprzed. bezpośrednia</v>
          </cell>
        </row>
        <row r="1298">
          <cell r="D1298" t="str">
            <v>KB Sprzed. bezpośrednia</v>
          </cell>
        </row>
        <row r="1299">
          <cell r="D1299" t="str">
            <v>KB Sprzed. bezpośrednia</v>
          </cell>
        </row>
        <row r="1300">
          <cell r="D1300" t="str">
            <v>KB Sprzed. bezpośrednia</v>
          </cell>
        </row>
        <row r="1301">
          <cell r="D1301" t="str">
            <v>KB Sprzed. bezpośrednia</v>
          </cell>
        </row>
        <row r="1302">
          <cell r="D1302" t="str">
            <v>KB Sprzed. bezpośrednia</v>
          </cell>
        </row>
        <row r="1303">
          <cell r="D1303" t="str">
            <v>KB Sprzed. bezpośrednia</v>
          </cell>
        </row>
        <row r="1304">
          <cell r="D1304" t="str">
            <v>KB Sprzed. bezpośrednia</v>
          </cell>
        </row>
        <row r="1305">
          <cell r="D1305" t="str">
            <v>KB Sprzed. bezpośrednia</v>
          </cell>
        </row>
        <row r="1306">
          <cell r="D1306" t="str">
            <v>KB Sprzed. bezpośrednia</v>
          </cell>
        </row>
        <row r="1307">
          <cell r="D1307" t="str">
            <v>KB Sprzed. bezpośrednia</v>
          </cell>
        </row>
        <row r="1308">
          <cell r="D1308" t="str">
            <v>KB Sprzed. bezpośrednia</v>
          </cell>
        </row>
        <row r="1309">
          <cell r="D1309" t="str">
            <v>KB Sprzed. bezpośrednia</v>
          </cell>
        </row>
        <row r="1310">
          <cell r="D1310" t="str">
            <v>KB Sprzed. bezpośrednia</v>
          </cell>
        </row>
        <row r="1311">
          <cell r="D1311" t="str">
            <v>KB Sprzed. bezpośrednia</v>
          </cell>
        </row>
        <row r="1312">
          <cell r="D1312" t="str">
            <v>KB Sprzed. bezpośrednia</v>
          </cell>
        </row>
        <row r="1313">
          <cell r="D1313" t="str">
            <v>KB Sprzed. bezpośrednia</v>
          </cell>
        </row>
        <row r="1314">
          <cell r="D1314" t="str">
            <v>KB Sprzed. bezpośrednia</v>
          </cell>
        </row>
        <row r="1315">
          <cell r="D1315" t="str">
            <v>KB Sprzed. bezpośrednia</v>
          </cell>
        </row>
        <row r="1316">
          <cell r="D1316" t="str">
            <v>KB Sprzed. bezpośrednia</v>
          </cell>
        </row>
        <row r="1317">
          <cell r="D1317" t="str">
            <v>KB Sprzed. bezpośrednia</v>
          </cell>
        </row>
        <row r="1318">
          <cell r="D1318" t="str">
            <v>KB Sprzed. bezpośrednia</v>
          </cell>
        </row>
        <row r="1319">
          <cell r="D1319" t="str">
            <v>KB Sprzed. bezpośrednia</v>
          </cell>
        </row>
        <row r="1320">
          <cell r="D1320" t="str">
            <v>KB Sprzed. bezpośrednia</v>
          </cell>
        </row>
        <row r="1321">
          <cell r="D1321" t="str">
            <v>KB Sprzed. bezpośrednia</v>
          </cell>
        </row>
        <row r="1322">
          <cell r="D1322" t="str">
            <v>KB Sprzed. bezpośrednia</v>
          </cell>
        </row>
        <row r="1323">
          <cell r="D1323" t="str">
            <v>KB Sprzed. bezpośrednia</v>
          </cell>
        </row>
        <row r="1324">
          <cell r="D1324" t="str">
            <v>KB Sprzed. bezpośrednia</v>
          </cell>
        </row>
        <row r="1325">
          <cell r="D1325" t="str">
            <v>KB Sprzed. bezpośrednia</v>
          </cell>
        </row>
        <row r="1326">
          <cell r="D1326" t="str">
            <v>KB Sprzed. bezpośrednia</v>
          </cell>
        </row>
        <row r="1327">
          <cell r="D1327" t="str">
            <v>KB Sprzed. bezpośrednia</v>
          </cell>
        </row>
        <row r="1328">
          <cell r="D1328" t="str">
            <v>KB Sprzed. bezpośrednia</v>
          </cell>
        </row>
        <row r="1329">
          <cell r="D1329" t="str">
            <v>KB Sprzed. bezpośrednia</v>
          </cell>
        </row>
        <row r="1330">
          <cell r="D1330" t="str">
            <v>KB Sprzed. bezpośrednia</v>
          </cell>
        </row>
        <row r="1331">
          <cell r="D1331" t="str">
            <v>KB Sprzed. bezpośrednia</v>
          </cell>
        </row>
        <row r="1332">
          <cell r="D1332" t="str">
            <v>KB Sprzed. bezpośrednia</v>
          </cell>
        </row>
        <row r="1333">
          <cell r="D1333" t="str">
            <v>KB Sprzed. bezpośrednia</v>
          </cell>
        </row>
        <row r="1334">
          <cell r="D1334" t="str">
            <v>KB Sprzed. bezpośrednia</v>
          </cell>
        </row>
        <row r="1335">
          <cell r="D1335" t="str">
            <v>KB Sprzed. bezpośrednia</v>
          </cell>
        </row>
        <row r="1336">
          <cell r="D1336" t="str">
            <v>KB Sprzed. bezpośrednia</v>
          </cell>
        </row>
        <row r="1337">
          <cell r="D1337" t="str">
            <v>KB Sprzed. bezpośrednia</v>
          </cell>
        </row>
        <row r="1338">
          <cell r="D1338" t="str">
            <v>KB Sprzed. bezpośrednia</v>
          </cell>
        </row>
        <row r="1339">
          <cell r="D1339" t="str">
            <v>KB Sprzed. bezpośrednia</v>
          </cell>
        </row>
        <row r="1340">
          <cell r="D1340" t="str">
            <v>KB Sprzed. bezpośrednia</v>
          </cell>
        </row>
        <row r="1341">
          <cell r="D1341" t="str">
            <v>KB Sprzed. bezpośrednia</v>
          </cell>
        </row>
        <row r="1342">
          <cell r="D1342" t="str">
            <v>KB Sprzed. bezpośrednia</v>
          </cell>
        </row>
        <row r="1343">
          <cell r="D1343" t="str">
            <v>KB Sprzed. bezpośrednia</v>
          </cell>
        </row>
        <row r="1344">
          <cell r="D1344" t="str">
            <v>KB Sprzed. bezpośrednia</v>
          </cell>
        </row>
        <row r="1345">
          <cell r="D1345" t="str">
            <v>KB Sprzed. bezpośrednia</v>
          </cell>
        </row>
        <row r="1346">
          <cell r="D1346" t="str">
            <v>KC Centra dystrybucji</v>
          </cell>
        </row>
        <row r="1347">
          <cell r="D1347" t="str">
            <v>KC Centra dystrybucji</v>
          </cell>
        </row>
        <row r="1348">
          <cell r="D1348" t="str">
            <v>KC Centra dystrybucji</v>
          </cell>
        </row>
        <row r="1349">
          <cell r="D1349" t="str">
            <v>KC Centra dystrybucji</v>
          </cell>
        </row>
        <row r="1350">
          <cell r="D1350" t="str">
            <v>KC Centra dystrybucji</v>
          </cell>
        </row>
        <row r="1351">
          <cell r="D1351" t="str">
            <v>KC Centra dystrybucji</v>
          </cell>
        </row>
        <row r="1352">
          <cell r="D1352" t="str">
            <v>KC Centra dystrybucji</v>
          </cell>
        </row>
        <row r="1353">
          <cell r="D1353" t="str">
            <v>KC Centra dystrybucji</v>
          </cell>
        </row>
        <row r="1354">
          <cell r="D1354" t="str">
            <v>KC Centra dystrybucji</v>
          </cell>
        </row>
        <row r="1355">
          <cell r="D1355" t="str">
            <v>KC Centra dystrybucji</v>
          </cell>
        </row>
        <row r="1356">
          <cell r="D1356" t="str">
            <v>KC Centra dystrybucji</v>
          </cell>
        </row>
        <row r="1357">
          <cell r="D1357" t="str">
            <v>KC Centra dystrybucji</v>
          </cell>
        </row>
        <row r="1358">
          <cell r="D1358" t="str">
            <v>KC Centra dystrybucji</v>
          </cell>
        </row>
        <row r="1359">
          <cell r="D1359" t="str">
            <v>Nieprzypisane</v>
          </cell>
        </row>
        <row r="1360">
          <cell r="D1360" t="str">
            <v>KB Sprzed. bezpośrednia</v>
          </cell>
        </row>
        <row r="1361">
          <cell r="D1361" t="str">
            <v>KB Sprzed. bezpośrednia</v>
          </cell>
        </row>
        <row r="1362">
          <cell r="D1362" t="str">
            <v>KB Sprzed. bezpośrednia</v>
          </cell>
        </row>
        <row r="1363">
          <cell r="D1363" t="str">
            <v>KB Sprzed. bezpośrednia</v>
          </cell>
        </row>
        <row r="1364">
          <cell r="D1364" t="str">
            <v>KB Sprzed. bezpośrednia</v>
          </cell>
        </row>
        <row r="1365">
          <cell r="D1365" t="str">
            <v>KC Centra dystrybucji</v>
          </cell>
        </row>
        <row r="1366">
          <cell r="D1366" t="str">
            <v>KC Centra dystrybucji</v>
          </cell>
        </row>
        <row r="1367">
          <cell r="D1367" t="str">
            <v>KC Centra dystrybucji</v>
          </cell>
        </row>
        <row r="1368">
          <cell r="D1368" t="str">
            <v>KC Centra dystrybucji</v>
          </cell>
        </row>
        <row r="1369">
          <cell r="D1369" t="str">
            <v>KC Centra dystrybucji</v>
          </cell>
        </row>
        <row r="1370">
          <cell r="D1370" t="str">
            <v>KC Centra dystrybucji</v>
          </cell>
        </row>
        <row r="1371">
          <cell r="D1371" t="str">
            <v>KC Centra dystrybucji</v>
          </cell>
        </row>
        <row r="1372">
          <cell r="D1372" t="str">
            <v>KB Sprzed. bezpośrednia</v>
          </cell>
        </row>
        <row r="1373">
          <cell r="D1373" t="str">
            <v>KB Sprzed. bezpośrednia</v>
          </cell>
        </row>
        <row r="1374">
          <cell r="D1374" t="str">
            <v>KB Sprzed. bezpośrednia</v>
          </cell>
        </row>
        <row r="1375">
          <cell r="D1375" t="str">
            <v>KB Sprzed. bezpośrednia</v>
          </cell>
        </row>
        <row r="1376">
          <cell r="D1376" t="str">
            <v>Nieprzypisane</v>
          </cell>
        </row>
        <row r="1377">
          <cell r="D1377" t="str">
            <v>KB Sprzed. bezpośrednia</v>
          </cell>
        </row>
        <row r="1378">
          <cell r="D1378" t="str">
            <v>KB Sprzed. bezpośrednia</v>
          </cell>
        </row>
        <row r="1379">
          <cell r="D1379" t="str">
            <v>KB Sprzed. bezpośrednia</v>
          </cell>
        </row>
        <row r="1380">
          <cell r="D1380" t="str">
            <v>KB Sprzed. bezpośrednia</v>
          </cell>
        </row>
        <row r="1381">
          <cell r="D1381" t="str">
            <v>KB Sprzed. bezpośrednia</v>
          </cell>
        </row>
        <row r="1382">
          <cell r="D1382" t="str">
            <v>KB Sprzed. bezpośrednia</v>
          </cell>
        </row>
        <row r="1383">
          <cell r="D1383" t="str">
            <v>KB Sprzed. bezpośrednia</v>
          </cell>
        </row>
        <row r="1384">
          <cell r="D1384" t="str">
            <v>KB Sprzed. bezpośrednia</v>
          </cell>
        </row>
        <row r="1385">
          <cell r="D1385" t="str">
            <v>KB Sprzed. bezpośrednia</v>
          </cell>
        </row>
        <row r="1386">
          <cell r="D1386" t="str">
            <v>KB Sprzed. bezpośrednia</v>
          </cell>
        </row>
        <row r="1387">
          <cell r="D1387" t="str">
            <v>KB Sprzed. bezpośrednia</v>
          </cell>
        </row>
        <row r="1388">
          <cell r="D1388" t="str">
            <v>KB Sprzed. bezpośrednia</v>
          </cell>
        </row>
        <row r="1389">
          <cell r="D1389" t="str">
            <v>KB Sprzed. bezpośrednia</v>
          </cell>
        </row>
        <row r="1390">
          <cell r="D1390" t="str">
            <v>KB Sprzed. bezpośrednia</v>
          </cell>
        </row>
        <row r="1391">
          <cell r="D1391" t="str">
            <v>KB Sprzed. bezpośrednia</v>
          </cell>
        </row>
        <row r="1392">
          <cell r="D1392" t="str">
            <v>KB Sprzed. bezpośrednia</v>
          </cell>
        </row>
        <row r="1393">
          <cell r="D1393" t="str">
            <v>KB Sprzed. bezpośrednia</v>
          </cell>
        </row>
        <row r="1394">
          <cell r="D1394" t="str">
            <v>KB Sprzed. bezpośrednia</v>
          </cell>
        </row>
        <row r="1395">
          <cell r="D1395" t="str">
            <v>KB Sprzed. bezpośrednia</v>
          </cell>
        </row>
        <row r="1396">
          <cell r="D1396" t="str">
            <v>KB Sprzed. bezpośrednia</v>
          </cell>
        </row>
        <row r="1397">
          <cell r="D1397" t="str">
            <v>KB Sprzed. bezpośrednia</v>
          </cell>
        </row>
        <row r="1398">
          <cell r="D1398" t="str">
            <v>KB Sprzed. bezpośrednia</v>
          </cell>
        </row>
        <row r="1399">
          <cell r="D1399" t="str">
            <v>KB Sprzed. bezpośrednia</v>
          </cell>
        </row>
        <row r="1400">
          <cell r="D1400" t="str">
            <v>KB Sprzed. bezpośrednia</v>
          </cell>
        </row>
        <row r="1401">
          <cell r="D1401" t="str">
            <v>KB Sprzed. bezpośrednia</v>
          </cell>
        </row>
        <row r="1402">
          <cell r="D1402" t="str">
            <v>KB Sprzed. bezpośrednia</v>
          </cell>
        </row>
        <row r="1403">
          <cell r="D1403" t="str">
            <v>KB Sprzed. bezpośrednia</v>
          </cell>
        </row>
        <row r="1404">
          <cell r="D1404" t="str">
            <v>KB Sprzed. bezpośrednia</v>
          </cell>
        </row>
        <row r="1405">
          <cell r="D1405" t="str">
            <v>KB Sprzed. bezpośrednia</v>
          </cell>
        </row>
        <row r="1406">
          <cell r="D1406" t="str">
            <v>KB Sprzed. bezpośrednia</v>
          </cell>
        </row>
        <row r="1407">
          <cell r="D1407" t="str">
            <v>KB Sprzed. bezpośrednia</v>
          </cell>
        </row>
        <row r="1408">
          <cell r="D1408" t="str">
            <v>KB Sprzed. bezpośrednia</v>
          </cell>
        </row>
        <row r="1409">
          <cell r="D1409" t="str">
            <v>KB Sprzed. bezpośrednia</v>
          </cell>
        </row>
        <row r="1410">
          <cell r="D1410" t="str">
            <v>KB Sprzed. bezpośrednia</v>
          </cell>
        </row>
        <row r="1411">
          <cell r="D1411" t="str">
            <v>KB Sprzed. bezpośrednia</v>
          </cell>
        </row>
        <row r="1412">
          <cell r="D1412" t="str">
            <v>KB Sprzed. bezpośrednia</v>
          </cell>
        </row>
        <row r="1413">
          <cell r="D1413" t="str">
            <v>KB Sprzed. bezpośrednia</v>
          </cell>
        </row>
        <row r="1414">
          <cell r="D1414" t="str">
            <v>KB Sprzed. bezpośrednia</v>
          </cell>
        </row>
        <row r="1415">
          <cell r="D1415" t="str">
            <v>KB Sprzed. bezpośrednia</v>
          </cell>
        </row>
        <row r="1416">
          <cell r="D1416" t="str">
            <v>KB Sprzed. bezpośrednia</v>
          </cell>
        </row>
        <row r="1417">
          <cell r="D1417" t="str">
            <v>KB Sprzed. bezpośrednia</v>
          </cell>
        </row>
        <row r="1418">
          <cell r="D1418" t="str">
            <v>KB Sprzed. bezpośrednia</v>
          </cell>
        </row>
        <row r="1419">
          <cell r="D1419" t="str">
            <v>KB Sprzed. bezpośrednia</v>
          </cell>
        </row>
        <row r="1420">
          <cell r="D1420" t="str">
            <v>KB Sprzed. bezpośrednia</v>
          </cell>
        </row>
        <row r="1421">
          <cell r="D1421" t="str">
            <v>KB Sprzed. bezpośrednia</v>
          </cell>
        </row>
        <row r="1422">
          <cell r="D1422" t="str">
            <v>KB Sprzed. bezpośrednia</v>
          </cell>
        </row>
        <row r="1423">
          <cell r="D1423" t="str">
            <v>KB Sprzed. bezpośrednia</v>
          </cell>
        </row>
        <row r="1424">
          <cell r="D1424" t="str">
            <v>KB Sprzed. bezpośrednia</v>
          </cell>
        </row>
        <row r="1425">
          <cell r="D1425" t="str">
            <v>KB Sprzed. bezpośrednia</v>
          </cell>
        </row>
        <row r="1426">
          <cell r="D1426" t="str">
            <v>KB Sprzed. bezpośrednia</v>
          </cell>
        </row>
        <row r="1427">
          <cell r="D1427" t="str">
            <v>KB Sprzed. bezpośrednia</v>
          </cell>
        </row>
        <row r="1428">
          <cell r="D1428" t="str">
            <v>KB Sprzed. bezpośrednia</v>
          </cell>
        </row>
        <row r="1429">
          <cell r="D1429" t="str">
            <v>KB Sprzed. bezpośrednia</v>
          </cell>
        </row>
        <row r="1430">
          <cell r="D1430" t="str">
            <v>KB Sprzed. bezpośrednia</v>
          </cell>
        </row>
        <row r="1431">
          <cell r="D1431" t="str">
            <v>KB Sprzed. bezpośrednia</v>
          </cell>
        </row>
        <row r="1432">
          <cell r="D1432" t="str">
            <v>KB Sprzed. bezpośrednia</v>
          </cell>
        </row>
        <row r="1433">
          <cell r="D1433" t="str">
            <v>KB Sprzed. bezpośrednia</v>
          </cell>
        </row>
        <row r="1434">
          <cell r="D1434" t="str">
            <v>KB Sprzed. bezpośrednia</v>
          </cell>
        </row>
        <row r="1435">
          <cell r="D1435" t="str">
            <v>KB Sprzed. bezpośrednia</v>
          </cell>
        </row>
        <row r="1436">
          <cell r="D1436" t="str">
            <v>KB Sprzed. bezpośrednia</v>
          </cell>
        </row>
        <row r="1437">
          <cell r="D1437" t="str">
            <v>KB Sprzed. bezpośrednia</v>
          </cell>
        </row>
        <row r="1438">
          <cell r="D1438" t="str">
            <v>KB Sprzed. bezpośrednia</v>
          </cell>
        </row>
        <row r="1439">
          <cell r="D1439" t="str">
            <v>KB Sprzed. bezpośrednia</v>
          </cell>
        </row>
        <row r="1440">
          <cell r="D1440" t="str">
            <v>KB Sprzed. bezpośrednia</v>
          </cell>
        </row>
        <row r="1441">
          <cell r="D1441" t="str">
            <v>KB Sprzed. bezpośrednia</v>
          </cell>
        </row>
        <row r="1442">
          <cell r="D1442" t="str">
            <v>KB Sprzed. bezpośrednia</v>
          </cell>
        </row>
        <row r="1443">
          <cell r="D1443" t="str">
            <v>KB Sprzed. bezpośrednia</v>
          </cell>
        </row>
        <row r="1444">
          <cell r="D1444" t="str">
            <v>KB Sprzed. bezpośrednia</v>
          </cell>
        </row>
        <row r="1445">
          <cell r="D1445" t="str">
            <v>KB Sprzed. bezpośrednia</v>
          </cell>
        </row>
        <row r="1446">
          <cell r="D1446" t="str">
            <v>KB Sprzed. bezpośrednia</v>
          </cell>
        </row>
        <row r="1447">
          <cell r="D1447" t="str">
            <v>KB Sprzed. bezpośrednia</v>
          </cell>
        </row>
        <row r="1448">
          <cell r="D1448" t="str">
            <v>KB Sprzed. bezpośrednia</v>
          </cell>
        </row>
        <row r="1449">
          <cell r="D1449" t="str">
            <v>KB Sprzed. bezpośrednia</v>
          </cell>
        </row>
        <row r="1450">
          <cell r="D1450" t="str">
            <v>KB Sprzed. bezpośrednia</v>
          </cell>
        </row>
        <row r="1451">
          <cell r="D1451" t="str">
            <v>KB Sprzed. bezpośrednia</v>
          </cell>
        </row>
        <row r="1452">
          <cell r="D1452" t="str">
            <v>KB Sprzed. bezpośrednia</v>
          </cell>
        </row>
        <row r="1453">
          <cell r="D1453" t="str">
            <v>KB Sprzed. bezpośrednia</v>
          </cell>
        </row>
        <row r="1454">
          <cell r="D1454" t="str">
            <v>KB Sprzed. bezpośrednia</v>
          </cell>
        </row>
        <row r="1455">
          <cell r="D1455" t="str">
            <v>KB Sprzed. bezpośrednia</v>
          </cell>
        </row>
        <row r="1456">
          <cell r="D1456" t="str">
            <v>KB Sprzed. bezpośrednia</v>
          </cell>
        </row>
        <row r="1457">
          <cell r="D1457" t="str">
            <v>KB Sprzed. bezpośrednia</v>
          </cell>
        </row>
        <row r="1458">
          <cell r="D1458" t="str">
            <v>KB Sprzed. bezpośrednia</v>
          </cell>
        </row>
        <row r="1459">
          <cell r="D1459" t="str">
            <v>KB Sprzed. bezpośrednia</v>
          </cell>
        </row>
        <row r="1460">
          <cell r="D1460" t="str">
            <v>KB Sprzed. bezpośrednia</v>
          </cell>
        </row>
        <row r="1461">
          <cell r="D1461" t="str">
            <v>KB Sprzed. bezpośrednia</v>
          </cell>
        </row>
        <row r="1462">
          <cell r="D1462" t="str">
            <v>KB Sprzed. bezpośrednia</v>
          </cell>
        </row>
        <row r="1463">
          <cell r="D1463" t="str">
            <v>KB Sprzed. bezpośrednia</v>
          </cell>
        </row>
        <row r="1464">
          <cell r="D1464" t="str">
            <v>KB Sprzed. bezpośrednia</v>
          </cell>
        </row>
        <row r="1465">
          <cell r="D1465" t="str">
            <v>KB Sprzed. bezpośrednia</v>
          </cell>
        </row>
        <row r="1466">
          <cell r="D1466" t="str">
            <v>KB Sprzed. bezpośrednia</v>
          </cell>
        </row>
        <row r="1467">
          <cell r="D1467" t="str">
            <v>KB Sprzed. bezpośrednia</v>
          </cell>
        </row>
        <row r="1468">
          <cell r="D1468" t="str">
            <v>KB Sprzed. bezpośrednia</v>
          </cell>
        </row>
        <row r="1469">
          <cell r="D1469" t="str">
            <v>KB Sprzed. bezpośrednia</v>
          </cell>
        </row>
        <row r="1470">
          <cell r="D1470" t="str">
            <v>KB Sprzed. bezpośrednia</v>
          </cell>
        </row>
        <row r="1471">
          <cell r="D1471" t="str">
            <v>KB Sprzed. bezpośrednia</v>
          </cell>
        </row>
        <row r="1472">
          <cell r="D1472" t="str">
            <v>KB Sprzed. bezpośrednia</v>
          </cell>
        </row>
        <row r="1473">
          <cell r="D1473" t="str">
            <v>KB Sprzed. bezpośrednia</v>
          </cell>
        </row>
        <row r="1474">
          <cell r="D1474" t="str">
            <v>KB Sprzed. bezpośrednia</v>
          </cell>
        </row>
        <row r="1475">
          <cell r="D1475" t="str">
            <v>KB Sprzed. bezpośrednia</v>
          </cell>
        </row>
        <row r="1476">
          <cell r="D1476" t="str">
            <v>KB Sprzed. bezpośrednia</v>
          </cell>
        </row>
        <row r="1477">
          <cell r="D1477" t="str">
            <v>KB Sprzed. bezpośrednia</v>
          </cell>
        </row>
        <row r="1478">
          <cell r="D1478" t="str">
            <v>KB Sprzed. bezpośrednia</v>
          </cell>
        </row>
        <row r="1479">
          <cell r="D1479" t="str">
            <v>KB Sprzed. bezpośrednia</v>
          </cell>
        </row>
        <row r="1480">
          <cell r="D1480" t="str">
            <v>KB Sprzed. bezpośrednia</v>
          </cell>
        </row>
        <row r="1481">
          <cell r="D1481" t="str">
            <v>KB Sprzed. bezpośrednia</v>
          </cell>
        </row>
        <row r="1482">
          <cell r="D1482" t="str">
            <v>KB Sprzed. bezpośrednia</v>
          </cell>
        </row>
        <row r="1483">
          <cell r="D1483" t="str">
            <v>KB Sprzed. bezpośrednia</v>
          </cell>
        </row>
        <row r="1484">
          <cell r="D1484" t="str">
            <v>KB Sprzed. bezpośrednia</v>
          </cell>
        </row>
        <row r="1485">
          <cell r="D1485" t="str">
            <v>KB Sprzed. bezpośrednia</v>
          </cell>
        </row>
        <row r="1486">
          <cell r="D1486" t="str">
            <v>KB Sprzed. bezpośrednia</v>
          </cell>
        </row>
        <row r="1487">
          <cell r="D1487" t="str">
            <v>KB Sprzed. bezpośrednia</v>
          </cell>
        </row>
        <row r="1488">
          <cell r="D1488" t="str">
            <v>KB Sprzed. bezpośrednia</v>
          </cell>
        </row>
        <row r="1489">
          <cell r="D1489" t="str">
            <v>KB Sprzed. bezpośrednia</v>
          </cell>
        </row>
        <row r="1490">
          <cell r="D1490" t="str">
            <v>KB Sprzed. bezpośrednia</v>
          </cell>
        </row>
        <row r="1491">
          <cell r="D1491" t="str">
            <v>KB Sprzed. bezpośrednia</v>
          </cell>
        </row>
        <row r="1492">
          <cell r="D1492" t="str">
            <v>KB Sprzed. bezpośrednia</v>
          </cell>
        </row>
        <row r="1493">
          <cell r="D1493" t="str">
            <v>KB Sprzed. bezpośrednia</v>
          </cell>
        </row>
        <row r="1494">
          <cell r="D1494" t="str">
            <v>KB Sprzed. bezpośrednia</v>
          </cell>
        </row>
        <row r="1495">
          <cell r="D1495" t="str">
            <v>KB Sprzed. bezpośrednia</v>
          </cell>
        </row>
        <row r="1496">
          <cell r="D1496" t="str">
            <v>KB Sprzed. bezpośrednia</v>
          </cell>
        </row>
        <row r="1497">
          <cell r="D1497" t="str">
            <v>KB Sprzed. bezpośrednia</v>
          </cell>
        </row>
        <row r="1498">
          <cell r="D1498" t="str">
            <v>KB Sprzed. bezpośrednia</v>
          </cell>
        </row>
        <row r="1499">
          <cell r="D1499" t="str">
            <v>KB Sprzed. bezpośrednia</v>
          </cell>
        </row>
        <row r="1500">
          <cell r="D1500" t="str">
            <v>KB Sprzed. bezpośrednia</v>
          </cell>
        </row>
        <row r="1501">
          <cell r="D1501" t="str">
            <v>KB Sprzed. bezpośrednia</v>
          </cell>
        </row>
        <row r="1502">
          <cell r="D1502" t="str">
            <v>KB Sprzed. bezpośrednia</v>
          </cell>
        </row>
        <row r="1503">
          <cell r="D1503" t="str">
            <v>KB Sprzed. bezpośrednia</v>
          </cell>
        </row>
        <row r="1504">
          <cell r="D1504" t="str">
            <v>KB Sprzed. bezpośrednia</v>
          </cell>
        </row>
        <row r="1505">
          <cell r="D1505" t="str">
            <v>KB Sprzed. bezpośrednia</v>
          </cell>
        </row>
        <row r="1506">
          <cell r="D1506" t="str">
            <v>KB Sprzed. bezpośrednia</v>
          </cell>
        </row>
        <row r="1507">
          <cell r="D1507" t="str">
            <v>KB Sprzed. bezpośrednia</v>
          </cell>
        </row>
        <row r="1508">
          <cell r="D1508" t="str">
            <v>KB Sprzed. bezpośrednia</v>
          </cell>
        </row>
        <row r="1509">
          <cell r="D1509" t="str">
            <v>KB Sprzed. bezpośrednia</v>
          </cell>
        </row>
        <row r="1510">
          <cell r="D1510" t="str">
            <v>KB Sprzed. bezpośrednia</v>
          </cell>
        </row>
        <row r="1511">
          <cell r="D1511" t="str">
            <v>KB Sprzed. bezpośrednia</v>
          </cell>
        </row>
        <row r="1512">
          <cell r="D1512" t="str">
            <v>KB Sprzed. bezpośrednia</v>
          </cell>
        </row>
        <row r="1513">
          <cell r="D1513" t="str">
            <v>KB Sprzed. bezpośrednia</v>
          </cell>
        </row>
        <row r="1514">
          <cell r="D1514" t="str">
            <v>KB Sprzed. bezpośrednia</v>
          </cell>
        </row>
        <row r="1515">
          <cell r="D1515" t="str">
            <v>KB Sprzed. bezpośrednia</v>
          </cell>
        </row>
        <row r="1516">
          <cell r="D1516" t="str">
            <v>KB Sprzed. bezpośrednia</v>
          </cell>
        </row>
        <row r="1517">
          <cell r="D1517" t="str">
            <v>KB Sprzed. bezpośrednia</v>
          </cell>
        </row>
        <row r="1518">
          <cell r="D1518" t="str">
            <v>KB Sprzed. bezpośrednia</v>
          </cell>
        </row>
        <row r="1519">
          <cell r="D1519" t="str">
            <v>KB Sprzed. bezpośrednia</v>
          </cell>
        </row>
        <row r="1520">
          <cell r="D1520" t="str">
            <v>KB Sprzed. bezpośrednia</v>
          </cell>
        </row>
        <row r="1521">
          <cell r="D1521" t="str">
            <v>KB Sprzed. bezpośrednia</v>
          </cell>
        </row>
        <row r="1522">
          <cell r="D1522" t="str">
            <v>KB Sprzed. bezpośrednia</v>
          </cell>
        </row>
        <row r="1523">
          <cell r="D1523" t="str">
            <v>KB Sprzed. bezpośrednia</v>
          </cell>
        </row>
        <row r="1524">
          <cell r="D1524" t="str">
            <v>KB Sprzed. bezpośrednia</v>
          </cell>
        </row>
        <row r="1525">
          <cell r="D1525" t="str">
            <v>KB Sprzed. bezpośrednia</v>
          </cell>
        </row>
        <row r="1526">
          <cell r="D1526" t="str">
            <v>KB Sprzed. bezpośrednia</v>
          </cell>
        </row>
        <row r="1527">
          <cell r="D1527" t="str">
            <v>KB Sprzed. bezpośrednia</v>
          </cell>
        </row>
        <row r="1528">
          <cell r="D1528" t="str">
            <v>KB Sprzed. bezpośrednia</v>
          </cell>
        </row>
        <row r="1529">
          <cell r="D1529" t="str">
            <v>KB Sprzed. bezpośrednia</v>
          </cell>
        </row>
        <row r="1530">
          <cell r="D1530" t="str">
            <v>KB Sprzed. bezpośrednia</v>
          </cell>
        </row>
        <row r="1531">
          <cell r="D1531" t="str">
            <v>KB Sprzed. bezpośrednia</v>
          </cell>
        </row>
        <row r="1532">
          <cell r="D1532" t="str">
            <v>KB Sprzed. bezpośrednia</v>
          </cell>
        </row>
        <row r="1533">
          <cell r="D1533" t="str">
            <v>KB Sprzed. bezpośrednia</v>
          </cell>
        </row>
        <row r="1534">
          <cell r="D1534" t="str">
            <v>KC Centra dystrybucji</v>
          </cell>
        </row>
        <row r="1535">
          <cell r="D1535" t="str">
            <v>KG Sprzed. gotówkowa</v>
          </cell>
        </row>
        <row r="1536">
          <cell r="D1536" t="str">
            <v>Nieprzypisane</v>
          </cell>
        </row>
        <row r="1537">
          <cell r="D1537" t="str">
            <v>Nieprzypisane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UROWCE"/>
    </sheetNames>
    <sheetDataSet>
      <sheetData sheetId="0" refreshError="1">
        <row r="4">
          <cell r="C4">
            <v>0.17591999999999999</v>
          </cell>
        </row>
        <row r="7">
          <cell r="C7">
            <v>10.32</v>
          </cell>
        </row>
        <row r="8">
          <cell r="C8">
            <v>0.50112999999999996</v>
          </cell>
        </row>
        <row r="9">
          <cell r="C9">
            <v>1.46929</v>
          </cell>
        </row>
        <row r="36">
          <cell r="C36">
            <v>0.7</v>
          </cell>
        </row>
        <row r="41">
          <cell r="C41">
            <v>1.1000000000000001</v>
          </cell>
        </row>
        <row r="43">
          <cell r="C43">
            <v>0</v>
          </cell>
        </row>
        <row r="50">
          <cell r="C50">
            <v>1.99</v>
          </cell>
        </row>
        <row r="53">
          <cell r="C53">
            <v>0.44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rkusz1"/>
      <sheetName val="test"/>
      <sheetName val="SUROWCE"/>
      <sheetName val="#ADR"/>
      <sheetName val="Analiz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Koszty procesu"/>
      <sheetName val="Wskaźniki branżowe "/>
      <sheetName val="Slownik pojęć"/>
      <sheetName val="Notowania"/>
      <sheetName val="gestia transportowa wł"/>
      <sheetName val="gestia produkty wł"/>
      <sheetName val="gestia surowce wł"/>
      <sheetName val="gestia OGÓŁEM"/>
      <sheetName val="gestia OGÓŁEM produkty"/>
      <sheetName val="gestia OGÓŁEM surowce"/>
      <sheetName val="Zasoby ludzkie"/>
      <sheetName val="Arkusz2"/>
      <sheetName val="Arkusz3"/>
      <sheetName val="Koszty_procesu"/>
      <sheetName val="Wskaźniki_branżowe_"/>
      <sheetName val="Slownik_pojęć"/>
      <sheetName val="gestia_transportowa_wł"/>
      <sheetName val="gestia_produkty_wł"/>
      <sheetName val="gestia_surowce_wł"/>
      <sheetName val="gestia_OGÓŁEM"/>
      <sheetName val="gestia_OGÓŁEM_produkty"/>
      <sheetName val="gestia_OGÓŁEM_surowce"/>
      <sheetName val="Zasoby_ludzkie"/>
      <sheetName val="Koszty_procesu1"/>
      <sheetName val="Wskaźniki_branżowe_1"/>
      <sheetName val="Slownik_pojęć1"/>
      <sheetName val="gestia_transportowa_wł1"/>
      <sheetName val="gestia_produkty_wł1"/>
      <sheetName val="gestia_surowce_wł1"/>
      <sheetName val="gestia_OGÓŁEM1"/>
      <sheetName val="gestia_OGÓŁEM_produkty1"/>
      <sheetName val="gestia_OGÓŁEM_surowce1"/>
      <sheetName val="Zasoby_ludzkie1"/>
      <sheetName val="Koszty_procesu2"/>
      <sheetName val="Wskaźniki_branżowe_2"/>
      <sheetName val="Slownik_pojęć2"/>
      <sheetName val="gestia_transportowa_wł2"/>
      <sheetName val="gestia_produkty_wł2"/>
      <sheetName val="gestia_surowce_wł2"/>
      <sheetName val="gestia_OGÓŁEM2"/>
      <sheetName val="gestia_OGÓŁEM_produkty2"/>
      <sheetName val="gestia_OGÓŁEM_surowce2"/>
      <sheetName val="Zasoby_ludzkie2"/>
    </sheetNames>
    <sheetDataSet>
      <sheetData sheetId="0"/>
      <sheetData sheetId="1"/>
      <sheetData sheetId="2"/>
      <sheetData sheetId="3">
        <row r="2">
          <cell r="B2" t="str">
            <v>jednostka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NA"/>
      <sheetName val="K-101B"/>
      <sheetName val="I"/>
      <sheetName val="I-II"/>
      <sheetName val="II"/>
      <sheetName val="II-III"/>
      <sheetName val="III"/>
      <sheetName val="III-IV"/>
      <sheetName val="IV"/>
      <sheetName val="IV-V"/>
      <sheetName val="V"/>
      <sheetName val="V-VI"/>
      <sheetName val="VI"/>
      <sheetName val="VI-VII"/>
      <sheetName val="VII"/>
      <sheetName val="VII-VIII"/>
      <sheetName val="VIII"/>
      <sheetName val="VIII-IX"/>
      <sheetName val="IX"/>
      <sheetName val="IX-X"/>
      <sheetName val="X"/>
      <sheetName val="X-XI"/>
      <sheetName val="XI"/>
      <sheetName val="XI-XII"/>
      <sheetName val="XII"/>
      <sheetName val="Grudzień"/>
      <sheetName val="121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217">
          <cell r="O217">
            <v>248975.34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W"/>
      <sheetName val="Discl"/>
      <sheetName val="Template"/>
      <sheetName val="Navi"/>
      <sheetName val="Parametry"/>
      <sheetName val="Capex"/>
      <sheetName val="Panel"/>
      <sheetName val="CP"/>
      <sheetName val="Cons"/>
      <sheetName val="Sprz_Wew"/>
      <sheetName val="vs"/>
      <sheetName val="Fin"/>
      <sheetName val="Rentowność"/>
      <sheetName val="Nakłady-1"/>
      <sheetName val="Przychody"/>
      <sheetName val="Wynagr"/>
      <sheetName val="Makro"/>
      <sheetName val="DW.Ceny"/>
      <sheetName val="Fin.DW"/>
      <sheetName val="GK_GA.hist"/>
      <sheetName val="Segmenty"/>
      <sheetName val="GK_GA.SF"/>
      <sheetName val="GAT.hist"/>
      <sheetName val="GAT.DW"/>
      <sheetName val="GAT.K1"/>
      <sheetName val="Nakłady-2"/>
      <sheetName val="GAT.K2"/>
      <sheetName val="GAT.K3"/>
      <sheetName val="GAT.Fin"/>
      <sheetName val="GAT.SF"/>
      <sheetName val="GAT.Wyniki"/>
      <sheetName val="ZAK.hist"/>
      <sheetName val="ZAK.DW"/>
      <sheetName val="ZAK.K1"/>
      <sheetName val="ZAK.K2"/>
      <sheetName val="ZAK.K3"/>
      <sheetName val="ZAK.Fin"/>
      <sheetName val="ZAK.SF"/>
      <sheetName val="ZAK.Wyniki"/>
      <sheetName val="ZChP.hist"/>
      <sheetName val="ZChP.DW"/>
      <sheetName val="ZChP.K1"/>
      <sheetName val="ZChP.K2"/>
      <sheetName val="ZChP.K3"/>
      <sheetName val="ZChP.Fin"/>
      <sheetName val="ZChP.SF"/>
      <sheetName val="ZChP.Wyniki"/>
      <sheetName val="ZAP.hist"/>
      <sheetName val="ZAP.DW"/>
      <sheetName val="ZAP.K1"/>
      <sheetName val="ZAP.K2"/>
      <sheetName val="ZAP.K3"/>
      <sheetName val="ZAP.Fin"/>
      <sheetName val="ZAP.SF"/>
      <sheetName val="ZAP.Wyniki"/>
      <sheetName val="FF.hist"/>
      <sheetName val="FF.DW"/>
      <sheetName val="FF.K1"/>
      <sheetName val="FF.K2"/>
      <sheetName val="FF.K3"/>
      <sheetName val="FF.Fin"/>
      <sheetName val="FF.SF"/>
      <sheetName val="ZACh.hist"/>
      <sheetName val="ZACh.DW"/>
      <sheetName val="ZACh.K1"/>
      <sheetName val="ZACh.K2"/>
      <sheetName val="ZACh.K3"/>
      <sheetName val="ZACh.Fin"/>
      <sheetName val="ZACh.SF"/>
      <sheetName val="ATT.hist"/>
      <sheetName val="ATT.DW"/>
      <sheetName val="ATT.K1"/>
      <sheetName val="ATT.K2"/>
      <sheetName val="ATT.K3"/>
      <sheetName val="ATT.Fin"/>
      <sheetName val="ATT.SF"/>
      <sheetName val="Siark.hist"/>
      <sheetName val="Siark.DW"/>
      <sheetName val="Siark.K1"/>
      <sheetName val="Siark.K2"/>
      <sheetName val="Siark.K3"/>
      <sheetName val="Siark.Fin"/>
      <sheetName val="Siark.SF"/>
      <sheetName val="Inw.DW"/>
      <sheetName val="Inw.K"/>
      <sheetName val="Inw.Fin"/>
      <sheetName val="Inw.SF"/>
      <sheetName val="SNK.hist"/>
      <sheetName val="SNK.DW"/>
      <sheetName val="SNK.K"/>
      <sheetName val="SNK.Fin"/>
      <sheetName val="SNK.SF"/>
      <sheetName val="DW_Ceny"/>
      <sheetName val="Fin_DW"/>
      <sheetName val="GK_GA_hist"/>
      <sheetName val="GK_GA_SF"/>
      <sheetName val="GAT_hist"/>
      <sheetName val="GAT_DW"/>
      <sheetName val="GAT_K1"/>
      <sheetName val="GAT_K2"/>
      <sheetName val="GAT_K3"/>
      <sheetName val="GAT_Fin"/>
      <sheetName val="GAT_SF"/>
      <sheetName val="GAT_Wyniki"/>
      <sheetName val="ZAK_hist"/>
      <sheetName val="ZAK_DW"/>
      <sheetName val="ZAK_K1"/>
      <sheetName val="ZAK_K2"/>
      <sheetName val="ZAK_K3"/>
      <sheetName val="ZAK_Fin"/>
      <sheetName val="ZAK_SF"/>
      <sheetName val="ZAK_Wyniki"/>
      <sheetName val="ZChP_hist"/>
      <sheetName val="ZChP_DW"/>
      <sheetName val="ZChP_K1"/>
      <sheetName val="ZChP_K2"/>
      <sheetName val="ZChP_K3"/>
      <sheetName val="ZChP_Fin"/>
      <sheetName val="ZChP_SF"/>
      <sheetName val="ZChP_Wyniki"/>
      <sheetName val="ZAP_hist"/>
      <sheetName val="ZAP_DW"/>
      <sheetName val="ZAP_K1"/>
      <sheetName val="ZAP_K2"/>
      <sheetName val="ZAP_K3"/>
      <sheetName val="ZAP_Fin"/>
      <sheetName val="ZAP_SF"/>
      <sheetName val="ZAP_Wyniki"/>
      <sheetName val="FF_hist"/>
      <sheetName val="FF_DW"/>
      <sheetName val="FF_K1"/>
      <sheetName val="FF_K2"/>
      <sheetName val="FF_K3"/>
      <sheetName val="FF_Fin"/>
      <sheetName val="FF_SF"/>
      <sheetName val="ZACh_hist"/>
      <sheetName val="ZACh_DW"/>
      <sheetName val="ZACh_K1"/>
      <sheetName val="ZACh_K2"/>
      <sheetName val="ZACh_K3"/>
      <sheetName val="ZACh_Fin"/>
      <sheetName val="ZACh_SF"/>
      <sheetName val="ATT_hist"/>
      <sheetName val="ATT_DW"/>
      <sheetName val="ATT_K1"/>
      <sheetName val="ATT_K2"/>
      <sheetName val="ATT_K3"/>
      <sheetName val="ATT_Fin"/>
      <sheetName val="ATT_SF"/>
      <sheetName val="Siark_hist"/>
      <sheetName val="Siark_DW"/>
      <sheetName val="Siark_K1"/>
      <sheetName val="Siark_K2"/>
      <sheetName val="Siark_K3"/>
      <sheetName val="Siark_Fin"/>
      <sheetName val="Siark_SF"/>
      <sheetName val="Inw_DW"/>
      <sheetName val="Inw_K"/>
      <sheetName val="Inw_Fin"/>
      <sheetName val="Inw_SF"/>
      <sheetName val="SNK_hist"/>
      <sheetName val="SNK_DW"/>
      <sheetName val="SNK_K"/>
      <sheetName val="SNK_Fin"/>
      <sheetName val="SNK_SF"/>
      <sheetName val="DW_Ceny1"/>
      <sheetName val="Fin_DW1"/>
      <sheetName val="GK_GA_hist1"/>
      <sheetName val="GK_GA_SF1"/>
      <sheetName val="GAT_hist1"/>
      <sheetName val="GAT_DW1"/>
      <sheetName val="GAT_K11"/>
      <sheetName val="GAT_K21"/>
      <sheetName val="GAT_K31"/>
      <sheetName val="GAT_Fin1"/>
      <sheetName val="GAT_SF1"/>
      <sheetName val="GAT_Wyniki1"/>
      <sheetName val="ZAK_hist1"/>
      <sheetName val="ZAK_DW1"/>
      <sheetName val="ZAK_K11"/>
      <sheetName val="ZAK_K21"/>
      <sheetName val="ZAK_K31"/>
      <sheetName val="ZAK_Fin1"/>
      <sheetName val="ZAK_SF1"/>
      <sheetName val="ZAK_Wyniki1"/>
      <sheetName val="ZChP_hist1"/>
      <sheetName val="ZChP_DW1"/>
      <sheetName val="ZChP_K11"/>
      <sheetName val="ZChP_K21"/>
      <sheetName val="ZChP_K31"/>
      <sheetName val="ZChP_Fin1"/>
      <sheetName val="ZChP_SF1"/>
      <sheetName val="ZChP_Wyniki1"/>
      <sheetName val="ZAP_hist1"/>
      <sheetName val="ZAP_DW1"/>
      <sheetName val="ZAP_K11"/>
      <sheetName val="ZAP_K21"/>
      <sheetName val="ZAP_K31"/>
      <sheetName val="ZAP_Fin1"/>
      <sheetName val="ZAP_SF1"/>
      <sheetName val="ZAP_Wyniki1"/>
      <sheetName val="FF_hist1"/>
      <sheetName val="FF_DW1"/>
      <sheetName val="FF_K11"/>
      <sheetName val="FF_K21"/>
      <sheetName val="FF_K31"/>
      <sheetName val="FF_Fin1"/>
      <sheetName val="FF_SF1"/>
      <sheetName val="ZACh_hist1"/>
      <sheetName val="ZACh_DW1"/>
      <sheetName val="ZACh_K11"/>
      <sheetName val="ZACh_K21"/>
      <sheetName val="ZACh_K31"/>
      <sheetName val="ZACh_Fin1"/>
      <sheetName val="ZACh_SF1"/>
      <sheetName val="ATT_hist1"/>
      <sheetName val="ATT_DW1"/>
      <sheetName val="ATT_K11"/>
      <sheetName val="ATT_K21"/>
      <sheetName val="ATT_K31"/>
      <sheetName val="ATT_Fin1"/>
      <sheetName val="ATT_SF1"/>
      <sheetName val="Siark_hist1"/>
      <sheetName val="Siark_DW1"/>
      <sheetName val="Siark_K11"/>
      <sheetName val="Siark_K21"/>
      <sheetName val="Siark_K31"/>
      <sheetName val="Siark_Fin1"/>
      <sheetName val="Siark_SF1"/>
      <sheetName val="Inw_DW1"/>
      <sheetName val="Inw_K1"/>
      <sheetName val="Inw_Fin1"/>
      <sheetName val="Inw_SF1"/>
      <sheetName val="SNK_hist1"/>
      <sheetName val="SNK_DW1"/>
      <sheetName val="SNK_K1"/>
      <sheetName val="SNK_Fin1"/>
      <sheetName val="SNK_S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G8" t="str">
            <v>OK</v>
          </cell>
        </row>
        <row r="9">
          <cell r="G9">
            <v>0</v>
          </cell>
        </row>
        <row r="10">
          <cell r="G10">
            <v>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7">
          <cell r="P67">
            <v>4.17</v>
          </cell>
          <cell r="Q67">
            <v>4.13</v>
          </cell>
          <cell r="R67">
            <v>4.1100000000000003</v>
          </cell>
          <cell r="S67">
            <v>4.0599999999999996</v>
          </cell>
          <cell r="T67">
            <v>4.01</v>
          </cell>
          <cell r="U67">
            <v>3.98</v>
          </cell>
          <cell r="V67">
            <v>3.96</v>
          </cell>
          <cell r="W67">
            <v>3.95</v>
          </cell>
          <cell r="X67">
            <v>3.9</v>
          </cell>
          <cell r="Y67">
            <v>3.9</v>
          </cell>
          <cell r="Z67">
            <v>3.9</v>
          </cell>
          <cell r="AA67">
            <v>3.9</v>
          </cell>
          <cell r="AB67">
            <v>3.85</v>
          </cell>
          <cell r="AC67">
            <v>3.85</v>
          </cell>
          <cell r="AD67">
            <v>3.85</v>
          </cell>
          <cell r="AE67">
            <v>3.85</v>
          </cell>
          <cell r="AF67">
            <v>3.8</v>
          </cell>
          <cell r="AG67">
            <v>3.8</v>
          </cell>
          <cell r="AH67">
            <v>3.8</v>
          </cell>
          <cell r="AI67">
            <v>3.8</v>
          </cell>
          <cell r="AJ67">
            <v>3.8</v>
          </cell>
          <cell r="AK67">
            <v>3.8</v>
          </cell>
          <cell r="AL67">
            <v>3.8</v>
          </cell>
          <cell r="AM67">
            <v>3.8</v>
          </cell>
          <cell r="AN67">
            <v>3.8</v>
          </cell>
          <cell r="AO67">
            <v>3.8</v>
          </cell>
          <cell r="AP67">
            <v>3.8</v>
          </cell>
          <cell r="AQ67">
            <v>3.8</v>
          </cell>
        </row>
        <row r="68">
          <cell r="P68">
            <v>3.13</v>
          </cell>
          <cell r="Q68">
            <v>3.16</v>
          </cell>
          <cell r="R68">
            <v>3.16</v>
          </cell>
          <cell r="S68">
            <v>3.15</v>
          </cell>
          <cell r="T68">
            <v>3.11</v>
          </cell>
          <cell r="U68">
            <v>3.1</v>
          </cell>
          <cell r="V68">
            <v>3.09</v>
          </cell>
          <cell r="W68">
            <v>3.08</v>
          </cell>
          <cell r="X68">
            <v>2.95</v>
          </cell>
          <cell r="Y68">
            <v>2.95</v>
          </cell>
          <cell r="Z68">
            <v>2.95</v>
          </cell>
          <cell r="AA68">
            <v>2.95</v>
          </cell>
          <cell r="AB68">
            <v>2.9</v>
          </cell>
          <cell r="AC68">
            <v>2.9</v>
          </cell>
          <cell r="AD68">
            <v>2.9</v>
          </cell>
          <cell r="AE68">
            <v>2.9</v>
          </cell>
          <cell r="AF68">
            <v>2.85</v>
          </cell>
          <cell r="AG68">
            <v>2.85</v>
          </cell>
          <cell r="AH68">
            <v>2.85</v>
          </cell>
          <cell r="AI68">
            <v>2.85</v>
          </cell>
          <cell r="AJ68">
            <v>2.85</v>
          </cell>
          <cell r="AK68">
            <v>2.85</v>
          </cell>
          <cell r="AL68">
            <v>2.85</v>
          </cell>
          <cell r="AM68">
            <v>2.85</v>
          </cell>
          <cell r="AN68">
            <v>2.85</v>
          </cell>
          <cell r="AO68">
            <v>2.85</v>
          </cell>
          <cell r="AP68">
            <v>2.85</v>
          </cell>
          <cell r="AQ68">
            <v>2.85</v>
          </cell>
        </row>
        <row r="97"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1.0061071625419213</v>
          </cell>
          <cell r="U97">
            <v>1.0123201046624049</v>
          </cell>
          <cell r="V97">
            <v>1.0186403228220278</v>
          </cell>
          <cell r="W97">
            <v>1.0249999999999999</v>
          </cell>
          <cell r="X97">
            <v>1.0313296097181199</v>
          </cell>
          <cell r="Y97">
            <v>1.0376983062256875</v>
          </cell>
          <cell r="Z97">
            <v>1.0441769681123885</v>
          </cell>
          <cell r="AA97">
            <v>1.0506960782291679</v>
          </cell>
          <cell r="AB97">
            <v>1.0571128499610727</v>
          </cell>
          <cell r="AC97">
            <v>1.0636407638813294</v>
          </cell>
          <cell r="AD97">
            <v>1.0702813923151981</v>
          </cell>
          <cell r="AE97">
            <v>1.0769634801848971</v>
          </cell>
          <cell r="AF97">
            <v>1.0835406712100994</v>
          </cell>
          <cell r="AG97">
            <v>1.0902317829783628</v>
          </cell>
          <cell r="AH97">
            <v>1.097038427123078</v>
          </cell>
          <cell r="AI97">
            <v>1.1038875671895194</v>
          </cell>
          <cell r="AJ97">
            <v>1.1106291879903518</v>
          </cell>
          <cell r="AK97">
            <v>1.1174875775528217</v>
          </cell>
          <cell r="AL97">
            <v>1.1244643878011549</v>
          </cell>
          <cell r="AM97">
            <v>1.1314847563692574</v>
          </cell>
          <cell r="AN97">
            <v>1.1384719338422522</v>
          </cell>
          <cell r="AO97">
            <v>1.1455022587361594</v>
          </cell>
          <cell r="AP97">
            <v>1.1526539730449132</v>
          </cell>
          <cell r="AQ97">
            <v>1.1598503376519655</v>
          </cell>
        </row>
        <row r="98"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1.0037998015125214</v>
          </cell>
          <cell r="U98">
            <v>1.0076565032725768</v>
          </cell>
          <cell r="V98">
            <v>1.0121977712504424</v>
          </cell>
          <cell r="W98">
            <v>1.0162556399886533</v>
          </cell>
          <cell r="X98">
            <v>1.0207857685858954</v>
          </cell>
          <cell r="Y98">
            <v>1.0253360909850708</v>
          </cell>
          <cell r="Z98">
            <v>1.0299570366559596</v>
          </cell>
          <cell r="AA98">
            <v>1.0345988078289263</v>
          </cell>
          <cell r="AB98">
            <v>1.039034038827978</v>
          </cell>
          <cell r="AC98">
            <v>1.0435378819742116</v>
          </cell>
          <cell r="AD98">
            <v>1.0481110637549829</v>
          </cell>
          <cell r="AE98">
            <v>1.0527042869659324</v>
          </cell>
          <cell r="AF98">
            <v>1.0573452108877992</v>
          </cell>
          <cell r="AG98">
            <v>1.0620585030837011</v>
          </cell>
          <cell r="AH98">
            <v>1.0668449479237927</v>
          </cell>
          <cell r="AI98">
            <v>1.0716529641313191</v>
          </cell>
          <cell r="AJ98">
            <v>1.0763774246837794</v>
          </cell>
          <cell r="AK98">
            <v>1.0811755561392076</v>
          </cell>
          <cell r="AL98">
            <v>1.0860481569864209</v>
          </cell>
          <cell r="AM98">
            <v>1.0909427174856827</v>
          </cell>
          <cell r="AN98">
            <v>1.0958057761571112</v>
          </cell>
          <cell r="AO98">
            <v>1.1006905127216706</v>
          </cell>
          <cell r="AP98">
            <v>1.1056510628324767</v>
          </cell>
          <cell r="AQ98">
            <v>1.1106339689617253</v>
          </cell>
        </row>
        <row r="99"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1.0048340435373542</v>
          </cell>
          <cell r="U99">
            <v>1.0099306587283881</v>
          </cell>
          <cell r="V99">
            <v>1.0157357944311693</v>
          </cell>
          <cell r="W99">
            <v>1.0208183582662402</v>
          </cell>
          <cell r="X99">
            <v>1.0263718268730533</v>
          </cell>
          <cell r="Y99">
            <v>1.0319555075281872</v>
          </cell>
          <cell r="Z99">
            <v>1.0376314268783222</v>
          </cell>
          <cell r="AA99">
            <v>1.043338564687232</v>
          </cell>
          <cell r="AB99">
            <v>1.0484454775261942</v>
          </cell>
          <cell r="AC99">
            <v>1.0536345496799442</v>
          </cell>
          <cell r="AD99">
            <v>1.0589067522418156</v>
          </cell>
          <cell r="AE99">
            <v>1.0642053359809764</v>
          </cell>
          <cell r="AF99">
            <v>1.0696728124556638</v>
          </cell>
          <cell r="AG99">
            <v>1.0752295988936511</v>
          </cell>
          <cell r="AH99">
            <v>1.0808767936979691</v>
          </cell>
          <cell r="AI99">
            <v>1.0865536480365769</v>
          </cell>
          <cell r="AJ99">
            <v>1.0918720892053289</v>
          </cell>
          <cell r="AK99">
            <v>1.0972760927276872</v>
          </cell>
          <cell r="AL99">
            <v>1.1027666699196714</v>
          </cell>
          <cell r="AM99">
            <v>1.1082847209973083</v>
          </cell>
          <cell r="AN99">
            <v>1.1137699555730949</v>
          </cell>
          <cell r="AO99">
            <v>1.1192823382253472</v>
          </cell>
          <cell r="AP99">
            <v>1.1248830308116349</v>
          </cell>
          <cell r="AQ99">
            <v>1.1305117482817031</v>
          </cell>
        </row>
        <row r="128">
          <cell r="P128">
            <v>1</v>
          </cell>
          <cell r="Q128">
            <v>1</v>
          </cell>
          <cell r="R128">
            <v>1</v>
          </cell>
          <cell r="S128">
            <v>1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</v>
          </cell>
          <cell r="AL128">
            <v>1</v>
          </cell>
          <cell r="AM128">
            <v>1</v>
          </cell>
          <cell r="AN128">
            <v>1</v>
          </cell>
          <cell r="AO128">
            <v>1</v>
          </cell>
          <cell r="AP128">
            <v>1</v>
          </cell>
          <cell r="AQ128">
            <v>1</v>
          </cell>
        </row>
        <row r="129"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</row>
        <row r="130">
          <cell r="P130">
            <v>1</v>
          </cell>
          <cell r="Q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M130">
            <v>1</v>
          </cell>
          <cell r="AN130">
            <v>1</v>
          </cell>
          <cell r="AO130">
            <v>1</v>
          </cell>
          <cell r="AP130">
            <v>1</v>
          </cell>
          <cell r="AQ130">
            <v>1</v>
          </cell>
        </row>
        <row r="156">
          <cell r="P156">
            <v>1</v>
          </cell>
          <cell r="Q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V156">
            <v>1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J156">
            <v>1</v>
          </cell>
          <cell r="AK156">
            <v>1</v>
          </cell>
          <cell r="AL156">
            <v>1</v>
          </cell>
          <cell r="AM156">
            <v>1</v>
          </cell>
          <cell r="AN156">
            <v>1</v>
          </cell>
          <cell r="AO156">
            <v>1</v>
          </cell>
          <cell r="AP156">
            <v>1</v>
          </cell>
          <cell r="AQ156">
            <v>1</v>
          </cell>
        </row>
        <row r="157">
          <cell r="P157">
            <v>1</v>
          </cell>
          <cell r="Q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E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J157">
            <v>1</v>
          </cell>
          <cell r="AK157">
            <v>1</v>
          </cell>
          <cell r="AL157">
            <v>1</v>
          </cell>
          <cell r="AM157">
            <v>1</v>
          </cell>
          <cell r="AN157">
            <v>1</v>
          </cell>
          <cell r="AO157">
            <v>1</v>
          </cell>
          <cell r="AP157">
            <v>1</v>
          </cell>
          <cell r="AQ157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dbiorcy nawozy kraj III. 2007"/>
      <sheetName val="nawozy"/>
      <sheetName val="nawozy bez EC"/>
      <sheetName val="Arkusz1"/>
      <sheetName val="Arkusz2"/>
      <sheetName val="Arkusz2 (2)"/>
      <sheetName val="Arkusz2 (3)"/>
      <sheetName val="Arkusz2 (4)"/>
      <sheetName val="Nawozy kraj marzec 2007"/>
      <sheetName val="Odbiorcy_nawozy_kraj_III__2007"/>
      <sheetName val="nawozy_bez_EC"/>
      <sheetName val="Arkusz2_(2)"/>
      <sheetName val="Arkusz2_(3)"/>
      <sheetName val="Arkusz2_(4)"/>
      <sheetName val="Nawozy_kraj_marzec_2007"/>
      <sheetName val="Dane"/>
      <sheetName val="Odbiorcy_nawozy_kraj_III__20071"/>
      <sheetName val="nawozy_bez_EC1"/>
      <sheetName val="Arkusz2_(2)1"/>
      <sheetName val="Arkusz2_(3)1"/>
      <sheetName val="Arkusz2_(4)1"/>
      <sheetName val="Nawozy_kraj_marzec_20071"/>
      <sheetName val="Odbiorcy_nawozy_kraj_III__20072"/>
      <sheetName val="nawozy_bez_EC2"/>
      <sheetName val="Arkusz2_(2)2"/>
      <sheetName val="Arkusz2_(3)2"/>
      <sheetName val="Arkusz2_(4)2"/>
      <sheetName val="Nawozy_kraj_marzec_20072"/>
      <sheetName val="Odbiorcy_nawozy_kraj_III__20073"/>
      <sheetName val="nawozy_bez_EC3"/>
      <sheetName val="Arkusz2_(2)3"/>
      <sheetName val="Arkusz2_(3)3"/>
      <sheetName val="Arkusz2_(4)3"/>
      <sheetName val="Nawozy_kraj_marzec_20073"/>
      <sheetName val="Odbiorcy_nawozy_kraj_III__20075"/>
      <sheetName val="nawozy_bez_EC5"/>
      <sheetName val="Arkusz2_(2)5"/>
      <sheetName val="Arkusz2_(3)5"/>
      <sheetName val="Arkusz2_(4)5"/>
      <sheetName val="Nawozy_kraj_marzec_20075"/>
      <sheetName val="Odbiorcy_nawozy_kraj_III__20074"/>
      <sheetName val="nawozy_bez_EC4"/>
      <sheetName val="Arkusz2_(2)4"/>
      <sheetName val="Arkusz2_(3)4"/>
      <sheetName val="Arkusz2_(4)4"/>
      <sheetName val="Nawozy_kraj_marzec_20074"/>
      <sheetName val="Odbiorcy_nawozy_kraj_III__20076"/>
      <sheetName val="nawozy_bez_EC6"/>
      <sheetName val="Arkusz2_(2)6"/>
      <sheetName val="Arkusz2_(3)6"/>
      <sheetName val="Arkusz2_(4)6"/>
      <sheetName val="Nawozy_kraj_marzec_20076"/>
      <sheetName val="Odbiorcy_nawozy_kraj_III__20077"/>
      <sheetName val="nawozy_bez_EC7"/>
      <sheetName val="Arkusz2_(2)7"/>
      <sheetName val="Arkusz2_(3)7"/>
      <sheetName val="Arkusz2_(4)7"/>
      <sheetName val="Nawozy_kraj_marzec_20077"/>
      <sheetName val="WACC 31.12.2021"/>
      <sheetName val="Produkty i surowce CGU Nawozy"/>
      <sheetName val="Rachunki CGU_Nawozy"/>
      <sheetName val="PDI_wiel.Nawozy"/>
      <sheetName val="Produkty i surowce CGU Oxoplast"/>
      <sheetName val="Rachunki CGU_Oxoplast"/>
      <sheetName val="PDI_wiel.Oxoplast"/>
      <sheetName val="przepływy wewnętrzne"/>
      <sheetName val="dane do przepływów"/>
      <sheetName val="wrażliwość_WACC i EBITDA"/>
      <sheetName val="wrażliwość_gaz i kurs"/>
      <sheetName val="TEST"/>
      <sheetName val="TEST PM II półrocze"/>
      <sheetName val="wrażliwość_WACC i EBITDA_pakiet"/>
      <sheetName val="aktywa_pakiet"/>
      <sheetName val="test ubiegłoroczny"/>
    </sheetNames>
    <sheetDataSet>
      <sheetData sheetId="0" refreshError="1"/>
      <sheetData sheetId="1" refreshError="1">
        <row r="2">
          <cell r="A2" t="str">
            <v>PLN   Złoty</v>
          </cell>
          <cell r="E2" t="str">
            <v>EC Export Ciech</v>
          </cell>
          <cell r="H2">
            <v>2736.59</v>
          </cell>
          <cell r="J2">
            <v>76130.33</v>
          </cell>
          <cell r="K2">
            <v>36864.660000000003</v>
          </cell>
          <cell r="L2">
            <v>0</v>
          </cell>
          <cell r="M2">
            <v>0</v>
          </cell>
          <cell r="N2">
            <v>36864.660000000003</v>
          </cell>
          <cell r="O2">
            <v>1971897.3799999901</v>
          </cell>
          <cell r="Q2">
            <v>0</v>
          </cell>
          <cell r="R2">
            <v>1971897.3799999901</v>
          </cell>
          <cell r="S2">
            <v>-104612.56</v>
          </cell>
          <cell r="T2">
            <v>564.78999999999905</v>
          </cell>
          <cell r="U2">
            <v>1972462.1699999899</v>
          </cell>
        </row>
        <row r="3">
          <cell r="A3" t="str">
            <v>PLN   Złoty</v>
          </cell>
          <cell r="E3" t="str">
            <v>EC Export Ciech</v>
          </cell>
          <cell r="H3">
            <v>544</v>
          </cell>
          <cell r="J3">
            <v>15581.79</v>
          </cell>
          <cell r="K3">
            <v>10679.44</v>
          </cell>
          <cell r="L3">
            <v>0</v>
          </cell>
          <cell r="M3">
            <v>0</v>
          </cell>
          <cell r="N3">
            <v>10679.44</v>
          </cell>
          <cell r="O3">
            <v>407548.739999999</v>
          </cell>
          <cell r="Q3">
            <v>0</v>
          </cell>
          <cell r="R3">
            <v>407548.739999999</v>
          </cell>
          <cell r="S3">
            <v>-25366.98</v>
          </cell>
          <cell r="T3">
            <v>115.849999999999</v>
          </cell>
          <cell r="U3">
            <v>407664.59</v>
          </cell>
        </row>
        <row r="4">
          <cell r="A4" t="str">
            <v>PLN   Złoty</v>
          </cell>
          <cell r="E4" t="str">
            <v>EC Export Ciech</v>
          </cell>
          <cell r="H4">
            <v>2483</v>
          </cell>
          <cell r="J4">
            <v>64008.93</v>
          </cell>
          <cell r="K4">
            <v>16893.619999999901</v>
          </cell>
          <cell r="L4">
            <v>0</v>
          </cell>
          <cell r="M4">
            <v>0</v>
          </cell>
          <cell r="N4">
            <v>16893.619999999901</v>
          </cell>
          <cell r="O4">
            <v>1612758.9399999899</v>
          </cell>
          <cell r="Q4">
            <v>0</v>
          </cell>
          <cell r="R4">
            <v>1612758.9399999899</v>
          </cell>
          <cell r="S4">
            <v>-42782.87</v>
          </cell>
          <cell r="T4">
            <v>465.42</v>
          </cell>
          <cell r="U4">
            <v>1613224.36</v>
          </cell>
        </row>
        <row r="5">
          <cell r="A5" t="str">
            <v>PLN   Złoty</v>
          </cell>
          <cell r="E5" t="str">
            <v>EC Export Ciech</v>
          </cell>
          <cell r="H5">
            <v>766.19399999999905</v>
          </cell>
          <cell r="J5">
            <v>20315.4399999999</v>
          </cell>
          <cell r="K5">
            <v>7146.56</v>
          </cell>
          <cell r="L5">
            <v>0</v>
          </cell>
          <cell r="M5">
            <v>0</v>
          </cell>
          <cell r="N5">
            <v>7146.56</v>
          </cell>
          <cell r="O5">
            <v>557930.83999999904</v>
          </cell>
          <cell r="Q5">
            <v>0</v>
          </cell>
          <cell r="R5">
            <v>557930.83999999904</v>
          </cell>
          <cell r="S5">
            <v>-59644.23</v>
          </cell>
          <cell r="T5">
            <v>161.18</v>
          </cell>
          <cell r="U5">
            <v>558092.02</v>
          </cell>
        </row>
        <row r="6">
          <cell r="A6" t="str">
            <v>PLN   Złoty</v>
          </cell>
          <cell r="E6" t="str">
            <v>KB Sprzed. bezpośrednia</v>
          </cell>
          <cell r="H6">
            <v>36</v>
          </cell>
          <cell r="J6">
            <v>1442.8399999999899</v>
          </cell>
          <cell r="K6">
            <v>484.95999999999901</v>
          </cell>
          <cell r="L6">
            <v>0</v>
          </cell>
          <cell r="M6">
            <v>0</v>
          </cell>
          <cell r="N6">
            <v>484.95999999999901</v>
          </cell>
          <cell r="O6">
            <v>27226.74</v>
          </cell>
          <cell r="Q6">
            <v>0</v>
          </cell>
          <cell r="R6">
            <v>27226.74</v>
          </cell>
          <cell r="S6">
            <v>8162.46</v>
          </cell>
          <cell r="T6">
            <v>7.69</v>
          </cell>
          <cell r="U6">
            <v>27234.43</v>
          </cell>
        </row>
        <row r="7">
          <cell r="A7" t="str">
            <v>PLN   Złoty</v>
          </cell>
          <cell r="E7" t="str">
            <v>KB Sprzed. bezpośrednia</v>
          </cell>
          <cell r="H7">
            <v>24</v>
          </cell>
          <cell r="J7">
            <v>1004.79</v>
          </cell>
          <cell r="K7">
            <v>323.3</v>
          </cell>
          <cell r="L7">
            <v>898.79999999999905</v>
          </cell>
          <cell r="M7">
            <v>0</v>
          </cell>
          <cell r="N7">
            <v>1222.0999999999899</v>
          </cell>
          <cell r="O7">
            <v>19092.8499999999</v>
          </cell>
          <cell r="Q7">
            <v>0</v>
          </cell>
          <cell r="R7">
            <v>19092.8499999999</v>
          </cell>
          <cell r="S7">
            <v>5552.9899999999898</v>
          </cell>
          <cell r="T7">
            <v>5.12</v>
          </cell>
          <cell r="U7">
            <v>19097.97</v>
          </cell>
        </row>
        <row r="8">
          <cell r="A8" t="str">
            <v>PLN   Złoty</v>
          </cell>
          <cell r="E8" t="str">
            <v>KB Sprzed. bezpośrednia</v>
          </cell>
          <cell r="H8">
            <v>12</v>
          </cell>
          <cell r="J8">
            <v>495.06999999999903</v>
          </cell>
          <cell r="K8">
            <v>161.65</v>
          </cell>
          <cell r="L8">
            <v>1038.1199999999899</v>
          </cell>
          <cell r="M8">
            <v>0</v>
          </cell>
          <cell r="N8">
            <v>1199.77</v>
          </cell>
          <cell r="O8">
            <v>10127.82</v>
          </cell>
          <cell r="Q8">
            <v>0</v>
          </cell>
          <cell r="R8">
            <v>10127.82</v>
          </cell>
          <cell r="S8">
            <v>2015.7</v>
          </cell>
          <cell r="T8">
            <v>2.5699999999999901</v>
          </cell>
          <cell r="U8">
            <v>10130.389999999899</v>
          </cell>
        </row>
        <row r="9">
          <cell r="A9" t="str">
            <v>PLN   Złoty</v>
          </cell>
          <cell r="E9" t="str">
            <v>KB Sprzed. bezpośrednia</v>
          </cell>
          <cell r="H9">
            <v>24</v>
          </cell>
          <cell r="J9">
            <v>1004.79</v>
          </cell>
          <cell r="K9">
            <v>323.3</v>
          </cell>
          <cell r="L9">
            <v>2163.36</v>
          </cell>
          <cell r="M9">
            <v>0</v>
          </cell>
          <cell r="N9">
            <v>2486.6599999999899</v>
          </cell>
          <cell r="O9">
            <v>20357.41</v>
          </cell>
          <cell r="Q9">
            <v>0</v>
          </cell>
          <cell r="R9">
            <v>20357.41</v>
          </cell>
          <cell r="S9">
            <v>4288.43</v>
          </cell>
          <cell r="T9">
            <v>5.12</v>
          </cell>
          <cell r="U9">
            <v>20362.529999999901</v>
          </cell>
        </row>
        <row r="10">
          <cell r="A10" t="str">
            <v>PLN   Złoty</v>
          </cell>
          <cell r="E10" t="str">
            <v>KB Sprzed. bezpośrednia</v>
          </cell>
          <cell r="H10">
            <v>12</v>
          </cell>
          <cell r="J10">
            <v>480.49</v>
          </cell>
          <cell r="K10">
            <v>161.65</v>
          </cell>
          <cell r="L10">
            <v>0</v>
          </cell>
          <cell r="M10">
            <v>0</v>
          </cell>
          <cell r="N10">
            <v>161.65</v>
          </cell>
          <cell r="O10">
            <v>9075.1200000000008</v>
          </cell>
          <cell r="Q10">
            <v>0</v>
          </cell>
          <cell r="R10">
            <v>9075.1200000000008</v>
          </cell>
          <cell r="S10">
            <v>2709.48</v>
          </cell>
          <cell r="T10">
            <v>2.5699999999999901</v>
          </cell>
          <cell r="U10">
            <v>9077.69</v>
          </cell>
        </row>
        <row r="11">
          <cell r="A11" t="str">
            <v>PLN   Złoty</v>
          </cell>
          <cell r="E11" t="str">
            <v>KB Sprzed. bezpośrednia</v>
          </cell>
          <cell r="H11">
            <v>48</v>
          </cell>
          <cell r="J11">
            <v>1992.5599999999899</v>
          </cell>
          <cell r="K11">
            <v>646.61</v>
          </cell>
          <cell r="L11">
            <v>2759.52</v>
          </cell>
          <cell r="M11">
            <v>0</v>
          </cell>
          <cell r="N11">
            <v>3406.13</v>
          </cell>
          <cell r="O11">
            <v>39130.61</v>
          </cell>
          <cell r="Q11">
            <v>0</v>
          </cell>
          <cell r="R11">
            <v>39130.61</v>
          </cell>
          <cell r="S11">
            <v>9740.8299999999908</v>
          </cell>
          <cell r="T11">
            <v>10.25</v>
          </cell>
          <cell r="U11">
            <v>39140.86</v>
          </cell>
        </row>
        <row r="12">
          <cell r="A12" t="str">
            <v>PLN   Złoty</v>
          </cell>
          <cell r="E12" t="str">
            <v>KB Sprzed. bezpośrednia</v>
          </cell>
          <cell r="H12">
            <v>24</v>
          </cell>
          <cell r="J12">
            <v>971.64999999999895</v>
          </cell>
          <cell r="K12">
            <v>323.3</v>
          </cell>
          <cell r="L12">
            <v>0</v>
          </cell>
          <cell r="M12">
            <v>0</v>
          </cell>
          <cell r="N12">
            <v>323.3</v>
          </cell>
          <cell r="O12">
            <v>19951.709999999901</v>
          </cell>
          <cell r="Q12">
            <v>0</v>
          </cell>
          <cell r="R12">
            <v>19951.709999999901</v>
          </cell>
          <cell r="S12">
            <v>3880.29</v>
          </cell>
          <cell r="T12">
            <v>5.6699999999999902</v>
          </cell>
          <cell r="U12">
            <v>19957.38</v>
          </cell>
        </row>
        <row r="13">
          <cell r="A13" t="str">
            <v>PLN   Złoty</v>
          </cell>
          <cell r="E13" t="str">
            <v>KB Sprzed. bezpośrednia</v>
          </cell>
          <cell r="H13">
            <v>108</v>
          </cell>
          <cell r="J13">
            <v>4464.1499999999896</v>
          </cell>
          <cell r="K13">
            <v>1454.88</v>
          </cell>
          <cell r="L13">
            <v>5262.96</v>
          </cell>
          <cell r="M13">
            <v>0</v>
          </cell>
          <cell r="N13">
            <v>6717.84</v>
          </cell>
          <cell r="O13">
            <v>87078.809999999896</v>
          </cell>
          <cell r="Q13">
            <v>0</v>
          </cell>
          <cell r="R13">
            <v>87078.809999999896</v>
          </cell>
          <cell r="S13">
            <v>22415.91</v>
          </cell>
          <cell r="T13">
            <v>23.059999999999899</v>
          </cell>
          <cell r="U13">
            <v>87101.869999999893</v>
          </cell>
        </row>
        <row r="14">
          <cell r="A14" t="str">
            <v>PLN   Złoty</v>
          </cell>
          <cell r="E14" t="str">
            <v>KB Sprzed. bezpośrednia</v>
          </cell>
          <cell r="H14">
            <v>24</v>
          </cell>
          <cell r="J14">
            <v>980.28999999999905</v>
          </cell>
          <cell r="K14">
            <v>323.3</v>
          </cell>
          <cell r="L14">
            <v>1706.88</v>
          </cell>
          <cell r="M14">
            <v>0</v>
          </cell>
          <cell r="N14">
            <v>2030.18</v>
          </cell>
          <cell r="O14">
            <v>20070.139999999901</v>
          </cell>
          <cell r="Q14">
            <v>0</v>
          </cell>
          <cell r="R14">
            <v>20070.139999999901</v>
          </cell>
          <cell r="S14">
            <v>3973.3</v>
          </cell>
          <cell r="T14">
            <v>5.19</v>
          </cell>
          <cell r="U14">
            <v>20075.330000000002</v>
          </cell>
        </row>
        <row r="15">
          <cell r="A15" t="str">
            <v>PLN   Złoty</v>
          </cell>
          <cell r="E15" t="str">
            <v>KB Sprzed. bezpośrednia</v>
          </cell>
          <cell r="H15">
            <v>12</v>
          </cell>
          <cell r="J15">
            <v>500.86</v>
          </cell>
          <cell r="K15">
            <v>161.65</v>
          </cell>
          <cell r="L15">
            <v>907.91999999999905</v>
          </cell>
          <cell r="M15">
            <v>0</v>
          </cell>
          <cell r="N15">
            <v>1069.5699999999899</v>
          </cell>
          <cell r="O15">
            <v>10003.41</v>
          </cell>
          <cell r="Q15">
            <v>0</v>
          </cell>
          <cell r="R15">
            <v>10003.41</v>
          </cell>
          <cell r="S15">
            <v>2282.4299999999898</v>
          </cell>
          <cell r="T15">
            <v>2.5699999999999901</v>
          </cell>
          <cell r="U15">
            <v>10005.98</v>
          </cell>
        </row>
        <row r="16">
          <cell r="A16" t="str">
            <v>PLN   Złoty</v>
          </cell>
          <cell r="E16" t="str">
            <v>KB Sprzed. bezpośrednia</v>
          </cell>
          <cell r="H16">
            <v>24</v>
          </cell>
          <cell r="J16">
            <v>1004.79</v>
          </cell>
          <cell r="K16">
            <v>323.3</v>
          </cell>
          <cell r="L16">
            <v>1518.96</v>
          </cell>
          <cell r="M16">
            <v>0</v>
          </cell>
          <cell r="N16">
            <v>1842.26</v>
          </cell>
          <cell r="O16">
            <v>19713.0099999999</v>
          </cell>
          <cell r="Q16">
            <v>0</v>
          </cell>
          <cell r="R16">
            <v>19713.0099999999</v>
          </cell>
          <cell r="S16">
            <v>4932.8299999999899</v>
          </cell>
          <cell r="T16">
            <v>5.12</v>
          </cell>
          <cell r="U16">
            <v>19718.13</v>
          </cell>
        </row>
        <row r="17">
          <cell r="A17" t="str">
            <v>PLN   Złoty</v>
          </cell>
          <cell r="E17" t="str">
            <v>KB Sprzed. bezpośrednia</v>
          </cell>
          <cell r="H17">
            <v>24</v>
          </cell>
          <cell r="J17">
            <v>1004.79</v>
          </cell>
          <cell r="K17">
            <v>323.3</v>
          </cell>
          <cell r="L17">
            <v>1419.1199999999899</v>
          </cell>
          <cell r="M17">
            <v>0</v>
          </cell>
          <cell r="N17">
            <v>1742.42</v>
          </cell>
          <cell r="O17">
            <v>20553.889999999901</v>
          </cell>
          <cell r="Q17">
            <v>0</v>
          </cell>
          <cell r="R17">
            <v>20553.889999999901</v>
          </cell>
          <cell r="S17">
            <v>4091.9499999999898</v>
          </cell>
          <cell r="T17">
            <v>5.41</v>
          </cell>
          <cell r="U17">
            <v>20559.299999999901</v>
          </cell>
        </row>
        <row r="18">
          <cell r="A18" t="str">
            <v>PLN   Złoty</v>
          </cell>
          <cell r="E18" t="str">
            <v>KB Sprzed. bezpośrednia</v>
          </cell>
          <cell r="H18">
            <v>24</v>
          </cell>
          <cell r="J18">
            <v>954.21</v>
          </cell>
          <cell r="K18">
            <v>323.3</v>
          </cell>
          <cell r="L18">
            <v>0</v>
          </cell>
          <cell r="M18">
            <v>0</v>
          </cell>
          <cell r="N18">
            <v>323.3</v>
          </cell>
          <cell r="O18">
            <v>18143.47</v>
          </cell>
          <cell r="Q18">
            <v>0</v>
          </cell>
          <cell r="R18">
            <v>18143.47</v>
          </cell>
          <cell r="S18">
            <v>5260.13</v>
          </cell>
          <cell r="T18">
            <v>5.12</v>
          </cell>
          <cell r="U18">
            <v>18148.59</v>
          </cell>
        </row>
        <row r="19">
          <cell r="A19" t="str">
            <v>PLN   Złoty</v>
          </cell>
          <cell r="E19" t="str">
            <v>KB Sprzed. bezpośrednia</v>
          </cell>
          <cell r="H19">
            <v>24</v>
          </cell>
          <cell r="J19">
            <v>954.21</v>
          </cell>
          <cell r="K19">
            <v>323.3</v>
          </cell>
          <cell r="L19">
            <v>0</v>
          </cell>
          <cell r="M19">
            <v>0</v>
          </cell>
          <cell r="N19">
            <v>323.3</v>
          </cell>
          <cell r="O19">
            <v>18143.47</v>
          </cell>
          <cell r="Q19">
            <v>0</v>
          </cell>
          <cell r="R19">
            <v>18143.47</v>
          </cell>
          <cell r="S19">
            <v>5260.13</v>
          </cell>
          <cell r="T19">
            <v>5.12</v>
          </cell>
          <cell r="U19">
            <v>18148.59</v>
          </cell>
        </row>
        <row r="20">
          <cell r="A20" t="str">
            <v>PLN   Złoty</v>
          </cell>
          <cell r="E20" t="str">
            <v>KB Sprzed. bezpośrednia</v>
          </cell>
          <cell r="H20">
            <v>87</v>
          </cell>
          <cell r="J20">
            <v>3477.67</v>
          </cell>
          <cell r="K20">
            <v>1172</v>
          </cell>
          <cell r="L20">
            <v>0</v>
          </cell>
          <cell r="M20">
            <v>0</v>
          </cell>
          <cell r="N20">
            <v>1172</v>
          </cell>
          <cell r="O20">
            <v>66908.029999999897</v>
          </cell>
          <cell r="Q20">
            <v>0</v>
          </cell>
          <cell r="R20">
            <v>66908.029999999897</v>
          </cell>
          <cell r="S20">
            <v>18389.41</v>
          </cell>
          <cell r="T20">
            <v>18.920000000000002</v>
          </cell>
          <cell r="U20">
            <v>66926.949999999895</v>
          </cell>
        </row>
        <row r="21">
          <cell r="A21" t="str">
            <v>PLN   Złoty</v>
          </cell>
          <cell r="E21" t="str">
            <v>KB Sprzed. bezpośrednia</v>
          </cell>
          <cell r="H21">
            <v>10</v>
          </cell>
          <cell r="J21">
            <v>402.39999999999901</v>
          </cell>
          <cell r="K21">
            <v>134.71</v>
          </cell>
          <cell r="L21">
            <v>0</v>
          </cell>
          <cell r="M21">
            <v>0</v>
          </cell>
          <cell r="N21">
            <v>134.71</v>
          </cell>
          <cell r="O21">
            <v>8271.34</v>
          </cell>
          <cell r="Q21">
            <v>0</v>
          </cell>
          <cell r="R21">
            <v>8271.34</v>
          </cell>
          <cell r="S21">
            <v>1598.66</v>
          </cell>
          <cell r="T21">
            <v>2.35</v>
          </cell>
          <cell r="U21">
            <v>8273.69</v>
          </cell>
        </row>
        <row r="22">
          <cell r="A22" t="str">
            <v>PLN   Złoty</v>
          </cell>
          <cell r="E22" t="str">
            <v>KB Sprzed. bezpośrednia</v>
          </cell>
          <cell r="H22">
            <v>72</v>
          </cell>
          <cell r="J22">
            <v>2967.15</v>
          </cell>
          <cell r="K22">
            <v>969.91999999999905</v>
          </cell>
          <cell r="L22">
            <v>5023.3999999999896</v>
          </cell>
          <cell r="M22">
            <v>0</v>
          </cell>
          <cell r="N22">
            <v>5993.3199999999897</v>
          </cell>
          <cell r="O22">
            <v>59558.349999999897</v>
          </cell>
          <cell r="Q22">
            <v>0</v>
          </cell>
          <cell r="R22">
            <v>59558.349999999897</v>
          </cell>
          <cell r="S22">
            <v>13218.23</v>
          </cell>
          <cell r="T22">
            <v>15.38</v>
          </cell>
          <cell r="U22">
            <v>59573.73</v>
          </cell>
        </row>
        <row r="23">
          <cell r="A23" t="str">
            <v>PLN   Złoty</v>
          </cell>
          <cell r="E23" t="str">
            <v>KB Sprzed. bezpośrednia</v>
          </cell>
          <cell r="H23">
            <v>48</v>
          </cell>
          <cell r="J23">
            <v>1908.3499999999899</v>
          </cell>
          <cell r="K23">
            <v>646.61</v>
          </cell>
          <cell r="L23">
            <v>0</v>
          </cell>
          <cell r="M23">
            <v>0</v>
          </cell>
          <cell r="N23">
            <v>646.61</v>
          </cell>
          <cell r="O23">
            <v>36286.879999999903</v>
          </cell>
          <cell r="Q23">
            <v>0</v>
          </cell>
          <cell r="R23">
            <v>36286.879999999903</v>
          </cell>
          <cell r="S23">
            <v>10520.32</v>
          </cell>
          <cell r="T23">
            <v>10.25</v>
          </cell>
          <cell r="U23">
            <v>36297.129999999903</v>
          </cell>
        </row>
        <row r="24">
          <cell r="A24" t="str">
            <v>PLN   Złoty</v>
          </cell>
          <cell r="E24" t="str">
            <v>KB Sprzed. bezpośrednia</v>
          </cell>
          <cell r="H24">
            <v>84</v>
          </cell>
          <cell r="J24">
            <v>3483.05</v>
          </cell>
          <cell r="K24">
            <v>1131.5599999999899</v>
          </cell>
          <cell r="L24">
            <v>5113.1999999999898</v>
          </cell>
          <cell r="M24">
            <v>0</v>
          </cell>
          <cell r="N24">
            <v>6244.76</v>
          </cell>
          <cell r="O24">
            <v>68758.669999999896</v>
          </cell>
          <cell r="Q24">
            <v>0</v>
          </cell>
          <cell r="R24">
            <v>68758.669999999896</v>
          </cell>
          <cell r="S24">
            <v>16672.209999999901</v>
          </cell>
          <cell r="T24">
            <v>17.940000000000001</v>
          </cell>
          <cell r="U24">
            <v>68776.61</v>
          </cell>
        </row>
        <row r="25">
          <cell r="A25" t="str">
            <v>PLN   Złoty</v>
          </cell>
          <cell r="E25" t="str">
            <v>KB Sprzed. bezpośrednia</v>
          </cell>
          <cell r="H25">
            <v>26</v>
          </cell>
          <cell r="J25">
            <v>1021.02</v>
          </cell>
          <cell r="K25">
            <v>350.25</v>
          </cell>
          <cell r="L25">
            <v>0</v>
          </cell>
          <cell r="M25">
            <v>0</v>
          </cell>
          <cell r="N25">
            <v>350.25</v>
          </cell>
          <cell r="O25">
            <v>20711.7599999999</v>
          </cell>
          <cell r="Q25">
            <v>0</v>
          </cell>
          <cell r="R25">
            <v>20711.7599999999</v>
          </cell>
          <cell r="S25">
            <v>4331.6999999999898</v>
          </cell>
          <cell r="T25">
            <v>5.8799999999999901</v>
          </cell>
          <cell r="U25">
            <v>20717.639999999901</v>
          </cell>
        </row>
        <row r="26">
          <cell r="A26" t="str">
            <v>PLN   Złoty</v>
          </cell>
          <cell r="E26" t="str">
            <v>KB Sprzed. bezpośrednia</v>
          </cell>
          <cell r="H26">
            <v>72</v>
          </cell>
          <cell r="J26">
            <v>2906.1599999999899</v>
          </cell>
          <cell r="K26">
            <v>969.91999999999905</v>
          </cell>
          <cell r="L26">
            <v>0</v>
          </cell>
          <cell r="M26">
            <v>0</v>
          </cell>
          <cell r="N26">
            <v>969.91999999999905</v>
          </cell>
          <cell r="O26">
            <v>59846.36</v>
          </cell>
          <cell r="Q26">
            <v>0</v>
          </cell>
          <cell r="R26">
            <v>59846.36</v>
          </cell>
          <cell r="S26">
            <v>11433.639999999899</v>
          </cell>
          <cell r="T26">
            <v>17.010000000000002</v>
          </cell>
          <cell r="U26">
            <v>59863.37</v>
          </cell>
        </row>
        <row r="27">
          <cell r="A27" t="str">
            <v>PLN   Złoty</v>
          </cell>
          <cell r="E27" t="str">
            <v>KB Sprzed. bezpośrednia</v>
          </cell>
          <cell r="H27">
            <v>14</v>
          </cell>
          <cell r="J27">
            <v>558.29999999999905</v>
          </cell>
          <cell r="K27">
            <v>188.599999999999</v>
          </cell>
          <cell r="L27">
            <v>0</v>
          </cell>
          <cell r="M27">
            <v>0</v>
          </cell>
          <cell r="N27">
            <v>188.599999999999</v>
          </cell>
          <cell r="O27">
            <v>11134.129999999899</v>
          </cell>
          <cell r="Q27">
            <v>0</v>
          </cell>
          <cell r="R27">
            <v>11134.129999999899</v>
          </cell>
          <cell r="S27">
            <v>2559.4099999999899</v>
          </cell>
          <cell r="T27">
            <v>3.16</v>
          </cell>
          <cell r="U27">
            <v>11137.29</v>
          </cell>
        </row>
        <row r="28">
          <cell r="A28" t="str">
            <v>PLN   Złoty</v>
          </cell>
          <cell r="E28" t="str">
            <v>KB Sprzed. bezpośrednia</v>
          </cell>
          <cell r="H28">
            <v>74</v>
          </cell>
          <cell r="J28">
            <v>2944.98</v>
          </cell>
          <cell r="K28">
            <v>996.86</v>
          </cell>
          <cell r="L28">
            <v>0</v>
          </cell>
          <cell r="M28">
            <v>0</v>
          </cell>
          <cell r="N28">
            <v>996.86</v>
          </cell>
          <cell r="O28">
            <v>55945.22</v>
          </cell>
          <cell r="Q28">
            <v>0</v>
          </cell>
          <cell r="R28">
            <v>55945.22</v>
          </cell>
          <cell r="S28">
            <v>16286.92</v>
          </cell>
          <cell r="T28">
            <v>15.8</v>
          </cell>
          <cell r="U28">
            <v>55961.019999999902</v>
          </cell>
        </row>
        <row r="29">
          <cell r="A29" t="str">
            <v>PLN   Złoty</v>
          </cell>
          <cell r="E29" t="str">
            <v>KB Sprzed. bezpośrednia</v>
          </cell>
          <cell r="H29">
            <v>48</v>
          </cell>
          <cell r="J29">
            <v>1908.38</v>
          </cell>
          <cell r="K29">
            <v>646.61</v>
          </cell>
          <cell r="L29">
            <v>0</v>
          </cell>
          <cell r="M29">
            <v>0</v>
          </cell>
          <cell r="N29">
            <v>646.61</v>
          </cell>
          <cell r="O29">
            <v>38168.349999999897</v>
          </cell>
          <cell r="Q29">
            <v>0</v>
          </cell>
          <cell r="R29">
            <v>38168.349999999897</v>
          </cell>
          <cell r="S29">
            <v>8639.09</v>
          </cell>
          <cell r="T29">
            <v>10.83</v>
          </cell>
          <cell r="U29">
            <v>38179.18</v>
          </cell>
        </row>
        <row r="30">
          <cell r="A30" t="str">
            <v>PLN   Złoty</v>
          </cell>
          <cell r="E30" t="str">
            <v>KB Sprzed. bezpośrednia</v>
          </cell>
          <cell r="H30">
            <v>36</v>
          </cell>
          <cell r="J30">
            <v>1455.01</v>
          </cell>
          <cell r="K30">
            <v>484.94999999999902</v>
          </cell>
          <cell r="L30">
            <v>428.39999999999901</v>
          </cell>
          <cell r="M30">
            <v>0</v>
          </cell>
          <cell r="N30">
            <v>913.35</v>
          </cell>
          <cell r="O30">
            <v>28328.13</v>
          </cell>
          <cell r="Q30">
            <v>0</v>
          </cell>
          <cell r="R30">
            <v>28328.13</v>
          </cell>
          <cell r="S30">
            <v>7360.35</v>
          </cell>
          <cell r="T30">
            <v>7.8899999999999899</v>
          </cell>
          <cell r="U30">
            <v>28336.02</v>
          </cell>
        </row>
        <row r="31">
          <cell r="A31" t="str">
            <v>PLN   Złoty</v>
          </cell>
          <cell r="E31" t="str">
            <v>KB Sprzed. bezpośrednia</v>
          </cell>
          <cell r="H31">
            <v>58</v>
          </cell>
          <cell r="J31">
            <v>2389.48</v>
          </cell>
          <cell r="K31">
            <v>781.32</v>
          </cell>
          <cell r="L31">
            <v>3269.78</v>
          </cell>
          <cell r="M31">
            <v>0</v>
          </cell>
          <cell r="N31">
            <v>4051.0999999999899</v>
          </cell>
          <cell r="O31">
            <v>47199.98</v>
          </cell>
          <cell r="Q31">
            <v>0</v>
          </cell>
          <cell r="R31">
            <v>47199.98</v>
          </cell>
          <cell r="S31">
            <v>11408.08</v>
          </cell>
          <cell r="T31">
            <v>12.39</v>
          </cell>
          <cell r="U31">
            <v>47212.37</v>
          </cell>
        </row>
        <row r="32">
          <cell r="A32" t="str">
            <v>PLN   Złoty</v>
          </cell>
          <cell r="E32" t="str">
            <v>KB Sprzed. bezpośrednia</v>
          </cell>
          <cell r="H32">
            <v>120</v>
          </cell>
          <cell r="J32">
            <v>4931.4799999999896</v>
          </cell>
          <cell r="K32">
            <v>1616.52</v>
          </cell>
          <cell r="L32">
            <v>4767.3599999999897</v>
          </cell>
          <cell r="M32">
            <v>0</v>
          </cell>
          <cell r="N32">
            <v>6383.88</v>
          </cell>
          <cell r="O32">
            <v>95645.16</v>
          </cell>
          <cell r="Q32">
            <v>0</v>
          </cell>
          <cell r="R32">
            <v>95645.16</v>
          </cell>
          <cell r="S32">
            <v>25311.24</v>
          </cell>
          <cell r="T32">
            <v>25.6299999999999</v>
          </cell>
          <cell r="U32">
            <v>95670.789999999906</v>
          </cell>
        </row>
        <row r="33">
          <cell r="A33" t="str">
            <v>PLN   Złoty</v>
          </cell>
          <cell r="E33" t="str">
            <v>KB Sprzed. bezpośrednia</v>
          </cell>
          <cell r="H33">
            <v>96</v>
          </cell>
          <cell r="J33">
            <v>3977.4</v>
          </cell>
          <cell r="K33">
            <v>1293.22</v>
          </cell>
          <cell r="L33">
            <v>4617.84</v>
          </cell>
          <cell r="M33">
            <v>0</v>
          </cell>
          <cell r="N33">
            <v>5911.06</v>
          </cell>
          <cell r="O33">
            <v>78874.149999999907</v>
          </cell>
          <cell r="Q33">
            <v>0</v>
          </cell>
          <cell r="R33">
            <v>78874.149999999907</v>
          </cell>
          <cell r="S33">
            <v>18681.77</v>
          </cell>
          <cell r="T33">
            <v>20.96</v>
          </cell>
          <cell r="U33">
            <v>78895.11</v>
          </cell>
        </row>
        <row r="34">
          <cell r="A34" t="str">
            <v>PLN   Złoty</v>
          </cell>
          <cell r="E34" t="str">
            <v>KB Sprzed. bezpośrednia</v>
          </cell>
          <cell r="H34">
            <v>24</v>
          </cell>
          <cell r="J34">
            <v>951.29999999999905</v>
          </cell>
          <cell r="K34">
            <v>323.3</v>
          </cell>
          <cell r="L34">
            <v>0</v>
          </cell>
          <cell r="M34">
            <v>0</v>
          </cell>
          <cell r="N34">
            <v>323.3</v>
          </cell>
          <cell r="O34">
            <v>18140.560000000001</v>
          </cell>
          <cell r="Q34">
            <v>0</v>
          </cell>
          <cell r="R34">
            <v>18140.560000000001</v>
          </cell>
          <cell r="S34">
            <v>5192.2399999999898</v>
          </cell>
          <cell r="T34">
            <v>5.12</v>
          </cell>
          <cell r="U34">
            <v>18145.68</v>
          </cell>
        </row>
        <row r="35">
          <cell r="A35" t="str">
            <v>PLN   Złoty</v>
          </cell>
          <cell r="E35" t="str">
            <v>KB Sprzed. bezpośrednia</v>
          </cell>
          <cell r="H35">
            <v>84</v>
          </cell>
          <cell r="J35">
            <v>3393.4</v>
          </cell>
          <cell r="K35">
            <v>1131.5599999999899</v>
          </cell>
          <cell r="L35">
            <v>2210.2800000000002</v>
          </cell>
          <cell r="M35">
            <v>0</v>
          </cell>
          <cell r="N35">
            <v>3341.84</v>
          </cell>
          <cell r="O35">
            <v>65766.100000000006</v>
          </cell>
          <cell r="Q35">
            <v>0</v>
          </cell>
          <cell r="R35">
            <v>65766.100000000006</v>
          </cell>
          <cell r="S35">
            <v>17463.740000000002</v>
          </cell>
          <cell r="T35">
            <v>17.940000000000001</v>
          </cell>
          <cell r="U35">
            <v>65784.039999999906</v>
          </cell>
        </row>
        <row r="36">
          <cell r="A36" t="str">
            <v>PLN   Złoty</v>
          </cell>
          <cell r="E36" t="str">
            <v>KB Sprzed. bezpośrednia</v>
          </cell>
          <cell r="H36">
            <v>24</v>
          </cell>
          <cell r="J36">
            <v>994.74</v>
          </cell>
          <cell r="K36">
            <v>323.3</v>
          </cell>
          <cell r="L36">
            <v>1518.96</v>
          </cell>
          <cell r="M36">
            <v>0</v>
          </cell>
          <cell r="N36">
            <v>1842.26</v>
          </cell>
          <cell r="O36">
            <v>20643.68</v>
          </cell>
          <cell r="Q36">
            <v>0</v>
          </cell>
          <cell r="R36">
            <v>20643.68</v>
          </cell>
          <cell r="S36">
            <v>3754.96</v>
          </cell>
          <cell r="T36">
            <v>5.41</v>
          </cell>
          <cell r="U36">
            <v>20649.09</v>
          </cell>
        </row>
        <row r="37">
          <cell r="A37" t="str">
            <v>PLN   Złoty</v>
          </cell>
          <cell r="E37" t="str">
            <v>KB Sprzed. bezpośrednia</v>
          </cell>
          <cell r="H37">
            <v>48</v>
          </cell>
          <cell r="J37">
            <v>1992.5599999999899</v>
          </cell>
          <cell r="K37">
            <v>646.61</v>
          </cell>
          <cell r="L37">
            <v>3180</v>
          </cell>
          <cell r="M37">
            <v>0</v>
          </cell>
          <cell r="N37">
            <v>3826.61</v>
          </cell>
          <cell r="O37">
            <v>39551.089999999902</v>
          </cell>
          <cell r="Q37">
            <v>0</v>
          </cell>
          <cell r="R37">
            <v>39551.089999999902</v>
          </cell>
          <cell r="S37">
            <v>9320.35</v>
          </cell>
          <cell r="T37">
            <v>10.25</v>
          </cell>
          <cell r="U37">
            <v>39561.339999999902</v>
          </cell>
        </row>
        <row r="38">
          <cell r="A38" t="str">
            <v>PLN   Złoty</v>
          </cell>
          <cell r="E38" t="str">
            <v>KB Sprzed. bezpośrednia</v>
          </cell>
          <cell r="H38">
            <v>65</v>
          </cell>
          <cell r="J38">
            <v>2625.1999999999898</v>
          </cell>
          <cell r="K38">
            <v>875.62</v>
          </cell>
          <cell r="L38">
            <v>0</v>
          </cell>
          <cell r="M38">
            <v>0</v>
          </cell>
          <cell r="N38">
            <v>875.62</v>
          </cell>
          <cell r="O38">
            <v>55815.37</v>
          </cell>
          <cell r="Q38">
            <v>0</v>
          </cell>
          <cell r="R38">
            <v>55815.37</v>
          </cell>
          <cell r="S38">
            <v>8573.6299999999901</v>
          </cell>
          <cell r="T38">
            <v>15.89</v>
          </cell>
          <cell r="U38">
            <v>55831.26</v>
          </cell>
        </row>
        <row r="39">
          <cell r="A39" t="str">
            <v>PLN   Złoty</v>
          </cell>
          <cell r="E39" t="str">
            <v>KB Sprzed. bezpośrednia</v>
          </cell>
          <cell r="H39">
            <v>12</v>
          </cell>
          <cell r="J39">
            <v>500.86</v>
          </cell>
          <cell r="K39">
            <v>161.65</v>
          </cell>
          <cell r="L39">
            <v>842.27999999999895</v>
          </cell>
          <cell r="M39">
            <v>0</v>
          </cell>
          <cell r="N39">
            <v>1003.9299999999899</v>
          </cell>
          <cell r="O39">
            <v>9937.77</v>
          </cell>
          <cell r="Q39">
            <v>0</v>
          </cell>
          <cell r="R39">
            <v>9937.77</v>
          </cell>
          <cell r="S39">
            <v>2348.0700000000002</v>
          </cell>
          <cell r="T39">
            <v>2.5699999999999901</v>
          </cell>
          <cell r="U39">
            <v>9940.34</v>
          </cell>
        </row>
        <row r="40">
          <cell r="A40" t="str">
            <v>PLN   Złoty</v>
          </cell>
          <cell r="E40" t="str">
            <v>KB Sprzed. bezpośrednia</v>
          </cell>
          <cell r="H40">
            <v>36</v>
          </cell>
          <cell r="J40">
            <v>1438.45</v>
          </cell>
          <cell r="K40">
            <v>484.94999999999902</v>
          </cell>
          <cell r="L40">
            <v>0</v>
          </cell>
          <cell r="M40">
            <v>0</v>
          </cell>
          <cell r="N40">
            <v>484.94999999999902</v>
          </cell>
          <cell r="O40">
            <v>28117.74</v>
          </cell>
          <cell r="Q40">
            <v>0</v>
          </cell>
          <cell r="R40">
            <v>28117.74</v>
          </cell>
          <cell r="S40">
            <v>7165.38</v>
          </cell>
          <cell r="T40">
            <v>7.96</v>
          </cell>
          <cell r="U40">
            <v>28125.7</v>
          </cell>
        </row>
        <row r="41">
          <cell r="A41" t="str">
            <v>PLN   Złoty</v>
          </cell>
          <cell r="E41" t="str">
            <v>KB Sprzed. bezpośrednia</v>
          </cell>
          <cell r="H41">
            <v>9</v>
          </cell>
          <cell r="J41">
            <v>358.91</v>
          </cell>
          <cell r="K41">
            <v>121.25</v>
          </cell>
          <cell r="L41">
            <v>0</v>
          </cell>
          <cell r="M41">
            <v>0</v>
          </cell>
          <cell r="N41">
            <v>121.25</v>
          </cell>
          <cell r="O41">
            <v>6804.89</v>
          </cell>
          <cell r="Q41">
            <v>0</v>
          </cell>
          <cell r="R41">
            <v>6804.89</v>
          </cell>
          <cell r="S41">
            <v>1998.01</v>
          </cell>
          <cell r="T41">
            <v>1.9299999999999899</v>
          </cell>
          <cell r="U41">
            <v>6806.8199999999897</v>
          </cell>
        </row>
        <row r="42">
          <cell r="A42" t="str">
            <v>PLN   Złoty</v>
          </cell>
          <cell r="E42" t="str">
            <v>KB Sprzed. bezpośrednia</v>
          </cell>
          <cell r="H42">
            <v>15</v>
          </cell>
          <cell r="J42">
            <v>598.15999999999894</v>
          </cell>
          <cell r="K42">
            <v>202.08</v>
          </cell>
          <cell r="L42">
            <v>0</v>
          </cell>
          <cell r="M42">
            <v>0</v>
          </cell>
          <cell r="N42">
            <v>202.08</v>
          </cell>
          <cell r="O42">
            <v>11929.41</v>
          </cell>
          <cell r="Q42">
            <v>0</v>
          </cell>
          <cell r="R42">
            <v>11929.41</v>
          </cell>
          <cell r="S42">
            <v>2742.09</v>
          </cell>
          <cell r="T42">
            <v>3.39</v>
          </cell>
          <cell r="U42">
            <v>11932.799999999899</v>
          </cell>
        </row>
        <row r="43">
          <cell r="A43" t="str">
            <v>PLN   Złoty</v>
          </cell>
          <cell r="E43" t="str">
            <v>KB Sprzed. bezpośrednia</v>
          </cell>
          <cell r="H43">
            <v>26</v>
          </cell>
          <cell r="J43">
            <v>1048.3499999999899</v>
          </cell>
          <cell r="K43">
            <v>350.24</v>
          </cell>
          <cell r="L43">
            <v>0</v>
          </cell>
          <cell r="M43">
            <v>0</v>
          </cell>
          <cell r="N43">
            <v>350.24</v>
          </cell>
          <cell r="O43">
            <v>20416.209999999901</v>
          </cell>
          <cell r="Q43">
            <v>0</v>
          </cell>
          <cell r="R43">
            <v>20416.209999999901</v>
          </cell>
          <cell r="S43">
            <v>5296.59</v>
          </cell>
          <cell r="T43">
            <v>5.7699999999999898</v>
          </cell>
          <cell r="U43">
            <v>20421.98</v>
          </cell>
        </row>
        <row r="44">
          <cell r="A44" t="str">
            <v>PLN   Złoty</v>
          </cell>
          <cell r="E44" t="str">
            <v>KB Sprzed. bezpośrednia</v>
          </cell>
          <cell r="H44">
            <v>12</v>
          </cell>
          <cell r="J44">
            <v>487.77999999999901</v>
          </cell>
          <cell r="K44">
            <v>161.65</v>
          </cell>
          <cell r="L44">
            <v>0</v>
          </cell>
          <cell r="M44">
            <v>0</v>
          </cell>
          <cell r="N44">
            <v>161.65</v>
          </cell>
          <cell r="O44">
            <v>9930.4799999999905</v>
          </cell>
          <cell r="Q44">
            <v>0</v>
          </cell>
          <cell r="R44">
            <v>9930.4799999999905</v>
          </cell>
          <cell r="S44">
            <v>2033.52</v>
          </cell>
          <cell r="T44">
            <v>2.8199999999999901</v>
          </cell>
          <cell r="U44">
            <v>9933.2999999999902</v>
          </cell>
        </row>
        <row r="45">
          <cell r="A45" t="str">
            <v>PLN   Złoty</v>
          </cell>
          <cell r="E45" t="str">
            <v>KB Sprzed. bezpośrednia</v>
          </cell>
          <cell r="H45">
            <v>24</v>
          </cell>
          <cell r="J45">
            <v>1004.79</v>
          </cell>
          <cell r="K45">
            <v>323.3</v>
          </cell>
          <cell r="L45">
            <v>1016.16</v>
          </cell>
          <cell r="M45">
            <v>0</v>
          </cell>
          <cell r="N45">
            <v>1339.46</v>
          </cell>
          <cell r="O45">
            <v>19403.9199999999</v>
          </cell>
          <cell r="Q45">
            <v>0</v>
          </cell>
          <cell r="R45">
            <v>19403.9199999999</v>
          </cell>
          <cell r="S45">
            <v>5241.92</v>
          </cell>
          <cell r="T45">
            <v>5.19</v>
          </cell>
          <cell r="U45">
            <v>19409.11</v>
          </cell>
        </row>
        <row r="46">
          <cell r="A46" t="str">
            <v>PLN   Złoty</v>
          </cell>
          <cell r="E46" t="str">
            <v>KB Sprzed. bezpośrednia</v>
          </cell>
          <cell r="H46">
            <v>84</v>
          </cell>
          <cell r="J46">
            <v>3496.98</v>
          </cell>
          <cell r="K46">
            <v>1131.5599999999899</v>
          </cell>
          <cell r="L46">
            <v>7463.3999999999896</v>
          </cell>
          <cell r="M46">
            <v>0</v>
          </cell>
          <cell r="N46">
            <v>8594.95999999999</v>
          </cell>
          <cell r="O46">
            <v>71122.8</v>
          </cell>
          <cell r="Q46">
            <v>0</v>
          </cell>
          <cell r="R46">
            <v>71122.8</v>
          </cell>
          <cell r="S46">
            <v>14648.639999999899</v>
          </cell>
          <cell r="T46">
            <v>17.940000000000001</v>
          </cell>
          <cell r="U46">
            <v>71140.740000000005</v>
          </cell>
        </row>
        <row r="47">
          <cell r="A47" t="str">
            <v>PLN   Złoty</v>
          </cell>
          <cell r="E47" t="str">
            <v>KB Sprzed. bezpośrednia</v>
          </cell>
          <cell r="H47">
            <v>24</v>
          </cell>
          <cell r="J47">
            <v>1004.79</v>
          </cell>
          <cell r="K47">
            <v>323.3</v>
          </cell>
          <cell r="L47">
            <v>2076.2399999999898</v>
          </cell>
          <cell r="M47">
            <v>0</v>
          </cell>
          <cell r="N47">
            <v>2399.54</v>
          </cell>
          <cell r="O47">
            <v>21211.0099999999</v>
          </cell>
          <cell r="Q47">
            <v>0</v>
          </cell>
          <cell r="R47">
            <v>21211.0099999999</v>
          </cell>
          <cell r="S47">
            <v>3434.8299999999899</v>
          </cell>
          <cell r="T47">
            <v>5.41</v>
          </cell>
          <cell r="U47">
            <v>21216.4199999999</v>
          </cell>
        </row>
        <row r="48">
          <cell r="A48" t="str">
            <v>PLN   Złoty</v>
          </cell>
          <cell r="E48" t="str">
            <v>KB Sprzed. bezpośrednia</v>
          </cell>
          <cell r="H48">
            <v>48</v>
          </cell>
          <cell r="J48">
            <v>2009.68</v>
          </cell>
          <cell r="K48">
            <v>646.61</v>
          </cell>
          <cell r="L48">
            <v>4284</v>
          </cell>
          <cell r="M48">
            <v>0</v>
          </cell>
          <cell r="N48">
            <v>4930.6099999999897</v>
          </cell>
          <cell r="O48">
            <v>40672.209999999897</v>
          </cell>
          <cell r="Q48">
            <v>0</v>
          </cell>
          <cell r="R48">
            <v>40672.209999999897</v>
          </cell>
          <cell r="S48">
            <v>8619.4699999999903</v>
          </cell>
          <cell r="T48">
            <v>10.25</v>
          </cell>
          <cell r="U48">
            <v>40682.459999999897</v>
          </cell>
        </row>
        <row r="49">
          <cell r="A49" t="str">
            <v>PLN   Złoty</v>
          </cell>
          <cell r="E49" t="str">
            <v>KB Sprzed. bezpośrednia</v>
          </cell>
          <cell r="H49">
            <v>82</v>
          </cell>
          <cell r="J49">
            <v>3379.6999999999898</v>
          </cell>
          <cell r="K49">
            <v>1104.6199999999899</v>
          </cell>
          <cell r="L49">
            <v>6900.72</v>
          </cell>
          <cell r="M49">
            <v>0</v>
          </cell>
          <cell r="N49">
            <v>8005.34</v>
          </cell>
          <cell r="O49">
            <v>69010.399999999907</v>
          </cell>
          <cell r="Q49">
            <v>0</v>
          </cell>
          <cell r="R49">
            <v>69010.399999999907</v>
          </cell>
          <cell r="S49">
            <v>13884.959999999901</v>
          </cell>
          <cell r="T49">
            <v>17.510000000000002</v>
          </cell>
          <cell r="U49">
            <v>69027.91</v>
          </cell>
        </row>
        <row r="50">
          <cell r="A50" t="str">
            <v>PLN   Złoty</v>
          </cell>
          <cell r="E50" t="str">
            <v>KB Sprzed. bezpośrednia</v>
          </cell>
          <cell r="H50">
            <v>24</v>
          </cell>
          <cell r="J50">
            <v>983.24</v>
          </cell>
          <cell r="K50">
            <v>323.3</v>
          </cell>
          <cell r="L50">
            <v>1030.0799999999899</v>
          </cell>
          <cell r="M50">
            <v>0</v>
          </cell>
          <cell r="N50">
            <v>1353.38</v>
          </cell>
          <cell r="O50">
            <v>20143.299999999901</v>
          </cell>
          <cell r="Q50">
            <v>0</v>
          </cell>
          <cell r="R50">
            <v>20143.299999999901</v>
          </cell>
          <cell r="S50">
            <v>3973.0999999999899</v>
          </cell>
          <cell r="T50">
            <v>5.41</v>
          </cell>
          <cell r="U50">
            <v>20148.709999999901</v>
          </cell>
        </row>
        <row r="51">
          <cell r="A51" t="str">
            <v>PLN   Złoty</v>
          </cell>
          <cell r="E51" t="str">
            <v>KB Sprzed. bezpośrednia</v>
          </cell>
          <cell r="H51">
            <v>24</v>
          </cell>
          <cell r="J51">
            <v>1004.79</v>
          </cell>
          <cell r="K51">
            <v>323.3</v>
          </cell>
          <cell r="L51">
            <v>1637.28</v>
          </cell>
          <cell r="M51">
            <v>0</v>
          </cell>
          <cell r="N51">
            <v>1960.5799999999899</v>
          </cell>
          <cell r="O51">
            <v>19831.330000000002</v>
          </cell>
          <cell r="Q51">
            <v>0</v>
          </cell>
          <cell r="R51">
            <v>19831.330000000002</v>
          </cell>
          <cell r="S51">
            <v>4814.51</v>
          </cell>
          <cell r="T51">
            <v>5.12</v>
          </cell>
          <cell r="U51">
            <v>19836.45</v>
          </cell>
        </row>
        <row r="52">
          <cell r="A52" t="str">
            <v>PLN   Złoty</v>
          </cell>
          <cell r="E52" t="str">
            <v>KB Sprzed. bezpośrednia</v>
          </cell>
          <cell r="H52">
            <v>168</v>
          </cell>
          <cell r="J52">
            <v>6845.27</v>
          </cell>
          <cell r="K52">
            <v>2263.13</v>
          </cell>
          <cell r="L52">
            <v>2993.1599999999899</v>
          </cell>
          <cell r="M52">
            <v>0</v>
          </cell>
          <cell r="N52">
            <v>5256.29</v>
          </cell>
          <cell r="O52">
            <v>130163.28</v>
          </cell>
          <cell r="Q52">
            <v>0</v>
          </cell>
          <cell r="R52">
            <v>130163.28</v>
          </cell>
          <cell r="S52">
            <v>37733.760000000002</v>
          </cell>
          <cell r="T52">
            <v>35.8599999999999</v>
          </cell>
          <cell r="U52">
            <v>130199.14</v>
          </cell>
        </row>
        <row r="53">
          <cell r="A53" t="str">
            <v>PLN   Złoty</v>
          </cell>
          <cell r="E53" t="str">
            <v>KB Sprzed. bezpośrednia</v>
          </cell>
          <cell r="H53">
            <v>48</v>
          </cell>
          <cell r="J53">
            <v>1924.8</v>
          </cell>
          <cell r="K53">
            <v>646.61</v>
          </cell>
          <cell r="L53">
            <v>0</v>
          </cell>
          <cell r="M53">
            <v>0</v>
          </cell>
          <cell r="N53">
            <v>646.61</v>
          </cell>
          <cell r="O53">
            <v>38184.769999999902</v>
          </cell>
          <cell r="Q53">
            <v>0</v>
          </cell>
          <cell r="R53">
            <v>38184.769999999902</v>
          </cell>
          <cell r="S53">
            <v>9024.43</v>
          </cell>
          <cell r="T53">
            <v>10.83</v>
          </cell>
          <cell r="U53">
            <v>38195.599999999897</v>
          </cell>
        </row>
        <row r="54">
          <cell r="A54" t="str">
            <v>PLN   Złoty</v>
          </cell>
          <cell r="E54" t="str">
            <v>KB Sprzed. bezpośrednia</v>
          </cell>
          <cell r="H54">
            <v>48</v>
          </cell>
          <cell r="J54">
            <v>1951.95</v>
          </cell>
          <cell r="K54">
            <v>646.61</v>
          </cell>
          <cell r="L54">
            <v>1200.96</v>
          </cell>
          <cell r="M54">
            <v>0</v>
          </cell>
          <cell r="N54">
            <v>1847.5699999999899</v>
          </cell>
          <cell r="O54">
            <v>37531.440000000002</v>
          </cell>
          <cell r="Q54">
            <v>0</v>
          </cell>
          <cell r="R54">
            <v>37531.440000000002</v>
          </cell>
          <cell r="S54">
            <v>10344.959999999901</v>
          </cell>
          <cell r="T54">
            <v>10.25</v>
          </cell>
          <cell r="U54">
            <v>37541.69</v>
          </cell>
        </row>
        <row r="55">
          <cell r="A55" t="str">
            <v>PLN   Złoty</v>
          </cell>
          <cell r="E55" t="str">
            <v>KB Sprzed. bezpośrednia</v>
          </cell>
          <cell r="H55">
            <v>48</v>
          </cell>
          <cell r="J55">
            <v>1989.5</v>
          </cell>
          <cell r="K55">
            <v>646.61</v>
          </cell>
          <cell r="L55">
            <v>2265.5999999999899</v>
          </cell>
          <cell r="M55">
            <v>0</v>
          </cell>
          <cell r="N55">
            <v>2912.21</v>
          </cell>
          <cell r="O55">
            <v>39021.050000000003</v>
          </cell>
          <cell r="Q55">
            <v>0</v>
          </cell>
          <cell r="R55">
            <v>39021.050000000003</v>
          </cell>
          <cell r="S55">
            <v>9776.2299999999905</v>
          </cell>
          <cell r="T55">
            <v>10.3599999999999</v>
          </cell>
          <cell r="U55">
            <v>39031.410000000003</v>
          </cell>
        </row>
        <row r="56">
          <cell r="A56" t="str">
            <v>PLN   Złoty</v>
          </cell>
          <cell r="E56" t="str">
            <v>KB Sprzed. bezpośrednia</v>
          </cell>
          <cell r="H56">
            <v>15</v>
          </cell>
          <cell r="J56">
            <v>596.38</v>
          </cell>
          <cell r="K56">
            <v>202.08</v>
          </cell>
          <cell r="L56">
            <v>0</v>
          </cell>
          <cell r="M56">
            <v>0</v>
          </cell>
          <cell r="N56">
            <v>202.08</v>
          </cell>
          <cell r="O56">
            <v>11339.68</v>
          </cell>
          <cell r="Q56">
            <v>0</v>
          </cell>
          <cell r="R56">
            <v>11339.68</v>
          </cell>
          <cell r="S56">
            <v>3287.57</v>
          </cell>
          <cell r="T56">
            <v>3.21</v>
          </cell>
          <cell r="U56">
            <v>11342.889999999899</v>
          </cell>
        </row>
        <row r="57">
          <cell r="A57" t="str">
            <v>PLN   Złoty</v>
          </cell>
          <cell r="E57" t="str">
            <v>KB Sprzed. bezpośrednia</v>
          </cell>
          <cell r="H57">
            <v>357</v>
          </cell>
          <cell r="J57">
            <v>15024.03</v>
          </cell>
          <cell r="K57">
            <v>4809.1599999999899</v>
          </cell>
          <cell r="L57">
            <v>5772.3999999999896</v>
          </cell>
          <cell r="M57">
            <v>0</v>
          </cell>
          <cell r="N57">
            <v>10581.559999999899</v>
          </cell>
          <cell r="O57">
            <v>287007.58</v>
          </cell>
          <cell r="Q57">
            <v>0</v>
          </cell>
          <cell r="R57">
            <v>287007.58</v>
          </cell>
          <cell r="S57">
            <v>81491.460000000006</v>
          </cell>
          <cell r="T57">
            <v>79.430000000000007</v>
          </cell>
          <cell r="U57">
            <v>287087.01</v>
          </cell>
        </row>
        <row r="58">
          <cell r="A58" t="str">
            <v>PLN   Złoty</v>
          </cell>
          <cell r="E58" t="str">
            <v>KB Sprzed. bezpośrednia</v>
          </cell>
          <cell r="H58">
            <v>96</v>
          </cell>
          <cell r="J58">
            <v>4045.3899999999899</v>
          </cell>
          <cell r="K58">
            <v>1293.22</v>
          </cell>
          <cell r="L58">
            <v>977.51999999999896</v>
          </cell>
          <cell r="M58">
            <v>0</v>
          </cell>
          <cell r="N58">
            <v>2270.7399999999898</v>
          </cell>
          <cell r="O58">
            <v>79053.669999999896</v>
          </cell>
          <cell r="Q58">
            <v>0</v>
          </cell>
          <cell r="R58">
            <v>79053.669999999896</v>
          </cell>
          <cell r="S58">
            <v>20169.77</v>
          </cell>
          <cell r="T58">
            <v>22.1</v>
          </cell>
          <cell r="U58">
            <v>79075.77</v>
          </cell>
        </row>
        <row r="59">
          <cell r="A59" t="str">
            <v>PLN   Złoty</v>
          </cell>
          <cell r="E59" t="str">
            <v>KB Sprzed. bezpośrednia</v>
          </cell>
          <cell r="H59">
            <v>64</v>
          </cell>
          <cell r="J59">
            <v>2588.0500000000002</v>
          </cell>
          <cell r="K59">
            <v>862.14999999999895</v>
          </cell>
          <cell r="L59">
            <v>1971.1199999999899</v>
          </cell>
          <cell r="M59">
            <v>0</v>
          </cell>
          <cell r="N59">
            <v>2833.27</v>
          </cell>
          <cell r="O59">
            <v>50397.209999999897</v>
          </cell>
          <cell r="Q59">
            <v>0</v>
          </cell>
          <cell r="R59">
            <v>50397.209999999897</v>
          </cell>
          <cell r="S59">
            <v>13081.59</v>
          </cell>
          <cell r="T59">
            <v>13.67</v>
          </cell>
          <cell r="U59">
            <v>50410.879999999903</v>
          </cell>
        </row>
        <row r="60">
          <cell r="A60" t="str">
            <v>PLN   Złoty</v>
          </cell>
          <cell r="E60" t="str">
            <v>KB Sprzed. bezpośrednia</v>
          </cell>
          <cell r="H60">
            <v>24</v>
          </cell>
          <cell r="J60">
            <v>1004.79</v>
          </cell>
          <cell r="K60">
            <v>323.3</v>
          </cell>
          <cell r="L60">
            <v>1518.96</v>
          </cell>
          <cell r="M60">
            <v>0</v>
          </cell>
          <cell r="N60">
            <v>1842.26</v>
          </cell>
          <cell r="O60">
            <v>19713.0099999999</v>
          </cell>
          <cell r="Q60">
            <v>0</v>
          </cell>
          <cell r="R60">
            <v>19713.0099999999</v>
          </cell>
          <cell r="S60">
            <v>4932.8299999999899</v>
          </cell>
          <cell r="T60">
            <v>5.12</v>
          </cell>
          <cell r="U60">
            <v>19718.13</v>
          </cell>
        </row>
        <row r="61">
          <cell r="A61" t="str">
            <v>PLN   Złoty</v>
          </cell>
          <cell r="E61" t="str">
            <v>KB Sprzed. bezpośrednia</v>
          </cell>
          <cell r="H61">
            <v>80.659999999999897</v>
          </cell>
          <cell r="J61">
            <v>3252.4</v>
          </cell>
          <cell r="K61">
            <v>1086.5699999999899</v>
          </cell>
          <cell r="L61">
            <v>3976.53</v>
          </cell>
          <cell r="M61">
            <v>0</v>
          </cell>
          <cell r="N61">
            <v>5063.1000000000004</v>
          </cell>
          <cell r="O61">
            <v>63598.29</v>
          </cell>
          <cell r="Q61">
            <v>0</v>
          </cell>
          <cell r="R61">
            <v>63598.29</v>
          </cell>
          <cell r="S61">
            <v>16175.01</v>
          </cell>
          <cell r="T61">
            <v>16.8</v>
          </cell>
          <cell r="U61">
            <v>63615.089999999902</v>
          </cell>
        </row>
        <row r="62">
          <cell r="A62" t="str">
            <v>PLN   Złoty</v>
          </cell>
          <cell r="E62" t="str">
            <v>KB Sprzed. bezpośrednia</v>
          </cell>
          <cell r="H62">
            <v>254</v>
          </cell>
          <cell r="J62">
            <v>10417.57</v>
          </cell>
          <cell r="K62">
            <v>3421.65</v>
          </cell>
          <cell r="L62">
            <v>6581.18</v>
          </cell>
          <cell r="M62">
            <v>0</v>
          </cell>
          <cell r="N62">
            <v>10002.83</v>
          </cell>
          <cell r="O62">
            <v>199813.87</v>
          </cell>
          <cell r="Q62">
            <v>0</v>
          </cell>
          <cell r="R62">
            <v>199813.87</v>
          </cell>
          <cell r="S62">
            <v>55703.029999999897</v>
          </cell>
          <cell r="T62">
            <v>54.5</v>
          </cell>
          <cell r="U62">
            <v>199868.37</v>
          </cell>
        </row>
        <row r="63">
          <cell r="A63" t="str">
            <v>PLN   Złoty</v>
          </cell>
          <cell r="E63" t="str">
            <v>KB Sprzed. bezpośrednia</v>
          </cell>
          <cell r="H63">
            <v>48</v>
          </cell>
          <cell r="J63">
            <v>1957.88</v>
          </cell>
          <cell r="K63">
            <v>646.6</v>
          </cell>
          <cell r="L63">
            <v>1425.5999999999899</v>
          </cell>
          <cell r="M63">
            <v>0</v>
          </cell>
          <cell r="N63">
            <v>2072.1999999999898</v>
          </cell>
          <cell r="O63">
            <v>38896.43</v>
          </cell>
          <cell r="Q63">
            <v>0</v>
          </cell>
          <cell r="R63">
            <v>38896.43</v>
          </cell>
          <cell r="S63">
            <v>9125.17</v>
          </cell>
          <cell r="T63">
            <v>10.6</v>
          </cell>
          <cell r="U63">
            <v>38907.029999999897</v>
          </cell>
        </row>
        <row r="64">
          <cell r="A64" t="str">
            <v>PLN   Złoty</v>
          </cell>
          <cell r="E64" t="str">
            <v>KB Sprzed. bezpośrednia</v>
          </cell>
          <cell r="H64">
            <v>24</v>
          </cell>
          <cell r="J64">
            <v>939.66999999999905</v>
          </cell>
          <cell r="K64">
            <v>323.3</v>
          </cell>
          <cell r="L64">
            <v>0</v>
          </cell>
          <cell r="M64">
            <v>0</v>
          </cell>
          <cell r="N64">
            <v>323.3</v>
          </cell>
          <cell r="O64">
            <v>18128.93</v>
          </cell>
          <cell r="Q64">
            <v>0</v>
          </cell>
          <cell r="R64">
            <v>18128.93</v>
          </cell>
          <cell r="S64">
            <v>4918.2700000000004</v>
          </cell>
          <cell r="T64">
            <v>5.12</v>
          </cell>
          <cell r="U64">
            <v>18134.049999999901</v>
          </cell>
        </row>
        <row r="65">
          <cell r="A65" t="str">
            <v>PLN   Złoty</v>
          </cell>
          <cell r="E65" t="str">
            <v>KB Sprzed. bezpośrednia</v>
          </cell>
          <cell r="H65">
            <v>12</v>
          </cell>
          <cell r="J65">
            <v>485.37</v>
          </cell>
          <cell r="K65">
            <v>161.65</v>
          </cell>
          <cell r="L65">
            <v>902.75999999999897</v>
          </cell>
          <cell r="M65">
            <v>0</v>
          </cell>
          <cell r="N65">
            <v>1064.4100000000001</v>
          </cell>
          <cell r="O65">
            <v>9982.76</v>
          </cell>
          <cell r="Q65">
            <v>0</v>
          </cell>
          <cell r="R65">
            <v>9982.76</v>
          </cell>
          <cell r="S65">
            <v>1921.48</v>
          </cell>
          <cell r="T65">
            <v>2.5699999999999901</v>
          </cell>
          <cell r="U65">
            <v>9985.3299999999908</v>
          </cell>
        </row>
        <row r="66">
          <cell r="A66" t="str">
            <v>PLN   Złoty</v>
          </cell>
          <cell r="E66" t="str">
            <v>KB Sprzed. bezpośrednia</v>
          </cell>
          <cell r="H66">
            <v>24</v>
          </cell>
          <cell r="J66">
            <v>1004.79</v>
          </cell>
          <cell r="K66">
            <v>323.3</v>
          </cell>
          <cell r="L66">
            <v>1379.76</v>
          </cell>
          <cell r="M66">
            <v>0</v>
          </cell>
          <cell r="N66">
            <v>1703.0599999999899</v>
          </cell>
          <cell r="O66">
            <v>19573.810000000001</v>
          </cell>
          <cell r="Q66">
            <v>0</v>
          </cell>
          <cell r="R66">
            <v>19573.810000000001</v>
          </cell>
          <cell r="S66">
            <v>5072.0299999999897</v>
          </cell>
          <cell r="T66">
            <v>5.12</v>
          </cell>
          <cell r="U66">
            <v>19578.93</v>
          </cell>
        </row>
        <row r="67">
          <cell r="A67" t="str">
            <v>PLN   Złoty</v>
          </cell>
          <cell r="E67" t="str">
            <v>KB Sprzed. bezpośrednia</v>
          </cell>
          <cell r="H67">
            <v>99</v>
          </cell>
          <cell r="J67">
            <v>4070.51</v>
          </cell>
          <cell r="K67">
            <v>1333.63</v>
          </cell>
          <cell r="L67">
            <v>7754.51</v>
          </cell>
          <cell r="M67">
            <v>0</v>
          </cell>
          <cell r="N67">
            <v>9088.1399999999903</v>
          </cell>
          <cell r="O67">
            <v>82730.740000000005</v>
          </cell>
          <cell r="Q67">
            <v>0</v>
          </cell>
          <cell r="R67">
            <v>82730.740000000005</v>
          </cell>
          <cell r="S67">
            <v>17109.5999999999</v>
          </cell>
          <cell r="T67">
            <v>21.14</v>
          </cell>
          <cell r="U67">
            <v>82751.88</v>
          </cell>
        </row>
        <row r="68">
          <cell r="A68" t="str">
            <v>PLN   Złoty</v>
          </cell>
          <cell r="E68" t="str">
            <v>KB Sprzed. bezpośrednia</v>
          </cell>
          <cell r="H68">
            <v>39</v>
          </cell>
          <cell r="J68">
            <v>1558.54</v>
          </cell>
          <cell r="K68">
            <v>525.38</v>
          </cell>
          <cell r="L68">
            <v>0</v>
          </cell>
          <cell r="M68">
            <v>0</v>
          </cell>
          <cell r="N68">
            <v>525.38</v>
          </cell>
          <cell r="O68">
            <v>30610.36</v>
          </cell>
          <cell r="Q68">
            <v>0</v>
          </cell>
          <cell r="R68">
            <v>30610.36</v>
          </cell>
          <cell r="S68">
            <v>7617.4399999999896</v>
          </cell>
          <cell r="T68">
            <v>8.66</v>
          </cell>
          <cell r="U68">
            <v>30619.02</v>
          </cell>
        </row>
        <row r="69">
          <cell r="A69" t="str">
            <v>PLN   Złoty</v>
          </cell>
          <cell r="E69" t="str">
            <v>KB Sprzed. bezpośrednia</v>
          </cell>
          <cell r="H69">
            <v>24</v>
          </cell>
          <cell r="J69">
            <v>967.23</v>
          </cell>
          <cell r="K69">
            <v>323.3</v>
          </cell>
          <cell r="L69">
            <v>0</v>
          </cell>
          <cell r="M69">
            <v>0</v>
          </cell>
          <cell r="N69">
            <v>323.3</v>
          </cell>
          <cell r="O69">
            <v>19947.29</v>
          </cell>
          <cell r="Q69">
            <v>0</v>
          </cell>
          <cell r="R69">
            <v>19947.29</v>
          </cell>
          <cell r="S69">
            <v>3776.71</v>
          </cell>
          <cell r="T69">
            <v>5.6699999999999902</v>
          </cell>
          <cell r="U69">
            <v>19952.959999999901</v>
          </cell>
        </row>
        <row r="70">
          <cell r="A70" t="str">
            <v>PLN   Złoty</v>
          </cell>
          <cell r="E70" t="str">
            <v>KB Sprzed. bezpośrednia</v>
          </cell>
          <cell r="H70">
            <v>39</v>
          </cell>
          <cell r="J70">
            <v>1559.0899999999899</v>
          </cell>
          <cell r="K70">
            <v>525.37</v>
          </cell>
          <cell r="L70">
            <v>0</v>
          </cell>
          <cell r="M70">
            <v>0</v>
          </cell>
          <cell r="N70">
            <v>525.37</v>
          </cell>
          <cell r="O70">
            <v>29491.639999999901</v>
          </cell>
          <cell r="Q70">
            <v>0</v>
          </cell>
          <cell r="R70">
            <v>29491.639999999901</v>
          </cell>
          <cell r="S70">
            <v>8749.0599999999904</v>
          </cell>
          <cell r="T70">
            <v>8.33</v>
          </cell>
          <cell r="U70">
            <v>29499.97</v>
          </cell>
        </row>
        <row r="71">
          <cell r="A71" t="str">
            <v>PLN   Złoty</v>
          </cell>
          <cell r="E71" t="str">
            <v>KB Sprzed. bezpośrednia</v>
          </cell>
          <cell r="H71">
            <v>96</v>
          </cell>
          <cell r="J71">
            <v>3833.13</v>
          </cell>
          <cell r="K71">
            <v>1293.22</v>
          </cell>
          <cell r="L71">
            <v>0</v>
          </cell>
          <cell r="M71">
            <v>0</v>
          </cell>
          <cell r="N71">
            <v>1293.22</v>
          </cell>
          <cell r="O71">
            <v>72590.19</v>
          </cell>
          <cell r="Q71">
            <v>0</v>
          </cell>
          <cell r="R71">
            <v>72590.19</v>
          </cell>
          <cell r="S71">
            <v>21426.45</v>
          </cell>
          <cell r="T71">
            <v>20.5</v>
          </cell>
          <cell r="U71">
            <v>72610.69</v>
          </cell>
        </row>
        <row r="72">
          <cell r="A72" t="str">
            <v>PLN   Złoty</v>
          </cell>
          <cell r="E72" t="str">
            <v>KB Sprzed. bezpośrednia</v>
          </cell>
          <cell r="H72">
            <v>24</v>
          </cell>
          <cell r="J72">
            <v>960.89999999999895</v>
          </cell>
          <cell r="K72">
            <v>323.3</v>
          </cell>
          <cell r="L72">
            <v>0</v>
          </cell>
          <cell r="M72">
            <v>0</v>
          </cell>
          <cell r="N72">
            <v>323.3</v>
          </cell>
          <cell r="O72">
            <v>18150.16</v>
          </cell>
          <cell r="Q72">
            <v>0</v>
          </cell>
          <cell r="R72">
            <v>18150.16</v>
          </cell>
          <cell r="S72">
            <v>5419.04</v>
          </cell>
          <cell r="T72">
            <v>5.12</v>
          </cell>
          <cell r="U72">
            <v>18155.279999999901</v>
          </cell>
        </row>
        <row r="73">
          <cell r="A73" t="str">
            <v>PLN   Złoty</v>
          </cell>
          <cell r="E73" t="str">
            <v>KB Sprzed. bezpośrednia</v>
          </cell>
          <cell r="H73">
            <v>24</v>
          </cell>
          <cell r="J73">
            <v>1004.79</v>
          </cell>
          <cell r="K73">
            <v>323.3</v>
          </cell>
          <cell r="L73">
            <v>798.96</v>
          </cell>
          <cell r="M73">
            <v>0</v>
          </cell>
          <cell r="N73">
            <v>1122.26</v>
          </cell>
          <cell r="O73">
            <v>19933.73</v>
          </cell>
          <cell r="Q73">
            <v>0</v>
          </cell>
          <cell r="R73">
            <v>19933.73</v>
          </cell>
          <cell r="S73">
            <v>4712.1099999999897</v>
          </cell>
          <cell r="T73">
            <v>5.41</v>
          </cell>
          <cell r="U73">
            <v>19939.139999999901</v>
          </cell>
        </row>
        <row r="74">
          <cell r="A74" t="str">
            <v>PLN   Złoty</v>
          </cell>
          <cell r="E74" t="str">
            <v>KB Sprzed. bezpośrednia</v>
          </cell>
          <cell r="H74">
            <v>252</v>
          </cell>
          <cell r="J74">
            <v>10155.48</v>
          </cell>
          <cell r="K74">
            <v>3394.69</v>
          </cell>
          <cell r="L74">
            <v>0</v>
          </cell>
          <cell r="M74">
            <v>0</v>
          </cell>
          <cell r="N74">
            <v>3394.69</v>
          </cell>
          <cell r="O74">
            <v>199596.75</v>
          </cell>
          <cell r="Q74">
            <v>0</v>
          </cell>
          <cell r="R74">
            <v>199596.75</v>
          </cell>
          <cell r="S74">
            <v>49491.449999999903</v>
          </cell>
          <cell r="T74">
            <v>56.53</v>
          </cell>
          <cell r="U74">
            <v>199653.28</v>
          </cell>
        </row>
        <row r="75">
          <cell r="A75" t="str">
            <v>PLN   Złoty</v>
          </cell>
          <cell r="E75" t="str">
            <v>KB Sprzed. bezpośrednia</v>
          </cell>
          <cell r="H75">
            <v>196.5</v>
          </cell>
          <cell r="J75">
            <v>7992.55</v>
          </cell>
          <cell r="K75">
            <v>2647.07</v>
          </cell>
          <cell r="L75">
            <v>6065.2799999999897</v>
          </cell>
          <cell r="M75">
            <v>0</v>
          </cell>
          <cell r="N75">
            <v>8712.35</v>
          </cell>
          <cell r="O75">
            <v>159509.06</v>
          </cell>
          <cell r="Q75">
            <v>0</v>
          </cell>
          <cell r="R75">
            <v>159509.06</v>
          </cell>
          <cell r="S75">
            <v>36527.86</v>
          </cell>
          <cell r="T75">
            <v>43.39</v>
          </cell>
          <cell r="U75">
            <v>159552.45000000001</v>
          </cell>
        </row>
        <row r="76">
          <cell r="A76" t="str">
            <v>PLN   Złoty</v>
          </cell>
          <cell r="E76" t="str">
            <v>KB Sprzed. bezpośrednia</v>
          </cell>
          <cell r="H76">
            <v>49</v>
          </cell>
          <cell r="J76">
            <v>2013.8499999999899</v>
          </cell>
          <cell r="K76">
            <v>660.08</v>
          </cell>
          <cell r="L76">
            <v>3404.11</v>
          </cell>
          <cell r="M76">
            <v>0</v>
          </cell>
          <cell r="N76">
            <v>4064.19</v>
          </cell>
          <cell r="O76">
            <v>40512.709999999897</v>
          </cell>
          <cell r="Q76">
            <v>0</v>
          </cell>
          <cell r="R76">
            <v>40512.709999999897</v>
          </cell>
          <cell r="S76">
            <v>8881.84</v>
          </cell>
          <cell r="T76">
            <v>10.46</v>
          </cell>
          <cell r="U76">
            <v>40523.169999999896</v>
          </cell>
        </row>
        <row r="77">
          <cell r="A77" t="str">
            <v>PLN   Złoty</v>
          </cell>
          <cell r="E77" t="str">
            <v>KB Sprzed. bezpośrednia</v>
          </cell>
          <cell r="H77">
            <v>3</v>
          </cell>
          <cell r="J77">
            <v>121.45</v>
          </cell>
          <cell r="K77">
            <v>40.42</v>
          </cell>
          <cell r="L77">
            <v>0</v>
          </cell>
          <cell r="M77">
            <v>0</v>
          </cell>
          <cell r="N77">
            <v>40.42</v>
          </cell>
          <cell r="O77">
            <v>2270.11</v>
          </cell>
          <cell r="Q77">
            <v>0</v>
          </cell>
          <cell r="R77">
            <v>2270.11</v>
          </cell>
          <cell r="S77">
            <v>708.88999999999896</v>
          </cell>
          <cell r="T77">
            <v>0.64</v>
          </cell>
          <cell r="U77">
            <v>2270.75</v>
          </cell>
        </row>
        <row r="78">
          <cell r="A78" t="str">
            <v>PLN   Złoty</v>
          </cell>
          <cell r="E78" t="str">
            <v>KB Sprzed. bezpośrednia</v>
          </cell>
          <cell r="H78">
            <v>7</v>
          </cell>
          <cell r="J78">
            <v>278.31</v>
          </cell>
          <cell r="K78">
            <v>94.29</v>
          </cell>
          <cell r="L78">
            <v>0</v>
          </cell>
          <cell r="M78">
            <v>0</v>
          </cell>
          <cell r="N78">
            <v>94.29</v>
          </cell>
          <cell r="O78">
            <v>5291.84</v>
          </cell>
          <cell r="Q78">
            <v>0</v>
          </cell>
          <cell r="R78">
            <v>5291.84</v>
          </cell>
          <cell r="S78">
            <v>1534.21</v>
          </cell>
          <cell r="T78">
            <v>1.49</v>
          </cell>
          <cell r="U78">
            <v>5293.3299999999899</v>
          </cell>
        </row>
        <row r="79">
          <cell r="A79" t="str">
            <v>PLN   Złoty</v>
          </cell>
          <cell r="E79" t="str">
            <v>KB Sprzed. bezpośrednia</v>
          </cell>
          <cell r="H79">
            <v>24</v>
          </cell>
          <cell r="J79">
            <v>954.21</v>
          </cell>
          <cell r="K79">
            <v>323.3</v>
          </cell>
          <cell r="L79">
            <v>0</v>
          </cell>
          <cell r="M79">
            <v>0</v>
          </cell>
          <cell r="N79">
            <v>323.3</v>
          </cell>
          <cell r="O79">
            <v>18143.47</v>
          </cell>
          <cell r="Q79">
            <v>0</v>
          </cell>
          <cell r="R79">
            <v>18143.47</v>
          </cell>
          <cell r="S79">
            <v>5260.13</v>
          </cell>
          <cell r="T79">
            <v>5.12</v>
          </cell>
          <cell r="U79">
            <v>18148.59</v>
          </cell>
        </row>
        <row r="80">
          <cell r="A80" t="str">
            <v>PLN   Złoty</v>
          </cell>
          <cell r="E80" t="str">
            <v>KB Sprzed. bezpośrednia</v>
          </cell>
          <cell r="H80">
            <v>276</v>
          </cell>
          <cell r="J80">
            <v>11482.08</v>
          </cell>
          <cell r="K80">
            <v>3718</v>
          </cell>
          <cell r="L80">
            <v>17955.119999999901</v>
          </cell>
          <cell r="M80">
            <v>0</v>
          </cell>
          <cell r="N80">
            <v>21673.119999999901</v>
          </cell>
          <cell r="O80">
            <v>230418.23</v>
          </cell>
          <cell r="Q80">
            <v>0</v>
          </cell>
          <cell r="R80">
            <v>230418.23</v>
          </cell>
          <cell r="S80">
            <v>51207.73</v>
          </cell>
          <cell r="T80">
            <v>59.939999999999898</v>
          </cell>
          <cell r="U80">
            <v>230478.17</v>
          </cell>
        </row>
        <row r="81">
          <cell r="A81" t="str">
            <v>PLN   Złoty</v>
          </cell>
          <cell r="E81" t="str">
            <v>KB Sprzed. bezpośrednia</v>
          </cell>
          <cell r="H81">
            <v>106</v>
          </cell>
          <cell r="J81">
            <v>4338.8599999999897</v>
          </cell>
          <cell r="K81">
            <v>1427.92</v>
          </cell>
          <cell r="L81">
            <v>3370.32</v>
          </cell>
          <cell r="M81">
            <v>0</v>
          </cell>
          <cell r="N81">
            <v>4798.2399999999898</v>
          </cell>
          <cell r="O81">
            <v>85419.22</v>
          </cell>
          <cell r="Q81">
            <v>0</v>
          </cell>
          <cell r="R81">
            <v>85419.22</v>
          </cell>
          <cell r="S81">
            <v>21002.779999999901</v>
          </cell>
          <cell r="T81">
            <v>23.18</v>
          </cell>
          <cell r="U81">
            <v>85442.399999999907</v>
          </cell>
        </row>
        <row r="82">
          <cell r="A82" t="str">
            <v>PLN   Złoty</v>
          </cell>
          <cell r="E82" t="str">
            <v>KB Sprzed. bezpośrednia</v>
          </cell>
          <cell r="H82">
            <v>24</v>
          </cell>
          <cell r="J82">
            <v>997.76999999999896</v>
          </cell>
          <cell r="K82">
            <v>323.3</v>
          </cell>
          <cell r="L82">
            <v>1684.5599999999899</v>
          </cell>
          <cell r="M82">
            <v>0</v>
          </cell>
          <cell r="N82">
            <v>2007.8599999999899</v>
          </cell>
          <cell r="O82">
            <v>19871.59</v>
          </cell>
          <cell r="Q82">
            <v>0</v>
          </cell>
          <cell r="R82">
            <v>19871.59</v>
          </cell>
          <cell r="S82">
            <v>4601.21</v>
          </cell>
          <cell r="T82">
            <v>5.12</v>
          </cell>
          <cell r="U82">
            <v>19876.709999999901</v>
          </cell>
        </row>
        <row r="83">
          <cell r="A83" t="str">
            <v>PLN   Złoty</v>
          </cell>
          <cell r="E83" t="str">
            <v>KB Sprzed. bezpośrednia</v>
          </cell>
          <cell r="H83">
            <v>168</v>
          </cell>
          <cell r="J83">
            <v>6985.29</v>
          </cell>
          <cell r="K83">
            <v>2263.1399999999899</v>
          </cell>
          <cell r="L83">
            <v>9094.0799999999908</v>
          </cell>
          <cell r="M83">
            <v>0</v>
          </cell>
          <cell r="N83">
            <v>11357.219999999899</v>
          </cell>
          <cell r="O83">
            <v>140001.22</v>
          </cell>
          <cell r="Q83">
            <v>0</v>
          </cell>
          <cell r="R83">
            <v>140001.22</v>
          </cell>
          <cell r="S83">
            <v>31330.0099999999</v>
          </cell>
          <cell r="T83">
            <v>36.96</v>
          </cell>
          <cell r="U83">
            <v>140038.179999999</v>
          </cell>
        </row>
        <row r="84">
          <cell r="A84" t="str">
            <v>PLN   Złoty</v>
          </cell>
          <cell r="E84" t="str">
            <v>KB Sprzed. bezpośrednia</v>
          </cell>
          <cell r="H84">
            <v>96</v>
          </cell>
          <cell r="J84">
            <v>4013.69</v>
          </cell>
          <cell r="K84">
            <v>1293.22</v>
          </cell>
          <cell r="L84">
            <v>5787.1199999999899</v>
          </cell>
          <cell r="M84">
            <v>0</v>
          </cell>
          <cell r="N84">
            <v>7080.34</v>
          </cell>
          <cell r="O84">
            <v>78557.869999999893</v>
          </cell>
          <cell r="Q84">
            <v>0</v>
          </cell>
          <cell r="R84">
            <v>78557.869999999893</v>
          </cell>
          <cell r="S84">
            <v>19887.97</v>
          </cell>
          <cell r="T84">
            <v>20.5</v>
          </cell>
          <cell r="U84">
            <v>78578.369999999893</v>
          </cell>
        </row>
        <row r="85">
          <cell r="A85" t="str">
            <v>PLN   Złoty</v>
          </cell>
          <cell r="E85" t="str">
            <v>KB Sprzed. bezpośrednia</v>
          </cell>
          <cell r="H85">
            <v>13</v>
          </cell>
          <cell r="J85">
            <v>523.14999999999895</v>
          </cell>
          <cell r="K85">
            <v>175.12</v>
          </cell>
          <cell r="L85">
            <v>0</v>
          </cell>
          <cell r="M85">
            <v>0</v>
          </cell>
          <cell r="N85">
            <v>175.12</v>
          </cell>
          <cell r="O85">
            <v>9834</v>
          </cell>
          <cell r="Q85">
            <v>0</v>
          </cell>
          <cell r="R85">
            <v>9834</v>
          </cell>
          <cell r="S85">
            <v>2997</v>
          </cell>
          <cell r="T85">
            <v>2.77</v>
          </cell>
          <cell r="U85">
            <v>9836.77</v>
          </cell>
        </row>
        <row r="86">
          <cell r="A86" t="str">
            <v>PLN   Złoty</v>
          </cell>
          <cell r="E86" t="str">
            <v>KB Sprzed. bezpośrednia</v>
          </cell>
          <cell r="H86">
            <v>24</v>
          </cell>
          <cell r="J86">
            <v>1001.83</v>
          </cell>
          <cell r="K86">
            <v>323.3</v>
          </cell>
          <cell r="L86">
            <v>1542.72</v>
          </cell>
          <cell r="M86">
            <v>0</v>
          </cell>
          <cell r="N86">
            <v>1866.02</v>
          </cell>
          <cell r="O86">
            <v>19733.810000000001</v>
          </cell>
          <cell r="Q86">
            <v>0</v>
          </cell>
          <cell r="R86">
            <v>19733.810000000001</v>
          </cell>
          <cell r="S86">
            <v>4837.8699999999899</v>
          </cell>
          <cell r="T86">
            <v>5.12</v>
          </cell>
          <cell r="U86">
            <v>19738.93</v>
          </cell>
        </row>
        <row r="87">
          <cell r="A87" t="str">
            <v>PLN   Złoty</v>
          </cell>
          <cell r="E87" t="str">
            <v>KB Sprzed. bezpośrednia</v>
          </cell>
          <cell r="H87">
            <v>56</v>
          </cell>
          <cell r="J87">
            <v>2289.1399999999899</v>
          </cell>
          <cell r="K87">
            <v>754.38</v>
          </cell>
          <cell r="L87">
            <v>1779.1199999999899</v>
          </cell>
          <cell r="M87">
            <v>0</v>
          </cell>
          <cell r="N87">
            <v>2533.5</v>
          </cell>
          <cell r="O87">
            <v>44176.55</v>
          </cell>
          <cell r="Q87">
            <v>0</v>
          </cell>
          <cell r="R87">
            <v>44176.55</v>
          </cell>
          <cell r="S87">
            <v>11970.25</v>
          </cell>
          <cell r="T87">
            <v>11.9499999999999</v>
          </cell>
          <cell r="U87">
            <v>44188.5</v>
          </cell>
        </row>
        <row r="88">
          <cell r="A88" t="str">
            <v>PLN   Złoty</v>
          </cell>
          <cell r="E88" t="str">
            <v>KB Sprzed. bezpośrednia</v>
          </cell>
          <cell r="H88">
            <v>48</v>
          </cell>
          <cell r="J88">
            <v>1995.53</v>
          </cell>
          <cell r="K88">
            <v>646.61</v>
          </cell>
          <cell r="L88">
            <v>3810.2399999999898</v>
          </cell>
          <cell r="M88">
            <v>0</v>
          </cell>
          <cell r="N88">
            <v>4456.8500000000004</v>
          </cell>
          <cell r="O88">
            <v>40571.72</v>
          </cell>
          <cell r="Q88">
            <v>0</v>
          </cell>
          <cell r="R88">
            <v>40571.72</v>
          </cell>
          <cell r="S88">
            <v>8373.8799999999901</v>
          </cell>
          <cell r="T88">
            <v>10.3599999999999</v>
          </cell>
          <cell r="U88">
            <v>40582.080000000002</v>
          </cell>
        </row>
        <row r="89">
          <cell r="A89" t="str">
            <v>PLN   Złoty</v>
          </cell>
          <cell r="E89" t="str">
            <v>KB Sprzed. bezpośrednia</v>
          </cell>
          <cell r="H89">
            <v>6</v>
          </cell>
          <cell r="J89">
            <v>242.15</v>
          </cell>
          <cell r="K89">
            <v>80.829999999999899</v>
          </cell>
          <cell r="L89">
            <v>0</v>
          </cell>
          <cell r="M89">
            <v>0</v>
          </cell>
          <cell r="N89">
            <v>80.829999999999899</v>
          </cell>
          <cell r="O89">
            <v>4539.47</v>
          </cell>
          <cell r="Q89">
            <v>0</v>
          </cell>
          <cell r="R89">
            <v>4539.47</v>
          </cell>
          <cell r="S89">
            <v>1400.53</v>
          </cell>
          <cell r="T89">
            <v>1.28</v>
          </cell>
          <cell r="U89">
            <v>4540.75</v>
          </cell>
        </row>
        <row r="90">
          <cell r="A90" t="str">
            <v>PLN   Złoty</v>
          </cell>
          <cell r="E90" t="str">
            <v>KB Sprzed. bezpośrednia</v>
          </cell>
          <cell r="H90">
            <v>36</v>
          </cell>
          <cell r="J90">
            <v>1450.15</v>
          </cell>
          <cell r="K90">
            <v>706.73</v>
          </cell>
          <cell r="L90">
            <v>0</v>
          </cell>
          <cell r="M90">
            <v>0</v>
          </cell>
          <cell r="N90">
            <v>706.73</v>
          </cell>
          <cell r="O90">
            <v>28677.209999999901</v>
          </cell>
          <cell r="Q90">
            <v>0</v>
          </cell>
          <cell r="R90">
            <v>28677.209999999901</v>
          </cell>
          <cell r="S90">
            <v>6891.51</v>
          </cell>
          <cell r="T90">
            <v>8.06</v>
          </cell>
          <cell r="U90">
            <v>28685.27</v>
          </cell>
        </row>
        <row r="91">
          <cell r="A91" t="str">
            <v>PLN   Złoty</v>
          </cell>
          <cell r="E91" t="str">
            <v>KB Sprzed. bezpośrednia</v>
          </cell>
          <cell r="H91">
            <v>96</v>
          </cell>
          <cell r="J91">
            <v>3984.9299999999898</v>
          </cell>
          <cell r="K91">
            <v>1884.6099999999899</v>
          </cell>
          <cell r="L91">
            <v>4770</v>
          </cell>
          <cell r="M91">
            <v>0</v>
          </cell>
          <cell r="N91">
            <v>6654.6099999999897</v>
          </cell>
          <cell r="O91">
            <v>81360.38</v>
          </cell>
          <cell r="Q91">
            <v>0</v>
          </cell>
          <cell r="R91">
            <v>81360.38</v>
          </cell>
          <cell r="S91">
            <v>16380.82</v>
          </cell>
          <cell r="T91">
            <v>21.489999999999899</v>
          </cell>
          <cell r="U91">
            <v>81381.869999999893</v>
          </cell>
        </row>
        <row r="92">
          <cell r="A92" t="str">
            <v>PLN   Złoty</v>
          </cell>
          <cell r="E92" t="str">
            <v>KB Sprzed. bezpośrednia</v>
          </cell>
          <cell r="H92">
            <v>24</v>
          </cell>
          <cell r="J92">
            <v>1006.69</v>
          </cell>
          <cell r="K92">
            <v>471.14999999999901</v>
          </cell>
          <cell r="L92">
            <v>1300.8</v>
          </cell>
          <cell r="M92">
            <v>0</v>
          </cell>
          <cell r="N92">
            <v>1771.95</v>
          </cell>
          <cell r="O92">
            <v>20458.8499999999</v>
          </cell>
          <cell r="Q92">
            <v>0</v>
          </cell>
          <cell r="R92">
            <v>20458.8499999999</v>
          </cell>
          <cell r="S92">
            <v>4232.1099999999897</v>
          </cell>
          <cell r="T92">
            <v>5.37</v>
          </cell>
          <cell r="U92">
            <v>20464.22</v>
          </cell>
        </row>
        <row r="93">
          <cell r="A93" t="str">
            <v>PLN   Złoty</v>
          </cell>
          <cell r="E93" t="str">
            <v>KB Sprzed. bezpośrednia</v>
          </cell>
          <cell r="H93">
            <v>24</v>
          </cell>
          <cell r="J93">
            <v>1006.69</v>
          </cell>
          <cell r="K93">
            <v>471.14999999999901</v>
          </cell>
          <cell r="L93">
            <v>898.79999999999905</v>
          </cell>
          <cell r="M93">
            <v>0</v>
          </cell>
          <cell r="N93">
            <v>1369.95</v>
          </cell>
          <cell r="O93">
            <v>20056.8499999999</v>
          </cell>
          <cell r="Q93">
            <v>0</v>
          </cell>
          <cell r="R93">
            <v>20056.8499999999</v>
          </cell>
          <cell r="S93">
            <v>4634.1099999999897</v>
          </cell>
          <cell r="T93">
            <v>5.37</v>
          </cell>
          <cell r="U93">
            <v>20062.22</v>
          </cell>
        </row>
        <row r="94">
          <cell r="A94" t="str">
            <v>PLN   Złoty</v>
          </cell>
          <cell r="E94" t="str">
            <v>KB Sprzed. bezpośrednia</v>
          </cell>
          <cell r="H94">
            <v>60</v>
          </cell>
          <cell r="J94">
            <v>2510.8499999999899</v>
          </cell>
          <cell r="K94">
            <v>1177.8800000000001</v>
          </cell>
          <cell r="L94">
            <v>5190.6000000000004</v>
          </cell>
          <cell r="M94">
            <v>0</v>
          </cell>
          <cell r="N94">
            <v>6368.4799999999896</v>
          </cell>
          <cell r="O94">
            <v>53062</v>
          </cell>
          <cell r="Q94">
            <v>0</v>
          </cell>
          <cell r="R94">
            <v>53062</v>
          </cell>
          <cell r="S94">
            <v>8523.2000000000007</v>
          </cell>
          <cell r="T94">
            <v>13.43</v>
          </cell>
          <cell r="U94">
            <v>53075.43</v>
          </cell>
        </row>
        <row r="95">
          <cell r="A95" t="str">
            <v>PLN   Złoty</v>
          </cell>
          <cell r="E95" t="str">
            <v>KB Sprzed. bezpośrednia</v>
          </cell>
          <cell r="H95">
            <v>12</v>
          </cell>
          <cell r="J95">
            <v>482.87</v>
          </cell>
          <cell r="K95">
            <v>235.58</v>
          </cell>
          <cell r="L95">
            <v>0</v>
          </cell>
          <cell r="M95">
            <v>0</v>
          </cell>
          <cell r="N95">
            <v>235.58</v>
          </cell>
          <cell r="O95">
            <v>9558.5599999999904</v>
          </cell>
          <cell r="Q95">
            <v>0</v>
          </cell>
          <cell r="R95">
            <v>9558.5599999999904</v>
          </cell>
          <cell r="S95">
            <v>2285.8000000000002</v>
          </cell>
          <cell r="T95">
            <v>2.6899999999999902</v>
          </cell>
          <cell r="U95">
            <v>9561.25</v>
          </cell>
        </row>
        <row r="96">
          <cell r="A96" t="str">
            <v>PLN   Złoty</v>
          </cell>
          <cell r="E96" t="str">
            <v>KB Sprzed. bezpośrednia</v>
          </cell>
          <cell r="H96">
            <v>38</v>
          </cell>
          <cell r="J96">
            <v>1575.96</v>
          </cell>
          <cell r="K96">
            <v>745.99</v>
          </cell>
          <cell r="L96">
            <v>2093.92</v>
          </cell>
          <cell r="M96">
            <v>0</v>
          </cell>
          <cell r="N96">
            <v>2839.9099999999899</v>
          </cell>
          <cell r="O96">
            <v>32409.54</v>
          </cell>
          <cell r="Q96">
            <v>0</v>
          </cell>
          <cell r="R96">
            <v>32409.54</v>
          </cell>
          <cell r="S96">
            <v>6244.8599999999897</v>
          </cell>
          <cell r="T96">
            <v>8.5099999999999891</v>
          </cell>
          <cell r="U96">
            <v>32418.049999999901</v>
          </cell>
        </row>
        <row r="97">
          <cell r="A97" t="str">
            <v>PLN   Złoty</v>
          </cell>
          <cell r="E97" t="str">
            <v>KB Sprzed. bezpośrednia</v>
          </cell>
          <cell r="H97">
            <v>10</v>
          </cell>
          <cell r="J97">
            <v>411.69999999999902</v>
          </cell>
          <cell r="K97">
            <v>196.3</v>
          </cell>
          <cell r="L97">
            <v>542</v>
          </cell>
          <cell r="M97">
            <v>0</v>
          </cell>
          <cell r="N97">
            <v>738.29999999999905</v>
          </cell>
          <cell r="O97">
            <v>8940.4500000000007</v>
          </cell>
          <cell r="Q97">
            <v>0</v>
          </cell>
          <cell r="R97">
            <v>8940.4500000000007</v>
          </cell>
          <cell r="S97">
            <v>1157.55</v>
          </cell>
          <cell r="T97">
            <v>2.37</v>
          </cell>
          <cell r="U97">
            <v>8942.8199999999906</v>
          </cell>
        </row>
        <row r="98">
          <cell r="A98" t="str">
            <v>PLN   Złoty</v>
          </cell>
          <cell r="E98" t="str">
            <v>KB Sprzed. bezpośrednia</v>
          </cell>
          <cell r="H98">
            <v>14</v>
          </cell>
          <cell r="J98">
            <v>557.71</v>
          </cell>
          <cell r="K98">
            <v>274.85000000000002</v>
          </cell>
          <cell r="L98">
            <v>0</v>
          </cell>
          <cell r="M98">
            <v>0</v>
          </cell>
          <cell r="N98">
            <v>274.85000000000002</v>
          </cell>
          <cell r="O98">
            <v>11135.6</v>
          </cell>
          <cell r="Q98">
            <v>0</v>
          </cell>
          <cell r="R98">
            <v>11135.6</v>
          </cell>
          <cell r="S98">
            <v>2544.2199999999898</v>
          </cell>
          <cell r="T98">
            <v>3.14</v>
          </cell>
          <cell r="U98">
            <v>11138.74</v>
          </cell>
        </row>
        <row r="99">
          <cell r="A99" t="str">
            <v>PLN   Złoty</v>
          </cell>
          <cell r="E99" t="str">
            <v>KB Sprzed. bezpośrednia</v>
          </cell>
          <cell r="H99">
            <v>12</v>
          </cell>
          <cell r="J99">
            <v>495.5</v>
          </cell>
          <cell r="K99">
            <v>235.58</v>
          </cell>
          <cell r="L99">
            <v>965.75999999999897</v>
          </cell>
          <cell r="M99">
            <v>0</v>
          </cell>
          <cell r="N99">
            <v>1201.3399999999899</v>
          </cell>
          <cell r="O99">
            <v>10536.95</v>
          </cell>
          <cell r="Q99">
            <v>0</v>
          </cell>
          <cell r="R99">
            <v>10536.95</v>
          </cell>
          <cell r="S99">
            <v>1617.3699999999899</v>
          </cell>
          <cell r="T99">
            <v>2.6899999999999902</v>
          </cell>
          <cell r="U99">
            <v>10539.639999999899</v>
          </cell>
        </row>
        <row r="100">
          <cell r="A100" t="str">
            <v>PLN   Złoty</v>
          </cell>
          <cell r="E100" t="str">
            <v>KB Sprzed. bezpośrednia</v>
          </cell>
          <cell r="H100">
            <v>24</v>
          </cell>
          <cell r="J100">
            <v>1009.72</v>
          </cell>
          <cell r="K100">
            <v>471.14999999999901</v>
          </cell>
          <cell r="L100">
            <v>1518.96</v>
          </cell>
          <cell r="M100">
            <v>0</v>
          </cell>
          <cell r="N100">
            <v>1990.1099999999899</v>
          </cell>
          <cell r="O100">
            <v>20680.04</v>
          </cell>
          <cell r="Q100">
            <v>0</v>
          </cell>
          <cell r="R100">
            <v>20680.04</v>
          </cell>
          <cell r="S100">
            <v>4085.5599999999899</v>
          </cell>
          <cell r="T100">
            <v>5.37</v>
          </cell>
          <cell r="U100">
            <v>20685.41</v>
          </cell>
        </row>
        <row r="101">
          <cell r="A101" t="str">
            <v>PLN   Złoty</v>
          </cell>
          <cell r="E101" t="str">
            <v>KB Sprzed. bezpośrednia</v>
          </cell>
          <cell r="H101">
            <v>74</v>
          </cell>
          <cell r="J101">
            <v>3047.9</v>
          </cell>
          <cell r="K101">
            <v>1452.72</v>
          </cell>
          <cell r="L101">
            <v>4560.3900000000003</v>
          </cell>
          <cell r="M101">
            <v>0</v>
          </cell>
          <cell r="N101">
            <v>6013.1099999999897</v>
          </cell>
          <cell r="O101">
            <v>63575</v>
          </cell>
          <cell r="Q101">
            <v>0</v>
          </cell>
          <cell r="R101">
            <v>63575</v>
          </cell>
          <cell r="S101">
            <v>11182.85</v>
          </cell>
          <cell r="T101">
            <v>16.57</v>
          </cell>
          <cell r="U101">
            <v>63591.57</v>
          </cell>
        </row>
        <row r="102">
          <cell r="A102" t="str">
            <v>PLN   Złoty</v>
          </cell>
          <cell r="E102" t="str">
            <v>KB Sprzed. bezpośrednia</v>
          </cell>
          <cell r="H102">
            <v>24</v>
          </cell>
          <cell r="J102">
            <v>968.69</v>
          </cell>
          <cell r="K102">
            <v>471.14999999999901</v>
          </cell>
          <cell r="L102">
            <v>0</v>
          </cell>
          <cell r="M102">
            <v>0</v>
          </cell>
          <cell r="N102">
            <v>471.14999999999901</v>
          </cell>
          <cell r="O102">
            <v>19120.049999999901</v>
          </cell>
          <cell r="Q102">
            <v>0</v>
          </cell>
          <cell r="R102">
            <v>19120.049999999901</v>
          </cell>
          <cell r="S102">
            <v>4639.9499999999898</v>
          </cell>
          <cell r="T102">
            <v>5.37</v>
          </cell>
          <cell r="U102">
            <v>19125.4199999999</v>
          </cell>
        </row>
        <row r="103">
          <cell r="A103" t="str">
            <v>PLN   Złoty</v>
          </cell>
          <cell r="E103" t="str">
            <v>KB Sprzed. bezpośrednia</v>
          </cell>
          <cell r="H103">
            <v>8</v>
          </cell>
          <cell r="J103">
            <v>320.64999999999901</v>
          </cell>
          <cell r="K103">
            <v>157.039999999999</v>
          </cell>
          <cell r="L103">
            <v>0</v>
          </cell>
          <cell r="M103">
            <v>0</v>
          </cell>
          <cell r="N103">
            <v>157.039999999999</v>
          </cell>
          <cell r="O103">
            <v>6371.09</v>
          </cell>
          <cell r="Q103">
            <v>0</v>
          </cell>
          <cell r="R103">
            <v>6371.09</v>
          </cell>
          <cell r="S103">
            <v>1493.47</v>
          </cell>
          <cell r="T103">
            <v>1.79</v>
          </cell>
          <cell r="U103">
            <v>6372.88</v>
          </cell>
        </row>
        <row r="104">
          <cell r="A104" t="str">
            <v>PLN   Złoty</v>
          </cell>
          <cell r="E104" t="str">
            <v>KB Sprzed. bezpośrednia</v>
          </cell>
          <cell r="H104">
            <v>221</v>
          </cell>
          <cell r="J104">
            <v>9197.26</v>
          </cell>
          <cell r="K104">
            <v>4338.5200000000004</v>
          </cell>
          <cell r="L104">
            <v>14262.639999999899</v>
          </cell>
          <cell r="M104">
            <v>0</v>
          </cell>
          <cell r="N104">
            <v>18601.16</v>
          </cell>
          <cell r="O104">
            <v>190603.709999999</v>
          </cell>
          <cell r="Q104">
            <v>0</v>
          </cell>
          <cell r="R104">
            <v>190603.709999999</v>
          </cell>
          <cell r="S104">
            <v>34980.269999999902</v>
          </cell>
          <cell r="T104">
            <v>49.46</v>
          </cell>
          <cell r="U104">
            <v>190653.17</v>
          </cell>
        </row>
        <row r="105">
          <cell r="A105" t="str">
            <v>PLN   Złoty</v>
          </cell>
          <cell r="E105" t="str">
            <v>KB Sprzed. bezpośrednia</v>
          </cell>
          <cell r="H105">
            <v>12</v>
          </cell>
          <cell r="J105">
            <v>499.76999999999902</v>
          </cell>
          <cell r="K105">
            <v>235.58</v>
          </cell>
          <cell r="L105">
            <v>946.08</v>
          </cell>
          <cell r="M105">
            <v>0</v>
          </cell>
          <cell r="N105">
            <v>1181.6600000000001</v>
          </cell>
          <cell r="O105">
            <v>10521.54</v>
          </cell>
          <cell r="Q105">
            <v>0</v>
          </cell>
          <cell r="R105">
            <v>10521.54</v>
          </cell>
          <cell r="S105">
            <v>1737.0599999999899</v>
          </cell>
          <cell r="T105">
            <v>2.6899999999999902</v>
          </cell>
          <cell r="U105">
            <v>10524.23</v>
          </cell>
        </row>
        <row r="106">
          <cell r="A106" t="str">
            <v>PLN   Złoty</v>
          </cell>
          <cell r="E106" t="str">
            <v>KB Sprzed. bezpośrednia</v>
          </cell>
          <cell r="H106">
            <v>84</v>
          </cell>
          <cell r="J106">
            <v>3515.0599999999899</v>
          </cell>
          <cell r="K106">
            <v>1649.02</v>
          </cell>
          <cell r="L106">
            <v>5272.3199999999897</v>
          </cell>
          <cell r="M106">
            <v>0</v>
          </cell>
          <cell r="N106">
            <v>6921.34</v>
          </cell>
          <cell r="O106">
            <v>72317.149999999907</v>
          </cell>
          <cell r="Q106">
            <v>0</v>
          </cell>
          <cell r="R106">
            <v>72317.149999999907</v>
          </cell>
          <cell r="S106">
            <v>13898.17</v>
          </cell>
          <cell r="T106">
            <v>18.8</v>
          </cell>
          <cell r="U106">
            <v>72335.949999999895</v>
          </cell>
        </row>
        <row r="107">
          <cell r="A107" t="str">
            <v>PLN   Złoty</v>
          </cell>
          <cell r="E107" t="str">
            <v>KB Sprzed. bezpośrednia</v>
          </cell>
          <cell r="H107">
            <v>14</v>
          </cell>
          <cell r="J107">
            <v>574.61</v>
          </cell>
          <cell r="K107">
            <v>274.85000000000002</v>
          </cell>
          <cell r="L107">
            <v>866.17999999999904</v>
          </cell>
          <cell r="M107">
            <v>0</v>
          </cell>
          <cell r="N107">
            <v>1141.03</v>
          </cell>
          <cell r="O107">
            <v>12622.27</v>
          </cell>
          <cell r="Q107">
            <v>0</v>
          </cell>
          <cell r="R107">
            <v>12622.27</v>
          </cell>
          <cell r="S107">
            <v>1472.0899999999899</v>
          </cell>
          <cell r="T107">
            <v>3.31</v>
          </cell>
          <cell r="U107">
            <v>12625.58</v>
          </cell>
        </row>
        <row r="108">
          <cell r="A108" t="str">
            <v>PLN   Złoty</v>
          </cell>
          <cell r="E108" t="str">
            <v>KB Sprzed. bezpośrednia</v>
          </cell>
          <cell r="H108">
            <v>48</v>
          </cell>
          <cell r="J108">
            <v>1923.8699999999899</v>
          </cell>
          <cell r="K108">
            <v>942.29999999999905</v>
          </cell>
          <cell r="L108">
            <v>0</v>
          </cell>
          <cell r="M108">
            <v>0</v>
          </cell>
          <cell r="N108">
            <v>942.29999999999905</v>
          </cell>
          <cell r="O108">
            <v>38226.589999999902</v>
          </cell>
          <cell r="Q108">
            <v>0</v>
          </cell>
          <cell r="R108">
            <v>38226.589999999902</v>
          </cell>
          <cell r="S108">
            <v>8960.77</v>
          </cell>
          <cell r="T108">
            <v>10.74</v>
          </cell>
          <cell r="U108">
            <v>38237.33</v>
          </cell>
        </row>
        <row r="109">
          <cell r="A109" t="str">
            <v>PLN   Złoty</v>
          </cell>
          <cell r="E109" t="str">
            <v>KB Sprzed. bezpośrednia</v>
          </cell>
          <cell r="H109">
            <v>44</v>
          </cell>
          <cell r="J109">
            <v>1752.9</v>
          </cell>
          <cell r="K109">
            <v>863.78999999999905</v>
          </cell>
          <cell r="L109">
            <v>0</v>
          </cell>
          <cell r="M109">
            <v>0</v>
          </cell>
          <cell r="N109">
            <v>863.78999999999905</v>
          </cell>
          <cell r="O109">
            <v>36016.32</v>
          </cell>
          <cell r="Q109">
            <v>0</v>
          </cell>
          <cell r="R109">
            <v>36016.32</v>
          </cell>
          <cell r="S109">
            <v>6977.3999999999896</v>
          </cell>
          <cell r="T109">
            <v>10.14</v>
          </cell>
          <cell r="U109">
            <v>36026.459999999897</v>
          </cell>
        </row>
        <row r="110">
          <cell r="A110" t="str">
            <v>PLN   Złoty</v>
          </cell>
          <cell r="E110" t="str">
            <v>KB Sprzed. bezpośrednia</v>
          </cell>
          <cell r="H110">
            <v>36</v>
          </cell>
          <cell r="J110">
            <v>1451.68</v>
          </cell>
          <cell r="K110">
            <v>706.73</v>
          </cell>
          <cell r="L110">
            <v>428.39999999999901</v>
          </cell>
          <cell r="M110">
            <v>0</v>
          </cell>
          <cell r="N110">
            <v>1135.1300000000001</v>
          </cell>
          <cell r="O110">
            <v>29107.13</v>
          </cell>
          <cell r="Q110">
            <v>0</v>
          </cell>
          <cell r="R110">
            <v>29107.13</v>
          </cell>
          <cell r="S110">
            <v>6498.31</v>
          </cell>
          <cell r="T110">
            <v>8.06</v>
          </cell>
          <cell r="U110">
            <v>29115.1899999999</v>
          </cell>
        </row>
        <row r="111">
          <cell r="A111" t="str">
            <v>PLN   Złoty</v>
          </cell>
          <cell r="E111" t="str">
            <v>KB Sprzed. bezpośrednia</v>
          </cell>
          <cell r="H111">
            <v>48</v>
          </cell>
          <cell r="J111">
            <v>2009.3099999999899</v>
          </cell>
          <cell r="K111">
            <v>942.29999999999905</v>
          </cell>
          <cell r="L111">
            <v>4047.36</v>
          </cell>
          <cell r="M111">
            <v>0</v>
          </cell>
          <cell r="N111">
            <v>4989.6599999999899</v>
          </cell>
          <cell r="O111">
            <v>42359.389999999898</v>
          </cell>
          <cell r="Q111">
            <v>0</v>
          </cell>
          <cell r="R111">
            <v>42359.389999999898</v>
          </cell>
          <cell r="S111">
            <v>6923.17</v>
          </cell>
          <cell r="T111">
            <v>10.74</v>
          </cell>
          <cell r="U111">
            <v>42370.129999999903</v>
          </cell>
        </row>
        <row r="112">
          <cell r="A112" t="str">
            <v>PLN   Złoty</v>
          </cell>
          <cell r="E112" t="str">
            <v>KB Sprzed. bezpośrednia</v>
          </cell>
          <cell r="H112">
            <v>250</v>
          </cell>
          <cell r="J112">
            <v>10326.44</v>
          </cell>
          <cell r="K112">
            <v>4907.84</v>
          </cell>
          <cell r="L112">
            <v>14321.74</v>
          </cell>
          <cell r="M112">
            <v>0</v>
          </cell>
          <cell r="N112">
            <v>19229.580000000002</v>
          </cell>
          <cell r="O112">
            <v>213724.899999999</v>
          </cell>
          <cell r="Q112">
            <v>0</v>
          </cell>
          <cell r="R112">
            <v>213724.899999999</v>
          </cell>
          <cell r="S112">
            <v>39556.080000000002</v>
          </cell>
          <cell r="T112">
            <v>55.96</v>
          </cell>
          <cell r="U112">
            <v>213780.859999999</v>
          </cell>
        </row>
        <row r="113">
          <cell r="A113" t="str">
            <v>PLN   Złoty</v>
          </cell>
          <cell r="E113" t="str">
            <v>KB Sprzed. bezpośrednia</v>
          </cell>
          <cell r="H113">
            <v>48</v>
          </cell>
          <cell r="J113">
            <v>1999.17</v>
          </cell>
          <cell r="K113">
            <v>942.29999999999905</v>
          </cell>
          <cell r="L113">
            <v>4152.4799999999896</v>
          </cell>
          <cell r="M113">
            <v>0</v>
          </cell>
          <cell r="N113">
            <v>5094.7799999999897</v>
          </cell>
          <cell r="O113">
            <v>44488.089999999902</v>
          </cell>
          <cell r="Q113">
            <v>0</v>
          </cell>
          <cell r="R113">
            <v>44488.089999999902</v>
          </cell>
          <cell r="S113">
            <v>4546.3100000000004</v>
          </cell>
          <cell r="T113">
            <v>11.35</v>
          </cell>
          <cell r="U113">
            <v>44499.44</v>
          </cell>
        </row>
        <row r="114">
          <cell r="A114" t="str">
            <v>PLN   Złoty</v>
          </cell>
          <cell r="E114" t="str">
            <v>KB Sprzed. bezpośrednia</v>
          </cell>
          <cell r="H114">
            <v>24</v>
          </cell>
          <cell r="J114">
            <v>961.89999999999895</v>
          </cell>
          <cell r="K114">
            <v>471.14999999999901</v>
          </cell>
          <cell r="L114">
            <v>0</v>
          </cell>
          <cell r="M114">
            <v>0</v>
          </cell>
          <cell r="N114">
            <v>471.14999999999901</v>
          </cell>
          <cell r="O114">
            <v>19113.2599999999</v>
          </cell>
          <cell r="Q114">
            <v>0</v>
          </cell>
          <cell r="R114">
            <v>19113.2599999999</v>
          </cell>
          <cell r="S114">
            <v>4480.42</v>
          </cell>
          <cell r="T114">
            <v>5.37</v>
          </cell>
          <cell r="U114">
            <v>19118.63</v>
          </cell>
        </row>
        <row r="115">
          <cell r="A115" t="str">
            <v>PLN   Złoty</v>
          </cell>
          <cell r="E115" t="str">
            <v>KB Sprzed. bezpośrednia</v>
          </cell>
          <cell r="H115">
            <v>24</v>
          </cell>
          <cell r="J115">
            <v>999.6</v>
          </cell>
          <cell r="K115">
            <v>471.14999999999901</v>
          </cell>
          <cell r="L115">
            <v>1360.8</v>
          </cell>
          <cell r="M115">
            <v>0</v>
          </cell>
          <cell r="N115">
            <v>1831.95</v>
          </cell>
          <cell r="O115">
            <v>21049.529999999901</v>
          </cell>
          <cell r="Q115">
            <v>0</v>
          </cell>
          <cell r="R115">
            <v>21049.529999999901</v>
          </cell>
          <cell r="S115">
            <v>3467.67</v>
          </cell>
          <cell r="T115">
            <v>5.53</v>
          </cell>
          <cell r="U115">
            <v>21055.06</v>
          </cell>
        </row>
        <row r="116">
          <cell r="A116" t="str">
            <v>PLN   Złoty</v>
          </cell>
          <cell r="E116" t="str">
            <v>KB Sprzed. bezpośrednia</v>
          </cell>
          <cell r="H116">
            <v>25</v>
          </cell>
          <cell r="J116">
            <v>1034.54</v>
          </cell>
          <cell r="K116">
            <v>490.77999999999901</v>
          </cell>
          <cell r="L116">
            <v>2280.36</v>
          </cell>
          <cell r="M116">
            <v>0</v>
          </cell>
          <cell r="N116">
            <v>2771.1399999999899</v>
          </cell>
          <cell r="O116">
            <v>22222.57</v>
          </cell>
          <cell r="Q116">
            <v>0</v>
          </cell>
          <cell r="R116">
            <v>22222.57</v>
          </cell>
          <cell r="S116">
            <v>3152.4299999999898</v>
          </cell>
          <cell r="T116">
            <v>5.5899999999999901</v>
          </cell>
          <cell r="U116">
            <v>22228.16</v>
          </cell>
        </row>
        <row r="117">
          <cell r="A117" t="str">
            <v>PLN   Złoty</v>
          </cell>
          <cell r="E117" t="str">
            <v>KB Sprzed. bezpośrednia</v>
          </cell>
          <cell r="H117">
            <v>24</v>
          </cell>
          <cell r="J117">
            <v>1012.73</v>
          </cell>
          <cell r="K117">
            <v>471.14999999999901</v>
          </cell>
          <cell r="L117">
            <v>1094.8800000000001</v>
          </cell>
          <cell r="M117">
            <v>0</v>
          </cell>
          <cell r="N117">
            <v>1566.03</v>
          </cell>
          <cell r="O117">
            <v>20258.97</v>
          </cell>
          <cell r="Q117">
            <v>0</v>
          </cell>
          <cell r="R117">
            <v>20258.97</v>
          </cell>
          <cell r="S117">
            <v>4581.0299999999897</v>
          </cell>
          <cell r="T117">
            <v>5.37</v>
          </cell>
          <cell r="U117">
            <v>20264.34</v>
          </cell>
        </row>
        <row r="118">
          <cell r="A118" t="str">
            <v>PLN   Złoty</v>
          </cell>
          <cell r="E118" t="str">
            <v>KB Sprzed. bezpośrednia</v>
          </cell>
          <cell r="H118">
            <v>12</v>
          </cell>
          <cell r="J118">
            <v>499.04</v>
          </cell>
          <cell r="K118">
            <v>235.58</v>
          </cell>
          <cell r="L118">
            <v>946.08</v>
          </cell>
          <cell r="M118">
            <v>0</v>
          </cell>
          <cell r="N118">
            <v>1181.6600000000001</v>
          </cell>
          <cell r="O118">
            <v>10520.809999999899</v>
          </cell>
          <cell r="Q118">
            <v>0</v>
          </cell>
          <cell r="R118">
            <v>10520.809999999899</v>
          </cell>
          <cell r="S118">
            <v>1719.19</v>
          </cell>
          <cell r="T118">
            <v>2.6899999999999902</v>
          </cell>
          <cell r="U118">
            <v>10523.5</v>
          </cell>
        </row>
        <row r="119">
          <cell r="A119" t="str">
            <v>PLN   Złoty</v>
          </cell>
          <cell r="E119" t="str">
            <v>KB Sprzed. bezpośrednia</v>
          </cell>
          <cell r="H119">
            <v>24</v>
          </cell>
          <cell r="J119">
            <v>1009.72</v>
          </cell>
          <cell r="K119">
            <v>471.14999999999901</v>
          </cell>
          <cell r="L119">
            <v>1971.1199999999899</v>
          </cell>
          <cell r="M119">
            <v>0</v>
          </cell>
          <cell r="N119">
            <v>2442.27</v>
          </cell>
          <cell r="O119">
            <v>22149.06</v>
          </cell>
          <cell r="Q119">
            <v>0</v>
          </cell>
          <cell r="R119">
            <v>22149.06</v>
          </cell>
          <cell r="S119">
            <v>2616.54</v>
          </cell>
          <cell r="T119">
            <v>5.6799999999999899</v>
          </cell>
          <cell r="U119">
            <v>22154.74</v>
          </cell>
        </row>
        <row r="120">
          <cell r="A120" t="str">
            <v>PLN   Złoty</v>
          </cell>
          <cell r="E120" t="str">
            <v>KB Sprzed. bezpośrednia</v>
          </cell>
          <cell r="H120">
            <v>256</v>
          </cell>
          <cell r="J120">
            <v>10619.5</v>
          </cell>
          <cell r="K120">
            <v>5025.6199999999899</v>
          </cell>
          <cell r="L120">
            <v>12532.84</v>
          </cell>
          <cell r="M120">
            <v>0</v>
          </cell>
          <cell r="N120">
            <v>17558.459999999901</v>
          </cell>
          <cell r="O120">
            <v>217688.459999999</v>
          </cell>
          <cell r="Q120">
            <v>0</v>
          </cell>
          <cell r="R120">
            <v>217688.459999999</v>
          </cell>
          <cell r="S120">
            <v>42780.779999999897</v>
          </cell>
          <cell r="T120">
            <v>57.59</v>
          </cell>
          <cell r="U120">
            <v>217746.049999999</v>
          </cell>
        </row>
        <row r="121">
          <cell r="A121" t="str">
            <v>PLN   Złoty</v>
          </cell>
          <cell r="E121" t="str">
            <v>KB Sprzed. bezpośrednia</v>
          </cell>
          <cell r="H121">
            <v>89</v>
          </cell>
          <cell r="J121">
            <v>3674.28</v>
          </cell>
          <cell r="K121">
            <v>1747.17</v>
          </cell>
          <cell r="L121">
            <v>3819.52</v>
          </cell>
          <cell r="M121">
            <v>0</v>
          </cell>
          <cell r="N121">
            <v>5566.6899999999896</v>
          </cell>
          <cell r="O121">
            <v>76513.279999999897</v>
          </cell>
          <cell r="Q121">
            <v>0</v>
          </cell>
          <cell r="R121">
            <v>76513.279999999897</v>
          </cell>
          <cell r="S121">
            <v>13607.32</v>
          </cell>
          <cell r="T121">
            <v>20.440000000000001</v>
          </cell>
          <cell r="U121">
            <v>76533.72</v>
          </cell>
        </row>
        <row r="122">
          <cell r="A122" t="str">
            <v>PLN   Złoty</v>
          </cell>
          <cell r="E122" t="str">
            <v>KB Sprzed. bezpośrednia</v>
          </cell>
          <cell r="H122">
            <v>12</v>
          </cell>
          <cell r="J122">
            <v>499.76999999999902</v>
          </cell>
          <cell r="K122">
            <v>235.58</v>
          </cell>
          <cell r="L122">
            <v>689.88</v>
          </cell>
          <cell r="M122">
            <v>0</v>
          </cell>
          <cell r="N122">
            <v>925.46</v>
          </cell>
          <cell r="O122">
            <v>10773.77</v>
          </cell>
          <cell r="Q122">
            <v>0</v>
          </cell>
          <cell r="R122">
            <v>10773.77</v>
          </cell>
          <cell r="S122">
            <v>1484.8299999999899</v>
          </cell>
          <cell r="T122">
            <v>2.8399999999999901</v>
          </cell>
          <cell r="U122">
            <v>10776.61</v>
          </cell>
        </row>
        <row r="123">
          <cell r="A123" t="str">
            <v>PLN   Złoty</v>
          </cell>
          <cell r="E123" t="str">
            <v>KB Sprzed. bezpośrednia</v>
          </cell>
          <cell r="H123">
            <v>51</v>
          </cell>
          <cell r="J123">
            <v>2075.8000000000002</v>
          </cell>
          <cell r="K123">
            <v>1001.19</v>
          </cell>
          <cell r="L123">
            <v>1345.53</v>
          </cell>
          <cell r="M123">
            <v>0</v>
          </cell>
          <cell r="N123">
            <v>2346.7199999999898</v>
          </cell>
          <cell r="O123">
            <v>44574.65</v>
          </cell>
          <cell r="Q123">
            <v>0</v>
          </cell>
          <cell r="R123">
            <v>44574.65</v>
          </cell>
          <cell r="S123">
            <v>6339.05</v>
          </cell>
          <cell r="T123">
            <v>12.1999999999999</v>
          </cell>
          <cell r="U123">
            <v>44586.849999999897</v>
          </cell>
        </row>
        <row r="124">
          <cell r="A124" t="str">
            <v>PLN   Złoty</v>
          </cell>
          <cell r="E124" t="str">
            <v>KB Sprzed. bezpośrednia</v>
          </cell>
          <cell r="H124">
            <v>24</v>
          </cell>
          <cell r="J124">
            <v>1006.69</v>
          </cell>
          <cell r="K124">
            <v>471.14999999999901</v>
          </cell>
          <cell r="L124">
            <v>1731.8399999999899</v>
          </cell>
          <cell r="M124">
            <v>0</v>
          </cell>
          <cell r="N124">
            <v>2202.9899999999898</v>
          </cell>
          <cell r="O124">
            <v>20889.900000000001</v>
          </cell>
          <cell r="Q124">
            <v>0</v>
          </cell>
          <cell r="R124">
            <v>20889.900000000001</v>
          </cell>
          <cell r="S124">
            <v>3801.0599999999899</v>
          </cell>
          <cell r="T124">
            <v>5.37</v>
          </cell>
          <cell r="U124">
            <v>20895.27</v>
          </cell>
        </row>
        <row r="125">
          <cell r="A125" t="str">
            <v>PLN   Złoty</v>
          </cell>
          <cell r="E125" t="str">
            <v>KB Sprzed. bezpośrednia</v>
          </cell>
          <cell r="H125">
            <v>12</v>
          </cell>
          <cell r="J125">
            <v>479.52999999999901</v>
          </cell>
          <cell r="K125">
            <v>235.58</v>
          </cell>
          <cell r="L125">
            <v>0</v>
          </cell>
          <cell r="M125">
            <v>0</v>
          </cell>
          <cell r="N125">
            <v>235.58</v>
          </cell>
          <cell r="O125">
            <v>9555.2199999999903</v>
          </cell>
          <cell r="Q125">
            <v>0</v>
          </cell>
          <cell r="R125">
            <v>9555.2199999999903</v>
          </cell>
          <cell r="S125">
            <v>2205.98</v>
          </cell>
          <cell r="T125">
            <v>2.6899999999999902</v>
          </cell>
          <cell r="U125">
            <v>9557.9099999999908</v>
          </cell>
        </row>
        <row r="126">
          <cell r="A126" t="str">
            <v>PLN   Złoty</v>
          </cell>
          <cell r="E126" t="str">
            <v>KB Sprzed. bezpośrednia</v>
          </cell>
          <cell r="H126">
            <v>49</v>
          </cell>
          <cell r="J126">
            <v>2003.26</v>
          </cell>
          <cell r="K126">
            <v>961.94</v>
          </cell>
          <cell r="L126">
            <v>1114.5799999999899</v>
          </cell>
          <cell r="M126">
            <v>0</v>
          </cell>
          <cell r="N126">
            <v>2076.52</v>
          </cell>
          <cell r="O126">
            <v>40176.879999999903</v>
          </cell>
          <cell r="Q126">
            <v>0</v>
          </cell>
          <cell r="R126">
            <v>40176.879999999903</v>
          </cell>
          <cell r="S126">
            <v>8958.1200000000008</v>
          </cell>
          <cell r="T126">
            <v>10.97</v>
          </cell>
          <cell r="U126">
            <v>40187.849999999897</v>
          </cell>
        </row>
        <row r="127">
          <cell r="A127" t="str">
            <v>PLN   Złoty</v>
          </cell>
          <cell r="E127" t="str">
            <v>KB Sprzed. bezpośrednia</v>
          </cell>
          <cell r="H127">
            <v>10</v>
          </cell>
          <cell r="J127">
            <v>398.36</v>
          </cell>
          <cell r="K127">
            <v>196.3</v>
          </cell>
          <cell r="L127">
            <v>0</v>
          </cell>
          <cell r="M127">
            <v>0</v>
          </cell>
          <cell r="N127">
            <v>196.3</v>
          </cell>
          <cell r="O127">
            <v>7961.42</v>
          </cell>
          <cell r="Q127">
            <v>0</v>
          </cell>
          <cell r="R127">
            <v>7961.42</v>
          </cell>
          <cell r="S127">
            <v>1809.88</v>
          </cell>
          <cell r="T127">
            <v>2.25</v>
          </cell>
          <cell r="U127">
            <v>7963.67</v>
          </cell>
        </row>
        <row r="128">
          <cell r="A128" t="str">
            <v>PLN   Złoty</v>
          </cell>
          <cell r="E128" t="str">
            <v>KB Sprzed. bezpośrednia</v>
          </cell>
          <cell r="H128">
            <v>48</v>
          </cell>
          <cell r="J128">
            <v>2025.48</v>
          </cell>
          <cell r="K128">
            <v>942.29999999999905</v>
          </cell>
          <cell r="L128">
            <v>4152.4799999999896</v>
          </cell>
          <cell r="M128">
            <v>0</v>
          </cell>
          <cell r="N128">
            <v>5094.7799999999897</v>
          </cell>
          <cell r="O128">
            <v>42480.68</v>
          </cell>
          <cell r="Q128">
            <v>0</v>
          </cell>
          <cell r="R128">
            <v>42480.68</v>
          </cell>
          <cell r="S128">
            <v>7199.3199999999897</v>
          </cell>
          <cell r="T128">
            <v>10.74</v>
          </cell>
          <cell r="U128">
            <v>42491.419999999896</v>
          </cell>
        </row>
        <row r="129">
          <cell r="A129" t="str">
            <v>PLN   Złoty</v>
          </cell>
          <cell r="E129" t="str">
            <v>KB Sprzed. bezpośrednia</v>
          </cell>
          <cell r="H129">
            <v>24</v>
          </cell>
          <cell r="J129">
            <v>1009.72</v>
          </cell>
          <cell r="K129">
            <v>471.14999999999901</v>
          </cell>
          <cell r="L129">
            <v>2076.2399999999898</v>
          </cell>
          <cell r="M129">
            <v>0</v>
          </cell>
          <cell r="N129">
            <v>2547.3899999999899</v>
          </cell>
          <cell r="O129">
            <v>21237.32</v>
          </cell>
          <cell r="Q129">
            <v>0</v>
          </cell>
          <cell r="R129">
            <v>21237.32</v>
          </cell>
          <cell r="S129">
            <v>3528.28</v>
          </cell>
          <cell r="T129">
            <v>5.37</v>
          </cell>
          <cell r="U129">
            <v>21242.6899999999</v>
          </cell>
        </row>
        <row r="130">
          <cell r="A130" t="str">
            <v>PLN   Złoty</v>
          </cell>
          <cell r="E130" t="str">
            <v>KB Sprzed. bezpośrednia</v>
          </cell>
          <cell r="H130">
            <v>266</v>
          </cell>
          <cell r="J130">
            <v>11021.129999999899</v>
          </cell>
          <cell r="K130">
            <v>5221.92</v>
          </cell>
          <cell r="L130">
            <v>19748.16</v>
          </cell>
          <cell r="M130">
            <v>0</v>
          </cell>
          <cell r="N130">
            <v>24970.080000000002</v>
          </cell>
          <cell r="O130">
            <v>231946.899999999</v>
          </cell>
          <cell r="Q130">
            <v>0</v>
          </cell>
          <cell r="R130">
            <v>231946.899999999</v>
          </cell>
          <cell r="S130">
            <v>38372.9</v>
          </cell>
          <cell r="T130">
            <v>59.5399999999999</v>
          </cell>
          <cell r="U130">
            <v>232006.44</v>
          </cell>
        </row>
        <row r="131">
          <cell r="A131" t="str">
            <v>PLN   Złoty</v>
          </cell>
          <cell r="E131" t="str">
            <v>KB Sprzed. bezpośrednia</v>
          </cell>
          <cell r="H131">
            <v>48</v>
          </cell>
          <cell r="J131">
            <v>2022.46</v>
          </cell>
          <cell r="K131">
            <v>942.29999999999905</v>
          </cell>
          <cell r="L131">
            <v>3227.28</v>
          </cell>
          <cell r="M131">
            <v>0</v>
          </cell>
          <cell r="N131">
            <v>4169.5799999999899</v>
          </cell>
          <cell r="O131">
            <v>41552.459999999897</v>
          </cell>
          <cell r="Q131">
            <v>0</v>
          </cell>
          <cell r="R131">
            <v>41552.459999999897</v>
          </cell>
          <cell r="S131">
            <v>8053.14</v>
          </cell>
          <cell r="T131">
            <v>10.74</v>
          </cell>
          <cell r="U131">
            <v>41563.199999999903</v>
          </cell>
        </row>
        <row r="132">
          <cell r="A132" t="str">
            <v>PLN   Złoty</v>
          </cell>
          <cell r="E132" t="str">
            <v>KB Sprzed. bezpośrednia</v>
          </cell>
          <cell r="H132">
            <v>73</v>
          </cell>
          <cell r="J132">
            <v>3038.88</v>
          </cell>
          <cell r="K132">
            <v>1433.0799999999899</v>
          </cell>
          <cell r="L132">
            <v>6459.2399999999898</v>
          </cell>
          <cell r="M132">
            <v>0</v>
          </cell>
          <cell r="N132">
            <v>7892.3199999999897</v>
          </cell>
          <cell r="O132">
            <v>64708.089999999902</v>
          </cell>
          <cell r="Q132">
            <v>0</v>
          </cell>
          <cell r="R132">
            <v>64708.089999999902</v>
          </cell>
          <cell r="S132">
            <v>9828.27</v>
          </cell>
          <cell r="T132">
            <v>16.34</v>
          </cell>
          <cell r="U132">
            <v>64724.43</v>
          </cell>
        </row>
        <row r="133">
          <cell r="A133" t="str">
            <v>PLN   Złoty</v>
          </cell>
          <cell r="E133" t="str">
            <v>KB Sprzed. bezpośrednia</v>
          </cell>
          <cell r="H133">
            <v>48</v>
          </cell>
          <cell r="J133">
            <v>1950.94</v>
          </cell>
          <cell r="K133">
            <v>942.29999999999905</v>
          </cell>
          <cell r="L133">
            <v>1109.04</v>
          </cell>
          <cell r="M133">
            <v>0</v>
          </cell>
          <cell r="N133">
            <v>2051.34</v>
          </cell>
          <cell r="O133">
            <v>39362.699999999903</v>
          </cell>
          <cell r="Q133">
            <v>0</v>
          </cell>
          <cell r="R133">
            <v>39362.699999999903</v>
          </cell>
          <cell r="S133">
            <v>8489.94</v>
          </cell>
          <cell r="T133">
            <v>10.74</v>
          </cell>
          <cell r="U133">
            <v>39373.440000000002</v>
          </cell>
        </row>
        <row r="134">
          <cell r="A134" t="str">
            <v>PLN   Złoty</v>
          </cell>
          <cell r="E134" t="str">
            <v>KB Sprzed. bezpośrednia</v>
          </cell>
          <cell r="H134">
            <v>24</v>
          </cell>
          <cell r="J134">
            <v>988.05999999999904</v>
          </cell>
          <cell r="K134">
            <v>471.14999999999901</v>
          </cell>
          <cell r="L134">
            <v>1090.5599999999899</v>
          </cell>
          <cell r="M134">
            <v>0</v>
          </cell>
          <cell r="N134">
            <v>1561.71</v>
          </cell>
          <cell r="O134">
            <v>20229.98</v>
          </cell>
          <cell r="Q134">
            <v>0</v>
          </cell>
          <cell r="R134">
            <v>20229.98</v>
          </cell>
          <cell r="S134">
            <v>4005.2199999999898</v>
          </cell>
          <cell r="T134">
            <v>5.37</v>
          </cell>
          <cell r="U134">
            <v>20235.3499999999</v>
          </cell>
        </row>
        <row r="135">
          <cell r="A135" t="str">
            <v>PLN   Złoty</v>
          </cell>
          <cell r="E135" t="str">
            <v>KB Sprzed. bezpośrednia</v>
          </cell>
          <cell r="H135">
            <v>57</v>
          </cell>
          <cell r="J135">
            <v>2351.71</v>
          </cell>
          <cell r="K135">
            <v>1118.99</v>
          </cell>
          <cell r="L135">
            <v>3624.77</v>
          </cell>
          <cell r="M135">
            <v>0</v>
          </cell>
          <cell r="N135">
            <v>4743.76</v>
          </cell>
          <cell r="O135">
            <v>49085.98</v>
          </cell>
          <cell r="Q135">
            <v>0</v>
          </cell>
          <cell r="R135">
            <v>49085.98</v>
          </cell>
          <cell r="S135">
            <v>8595.17</v>
          </cell>
          <cell r="T135">
            <v>12.76</v>
          </cell>
          <cell r="U135">
            <v>49098.739999999903</v>
          </cell>
        </row>
        <row r="136">
          <cell r="A136" t="str">
            <v>PLN   Złoty</v>
          </cell>
          <cell r="E136" t="str">
            <v>KB Sprzed. bezpośrednia</v>
          </cell>
          <cell r="H136">
            <v>74</v>
          </cell>
          <cell r="J136">
            <v>3004.13</v>
          </cell>
          <cell r="K136">
            <v>1452.72</v>
          </cell>
          <cell r="L136">
            <v>3960.0599999999899</v>
          </cell>
          <cell r="M136">
            <v>0</v>
          </cell>
          <cell r="N136">
            <v>5412.7799999999897</v>
          </cell>
          <cell r="O136">
            <v>62930.9</v>
          </cell>
          <cell r="Q136">
            <v>0</v>
          </cell>
          <cell r="R136">
            <v>62930.9</v>
          </cell>
          <cell r="S136">
            <v>10753.28</v>
          </cell>
          <cell r="T136">
            <v>16.57</v>
          </cell>
          <cell r="U136">
            <v>62947.47</v>
          </cell>
        </row>
        <row r="137">
          <cell r="A137" t="str">
            <v>PLN   Złoty</v>
          </cell>
          <cell r="E137" t="str">
            <v>KB Sprzed. bezpośrednia</v>
          </cell>
          <cell r="H137">
            <v>60</v>
          </cell>
          <cell r="J137">
            <v>2566.8000000000002</v>
          </cell>
          <cell r="K137">
            <v>1177.8900000000001</v>
          </cell>
          <cell r="L137">
            <v>2669.1199999999899</v>
          </cell>
          <cell r="M137">
            <v>0</v>
          </cell>
          <cell r="N137">
            <v>3847.01</v>
          </cell>
          <cell r="O137">
            <v>51980.91</v>
          </cell>
          <cell r="Q137">
            <v>0</v>
          </cell>
          <cell r="R137">
            <v>51980.91</v>
          </cell>
          <cell r="S137">
            <v>10976.37</v>
          </cell>
          <cell r="T137">
            <v>13.85</v>
          </cell>
          <cell r="U137">
            <v>51994.76</v>
          </cell>
        </row>
        <row r="138">
          <cell r="A138" t="str">
            <v>PLN   Złoty</v>
          </cell>
          <cell r="E138" t="str">
            <v>KB Sprzed. bezpośrednia</v>
          </cell>
          <cell r="H138">
            <v>72</v>
          </cell>
          <cell r="J138">
            <v>3043.05</v>
          </cell>
          <cell r="K138">
            <v>1413.45</v>
          </cell>
          <cell r="L138">
            <v>938.39999999999895</v>
          </cell>
          <cell r="M138">
            <v>0</v>
          </cell>
          <cell r="N138">
            <v>2351.8499999999899</v>
          </cell>
          <cell r="O138">
            <v>62093.48</v>
          </cell>
          <cell r="Q138">
            <v>0</v>
          </cell>
          <cell r="R138">
            <v>62093.48</v>
          </cell>
          <cell r="S138">
            <v>12542.92</v>
          </cell>
          <cell r="T138">
            <v>17.219999999999899</v>
          </cell>
          <cell r="U138">
            <v>62110.699999999903</v>
          </cell>
        </row>
        <row r="139">
          <cell r="A139" t="str">
            <v>PLN   Złoty</v>
          </cell>
          <cell r="E139" t="str">
            <v>KB Sprzed. bezpośrednia</v>
          </cell>
          <cell r="H139">
            <v>60</v>
          </cell>
          <cell r="J139">
            <v>2457.59</v>
          </cell>
          <cell r="K139">
            <v>1177.8800000000001</v>
          </cell>
          <cell r="L139">
            <v>3405.84</v>
          </cell>
          <cell r="M139">
            <v>0</v>
          </cell>
          <cell r="N139">
            <v>4583.72</v>
          </cell>
          <cell r="O139">
            <v>51241.839999999902</v>
          </cell>
          <cell r="Q139">
            <v>0</v>
          </cell>
          <cell r="R139">
            <v>51241.839999999902</v>
          </cell>
          <cell r="S139">
            <v>9036.2000000000007</v>
          </cell>
          <cell r="T139">
            <v>13.43</v>
          </cell>
          <cell r="U139">
            <v>51255.269999999902</v>
          </cell>
        </row>
        <row r="140">
          <cell r="A140" t="str">
            <v>PLN   Złoty</v>
          </cell>
          <cell r="E140" t="str">
            <v>KB Sprzed. bezpośrednia</v>
          </cell>
          <cell r="H140">
            <v>24</v>
          </cell>
          <cell r="J140">
            <v>1009.72</v>
          </cell>
          <cell r="K140">
            <v>471.14999999999901</v>
          </cell>
          <cell r="L140">
            <v>1518.96</v>
          </cell>
          <cell r="M140">
            <v>0</v>
          </cell>
          <cell r="N140">
            <v>1990.1099999999899</v>
          </cell>
          <cell r="O140">
            <v>20680.04</v>
          </cell>
          <cell r="Q140">
            <v>0</v>
          </cell>
          <cell r="R140">
            <v>20680.04</v>
          </cell>
          <cell r="S140">
            <v>4085.5599999999899</v>
          </cell>
          <cell r="T140">
            <v>5.37</v>
          </cell>
          <cell r="U140">
            <v>20685.41</v>
          </cell>
        </row>
        <row r="141">
          <cell r="A141" t="str">
            <v>PLN   Złoty</v>
          </cell>
          <cell r="E141" t="str">
            <v>KB Sprzed. bezpośrednia</v>
          </cell>
          <cell r="H141">
            <v>48</v>
          </cell>
          <cell r="J141">
            <v>2013.3499999999899</v>
          </cell>
          <cell r="K141">
            <v>942.29999999999905</v>
          </cell>
          <cell r="L141">
            <v>3137.76</v>
          </cell>
          <cell r="M141">
            <v>0</v>
          </cell>
          <cell r="N141">
            <v>4080.0599999999899</v>
          </cell>
          <cell r="O141">
            <v>41453.83</v>
          </cell>
          <cell r="Q141">
            <v>0</v>
          </cell>
          <cell r="R141">
            <v>41453.83</v>
          </cell>
          <cell r="S141">
            <v>7928.09</v>
          </cell>
          <cell r="T141">
            <v>10.74</v>
          </cell>
          <cell r="U141">
            <v>41464.57</v>
          </cell>
        </row>
        <row r="142">
          <cell r="A142" t="str">
            <v>PLN   Złoty</v>
          </cell>
          <cell r="E142" t="str">
            <v>KB Sprzed. bezpośrednia</v>
          </cell>
          <cell r="H142">
            <v>56</v>
          </cell>
          <cell r="J142">
            <v>2310.3299999999899</v>
          </cell>
          <cell r="K142">
            <v>1099.3499999999899</v>
          </cell>
          <cell r="L142">
            <v>2556.96</v>
          </cell>
          <cell r="M142">
            <v>0</v>
          </cell>
          <cell r="N142">
            <v>3656.3099999999899</v>
          </cell>
          <cell r="O142">
            <v>47220.459999999897</v>
          </cell>
          <cell r="Q142">
            <v>0</v>
          </cell>
          <cell r="R142">
            <v>47220.459999999897</v>
          </cell>
          <cell r="S142">
            <v>9447.1399999999903</v>
          </cell>
          <cell r="T142">
            <v>12.5399999999999</v>
          </cell>
          <cell r="U142">
            <v>47233</v>
          </cell>
        </row>
        <row r="143">
          <cell r="A143" t="str">
            <v>PLN   Złoty</v>
          </cell>
          <cell r="E143" t="str">
            <v>KB Sprzed. bezpośrednia</v>
          </cell>
          <cell r="H143">
            <v>25</v>
          </cell>
          <cell r="J143">
            <v>1014.11</v>
          </cell>
          <cell r="K143">
            <v>490.77999999999901</v>
          </cell>
          <cell r="L143">
            <v>0</v>
          </cell>
          <cell r="M143">
            <v>0</v>
          </cell>
          <cell r="N143">
            <v>490.77999999999901</v>
          </cell>
          <cell r="O143">
            <v>21629.97</v>
          </cell>
          <cell r="Q143">
            <v>0</v>
          </cell>
          <cell r="R143">
            <v>21629.97</v>
          </cell>
          <cell r="S143">
            <v>3243.78</v>
          </cell>
          <cell r="T143">
            <v>6.12</v>
          </cell>
          <cell r="U143">
            <v>21636.09</v>
          </cell>
        </row>
        <row r="144">
          <cell r="A144" t="str">
            <v>PLN   Złoty</v>
          </cell>
          <cell r="E144" t="str">
            <v>KB Sprzed. bezpośrednia</v>
          </cell>
          <cell r="H144">
            <v>25</v>
          </cell>
          <cell r="J144">
            <v>1011.01</v>
          </cell>
          <cell r="K144">
            <v>490.77999999999901</v>
          </cell>
          <cell r="L144">
            <v>0</v>
          </cell>
          <cell r="M144">
            <v>0</v>
          </cell>
          <cell r="N144">
            <v>490.77999999999901</v>
          </cell>
          <cell r="O144">
            <v>21543.79</v>
          </cell>
          <cell r="Q144">
            <v>0</v>
          </cell>
          <cell r="R144">
            <v>21543.79</v>
          </cell>
          <cell r="S144">
            <v>3254.46</v>
          </cell>
          <cell r="T144">
            <v>6.08</v>
          </cell>
          <cell r="U144">
            <v>21549.869999999901</v>
          </cell>
        </row>
        <row r="145">
          <cell r="A145" t="str">
            <v>PLN   Złoty</v>
          </cell>
          <cell r="E145" t="str">
            <v>KB Sprzed. bezpośrednia</v>
          </cell>
          <cell r="H145">
            <v>54</v>
          </cell>
          <cell r="J145">
            <v>2174.65</v>
          </cell>
          <cell r="K145">
            <v>1060.0799999999899</v>
          </cell>
          <cell r="L145">
            <v>975.6</v>
          </cell>
          <cell r="M145">
            <v>0</v>
          </cell>
          <cell r="N145">
            <v>2035.68</v>
          </cell>
          <cell r="O145">
            <v>43990.809999999903</v>
          </cell>
          <cell r="Q145">
            <v>0</v>
          </cell>
          <cell r="R145">
            <v>43990.809999999903</v>
          </cell>
          <cell r="S145">
            <v>9347.27</v>
          </cell>
          <cell r="T145">
            <v>12.09</v>
          </cell>
          <cell r="U145">
            <v>44002.9</v>
          </cell>
        </row>
        <row r="146">
          <cell r="A146" t="str">
            <v>PLN   Złoty</v>
          </cell>
          <cell r="E146" t="str">
            <v>KB Sprzed. bezpośrednia</v>
          </cell>
          <cell r="H146">
            <v>12</v>
          </cell>
          <cell r="J146">
            <v>484.36</v>
          </cell>
          <cell r="K146">
            <v>235.58</v>
          </cell>
          <cell r="L146">
            <v>0</v>
          </cell>
          <cell r="M146">
            <v>0</v>
          </cell>
          <cell r="N146">
            <v>235.58</v>
          </cell>
          <cell r="O146">
            <v>9560.0499999999902</v>
          </cell>
          <cell r="Q146">
            <v>0</v>
          </cell>
          <cell r="R146">
            <v>9560.0499999999902</v>
          </cell>
          <cell r="S146">
            <v>2319.9499999999898</v>
          </cell>
          <cell r="T146">
            <v>2.6899999999999902</v>
          </cell>
          <cell r="U146">
            <v>9562.7399999999907</v>
          </cell>
        </row>
        <row r="147">
          <cell r="A147" t="str">
            <v>PLN   Złoty</v>
          </cell>
          <cell r="E147" t="str">
            <v>KB Sprzed. bezpośrednia</v>
          </cell>
          <cell r="H147">
            <v>72</v>
          </cell>
          <cell r="J147">
            <v>3036.21</v>
          </cell>
          <cell r="K147">
            <v>1413.45</v>
          </cell>
          <cell r="L147">
            <v>4257.3599999999897</v>
          </cell>
          <cell r="M147">
            <v>0</v>
          </cell>
          <cell r="N147">
            <v>5670.81</v>
          </cell>
          <cell r="O147">
            <v>61747.65</v>
          </cell>
          <cell r="Q147">
            <v>0</v>
          </cell>
          <cell r="R147">
            <v>61747.65</v>
          </cell>
          <cell r="S147">
            <v>12722.67</v>
          </cell>
          <cell r="T147">
            <v>16.12</v>
          </cell>
          <cell r="U147">
            <v>61763.769999999902</v>
          </cell>
        </row>
        <row r="148">
          <cell r="A148" t="str">
            <v>PLN   Złoty</v>
          </cell>
          <cell r="E148" t="str">
            <v>KB Sprzed. bezpośrednia</v>
          </cell>
          <cell r="H148">
            <v>75</v>
          </cell>
          <cell r="J148">
            <v>3080.9099999999899</v>
          </cell>
          <cell r="K148">
            <v>1472.3499999999899</v>
          </cell>
          <cell r="L148">
            <v>5828.05</v>
          </cell>
          <cell r="M148">
            <v>0</v>
          </cell>
          <cell r="N148">
            <v>7300.3999999999896</v>
          </cell>
          <cell r="O148">
            <v>65631.979999999894</v>
          </cell>
          <cell r="Q148">
            <v>0</v>
          </cell>
          <cell r="R148">
            <v>65631.979999999894</v>
          </cell>
          <cell r="S148">
            <v>9934.52</v>
          </cell>
          <cell r="T148">
            <v>16.78</v>
          </cell>
          <cell r="U148">
            <v>65648.759999999893</v>
          </cell>
        </row>
        <row r="149">
          <cell r="A149" t="str">
            <v>PLN   Złoty</v>
          </cell>
          <cell r="E149" t="str">
            <v>KB Sprzed. bezpośrednia</v>
          </cell>
          <cell r="H149">
            <v>24</v>
          </cell>
          <cell r="J149">
            <v>961.89999999999895</v>
          </cell>
          <cell r="K149">
            <v>471.14999999999901</v>
          </cell>
          <cell r="L149">
            <v>0</v>
          </cell>
          <cell r="M149">
            <v>0</v>
          </cell>
          <cell r="N149">
            <v>471.14999999999901</v>
          </cell>
          <cell r="O149">
            <v>19113.2599999999</v>
          </cell>
          <cell r="Q149">
            <v>0</v>
          </cell>
          <cell r="R149">
            <v>19113.2599999999</v>
          </cell>
          <cell r="S149">
            <v>4480.42</v>
          </cell>
          <cell r="T149">
            <v>5.37</v>
          </cell>
          <cell r="U149">
            <v>19118.63</v>
          </cell>
        </row>
        <row r="150">
          <cell r="A150" t="str">
            <v>PLN   Złoty</v>
          </cell>
          <cell r="E150" t="str">
            <v>KB Sprzed. bezpośrednia</v>
          </cell>
          <cell r="H150">
            <v>21</v>
          </cell>
          <cell r="J150">
            <v>845.08</v>
          </cell>
          <cell r="K150">
            <v>412.25</v>
          </cell>
          <cell r="L150">
            <v>0</v>
          </cell>
          <cell r="M150">
            <v>0</v>
          </cell>
          <cell r="N150">
            <v>412.25</v>
          </cell>
          <cell r="O150">
            <v>16727.52</v>
          </cell>
          <cell r="Q150">
            <v>0</v>
          </cell>
          <cell r="R150">
            <v>16727.52</v>
          </cell>
          <cell r="S150">
            <v>4000.11</v>
          </cell>
          <cell r="T150">
            <v>4.7</v>
          </cell>
          <cell r="U150">
            <v>16732.22</v>
          </cell>
        </row>
        <row r="151">
          <cell r="A151" t="str">
            <v>PLN   Złoty</v>
          </cell>
          <cell r="E151" t="str">
            <v>KB Sprzed. bezpośrednia</v>
          </cell>
          <cell r="H151">
            <v>36</v>
          </cell>
          <cell r="J151">
            <v>1509</v>
          </cell>
          <cell r="K151">
            <v>706.73</v>
          </cell>
          <cell r="L151">
            <v>2526.84</v>
          </cell>
          <cell r="M151">
            <v>0</v>
          </cell>
          <cell r="N151">
            <v>3233.57</v>
          </cell>
          <cell r="O151">
            <v>31262.889999999901</v>
          </cell>
          <cell r="Q151">
            <v>0</v>
          </cell>
          <cell r="R151">
            <v>31262.889999999901</v>
          </cell>
          <cell r="S151">
            <v>5748.8299999999899</v>
          </cell>
          <cell r="T151">
            <v>8.06</v>
          </cell>
          <cell r="U151">
            <v>31270.95</v>
          </cell>
        </row>
        <row r="152">
          <cell r="A152" t="str">
            <v>PLN   Złoty</v>
          </cell>
          <cell r="E152" t="str">
            <v>KB Sprzed. bezpośrednia</v>
          </cell>
          <cell r="H152">
            <v>24</v>
          </cell>
          <cell r="J152">
            <v>959.01999999999896</v>
          </cell>
          <cell r="K152">
            <v>471.14999999999901</v>
          </cell>
          <cell r="L152">
            <v>0</v>
          </cell>
          <cell r="M152">
            <v>0</v>
          </cell>
          <cell r="N152">
            <v>471.14999999999901</v>
          </cell>
          <cell r="O152">
            <v>20127.240000000002</v>
          </cell>
          <cell r="Q152">
            <v>0</v>
          </cell>
          <cell r="R152">
            <v>20127.240000000002</v>
          </cell>
          <cell r="S152">
            <v>3395.1599999999899</v>
          </cell>
          <cell r="T152">
            <v>5.6799999999999899</v>
          </cell>
          <cell r="U152">
            <v>20132.9199999999</v>
          </cell>
        </row>
        <row r="153">
          <cell r="A153" t="str">
            <v>PLN   Złoty</v>
          </cell>
          <cell r="E153" t="str">
            <v>KB Sprzed. bezpośrednia</v>
          </cell>
          <cell r="H153">
            <v>24</v>
          </cell>
          <cell r="J153">
            <v>1009.72</v>
          </cell>
          <cell r="K153">
            <v>471.14999999999901</v>
          </cell>
          <cell r="L153">
            <v>1090.5599999999899</v>
          </cell>
          <cell r="M153">
            <v>0</v>
          </cell>
          <cell r="N153">
            <v>1561.71</v>
          </cell>
          <cell r="O153">
            <v>20251.639999999901</v>
          </cell>
          <cell r="Q153">
            <v>0</v>
          </cell>
          <cell r="R153">
            <v>20251.639999999901</v>
          </cell>
          <cell r="S153">
            <v>4513.96</v>
          </cell>
          <cell r="T153">
            <v>5.37</v>
          </cell>
          <cell r="U153">
            <v>20257.0099999999</v>
          </cell>
        </row>
        <row r="154">
          <cell r="A154" t="str">
            <v>PLN   Złoty</v>
          </cell>
          <cell r="E154" t="str">
            <v>KB Sprzed. bezpośrednia</v>
          </cell>
          <cell r="H154">
            <v>206</v>
          </cell>
          <cell r="J154">
            <v>8411.4799999999905</v>
          </cell>
          <cell r="K154">
            <v>4044.05</v>
          </cell>
          <cell r="L154">
            <v>6023.38</v>
          </cell>
          <cell r="M154">
            <v>0</v>
          </cell>
          <cell r="N154">
            <v>10067.43</v>
          </cell>
          <cell r="O154">
            <v>171155.649999999</v>
          </cell>
          <cell r="Q154">
            <v>0</v>
          </cell>
          <cell r="R154">
            <v>171155.649999999</v>
          </cell>
          <cell r="S154">
            <v>35158.239999999903</v>
          </cell>
          <cell r="T154">
            <v>46.39</v>
          </cell>
          <cell r="U154">
            <v>171202.04</v>
          </cell>
        </row>
        <row r="155">
          <cell r="A155" t="str">
            <v>PLN   Złoty</v>
          </cell>
          <cell r="E155" t="str">
            <v>KB Sprzed. bezpośrednia</v>
          </cell>
          <cell r="H155">
            <v>24</v>
          </cell>
          <cell r="J155">
            <v>999.6</v>
          </cell>
          <cell r="K155">
            <v>471.14999999999901</v>
          </cell>
          <cell r="L155">
            <v>1542.72</v>
          </cell>
          <cell r="M155">
            <v>0</v>
          </cell>
          <cell r="N155">
            <v>2013.8699999999899</v>
          </cell>
          <cell r="O155">
            <v>21710.54</v>
          </cell>
          <cell r="Q155">
            <v>0</v>
          </cell>
          <cell r="R155">
            <v>21710.54</v>
          </cell>
          <cell r="S155">
            <v>2806.6599999999899</v>
          </cell>
          <cell r="T155">
            <v>5.6799999999999899</v>
          </cell>
          <cell r="U155">
            <v>21716.22</v>
          </cell>
        </row>
        <row r="156">
          <cell r="A156" t="str">
            <v>PLN   Złoty</v>
          </cell>
          <cell r="E156" t="str">
            <v>KB Sprzed. bezpośrednia</v>
          </cell>
          <cell r="H156">
            <v>74</v>
          </cell>
          <cell r="J156">
            <v>3015.8899999999899</v>
          </cell>
          <cell r="K156">
            <v>1452.72</v>
          </cell>
          <cell r="L156">
            <v>3605.5</v>
          </cell>
          <cell r="M156">
            <v>0</v>
          </cell>
          <cell r="N156">
            <v>5058.22</v>
          </cell>
          <cell r="O156">
            <v>62588.099999999897</v>
          </cell>
          <cell r="Q156">
            <v>0</v>
          </cell>
          <cell r="R156">
            <v>62588.099999999897</v>
          </cell>
          <cell r="S156">
            <v>11384.709999999901</v>
          </cell>
          <cell r="T156">
            <v>16.57</v>
          </cell>
          <cell r="U156">
            <v>62604.669999999896</v>
          </cell>
        </row>
        <row r="157">
          <cell r="A157" t="str">
            <v>PLN   Złoty</v>
          </cell>
          <cell r="E157" t="str">
            <v>KB Sprzed. bezpośrednia</v>
          </cell>
          <cell r="H157">
            <v>24</v>
          </cell>
          <cell r="J157">
            <v>1005.62</v>
          </cell>
          <cell r="K157">
            <v>471.14999999999901</v>
          </cell>
          <cell r="L157">
            <v>1637.28</v>
          </cell>
          <cell r="M157">
            <v>0</v>
          </cell>
          <cell r="N157">
            <v>2108.4299999999898</v>
          </cell>
          <cell r="O157">
            <v>20794.2599999999</v>
          </cell>
          <cell r="Q157">
            <v>0</v>
          </cell>
          <cell r="R157">
            <v>20794.2599999999</v>
          </cell>
          <cell r="S157">
            <v>3871.98</v>
          </cell>
          <cell r="T157">
            <v>5.37</v>
          </cell>
          <cell r="U157">
            <v>20799.63</v>
          </cell>
        </row>
        <row r="158">
          <cell r="A158" t="str">
            <v>PLN   Złoty</v>
          </cell>
          <cell r="E158" t="str">
            <v>KB Sprzed. bezpośrednia</v>
          </cell>
          <cell r="H158">
            <v>24</v>
          </cell>
          <cell r="J158">
            <v>991.08</v>
          </cell>
          <cell r="K158">
            <v>471.14999999999901</v>
          </cell>
          <cell r="L158">
            <v>1300.8</v>
          </cell>
          <cell r="M158">
            <v>0</v>
          </cell>
          <cell r="N158">
            <v>1771.95</v>
          </cell>
          <cell r="O158">
            <v>20443.240000000002</v>
          </cell>
          <cell r="Q158">
            <v>0</v>
          </cell>
          <cell r="R158">
            <v>20443.240000000002</v>
          </cell>
          <cell r="S158">
            <v>3865.4</v>
          </cell>
          <cell r="T158">
            <v>5.37</v>
          </cell>
          <cell r="U158">
            <v>20448.61</v>
          </cell>
        </row>
        <row r="159">
          <cell r="A159" t="str">
            <v>PLN   Złoty</v>
          </cell>
          <cell r="E159" t="str">
            <v>KB Sprzed. bezpośrednia</v>
          </cell>
          <cell r="H159">
            <v>409</v>
          </cell>
          <cell r="J159">
            <v>17105.25</v>
          </cell>
          <cell r="K159">
            <v>8029.21</v>
          </cell>
          <cell r="L159">
            <v>28937.15</v>
          </cell>
          <cell r="M159">
            <v>0</v>
          </cell>
          <cell r="N159">
            <v>36966.36</v>
          </cell>
          <cell r="O159">
            <v>360901.4</v>
          </cell>
          <cell r="Q159">
            <v>0</v>
          </cell>
          <cell r="R159">
            <v>360901.4</v>
          </cell>
          <cell r="S159">
            <v>58647.199999999903</v>
          </cell>
          <cell r="T159">
            <v>93.219999999999899</v>
          </cell>
          <cell r="U159">
            <v>360994.62</v>
          </cell>
        </row>
        <row r="160">
          <cell r="A160" t="str">
            <v>PLN   Złoty</v>
          </cell>
          <cell r="E160" t="str">
            <v>KB Sprzed. bezpośrednia</v>
          </cell>
          <cell r="H160">
            <v>30</v>
          </cell>
          <cell r="J160">
            <v>1216.97</v>
          </cell>
          <cell r="K160">
            <v>588.92999999999904</v>
          </cell>
          <cell r="L160">
            <v>0</v>
          </cell>
          <cell r="M160">
            <v>0</v>
          </cell>
          <cell r="N160">
            <v>588.92999999999904</v>
          </cell>
          <cell r="O160">
            <v>23906.1699999999</v>
          </cell>
          <cell r="Q160">
            <v>0</v>
          </cell>
          <cell r="R160">
            <v>23906.1699999999</v>
          </cell>
          <cell r="S160">
            <v>5942.3299999999899</v>
          </cell>
          <cell r="T160">
            <v>6.71999999999999</v>
          </cell>
          <cell r="U160">
            <v>23912.889999999901</v>
          </cell>
        </row>
        <row r="161">
          <cell r="A161" t="str">
            <v>PLN   Złoty</v>
          </cell>
          <cell r="E161" t="str">
            <v>KB Sprzed. bezpośrednia</v>
          </cell>
          <cell r="H161">
            <v>24</v>
          </cell>
          <cell r="J161">
            <v>999.6</v>
          </cell>
          <cell r="K161">
            <v>471.14999999999901</v>
          </cell>
          <cell r="L161">
            <v>977.51999999999896</v>
          </cell>
          <cell r="M161">
            <v>0</v>
          </cell>
          <cell r="N161">
            <v>1448.67</v>
          </cell>
          <cell r="O161">
            <v>20128.48</v>
          </cell>
          <cell r="Q161">
            <v>0</v>
          </cell>
          <cell r="R161">
            <v>20128.48</v>
          </cell>
          <cell r="S161">
            <v>4388.72</v>
          </cell>
          <cell r="T161">
            <v>5.37</v>
          </cell>
          <cell r="U161">
            <v>20133.8499999999</v>
          </cell>
        </row>
        <row r="162">
          <cell r="A162" t="str">
            <v>PLN   Złoty</v>
          </cell>
          <cell r="E162" t="str">
            <v>KB Sprzed. bezpośrednia</v>
          </cell>
          <cell r="H162">
            <v>24</v>
          </cell>
          <cell r="J162">
            <v>956.14999999999895</v>
          </cell>
          <cell r="K162">
            <v>471.14999999999901</v>
          </cell>
          <cell r="L162">
            <v>0</v>
          </cell>
          <cell r="M162">
            <v>0</v>
          </cell>
          <cell r="N162">
            <v>471.14999999999901</v>
          </cell>
          <cell r="O162">
            <v>19107.5099999999</v>
          </cell>
          <cell r="Q162">
            <v>0</v>
          </cell>
          <cell r="R162">
            <v>19107.5099999999</v>
          </cell>
          <cell r="S162">
            <v>4343.6099999999897</v>
          </cell>
          <cell r="T162">
            <v>5.37</v>
          </cell>
          <cell r="U162">
            <v>19112.88</v>
          </cell>
        </row>
        <row r="163">
          <cell r="A163" t="str">
            <v>PLN   Złoty</v>
          </cell>
          <cell r="E163" t="str">
            <v>KB Sprzed. bezpośrednia</v>
          </cell>
          <cell r="H163">
            <v>62</v>
          </cell>
          <cell r="J163">
            <v>2536.1999999999898</v>
          </cell>
          <cell r="K163">
            <v>1217.1400000000001</v>
          </cell>
          <cell r="L163">
            <v>1484.88</v>
          </cell>
          <cell r="M163">
            <v>0</v>
          </cell>
          <cell r="N163">
            <v>2702.02</v>
          </cell>
          <cell r="O163">
            <v>50912.099999999897</v>
          </cell>
          <cell r="Q163">
            <v>0</v>
          </cell>
          <cell r="R163">
            <v>50912.099999999897</v>
          </cell>
          <cell r="S163">
            <v>11294.4</v>
          </cell>
          <cell r="T163">
            <v>13.8699999999999</v>
          </cell>
          <cell r="U163">
            <v>50925.97</v>
          </cell>
        </row>
        <row r="164">
          <cell r="A164" t="str">
            <v>PLN   Złoty</v>
          </cell>
          <cell r="E164" t="str">
            <v>KB Sprzed. bezpośrednia</v>
          </cell>
          <cell r="H164">
            <v>24</v>
          </cell>
          <cell r="J164">
            <v>1002.6</v>
          </cell>
          <cell r="K164">
            <v>471.14999999999901</v>
          </cell>
          <cell r="L164">
            <v>1056.48</v>
          </cell>
          <cell r="M164">
            <v>0</v>
          </cell>
          <cell r="N164">
            <v>1527.63</v>
          </cell>
          <cell r="O164">
            <v>21227.299999999901</v>
          </cell>
          <cell r="Q164">
            <v>0</v>
          </cell>
          <cell r="R164">
            <v>21227.299999999901</v>
          </cell>
          <cell r="S164">
            <v>3364.3</v>
          </cell>
          <cell r="T164">
            <v>5.6799999999999899</v>
          </cell>
          <cell r="U164">
            <v>21232.98</v>
          </cell>
        </row>
        <row r="165">
          <cell r="A165" t="str">
            <v>PLN   Złoty</v>
          </cell>
          <cell r="E165" t="str">
            <v>KB Sprzed. bezpośrednia</v>
          </cell>
          <cell r="H165">
            <v>24</v>
          </cell>
          <cell r="J165">
            <v>1012.73</v>
          </cell>
          <cell r="K165">
            <v>471.14999999999901</v>
          </cell>
          <cell r="L165">
            <v>1424.64</v>
          </cell>
          <cell r="M165">
            <v>0</v>
          </cell>
          <cell r="N165">
            <v>1895.79</v>
          </cell>
          <cell r="O165">
            <v>20588.73</v>
          </cell>
          <cell r="Q165">
            <v>0</v>
          </cell>
          <cell r="R165">
            <v>20588.73</v>
          </cell>
          <cell r="S165">
            <v>4251.2700000000004</v>
          </cell>
          <cell r="T165">
            <v>5.37</v>
          </cell>
          <cell r="U165">
            <v>20594.0999999999</v>
          </cell>
        </row>
        <row r="166">
          <cell r="A166" t="str">
            <v>PLN   Złoty</v>
          </cell>
          <cell r="E166" t="str">
            <v>KB Sprzed. bezpośrednia</v>
          </cell>
          <cell r="H166">
            <v>13</v>
          </cell>
          <cell r="J166">
            <v>525.65999999999894</v>
          </cell>
          <cell r="K166">
            <v>255.19999999999899</v>
          </cell>
          <cell r="L166">
            <v>0</v>
          </cell>
          <cell r="M166">
            <v>0</v>
          </cell>
          <cell r="N166">
            <v>255.19999999999899</v>
          </cell>
          <cell r="O166">
            <v>10357.639999999899</v>
          </cell>
          <cell r="Q166">
            <v>0</v>
          </cell>
          <cell r="R166">
            <v>10357.639999999899</v>
          </cell>
          <cell r="S166">
            <v>2537.4499999999898</v>
          </cell>
          <cell r="T166">
            <v>2.91</v>
          </cell>
          <cell r="U166">
            <v>10360.549999999899</v>
          </cell>
        </row>
        <row r="167">
          <cell r="A167" t="str">
            <v>PLN   Złoty</v>
          </cell>
          <cell r="E167" t="str">
            <v>KB Sprzed. bezpośrednia</v>
          </cell>
          <cell r="H167">
            <v>25</v>
          </cell>
          <cell r="J167">
            <v>1027.3</v>
          </cell>
          <cell r="K167">
            <v>490.77999999999901</v>
          </cell>
          <cell r="L167">
            <v>924.40999999999894</v>
          </cell>
          <cell r="M167">
            <v>0</v>
          </cell>
          <cell r="N167">
            <v>1415.19</v>
          </cell>
          <cell r="O167">
            <v>20859.38</v>
          </cell>
          <cell r="Q167">
            <v>0</v>
          </cell>
          <cell r="R167">
            <v>20859.38</v>
          </cell>
          <cell r="S167">
            <v>4337.8699999999899</v>
          </cell>
          <cell r="T167">
            <v>5.5899999999999901</v>
          </cell>
          <cell r="U167">
            <v>20864.97</v>
          </cell>
        </row>
        <row r="168">
          <cell r="A168" t="str">
            <v>PLN   Złoty</v>
          </cell>
          <cell r="E168" t="str">
            <v>KB Sprzed. bezpośrednia</v>
          </cell>
          <cell r="H168">
            <v>34</v>
          </cell>
          <cell r="J168">
            <v>1380.69</v>
          </cell>
          <cell r="K168">
            <v>667.48</v>
          </cell>
          <cell r="L168">
            <v>0</v>
          </cell>
          <cell r="M168">
            <v>0</v>
          </cell>
          <cell r="N168">
            <v>667.48</v>
          </cell>
          <cell r="O168">
            <v>27095.139999999901</v>
          </cell>
          <cell r="Q168">
            <v>0</v>
          </cell>
          <cell r="R168">
            <v>27095.139999999901</v>
          </cell>
          <cell r="S168">
            <v>6769.3999999999896</v>
          </cell>
          <cell r="T168">
            <v>7.61</v>
          </cell>
          <cell r="U168">
            <v>27102.75</v>
          </cell>
        </row>
        <row r="169">
          <cell r="A169" t="str">
            <v>PLN   Złoty</v>
          </cell>
          <cell r="E169" t="str">
            <v>KB Sprzed. bezpośrednia</v>
          </cell>
          <cell r="H169">
            <v>25</v>
          </cell>
          <cell r="J169">
            <v>1017.1799999999899</v>
          </cell>
          <cell r="K169">
            <v>490.77999999999901</v>
          </cell>
          <cell r="L169">
            <v>0</v>
          </cell>
          <cell r="M169">
            <v>0</v>
          </cell>
          <cell r="N169">
            <v>490.77999999999901</v>
          </cell>
          <cell r="O169">
            <v>22407.23</v>
          </cell>
          <cell r="Q169">
            <v>0</v>
          </cell>
          <cell r="R169">
            <v>22407.23</v>
          </cell>
          <cell r="S169">
            <v>2541.77</v>
          </cell>
          <cell r="T169">
            <v>6.3499999999999899</v>
          </cell>
          <cell r="U169">
            <v>22413.58</v>
          </cell>
        </row>
        <row r="170">
          <cell r="A170" t="str">
            <v>PLN   Złoty</v>
          </cell>
          <cell r="E170" t="str">
            <v>KB Sprzed. bezpośrednia</v>
          </cell>
          <cell r="H170">
            <v>12</v>
          </cell>
          <cell r="J170">
            <v>414.58999999999901</v>
          </cell>
          <cell r="K170">
            <v>274.08999999999901</v>
          </cell>
          <cell r="L170">
            <v>515.03999999999905</v>
          </cell>
          <cell r="M170">
            <v>0</v>
          </cell>
          <cell r="N170">
            <v>789.13</v>
          </cell>
          <cell r="O170">
            <v>8666.69</v>
          </cell>
          <cell r="Q170">
            <v>0</v>
          </cell>
          <cell r="R170">
            <v>8666.69</v>
          </cell>
          <cell r="S170">
            <v>1502.71</v>
          </cell>
          <cell r="T170">
            <v>2.27</v>
          </cell>
          <cell r="U170">
            <v>8668.95999999999</v>
          </cell>
        </row>
        <row r="171">
          <cell r="A171" t="str">
            <v>PLN   Złoty</v>
          </cell>
          <cell r="E171" t="str">
            <v>KB Sprzed. bezpośrednia</v>
          </cell>
          <cell r="H171">
            <v>24</v>
          </cell>
          <cell r="J171">
            <v>843.85</v>
          </cell>
          <cell r="K171">
            <v>548.17999999999904</v>
          </cell>
          <cell r="L171">
            <v>1931.52</v>
          </cell>
          <cell r="M171">
            <v>0</v>
          </cell>
          <cell r="N171">
            <v>2479.6999999999898</v>
          </cell>
          <cell r="O171">
            <v>18249.48</v>
          </cell>
          <cell r="Q171">
            <v>0</v>
          </cell>
          <cell r="R171">
            <v>18249.48</v>
          </cell>
          <cell r="S171">
            <v>2448.36</v>
          </cell>
          <cell r="T171">
            <v>4.53</v>
          </cell>
          <cell r="U171">
            <v>18254.0099999999</v>
          </cell>
        </row>
        <row r="172">
          <cell r="A172" t="str">
            <v>PLN   Złoty</v>
          </cell>
          <cell r="E172" t="str">
            <v>KB Sprzed. bezpośrednia</v>
          </cell>
          <cell r="H172">
            <v>48</v>
          </cell>
          <cell r="J172">
            <v>1651.76</v>
          </cell>
          <cell r="K172">
            <v>1096.3699999999899</v>
          </cell>
          <cell r="L172">
            <v>2533.44</v>
          </cell>
          <cell r="M172">
            <v>0</v>
          </cell>
          <cell r="N172">
            <v>3629.8099999999899</v>
          </cell>
          <cell r="O172">
            <v>35133.43</v>
          </cell>
          <cell r="Q172">
            <v>0</v>
          </cell>
          <cell r="R172">
            <v>35133.43</v>
          </cell>
          <cell r="S172">
            <v>5380.97</v>
          </cell>
          <cell r="T172">
            <v>9.07</v>
          </cell>
          <cell r="U172">
            <v>35142.5</v>
          </cell>
        </row>
        <row r="173">
          <cell r="A173" t="str">
            <v>PLN   Złoty</v>
          </cell>
          <cell r="E173" t="str">
            <v>KB Sprzed. bezpośrednia</v>
          </cell>
          <cell r="H173">
            <v>24</v>
          </cell>
          <cell r="J173">
            <v>840.48</v>
          </cell>
          <cell r="K173">
            <v>548.17999999999904</v>
          </cell>
          <cell r="L173">
            <v>1684.5599999999899</v>
          </cell>
          <cell r="M173">
            <v>0</v>
          </cell>
          <cell r="N173">
            <v>2232.7399999999898</v>
          </cell>
          <cell r="O173">
            <v>17999.150000000001</v>
          </cell>
          <cell r="Q173">
            <v>0</v>
          </cell>
          <cell r="R173">
            <v>17999.150000000001</v>
          </cell>
          <cell r="S173">
            <v>2615.65</v>
          </cell>
          <cell r="T173">
            <v>4.53</v>
          </cell>
          <cell r="U173">
            <v>18003.68</v>
          </cell>
        </row>
        <row r="174">
          <cell r="A174" t="str">
            <v>PLN   Złoty</v>
          </cell>
          <cell r="E174" t="str">
            <v>KB Sprzed. bezpośrednia</v>
          </cell>
          <cell r="H174">
            <v>24</v>
          </cell>
          <cell r="J174">
            <v>802.38</v>
          </cell>
          <cell r="K174">
            <v>548.17999999999904</v>
          </cell>
          <cell r="L174">
            <v>0</v>
          </cell>
          <cell r="M174">
            <v>0</v>
          </cell>
          <cell r="N174">
            <v>548.17999999999904</v>
          </cell>
          <cell r="O174">
            <v>16276.49</v>
          </cell>
          <cell r="Q174">
            <v>0</v>
          </cell>
          <cell r="R174">
            <v>16276.49</v>
          </cell>
          <cell r="S174">
            <v>3403.51</v>
          </cell>
          <cell r="T174">
            <v>4.53</v>
          </cell>
          <cell r="U174">
            <v>16281.02</v>
          </cell>
        </row>
        <row r="175">
          <cell r="A175" t="str">
            <v>PLN   Złoty</v>
          </cell>
          <cell r="E175" t="str">
            <v>KB Sprzed. bezpośrednia</v>
          </cell>
          <cell r="H175">
            <v>121</v>
          </cell>
          <cell r="J175">
            <v>4027.98</v>
          </cell>
          <cell r="K175">
            <v>2763.76</v>
          </cell>
          <cell r="L175">
            <v>0</v>
          </cell>
          <cell r="M175">
            <v>0</v>
          </cell>
          <cell r="N175">
            <v>2763.76</v>
          </cell>
          <cell r="O175">
            <v>83868.08</v>
          </cell>
          <cell r="Q175">
            <v>0</v>
          </cell>
          <cell r="R175">
            <v>83868.08</v>
          </cell>
          <cell r="S175">
            <v>14929.48</v>
          </cell>
          <cell r="T175">
            <v>23.399999999999899</v>
          </cell>
          <cell r="U175">
            <v>83891.479999999894</v>
          </cell>
        </row>
        <row r="176">
          <cell r="A176" t="str">
            <v>PLN   Złoty</v>
          </cell>
          <cell r="E176" t="str">
            <v>KB Sprzed. bezpośrednia</v>
          </cell>
          <cell r="H176">
            <v>24</v>
          </cell>
          <cell r="J176">
            <v>796.71</v>
          </cell>
          <cell r="K176">
            <v>548.17999999999904</v>
          </cell>
          <cell r="L176">
            <v>0</v>
          </cell>
          <cell r="M176">
            <v>0</v>
          </cell>
          <cell r="N176">
            <v>548.17999999999904</v>
          </cell>
          <cell r="O176">
            <v>16569.209999999901</v>
          </cell>
          <cell r="Q176">
            <v>0</v>
          </cell>
          <cell r="R176">
            <v>16569.209999999901</v>
          </cell>
          <cell r="S176">
            <v>2973.03</v>
          </cell>
          <cell r="T176">
            <v>4.62</v>
          </cell>
          <cell r="U176">
            <v>16573.830000000002</v>
          </cell>
        </row>
        <row r="177">
          <cell r="A177" t="str">
            <v>PLN   Złoty</v>
          </cell>
          <cell r="E177" t="str">
            <v>KB Sprzed. bezpośrednia</v>
          </cell>
          <cell r="H177">
            <v>73</v>
          </cell>
          <cell r="J177">
            <v>2519.77</v>
          </cell>
          <cell r="K177">
            <v>1667.4</v>
          </cell>
          <cell r="L177">
            <v>4713.04</v>
          </cell>
          <cell r="M177">
            <v>0</v>
          </cell>
          <cell r="N177">
            <v>6380.4399999999896</v>
          </cell>
          <cell r="O177">
            <v>54299.91</v>
          </cell>
          <cell r="Q177">
            <v>0</v>
          </cell>
          <cell r="R177">
            <v>54299.91</v>
          </cell>
          <cell r="S177">
            <v>7505.04</v>
          </cell>
          <cell r="T177">
            <v>13.7899999999999</v>
          </cell>
          <cell r="U177">
            <v>54313.699999999903</v>
          </cell>
        </row>
        <row r="178">
          <cell r="A178" t="str">
            <v>PLN   Złoty</v>
          </cell>
          <cell r="E178" t="str">
            <v>KB Sprzed. bezpośrednia</v>
          </cell>
          <cell r="H178">
            <v>48</v>
          </cell>
          <cell r="J178">
            <v>1687.72</v>
          </cell>
          <cell r="K178">
            <v>1096.3699999999899</v>
          </cell>
          <cell r="L178">
            <v>3180</v>
          </cell>
          <cell r="M178">
            <v>0</v>
          </cell>
          <cell r="N178">
            <v>4276.3699999999899</v>
          </cell>
          <cell r="O178">
            <v>35815.949999999903</v>
          </cell>
          <cell r="Q178">
            <v>0</v>
          </cell>
          <cell r="R178">
            <v>35815.949999999903</v>
          </cell>
          <cell r="S178">
            <v>5579.7299999999896</v>
          </cell>
          <cell r="T178">
            <v>9.07</v>
          </cell>
          <cell r="U178">
            <v>35825.019999999902</v>
          </cell>
        </row>
        <row r="179">
          <cell r="A179" t="str">
            <v>PLN   Złoty</v>
          </cell>
          <cell r="E179" t="str">
            <v>KB Sprzed. bezpośrednia</v>
          </cell>
          <cell r="H179">
            <v>25.52</v>
          </cell>
          <cell r="J179">
            <v>816.2</v>
          </cell>
          <cell r="K179">
            <v>582.88999999999896</v>
          </cell>
          <cell r="L179">
            <v>0</v>
          </cell>
          <cell r="M179">
            <v>0</v>
          </cell>
          <cell r="N179">
            <v>582.88999999999896</v>
          </cell>
          <cell r="O179">
            <v>16735.709999999901</v>
          </cell>
          <cell r="Q179">
            <v>0</v>
          </cell>
          <cell r="R179">
            <v>16735.709999999901</v>
          </cell>
          <cell r="S179">
            <v>3283.96</v>
          </cell>
          <cell r="T179">
            <v>4.66</v>
          </cell>
          <cell r="U179">
            <v>16740.369999999901</v>
          </cell>
        </row>
        <row r="180">
          <cell r="A180" t="str">
            <v>PLN   Złoty</v>
          </cell>
          <cell r="E180" t="str">
            <v>KB Sprzed. bezpośrednia</v>
          </cell>
          <cell r="H180">
            <v>36</v>
          </cell>
          <cell r="J180">
            <v>1191.51</v>
          </cell>
          <cell r="K180">
            <v>822.26999999999896</v>
          </cell>
          <cell r="L180">
            <v>0</v>
          </cell>
          <cell r="M180">
            <v>0</v>
          </cell>
          <cell r="N180">
            <v>822.26999999999896</v>
          </cell>
          <cell r="O180">
            <v>24402.68</v>
          </cell>
          <cell r="Q180">
            <v>0</v>
          </cell>
          <cell r="R180">
            <v>24402.68</v>
          </cell>
          <cell r="S180">
            <v>4822.1199999999899</v>
          </cell>
          <cell r="T180">
            <v>6.7999999999999901</v>
          </cell>
          <cell r="U180">
            <v>24409.48</v>
          </cell>
        </row>
        <row r="181">
          <cell r="A181" t="str">
            <v>PLN   Złoty</v>
          </cell>
          <cell r="E181" t="str">
            <v>KB Sprzed. bezpośrednia</v>
          </cell>
          <cell r="H181">
            <v>16</v>
          </cell>
          <cell r="J181">
            <v>550.57000000000005</v>
          </cell>
          <cell r="K181">
            <v>365.44999999999902</v>
          </cell>
          <cell r="L181">
            <v>946.08</v>
          </cell>
          <cell r="M181">
            <v>0</v>
          </cell>
          <cell r="N181">
            <v>1311.53</v>
          </cell>
          <cell r="O181">
            <v>11812.719999999899</v>
          </cell>
          <cell r="Q181">
            <v>0</v>
          </cell>
          <cell r="R181">
            <v>11812.719999999899</v>
          </cell>
          <cell r="S181">
            <v>1692.0799999999899</v>
          </cell>
          <cell r="T181">
            <v>3.02</v>
          </cell>
          <cell r="U181">
            <v>11815.74</v>
          </cell>
        </row>
        <row r="182">
          <cell r="A182" t="str">
            <v>PLN   Złoty</v>
          </cell>
          <cell r="E182" t="str">
            <v>KB Sprzed. bezpośrednia</v>
          </cell>
          <cell r="H182">
            <v>25</v>
          </cell>
          <cell r="J182">
            <v>861.24</v>
          </cell>
          <cell r="K182">
            <v>571.01999999999896</v>
          </cell>
          <cell r="L182">
            <v>2280.36</v>
          </cell>
          <cell r="M182">
            <v>0</v>
          </cell>
          <cell r="N182">
            <v>2851.38</v>
          </cell>
          <cell r="O182">
            <v>19260.459999999901</v>
          </cell>
          <cell r="Q182">
            <v>0</v>
          </cell>
          <cell r="R182">
            <v>19260.459999999901</v>
          </cell>
          <cell r="S182">
            <v>1864.54</v>
          </cell>
          <cell r="T182">
            <v>4.71999999999999</v>
          </cell>
          <cell r="U182">
            <v>19265.18</v>
          </cell>
        </row>
        <row r="183">
          <cell r="A183" t="str">
            <v>PLN   Złoty</v>
          </cell>
          <cell r="E183" t="str">
            <v>KB Sprzed. bezpośrednia</v>
          </cell>
          <cell r="H183">
            <v>107.94</v>
          </cell>
          <cell r="J183">
            <v>3455.71</v>
          </cell>
          <cell r="K183">
            <v>2465.46</v>
          </cell>
          <cell r="L183">
            <v>0</v>
          </cell>
          <cell r="M183">
            <v>0</v>
          </cell>
          <cell r="N183">
            <v>2465.46</v>
          </cell>
          <cell r="O183">
            <v>70789.320000000007</v>
          </cell>
          <cell r="Q183">
            <v>0</v>
          </cell>
          <cell r="R183">
            <v>70789.320000000007</v>
          </cell>
          <cell r="S183">
            <v>13971.65</v>
          </cell>
          <cell r="T183">
            <v>19.71</v>
          </cell>
          <cell r="U183">
            <v>70809.029999999897</v>
          </cell>
        </row>
        <row r="184">
          <cell r="A184" t="str">
            <v>PLN   Złoty</v>
          </cell>
          <cell r="E184" t="str">
            <v>KB Sprzed. bezpośrednia</v>
          </cell>
          <cell r="H184">
            <v>64</v>
          </cell>
          <cell r="J184">
            <v>2193.4499999999898</v>
          </cell>
          <cell r="K184">
            <v>1461.8299999999899</v>
          </cell>
          <cell r="L184">
            <v>2596.4</v>
          </cell>
          <cell r="M184">
            <v>0</v>
          </cell>
          <cell r="N184">
            <v>4058.23</v>
          </cell>
          <cell r="O184">
            <v>46054.239999999903</v>
          </cell>
          <cell r="Q184">
            <v>0</v>
          </cell>
          <cell r="R184">
            <v>46054.239999999903</v>
          </cell>
          <cell r="S184">
            <v>7746</v>
          </cell>
          <cell r="T184">
            <v>12.09</v>
          </cell>
          <cell r="U184">
            <v>46066.33</v>
          </cell>
        </row>
        <row r="185">
          <cell r="A185" t="str">
            <v>PLN   Złoty</v>
          </cell>
          <cell r="E185" t="str">
            <v>KB Sprzed. bezpośrednia</v>
          </cell>
          <cell r="H185">
            <v>60</v>
          </cell>
          <cell r="J185">
            <v>2099.4099999999899</v>
          </cell>
          <cell r="K185">
            <v>1370.46</v>
          </cell>
          <cell r="L185">
            <v>2345.2800000000002</v>
          </cell>
          <cell r="M185">
            <v>0</v>
          </cell>
          <cell r="N185">
            <v>3715.7399999999898</v>
          </cell>
          <cell r="O185">
            <v>45599.62</v>
          </cell>
          <cell r="Q185">
            <v>0</v>
          </cell>
          <cell r="R185">
            <v>45599.62</v>
          </cell>
          <cell r="S185">
            <v>5894.06</v>
          </cell>
          <cell r="T185">
            <v>12.09</v>
          </cell>
          <cell r="U185">
            <v>45611.709999999897</v>
          </cell>
        </row>
        <row r="186">
          <cell r="A186" t="str">
            <v>PLN   Złoty</v>
          </cell>
          <cell r="E186" t="str">
            <v>KB Sprzed. bezpośrednia</v>
          </cell>
          <cell r="H186">
            <v>24</v>
          </cell>
          <cell r="J186">
            <v>835.38999999999896</v>
          </cell>
          <cell r="K186">
            <v>548.17999999999904</v>
          </cell>
          <cell r="L186">
            <v>1590</v>
          </cell>
          <cell r="M186">
            <v>0</v>
          </cell>
          <cell r="N186">
            <v>2138.1799999999898</v>
          </cell>
          <cell r="O186">
            <v>17899.5</v>
          </cell>
          <cell r="Q186">
            <v>0</v>
          </cell>
          <cell r="R186">
            <v>17899.5</v>
          </cell>
          <cell r="S186">
            <v>2590.7399999999898</v>
          </cell>
          <cell r="T186">
            <v>4.53</v>
          </cell>
          <cell r="U186">
            <v>17904.029999999901</v>
          </cell>
        </row>
        <row r="187">
          <cell r="A187" t="str">
            <v>PLN   Złoty</v>
          </cell>
          <cell r="E187" t="str">
            <v>KB Sprzed. bezpośrednia</v>
          </cell>
          <cell r="H187">
            <v>25</v>
          </cell>
          <cell r="J187">
            <v>852.63999999999896</v>
          </cell>
          <cell r="K187">
            <v>571.01999999999896</v>
          </cell>
          <cell r="L187">
            <v>1345.53</v>
          </cell>
          <cell r="M187">
            <v>0</v>
          </cell>
          <cell r="N187">
            <v>1916.55</v>
          </cell>
          <cell r="O187">
            <v>18317.029999999901</v>
          </cell>
          <cell r="Q187">
            <v>0</v>
          </cell>
          <cell r="R187">
            <v>18317.029999999901</v>
          </cell>
          <cell r="S187">
            <v>2596.7199999999898</v>
          </cell>
          <cell r="T187">
            <v>4.71999999999999</v>
          </cell>
          <cell r="U187">
            <v>18321.75</v>
          </cell>
        </row>
        <row r="188">
          <cell r="A188" t="str">
            <v>PLN   Złoty</v>
          </cell>
          <cell r="E188" t="str">
            <v>KB Sprzed. bezpośrednia</v>
          </cell>
          <cell r="H188">
            <v>24</v>
          </cell>
          <cell r="J188">
            <v>843.85</v>
          </cell>
          <cell r="K188">
            <v>548.17999999999904</v>
          </cell>
          <cell r="L188">
            <v>1779.1199999999899</v>
          </cell>
          <cell r="M188">
            <v>0</v>
          </cell>
          <cell r="N188">
            <v>2327.3000000000002</v>
          </cell>
          <cell r="O188">
            <v>18097.080000000002</v>
          </cell>
          <cell r="Q188">
            <v>0</v>
          </cell>
          <cell r="R188">
            <v>18097.080000000002</v>
          </cell>
          <cell r="S188">
            <v>2600.7600000000002</v>
          </cell>
          <cell r="T188">
            <v>4.53</v>
          </cell>
          <cell r="U188">
            <v>18101.61</v>
          </cell>
        </row>
        <row r="189">
          <cell r="A189" t="str">
            <v>PLN   Złoty</v>
          </cell>
          <cell r="E189" t="str">
            <v>KB Sprzed. bezpośrednia</v>
          </cell>
          <cell r="H189">
            <v>46</v>
          </cell>
          <cell r="J189">
            <v>1531.1199999999899</v>
          </cell>
          <cell r="K189">
            <v>1050.68</v>
          </cell>
          <cell r="L189">
            <v>0</v>
          </cell>
          <cell r="M189">
            <v>0</v>
          </cell>
          <cell r="N189">
            <v>1050.68</v>
          </cell>
          <cell r="O189">
            <v>31919.75</v>
          </cell>
          <cell r="Q189">
            <v>0</v>
          </cell>
          <cell r="R189">
            <v>31919.75</v>
          </cell>
          <cell r="S189">
            <v>5635.1099999999897</v>
          </cell>
          <cell r="T189">
            <v>8.91</v>
          </cell>
          <cell r="U189">
            <v>31928.66</v>
          </cell>
        </row>
        <row r="190">
          <cell r="A190" t="str">
            <v>PLN   Złoty</v>
          </cell>
          <cell r="E190" t="str">
            <v>KB Sprzed. bezpośrednia</v>
          </cell>
          <cell r="H190">
            <v>15</v>
          </cell>
          <cell r="J190">
            <v>503.97</v>
          </cell>
          <cell r="K190">
            <v>342.62</v>
          </cell>
          <cell r="L190">
            <v>0</v>
          </cell>
          <cell r="M190">
            <v>0</v>
          </cell>
          <cell r="N190">
            <v>342.62</v>
          </cell>
          <cell r="O190">
            <v>11224.18</v>
          </cell>
          <cell r="Q190">
            <v>0</v>
          </cell>
          <cell r="R190">
            <v>11224.18</v>
          </cell>
          <cell r="S190">
            <v>1137.92</v>
          </cell>
          <cell r="T190">
            <v>3.1499999999999901</v>
          </cell>
          <cell r="U190">
            <v>11227.33</v>
          </cell>
        </row>
        <row r="191">
          <cell r="A191" t="str">
            <v>PLN   Złoty</v>
          </cell>
          <cell r="E191" t="str">
            <v>KB Sprzed. bezpośrednia</v>
          </cell>
          <cell r="H191">
            <v>51</v>
          </cell>
          <cell r="J191">
            <v>1721.0599999999899</v>
          </cell>
          <cell r="K191">
            <v>1164.8800000000001</v>
          </cell>
          <cell r="L191">
            <v>920.30999999999904</v>
          </cell>
          <cell r="M191">
            <v>0</v>
          </cell>
          <cell r="N191">
            <v>2085.19</v>
          </cell>
          <cell r="O191">
            <v>36837.68</v>
          </cell>
          <cell r="Q191">
            <v>0</v>
          </cell>
          <cell r="R191">
            <v>36837.68</v>
          </cell>
          <cell r="S191">
            <v>5375.39</v>
          </cell>
          <cell r="T191">
            <v>10.0299999999999</v>
          </cell>
          <cell r="U191">
            <v>36847.709999999897</v>
          </cell>
        </row>
        <row r="192">
          <cell r="A192" t="str">
            <v>PLN   Złoty</v>
          </cell>
          <cell r="E192" t="str">
            <v>KB Sprzed. bezpośrednia</v>
          </cell>
          <cell r="H192">
            <v>12</v>
          </cell>
          <cell r="J192">
            <v>407.26999999999902</v>
          </cell>
          <cell r="K192">
            <v>274.08999999999901</v>
          </cell>
          <cell r="L192">
            <v>0</v>
          </cell>
          <cell r="M192">
            <v>0</v>
          </cell>
          <cell r="N192">
            <v>274.08999999999901</v>
          </cell>
          <cell r="O192">
            <v>8983.43</v>
          </cell>
          <cell r="Q192">
            <v>0</v>
          </cell>
          <cell r="R192">
            <v>8983.43</v>
          </cell>
          <cell r="S192">
            <v>1006.57</v>
          </cell>
          <cell r="T192">
            <v>2.52</v>
          </cell>
          <cell r="U192">
            <v>8985.9500000000007</v>
          </cell>
        </row>
        <row r="193">
          <cell r="A193" t="str">
            <v>PLN   Złoty</v>
          </cell>
          <cell r="E193" t="str">
            <v>KB Sprzed. bezpośrednia</v>
          </cell>
          <cell r="H193">
            <v>60</v>
          </cell>
          <cell r="J193">
            <v>2095.0999999999899</v>
          </cell>
          <cell r="K193">
            <v>1370.46</v>
          </cell>
          <cell r="L193">
            <v>5138.04</v>
          </cell>
          <cell r="M193">
            <v>0</v>
          </cell>
          <cell r="N193">
            <v>6508.5</v>
          </cell>
          <cell r="O193">
            <v>45918.43</v>
          </cell>
          <cell r="Q193">
            <v>0</v>
          </cell>
          <cell r="R193">
            <v>45918.43</v>
          </cell>
          <cell r="S193">
            <v>5469.6499999999896</v>
          </cell>
          <cell r="T193">
            <v>11.33</v>
          </cell>
          <cell r="U193">
            <v>45929.760000000002</v>
          </cell>
        </row>
        <row r="194">
          <cell r="A194" t="str">
            <v>PLN   Złoty</v>
          </cell>
          <cell r="E194" t="str">
            <v>KB Sprzed. bezpośrednia</v>
          </cell>
          <cell r="H194">
            <v>120</v>
          </cell>
          <cell r="J194">
            <v>4042.82</v>
          </cell>
          <cell r="K194">
            <v>2740.94</v>
          </cell>
          <cell r="L194">
            <v>0</v>
          </cell>
          <cell r="M194">
            <v>0</v>
          </cell>
          <cell r="N194">
            <v>2740.94</v>
          </cell>
          <cell r="O194">
            <v>81413.41</v>
          </cell>
          <cell r="Q194">
            <v>0</v>
          </cell>
          <cell r="R194">
            <v>81413.41</v>
          </cell>
          <cell r="S194">
            <v>17746.43</v>
          </cell>
          <cell r="T194">
            <v>22.67</v>
          </cell>
          <cell r="U194">
            <v>81436.08</v>
          </cell>
        </row>
        <row r="195">
          <cell r="A195" t="str">
            <v>PLN   Złoty</v>
          </cell>
          <cell r="E195" t="str">
            <v>KB Sprzed. bezpośrednia</v>
          </cell>
          <cell r="H195">
            <v>48</v>
          </cell>
          <cell r="J195">
            <v>1632.27</v>
          </cell>
          <cell r="K195">
            <v>1096.3699999999899</v>
          </cell>
          <cell r="L195">
            <v>1200.96</v>
          </cell>
          <cell r="M195">
            <v>0</v>
          </cell>
          <cell r="N195">
            <v>2297.3299999999899</v>
          </cell>
          <cell r="O195">
            <v>33781.459999999897</v>
          </cell>
          <cell r="Q195">
            <v>0</v>
          </cell>
          <cell r="R195">
            <v>33781.459999999897</v>
          </cell>
          <cell r="S195">
            <v>6254.14</v>
          </cell>
          <cell r="T195">
            <v>9.07</v>
          </cell>
          <cell r="U195">
            <v>33790.529999999897</v>
          </cell>
        </row>
        <row r="196">
          <cell r="A196" t="str">
            <v>PLN   Złoty</v>
          </cell>
          <cell r="E196" t="str">
            <v>KB Sprzed. bezpośrednia</v>
          </cell>
          <cell r="H196">
            <v>216.5</v>
          </cell>
          <cell r="J196">
            <v>7625.52</v>
          </cell>
          <cell r="K196">
            <v>4945.1000000000004</v>
          </cell>
          <cell r="L196">
            <v>1661.88</v>
          </cell>
          <cell r="M196">
            <v>0</v>
          </cell>
          <cell r="N196">
            <v>6606.9799999999896</v>
          </cell>
          <cell r="O196">
            <v>158694.1</v>
          </cell>
          <cell r="Q196">
            <v>0</v>
          </cell>
          <cell r="R196">
            <v>158694.1</v>
          </cell>
          <cell r="S196">
            <v>28342.139999999901</v>
          </cell>
          <cell r="T196">
            <v>43.89</v>
          </cell>
          <cell r="U196">
            <v>158737.989999999</v>
          </cell>
        </row>
        <row r="197">
          <cell r="A197" t="str">
            <v>PLN   Złoty</v>
          </cell>
          <cell r="E197" t="str">
            <v>KB Sprzed. bezpośrednia</v>
          </cell>
          <cell r="H197">
            <v>320.5</v>
          </cell>
          <cell r="J197">
            <v>11474.12</v>
          </cell>
          <cell r="K197">
            <v>7320.5699999999897</v>
          </cell>
          <cell r="L197">
            <v>16049.04</v>
          </cell>
          <cell r="M197">
            <v>0</v>
          </cell>
          <cell r="N197">
            <v>23369.61</v>
          </cell>
          <cell r="O197">
            <v>240708.95</v>
          </cell>
          <cell r="Q197">
            <v>0</v>
          </cell>
          <cell r="R197">
            <v>240708.95</v>
          </cell>
          <cell r="S197">
            <v>40722.669999999896</v>
          </cell>
          <cell r="T197">
            <v>62.549999999999898</v>
          </cell>
          <cell r="U197">
            <v>240771.5</v>
          </cell>
        </row>
        <row r="198">
          <cell r="A198" t="str">
            <v>PLN   Złoty</v>
          </cell>
          <cell r="E198" t="str">
            <v>KB Sprzed. bezpośrednia</v>
          </cell>
          <cell r="H198">
            <v>36</v>
          </cell>
          <cell r="J198">
            <v>1237.6500000000001</v>
          </cell>
          <cell r="K198">
            <v>822.26999999999896</v>
          </cell>
          <cell r="L198">
            <v>1992.72</v>
          </cell>
          <cell r="M198">
            <v>0</v>
          </cell>
          <cell r="N198">
            <v>2814.9899999999898</v>
          </cell>
          <cell r="O198">
            <v>26441.54</v>
          </cell>
          <cell r="Q198">
            <v>0</v>
          </cell>
          <cell r="R198">
            <v>26441.54</v>
          </cell>
          <cell r="S198">
            <v>3914.86</v>
          </cell>
          <cell r="T198">
            <v>6.7999999999999901</v>
          </cell>
          <cell r="U198">
            <v>26448.34</v>
          </cell>
        </row>
        <row r="199">
          <cell r="A199" t="str">
            <v>PLN   Złoty</v>
          </cell>
          <cell r="E199" t="str">
            <v>KB Sprzed. bezpośrednia</v>
          </cell>
          <cell r="H199">
            <v>48</v>
          </cell>
          <cell r="J199">
            <v>1687.72</v>
          </cell>
          <cell r="K199">
            <v>1096.3699999999899</v>
          </cell>
          <cell r="L199">
            <v>3037.92</v>
          </cell>
          <cell r="M199">
            <v>0</v>
          </cell>
          <cell r="N199">
            <v>4134.29</v>
          </cell>
          <cell r="O199">
            <v>35673.870000000003</v>
          </cell>
          <cell r="Q199">
            <v>0</v>
          </cell>
          <cell r="R199">
            <v>35673.870000000003</v>
          </cell>
          <cell r="S199">
            <v>5721.81</v>
          </cell>
          <cell r="T199">
            <v>9.07</v>
          </cell>
          <cell r="U199">
            <v>35682.94</v>
          </cell>
        </row>
        <row r="200">
          <cell r="A200" t="str">
            <v>PLN   Złoty</v>
          </cell>
          <cell r="E200" t="str">
            <v>KB Sprzed. bezpośrednia</v>
          </cell>
          <cell r="H200">
            <v>166</v>
          </cell>
          <cell r="J200">
            <v>5655.3</v>
          </cell>
          <cell r="K200">
            <v>3791.6199999999899</v>
          </cell>
          <cell r="L200">
            <v>4406.88</v>
          </cell>
          <cell r="M200">
            <v>0</v>
          </cell>
          <cell r="N200">
            <v>8198.5</v>
          </cell>
          <cell r="O200">
            <v>119719.16</v>
          </cell>
          <cell r="Q200">
            <v>0</v>
          </cell>
          <cell r="R200">
            <v>119719.16</v>
          </cell>
          <cell r="S200">
            <v>18990.88</v>
          </cell>
          <cell r="T200">
            <v>32.17</v>
          </cell>
          <cell r="U200">
            <v>119751.33</v>
          </cell>
        </row>
        <row r="201">
          <cell r="A201" t="str">
            <v>PLN   Złoty</v>
          </cell>
          <cell r="E201" t="str">
            <v>KB Sprzed. bezpośrednia</v>
          </cell>
          <cell r="H201">
            <v>14</v>
          </cell>
          <cell r="J201">
            <v>464.76999999999902</v>
          </cell>
          <cell r="K201">
            <v>319.76999999999902</v>
          </cell>
          <cell r="L201">
            <v>0</v>
          </cell>
          <cell r="M201">
            <v>0</v>
          </cell>
          <cell r="N201">
            <v>319.76999999999902</v>
          </cell>
          <cell r="O201">
            <v>10067.58</v>
          </cell>
          <cell r="Q201">
            <v>0</v>
          </cell>
          <cell r="R201">
            <v>10067.58</v>
          </cell>
          <cell r="S201">
            <v>1332.0599999999899</v>
          </cell>
          <cell r="T201">
            <v>2.8199999999999901</v>
          </cell>
          <cell r="U201">
            <v>10070.4</v>
          </cell>
        </row>
        <row r="202">
          <cell r="A202" t="str">
            <v>PLN   Złoty</v>
          </cell>
          <cell r="E202" t="str">
            <v>KB Sprzed. bezpośrednia</v>
          </cell>
          <cell r="H202">
            <v>72</v>
          </cell>
          <cell r="J202">
            <v>2517.17</v>
          </cell>
          <cell r="K202">
            <v>1644.55</v>
          </cell>
          <cell r="L202">
            <v>5337.3599999999897</v>
          </cell>
          <cell r="M202">
            <v>0</v>
          </cell>
          <cell r="N202">
            <v>6981.9099999999899</v>
          </cell>
          <cell r="O202">
            <v>54276.87</v>
          </cell>
          <cell r="Q202">
            <v>0</v>
          </cell>
          <cell r="R202">
            <v>54276.87</v>
          </cell>
          <cell r="S202">
            <v>7463.6099999999897</v>
          </cell>
          <cell r="T202">
            <v>13.6</v>
          </cell>
          <cell r="U202">
            <v>54290.47</v>
          </cell>
        </row>
        <row r="203">
          <cell r="A203" t="str">
            <v>PLN   Złoty</v>
          </cell>
          <cell r="E203" t="str">
            <v>KB Sprzed. bezpośrednia</v>
          </cell>
          <cell r="H203">
            <v>24</v>
          </cell>
          <cell r="J203">
            <v>802.38</v>
          </cell>
          <cell r="K203">
            <v>548.17999999999904</v>
          </cell>
          <cell r="L203">
            <v>0</v>
          </cell>
          <cell r="M203">
            <v>0</v>
          </cell>
          <cell r="N203">
            <v>548.17999999999904</v>
          </cell>
          <cell r="O203">
            <v>16276.49</v>
          </cell>
          <cell r="Q203">
            <v>0</v>
          </cell>
          <cell r="R203">
            <v>16276.49</v>
          </cell>
          <cell r="S203">
            <v>3403.51</v>
          </cell>
          <cell r="T203">
            <v>4.53</v>
          </cell>
          <cell r="U203">
            <v>16281.02</v>
          </cell>
        </row>
        <row r="204">
          <cell r="A204" t="str">
            <v>PLN   Złoty</v>
          </cell>
          <cell r="E204" t="str">
            <v>KB Sprzed. bezpośrednia</v>
          </cell>
          <cell r="H204">
            <v>106</v>
          </cell>
          <cell r="J204">
            <v>3651.94</v>
          </cell>
          <cell r="K204">
            <v>2421.15</v>
          </cell>
          <cell r="L204">
            <v>7999.77</v>
          </cell>
          <cell r="M204">
            <v>0</v>
          </cell>
          <cell r="N204">
            <v>10420.92</v>
          </cell>
          <cell r="O204">
            <v>79995.710000000006</v>
          </cell>
          <cell r="Q204">
            <v>0</v>
          </cell>
          <cell r="R204">
            <v>79995.710000000006</v>
          </cell>
          <cell r="S204">
            <v>9576.3899999999903</v>
          </cell>
          <cell r="T204">
            <v>20.0399999999999</v>
          </cell>
          <cell r="U204">
            <v>80015.75</v>
          </cell>
        </row>
        <row r="205">
          <cell r="A205" t="str">
            <v>PLN   Złoty</v>
          </cell>
          <cell r="E205" t="str">
            <v>KB Sprzed. bezpośrednia</v>
          </cell>
          <cell r="H205">
            <v>10</v>
          </cell>
          <cell r="J205">
            <v>338.02999999999901</v>
          </cell>
          <cell r="K205">
            <v>228.41</v>
          </cell>
          <cell r="L205">
            <v>0</v>
          </cell>
          <cell r="M205">
            <v>0</v>
          </cell>
          <cell r="N205">
            <v>228.41</v>
          </cell>
          <cell r="O205">
            <v>7515.4899999999898</v>
          </cell>
          <cell r="Q205">
            <v>0</v>
          </cell>
          <cell r="R205">
            <v>7515.4899999999898</v>
          </cell>
          <cell r="S205">
            <v>776.11</v>
          </cell>
          <cell r="T205">
            <v>2.1099999999999901</v>
          </cell>
          <cell r="U205">
            <v>7517.6</v>
          </cell>
        </row>
        <row r="206">
          <cell r="A206" t="str">
            <v>PLN   Złoty</v>
          </cell>
          <cell r="E206" t="str">
            <v>KB Sprzed. bezpośrednia</v>
          </cell>
          <cell r="H206">
            <v>12</v>
          </cell>
          <cell r="J206">
            <v>403.20999999999901</v>
          </cell>
          <cell r="K206">
            <v>274.08999999999901</v>
          </cell>
          <cell r="L206">
            <v>0</v>
          </cell>
          <cell r="M206">
            <v>0</v>
          </cell>
          <cell r="N206">
            <v>274.08999999999901</v>
          </cell>
          <cell r="O206">
            <v>9016.1499999999905</v>
          </cell>
          <cell r="Q206">
            <v>0</v>
          </cell>
          <cell r="R206">
            <v>9016.1499999999905</v>
          </cell>
          <cell r="S206">
            <v>873.64999999999895</v>
          </cell>
          <cell r="T206">
            <v>2.52999999999999</v>
          </cell>
          <cell r="U206">
            <v>9018.68</v>
          </cell>
        </row>
        <row r="207">
          <cell r="A207" t="str">
            <v>PLN   Złoty</v>
          </cell>
          <cell r="E207" t="str">
            <v>KB Sprzed. bezpośrednia</v>
          </cell>
          <cell r="H207">
            <v>48</v>
          </cell>
          <cell r="J207">
            <v>1591.0699999999899</v>
          </cell>
          <cell r="K207">
            <v>1096.3699999999899</v>
          </cell>
          <cell r="L207">
            <v>0</v>
          </cell>
          <cell r="M207">
            <v>0</v>
          </cell>
          <cell r="N207">
            <v>1096.3699999999899</v>
          </cell>
          <cell r="O207">
            <v>32539.299999999901</v>
          </cell>
          <cell r="Q207">
            <v>0</v>
          </cell>
          <cell r="R207">
            <v>32539.299999999901</v>
          </cell>
          <cell r="S207">
            <v>6486.14</v>
          </cell>
          <cell r="T207">
            <v>9.07</v>
          </cell>
          <cell r="U207">
            <v>32548.369999999901</v>
          </cell>
        </row>
        <row r="208">
          <cell r="A208" t="str">
            <v>PLN   Złoty</v>
          </cell>
          <cell r="E208" t="str">
            <v>KB Sprzed. bezpośrednia</v>
          </cell>
          <cell r="H208">
            <v>48</v>
          </cell>
          <cell r="J208">
            <v>1658.44</v>
          </cell>
          <cell r="K208">
            <v>1096.3699999999899</v>
          </cell>
          <cell r="L208">
            <v>1597.92</v>
          </cell>
          <cell r="M208">
            <v>0</v>
          </cell>
          <cell r="N208">
            <v>2694.29</v>
          </cell>
          <cell r="O208">
            <v>36180.309999999903</v>
          </cell>
          <cell r="Q208">
            <v>0</v>
          </cell>
          <cell r="R208">
            <v>36180.309999999903</v>
          </cell>
          <cell r="S208">
            <v>4497.29</v>
          </cell>
          <cell r="T208">
            <v>9.6699999999999893</v>
          </cell>
          <cell r="U208">
            <v>36189.980000000003</v>
          </cell>
        </row>
        <row r="209">
          <cell r="A209" t="str">
            <v>PLN   Złoty</v>
          </cell>
          <cell r="E209" t="str">
            <v>KB Sprzed. bezpośrednia</v>
          </cell>
          <cell r="H209">
            <v>24</v>
          </cell>
          <cell r="J209">
            <v>802.38</v>
          </cell>
          <cell r="K209">
            <v>548.17999999999904</v>
          </cell>
          <cell r="L209">
            <v>0</v>
          </cell>
          <cell r="M209">
            <v>0</v>
          </cell>
          <cell r="N209">
            <v>548.17999999999904</v>
          </cell>
          <cell r="O209">
            <v>16276.49</v>
          </cell>
          <cell r="Q209">
            <v>0</v>
          </cell>
          <cell r="R209">
            <v>16276.49</v>
          </cell>
          <cell r="S209">
            <v>3403.51</v>
          </cell>
          <cell r="T209">
            <v>4.53</v>
          </cell>
          <cell r="U209">
            <v>16281.02</v>
          </cell>
        </row>
        <row r="210">
          <cell r="A210" t="str">
            <v>PLN   Złoty</v>
          </cell>
          <cell r="E210" t="str">
            <v>KB Sprzed. bezpośrednia</v>
          </cell>
          <cell r="H210">
            <v>10</v>
          </cell>
          <cell r="J210">
            <v>334.31</v>
          </cell>
          <cell r="K210">
            <v>228.41</v>
          </cell>
          <cell r="L210">
            <v>0</v>
          </cell>
          <cell r="M210">
            <v>0</v>
          </cell>
          <cell r="N210">
            <v>228.41</v>
          </cell>
          <cell r="O210">
            <v>6781.8599999999897</v>
          </cell>
          <cell r="Q210">
            <v>0</v>
          </cell>
          <cell r="R210">
            <v>6781.8599999999897</v>
          </cell>
          <cell r="S210">
            <v>1418.14</v>
          </cell>
          <cell r="T210">
            <v>1.8799999999999899</v>
          </cell>
          <cell r="U210">
            <v>6783.7399999999898</v>
          </cell>
        </row>
        <row r="211">
          <cell r="A211" t="str">
            <v>PLN   Złoty</v>
          </cell>
          <cell r="E211" t="str">
            <v>KB Sprzed. bezpośrednia</v>
          </cell>
          <cell r="H211">
            <v>24</v>
          </cell>
          <cell r="J211">
            <v>802.38</v>
          </cell>
          <cell r="K211">
            <v>548.17999999999904</v>
          </cell>
          <cell r="L211">
            <v>0</v>
          </cell>
          <cell r="M211">
            <v>0</v>
          </cell>
          <cell r="N211">
            <v>548.17999999999904</v>
          </cell>
          <cell r="O211">
            <v>17264.3499999999</v>
          </cell>
          <cell r="Q211">
            <v>0</v>
          </cell>
          <cell r="R211">
            <v>17264.3499999999</v>
          </cell>
          <cell r="S211">
            <v>2415.65</v>
          </cell>
          <cell r="T211">
            <v>4.8399999999999901</v>
          </cell>
          <cell r="U211">
            <v>17269.1899999999</v>
          </cell>
        </row>
        <row r="212">
          <cell r="A212" t="str">
            <v>PLN   Złoty</v>
          </cell>
          <cell r="E212" t="str">
            <v>KB Sprzed. bezpośrednia</v>
          </cell>
          <cell r="H212">
            <v>217</v>
          </cell>
          <cell r="J212">
            <v>7243.47</v>
          </cell>
          <cell r="K212">
            <v>4956.51</v>
          </cell>
          <cell r="L212">
            <v>1935.8499999999899</v>
          </cell>
          <cell r="M212">
            <v>0</v>
          </cell>
          <cell r="N212">
            <v>6892.3599999999897</v>
          </cell>
          <cell r="O212">
            <v>149091.109999999</v>
          </cell>
          <cell r="Q212">
            <v>0</v>
          </cell>
          <cell r="R212">
            <v>149091.109999999</v>
          </cell>
          <cell r="S212">
            <v>28573.84</v>
          </cell>
          <cell r="T212">
            <v>41.009999999999899</v>
          </cell>
          <cell r="U212">
            <v>149132.12</v>
          </cell>
        </row>
        <row r="213">
          <cell r="A213" t="str">
            <v>PLN   Złoty</v>
          </cell>
          <cell r="E213" t="str">
            <v>KB Sprzed. bezpośrednia</v>
          </cell>
          <cell r="H213">
            <v>72</v>
          </cell>
          <cell r="J213">
            <v>2440.5999999999899</v>
          </cell>
          <cell r="K213">
            <v>1644.54</v>
          </cell>
          <cell r="L213">
            <v>798.96</v>
          </cell>
          <cell r="M213">
            <v>0</v>
          </cell>
          <cell r="N213">
            <v>2443.5</v>
          </cell>
          <cell r="O213">
            <v>52642.769999999902</v>
          </cell>
          <cell r="Q213">
            <v>0</v>
          </cell>
          <cell r="R213">
            <v>52642.769999999902</v>
          </cell>
          <cell r="S213">
            <v>7219.2299999999896</v>
          </cell>
          <cell r="T213">
            <v>14.5</v>
          </cell>
          <cell r="U213">
            <v>52657.269999999902</v>
          </cell>
        </row>
        <row r="214">
          <cell r="A214" t="str">
            <v>PLN   Złoty</v>
          </cell>
          <cell r="E214" t="str">
            <v>KB Sprzed. bezpośrednia</v>
          </cell>
          <cell r="H214">
            <v>97</v>
          </cell>
          <cell r="J214">
            <v>3358.98</v>
          </cell>
          <cell r="K214">
            <v>2215.5799999999899</v>
          </cell>
          <cell r="L214">
            <v>7198.0299999999897</v>
          </cell>
          <cell r="M214">
            <v>0</v>
          </cell>
          <cell r="N214">
            <v>9413.61</v>
          </cell>
          <cell r="O214">
            <v>73098.22</v>
          </cell>
          <cell r="Q214">
            <v>0</v>
          </cell>
          <cell r="R214">
            <v>73098.22</v>
          </cell>
          <cell r="S214">
            <v>9288.68</v>
          </cell>
          <cell r="T214">
            <v>18.32</v>
          </cell>
          <cell r="U214">
            <v>73116.539999999906</v>
          </cell>
        </row>
        <row r="215">
          <cell r="A215" t="str">
            <v>PLN   Złoty</v>
          </cell>
          <cell r="E215" t="str">
            <v>KB Sprzed. bezpośrednia</v>
          </cell>
          <cell r="H215">
            <v>24</v>
          </cell>
          <cell r="J215">
            <v>796.71</v>
          </cell>
          <cell r="K215">
            <v>548.17999999999904</v>
          </cell>
          <cell r="L215">
            <v>0</v>
          </cell>
          <cell r="M215">
            <v>0</v>
          </cell>
          <cell r="N215">
            <v>548.17999999999904</v>
          </cell>
          <cell r="O215">
            <v>16270.82</v>
          </cell>
          <cell r="Q215">
            <v>0</v>
          </cell>
          <cell r="R215">
            <v>16270.82</v>
          </cell>
          <cell r="S215">
            <v>3271.42</v>
          </cell>
          <cell r="T215">
            <v>4.53</v>
          </cell>
          <cell r="U215">
            <v>16275.35</v>
          </cell>
        </row>
        <row r="216">
          <cell r="A216" t="str">
            <v>PLN   Złoty</v>
          </cell>
          <cell r="E216" t="str">
            <v>KB Sprzed. bezpośrednia</v>
          </cell>
          <cell r="H216">
            <v>24</v>
          </cell>
          <cell r="J216">
            <v>840.48</v>
          </cell>
          <cell r="K216">
            <v>548.17999999999904</v>
          </cell>
          <cell r="L216">
            <v>2119.1999999999898</v>
          </cell>
          <cell r="M216">
            <v>0</v>
          </cell>
          <cell r="N216">
            <v>2667.38</v>
          </cell>
          <cell r="O216">
            <v>18433.79</v>
          </cell>
          <cell r="Q216">
            <v>0</v>
          </cell>
          <cell r="R216">
            <v>18433.79</v>
          </cell>
          <cell r="S216">
            <v>2181.0100000000002</v>
          </cell>
          <cell r="T216">
            <v>4.53</v>
          </cell>
          <cell r="U216">
            <v>18438.32</v>
          </cell>
        </row>
        <row r="217">
          <cell r="A217" t="str">
            <v>PLN   Złoty</v>
          </cell>
          <cell r="E217" t="str">
            <v>KB Sprzed. bezpośrednia</v>
          </cell>
          <cell r="H217">
            <v>144</v>
          </cell>
          <cell r="J217">
            <v>5050.4799999999896</v>
          </cell>
          <cell r="K217">
            <v>3289.11</v>
          </cell>
          <cell r="L217">
            <v>10713.6</v>
          </cell>
          <cell r="M217">
            <v>0</v>
          </cell>
          <cell r="N217">
            <v>14002.709999999901</v>
          </cell>
          <cell r="O217">
            <v>108608.77</v>
          </cell>
          <cell r="Q217">
            <v>0</v>
          </cell>
          <cell r="R217">
            <v>108608.77</v>
          </cell>
          <cell r="S217">
            <v>15266.51</v>
          </cell>
          <cell r="T217">
            <v>27.21</v>
          </cell>
          <cell r="U217">
            <v>108635.98</v>
          </cell>
        </row>
        <row r="218">
          <cell r="A218" t="str">
            <v>PLN   Złoty</v>
          </cell>
          <cell r="E218" t="str">
            <v>KB Sprzed. bezpośrednia</v>
          </cell>
          <cell r="H218">
            <v>96</v>
          </cell>
          <cell r="J218">
            <v>3218.3899999999899</v>
          </cell>
          <cell r="K218">
            <v>2192.73</v>
          </cell>
          <cell r="L218">
            <v>0</v>
          </cell>
          <cell r="M218">
            <v>0</v>
          </cell>
          <cell r="N218">
            <v>2192.73</v>
          </cell>
          <cell r="O218">
            <v>70370.179999999906</v>
          </cell>
          <cell r="Q218">
            <v>0</v>
          </cell>
          <cell r="R218">
            <v>70370.179999999906</v>
          </cell>
          <cell r="S218">
            <v>8570.86</v>
          </cell>
          <cell r="T218">
            <v>19.739999999999899</v>
          </cell>
          <cell r="U218">
            <v>70389.919999999896</v>
          </cell>
        </row>
        <row r="219">
          <cell r="A219" t="str">
            <v>PLN   Złoty</v>
          </cell>
          <cell r="E219" t="str">
            <v>KB Sprzed. bezpośrednia</v>
          </cell>
          <cell r="H219">
            <v>96</v>
          </cell>
          <cell r="J219">
            <v>3351.71</v>
          </cell>
          <cell r="K219">
            <v>2192.7399999999898</v>
          </cell>
          <cell r="L219">
            <v>3592.5599999999899</v>
          </cell>
          <cell r="M219">
            <v>0</v>
          </cell>
          <cell r="N219">
            <v>5785.3</v>
          </cell>
          <cell r="O219">
            <v>68840.729999999894</v>
          </cell>
          <cell r="Q219">
            <v>0</v>
          </cell>
          <cell r="R219">
            <v>68840.729999999894</v>
          </cell>
          <cell r="S219">
            <v>13368.87</v>
          </cell>
          <cell r="T219">
            <v>18.1299999999999</v>
          </cell>
          <cell r="U219">
            <v>68858.86</v>
          </cell>
        </row>
        <row r="220">
          <cell r="A220" t="str">
            <v>PLN   Złoty</v>
          </cell>
          <cell r="E220" t="str">
            <v>KB Sprzed. bezpośrednia</v>
          </cell>
          <cell r="H220">
            <v>192</v>
          </cell>
          <cell r="J220">
            <v>6703.4399999999896</v>
          </cell>
          <cell r="K220">
            <v>4385.4799999999896</v>
          </cell>
          <cell r="L220">
            <v>9148.3199999999906</v>
          </cell>
          <cell r="M220">
            <v>0</v>
          </cell>
          <cell r="N220">
            <v>13533.799999999899</v>
          </cell>
          <cell r="O220">
            <v>143410.739999999</v>
          </cell>
          <cell r="Q220">
            <v>0</v>
          </cell>
          <cell r="R220">
            <v>143410.739999999</v>
          </cell>
          <cell r="S220">
            <v>21008.459999999901</v>
          </cell>
          <cell r="T220">
            <v>37.42</v>
          </cell>
          <cell r="U220">
            <v>143448.16</v>
          </cell>
        </row>
        <row r="221">
          <cell r="A221" t="str">
            <v>PLN   Złoty</v>
          </cell>
          <cell r="E221" t="str">
            <v>KB Sprzed. bezpośrednia</v>
          </cell>
          <cell r="H221">
            <v>24</v>
          </cell>
          <cell r="J221">
            <v>802.38</v>
          </cell>
          <cell r="K221">
            <v>548.17999999999904</v>
          </cell>
          <cell r="L221">
            <v>0</v>
          </cell>
          <cell r="M221">
            <v>0</v>
          </cell>
          <cell r="N221">
            <v>548.17999999999904</v>
          </cell>
          <cell r="O221">
            <v>16276.49</v>
          </cell>
          <cell r="Q221">
            <v>0</v>
          </cell>
          <cell r="R221">
            <v>16276.49</v>
          </cell>
          <cell r="S221">
            <v>3403.51</v>
          </cell>
          <cell r="T221">
            <v>4.53</v>
          </cell>
          <cell r="U221">
            <v>16281.02</v>
          </cell>
        </row>
        <row r="222">
          <cell r="A222" t="str">
            <v>PLN   Złoty</v>
          </cell>
          <cell r="E222" t="str">
            <v>KB Sprzed. bezpośrednia</v>
          </cell>
          <cell r="H222">
            <v>6</v>
          </cell>
          <cell r="J222">
            <v>202.229999999999</v>
          </cell>
          <cell r="K222">
            <v>137.05000000000001</v>
          </cell>
          <cell r="L222">
            <v>0</v>
          </cell>
          <cell r="M222">
            <v>0</v>
          </cell>
          <cell r="N222">
            <v>137.05000000000001</v>
          </cell>
          <cell r="O222">
            <v>4070.76</v>
          </cell>
          <cell r="Q222">
            <v>0</v>
          </cell>
          <cell r="R222">
            <v>4070.76</v>
          </cell>
          <cell r="S222">
            <v>889.13999999999896</v>
          </cell>
          <cell r="T222">
            <v>1.1399999999999899</v>
          </cell>
          <cell r="U222">
            <v>4071.9</v>
          </cell>
        </row>
        <row r="223">
          <cell r="A223" t="str">
            <v>PLN   Złoty</v>
          </cell>
          <cell r="E223" t="str">
            <v>KB Sprzed. bezpośrednia</v>
          </cell>
          <cell r="H223">
            <v>12</v>
          </cell>
          <cell r="J223">
            <v>398.36</v>
          </cell>
          <cell r="K223">
            <v>274.35000000000002</v>
          </cell>
          <cell r="L223">
            <v>0</v>
          </cell>
          <cell r="M223">
            <v>0</v>
          </cell>
          <cell r="N223">
            <v>274.35000000000002</v>
          </cell>
          <cell r="O223">
            <v>8135.68</v>
          </cell>
          <cell r="Q223">
            <v>0</v>
          </cell>
          <cell r="R223">
            <v>8135.68</v>
          </cell>
          <cell r="S223">
            <v>1635.44</v>
          </cell>
          <cell r="T223">
            <v>2.27</v>
          </cell>
          <cell r="U223">
            <v>8137.9499999999898</v>
          </cell>
        </row>
        <row r="224">
          <cell r="A224" t="str">
            <v>PLN   Złoty</v>
          </cell>
          <cell r="E224" t="str">
            <v>KB Sprzed. bezpośrednia</v>
          </cell>
          <cell r="H224">
            <v>12</v>
          </cell>
          <cell r="J224">
            <v>413.38999999999902</v>
          </cell>
          <cell r="K224">
            <v>81.64</v>
          </cell>
          <cell r="L224">
            <v>0</v>
          </cell>
          <cell r="M224">
            <v>0</v>
          </cell>
          <cell r="N224">
            <v>81.64</v>
          </cell>
          <cell r="O224">
            <v>8262.6599999999908</v>
          </cell>
          <cell r="Q224">
            <v>0</v>
          </cell>
          <cell r="R224">
            <v>8262.6599999999908</v>
          </cell>
          <cell r="S224">
            <v>1877.3399999999899</v>
          </cell>
          <cell r="T224">
            <v>2.35</v>
          </cell>
          <cell r="U224">
            <v>8265.01</v>
          </cell>
        </row>
        <row r="225">
          <cell r="A225" t="str">
            <v>PLN   Złoty</v>
          </cell>
          <cell r="E225" t="str">
            <v>KB Sprzed. bezpośrednia</v>
          </cell>
          <cell r="H225">
            <v>48</v>
          </cell>
          <cell r="J225">
            <v>1712.3699999999899</v>
          </cell>
          <cell r="K225">
            <v>326.57999999999902</v>
          </cell>
          <cell r="L225">
            <v>2328.48</v>
          </cell>
          <cell r="M225">
            <v>0</v>
          </cell>
          <cell r="N225">
            <v>2655.0599999999899</v>
          </cell>
          <cell r="O225">
            <v>35437.93</v>
          </cell>
          <cell r="Q225">
            <v>0</v>
          </cell>
          <cell r="R225">
            <v>35437.93</v>
          </cell>
          <cell r="S225">
            <v>6562.0699999999897</v>
          </cell>
          <cell r="T225">
            <v>9.4499999999999904</v>
          </cell>
          <cell r="U225">
            <v>35447.379999999903</v>
          </cell>
        </row>
        <row r="226">
          <cell r="A226" t="str">
            <v>PLN   Złoty</v>
          </cell>
          <cell r="E226" t="str">
            <v>KB Sprzed. bezpośrednia</v>
          </cell>
          <cell r="H226">
            <v>24</v>
          </cell>
          <cell r="J226">
            <v>859.58</v>
          </cell>
          <cell r="K226">
            <v>163.289999999999</v>
          </cell>
          <cell r="L226">
            <v>1065.5999999999899</v>
          </cell>
          <cell r="M226">
            <v>0</v>
          </cell>
          <cell r="N226">
            <v>1228.8900000000001</v>
          </cell>
          <cell r="O226">
            <v>17623.72</v>
          </cell>
          <cell r="Q226">
            <v>0</v>
          </cell>
          <cell r="R226">
            <v>17623.72</v>
          </cell>
          <cell r="S226">
            <v>3458.5999999999899</v>
          </cell>
          <cell r="T226">
            <v>4.71999999999999</v>
          </cell>
          <cell r="U226">
            <v>17628.4399999999</v>
          </cell>
        </row>
        <row r="227">
          <cell r="A227" t="str">
            <v>PLN   Złoty</v>
          </cell>
          <cell r="E227" t="str">
            <v>KB Sprzed. bezpośrednia</v>
          </cell>
          <cell r="H227">
            <v>24</v>
          </cell>
          <cell r="J227">
            <v>821.07</v>
          </cell>
          <cell r="K227">
            <v>163.289999999999</v>
          </cell>
          <cell r="L227">
            <v>0</v>
          </cell>
          <cell r="M227">
            <v>0</v>
          </cell>
          <cell r="N227">
            <v>163.289999999999</v>
          </cell>
          <cell r="O227">
            <v>16519.61</v>
          </cell>
          <cell r="Q227">
            <v>0</v>
          </cell>
          <cell r="R227">
            <v>16519.61</v>
          </cell>
          <cell r="S227">
            <v>3618.55</v>
          </cell>
          <cell r="T227">
            <v>4.71999999999999</v>
          </cell>
          <cell r="U227">
            <v>16524.330000000002</v>
          </cell>
        </row>
        <row r="228">
          <cell r="A228" t="str">
            <v>PLN   Złoty</v>
          </cell>
          <cell r="E228" t="str">
            <v>KB Sprzed. bezpośrednia</v>
          </cell>
          <cell r="H228">
            <v>72</v>
          </cell>
          <cell r="J228">
            <v>2594.3299999999899</v>
          </cell>
          <cell r="K228">
            <v>489.86</v>
          </cell>
          <cell r="L228">
            <v>5310</v>
          </cell>
          <cell r="M228">
            <v>0</v>
          </cell>
          <cell r="N228">
            <v>5799.8599999999897</v>
          </cell>
          <cell r="O228">
            <v>54999.94</v>
          </cell>
          <cell r="Q228">
            <v>0</v>
          </cell>
          <cell r="R228">
            <v>54999.94</v>
          </cell>
          <cell r="S228">
            <v>8631.5</v>
          </cell>
          <cell r="T228">
            <v>14.16</v>
          </cell>
          <cell r="U228">
            <v>55014.099999999897</v>
          </cell>
        </row>
        <row r="229">
          <cell r="A229" t="str">
            <v>PLN   Złoty</v>
          </cell>
          <cell r="E229" t="str">
            <v>KB Sprzed. bezpośrednia</v>
          </cell>
          <cell r="H229">
            <v>49.439999999999898</v>
          </cell>
          <cell r="J229">
            <v>1642.77</v>
          </cell>
          <cell r="K229">
            <v>336.38999999999902</v>
          </cell>
          <cell r="L229">
            <v>0</v>
          </cell>
          <cell r="M229">
            <v>0</v>
          </cell>
          <cell r="N229">
            <v>336.38999999999902</v>
          </cell>
          <cell r="O229">
            <v>32506.23</v>
          </cell>
          <cell r="Q229">
            <v>0</v>
          </cell>
          <cell r="R229">
            <v>32506.23</v>
          </cell>
          <cell r="S229">
            <v>7787.3699999999899</v>
          </cell>
          <cell r="T229">
            <v>9.2799999999999905</v>
          </cell>
          <cell r="U229">
            <v>32515.5099999999</v>
          </cell>
        </row>
        <row r="230">
          <cell r="A230" t="str">
            <v>PLN   Złoty</v>
          </cell>
          <cell r="E230" t="str">
            <v>KB Sprzed. bezpośrednia</v>
          </cell>
          <cell r="H230">
            <v>24</v>
          </cell>
          <cell r="J230">
            <v>821.86</v>
          </cell>
          <cell r="K230">
            <v>163.289999999999</v>
          </cell>
          <cell r="L230">
            <v>0</v>
          </cell>
          <cell r="M230">
            <v>0</v>
          </cell>
          <cell r="N230">
            <v>163.289999999999</v>
          </cell>
          <cell r="O230">
            <v>16520.400000000001</v>
          </cell>
          <cell r="Q230">
            <v>0</v>
          </cell>
          <cell r="R230">
            <v>16520.400000000001</v>
          </cell>
          <cell r="S230">
            <v>3637.92</v>
          </cell>
          <cell r="T230">
            <v>4.71999999999999</v>
          </cell>
          <cell r="U230">
            <v>16525.119999999901</v>
          </cell>
        </row>
        <row r="231">
          <cell r="A231" t="str">
            <v>PLN   Złoty</v>
          </cell>
          <cell r="E231" t="str">
            <v>KB Sprzed. bezpośrednia</v>
          </cell>
          <cell r="H231">
            <v>24</v>
          </cell>
          <cell r="J231">
            <v>824.30999999999904</v>
          </cell>
          <cell r="K231">
            <v>163.289999999999</v>
          </cell>
          <cell r="L231">
            <v>0</v>
          </cell>
          <cell r="M231">
            <v>0</v>
          </cell>
          <cell r="N231">
            <v>163.289999999999</v>
          </cell>
          <cell r="O231">
            <v>17254.3499999999</v>
          </cell>
          <cell r="Q231">
            <v>0</v>
          </cell>
          <cell r="R231">
            <v>17254.3499999999</v>
          </cell>
          <cell r="S231">
            <v>2964.9299999999898</v>
          </cell>
          <cell r="T231">
            <v>4.9400000000000004</v>
          </cell>
          <cell r="U231">
            <v>17259.29</v>
          </cell>
        </row>
        <row r="232">
          <cell r="A232" t="str">
            <v>PLN   Złoty</v>
          </cell>
          <cell r="E232" t="str">
            <v>KB Sprzed. bezpośrednia</v>
          </cell>
          <cell r="H232">
            <v>12</v>
          </cell>
          <cell r="J232">
            <v>410.93</v>
          </cell>
          <cell r="K232">
            <v>81.64</v>
          </cell>
          <cell r="L232">
            <v>0</v>
          </cell>
          <cell r="M232">
            <v>0</v>
          </cell>
          <cell r="N232">
            <v>81.64</v>
          </cell>
          <cell r="O232">
            <v>8260.2000000000007</v>
          </cell>
          <cell r="Q232">
            <v>0</v>
          </cell>
          <cell r="R232">
            <v>8260.2000000000007</v>
          </cell>
          <cell r="S232">
            <v>1818.96</v>
          </cell>
          <cell r="T232">
            <v>2.35</v>
          </cell>
          <cell r="U232">
            <v>8262.5499999999902</v>
          </cell>
        </row>
        <row r="233">
          <cell r="A233" t="str">
            <v>PLN   Złoty</v>
          </cell>
          <cell r="E233" t="str">
            <v>KB Sprzed. bezpośrednia</v>
          </cell>
          <cell r="H233">
            <v>24</v>
          </cell>
          <cell r="J233">
            <v>816.1</v>
          </cell>
          <cell r="K233">
            <v>163.289999999999</v>
          </cell>
          <cell r="L233">
            <v>0</v>
          </cell>
          <cell r="M233">
            <v>0</v>
          </cell>
          <cell r="N233">
            <v>163.289999999999</v>
          </cell>
          <cell r="O233">
            <v>17246.139999999901</v>
          </cell>
          <cell r="Q233">
            <v>0</v>
          </cell>
          <cell r="R233">
            <v>17246.139999999901</v>
          </cell>
          <cell r="S233">
            <v>2770.34</v>
          </cell>
          <cell r="T233">
            <v>4.9400000000000004</v>
          </cell>
          <cell r="U233">
            <v>17251.080000000002</v>
          </cell>
        </row>
        <row r="234">
          <cell r="A234" t="str">
            <v>PLN   Złoty</v>
          </cell>
          <cell r="E234" t="str">
            <v>KB Sprzed. bezpośrednia</v>
          </cell>
          <cell r="H234">
            <v>319.72000000000003</v>
          </cell>
          <cell r="J234">
            <v>10485.540000000001</v>
          </cell>
          <cell r="K234">
            <v>2175.2800000000002</v>
          </cell>
          <cell r="L234">
            <v>0</v>
          </cell>
          <cell r="M234">
            <v>0</v>
          </cell>
          <cell r="N234">
            <v>2175.2800000000002</v>
          </cell>
          <cell r="O234">
            <v>210074.09</v>
          </cell>
          <cell r="Q234">
            <v>0</v>
          </cell>
          <cell r="R234">
            <v>210074.09</v>
          </cell>
          <cell r="S234">
            <v>47109.760000000002</v>
          </cell>
          <cell r="T234">
            <v>59.979999999999897</v>
          </cell>
          <cell r="U234">
            <v>210134.07</v>
          </cell>
        </row>
        <row r="235">
          <cell r="A235" t="str">
            <v>PLN   Złoty</v>
          </cell>
          <cell r="E235" t="str">
            <v>KB Sprzed. bezpośrednia</v>
          </cell>
          <cell r="H235">
            <v>24</v>
          </cell>
          <cell r="J235">
            <v>821.07</v>
          </cell>
          <cell r="K235">
            <v>163.289999999999</v>
          </cell>
          <cell r="L235">
            <v>0</v>
          </cell>
          <cell r="M235">
            <v>0</v>
          </cell>
          <cell r="N235">
            <v>163.289999999999</v>
          </cell>
          <cell r="O235">
            <v>16519.61</v>
          </cell>
          <cell r="Q235">
            <v>0</v>
          </cell>
          <cell r="R235">
            <v>16519.61</v>
          </cell>
          <cell r="S235">
            <v>3618.55</v>
          </cell>
          <cell r="T235">
            <v>4.71999999999999</v>
          </cell>
          <cell r="U235">
            <v>16524.330000000002</v>
          </cell>
        </row>
        <row r="236">
          <cell r="A236" t="str">
            <v>PLN   Złoty</v>
          </cell>
          <cell r="E236" t="str">
            <v>KB Sprzed. bezpośrednia</v>
          </cell>
          <cell r="H236">
            <v>72</v>
          </cell>
          <cell r="J236">
            <v>2537.6599999999899</v>
          </cell>
          <cell r="K236">
            <v>489.86</v>
          </cell>
          <cell r="L236">
            <v>2685.84</v>
          </cell>
          <cell r="M236">
            <v>0</v>
          </cell>
          <cell r="N236">
            <v>3175.6999999999898</v>
          </cell>
          <cell r="O236">
            <v>54513.61</v>
          </cell>
          <cell r="Q236">
            <v>0</v>
          </cell>
          <cell r="R236">
            <v>54513.61</v>
          </cell>
          <cell r="S236">
            <v>7728.2299999999896</v>
          </cell>
          <cell r="T236">
            <v>14.83</v>
          </cell>
          <cell r="U236">
            <v>54528.44</v>
          </cell>
        </row>
        <row r="237">
          <cell r="A237" t="str">
            <v>PLN   Złoty</v>
          </cell>
          <cell r="E237" t="str">
            <v>KB Sprzed. bezpośrednia</v>
          </cell>
          <cell r="H237">
            <v>24</v>
          </cell>
          <cell r="J237">
            <v>821.07</v>
          </cell>
          <cell r="K237">
            <v>163.289999999999</v>
          </cell>
          <cell r="L237">
            <v>0</v>
          </cell>
          <cell r="M237">
            <v>0</v>
          </cell>
          <cell r="N237">
            <v>163.289999999999</v>
          </cell>
          <cell r="O237">
            <v>16519.61</v>
          </cell>
          <cell r="Q237">
            <v>0</v>
          </cell>
          <cell r="R237">
            <v>16519.61</v>
          </cell>
          <cell r="S237">
            <v>3618.55</v>
          </cell>
          <cell r="T237">
            <v>4.71999999999999</v>
          </cell>
          <cell r="U237">
            <v>16524.330000000002</v>
          </cell>
        </row>
        <row r="238">
          <cell r="A238" t="str">
            <v>PLN   Złoty</v>
          </cell>
          <cell r="E238" t="str">
            <v>KB Sprzed. bezpośrednia</v>
          </cell>
          <cell r="H238">
            <v>72</v>
          </cell>
          <cell r="J238">
            <v>2591.6999999999898</v>
          </cell>
          <cell r="K238">
            <v>489.86</v>
          </cell>
          <cell r="L238">
            <v>3532.92</v>
          </cell>
          <cell r="M238">
            <v>0</v>
          </cell>
          <cell r="N238">
            <v>4022.78</v>
          </cell>
          <cell r="O238">
            <v>53220.23</v>
          </cell>
          <cell r="Q238">
            <v>0</v>
          </cell>
          <cell r="R238">
            <v>53220.23</v>
          </cell>
          <cell r="S238">
            <v>10346.98</v>
          </cell>
          <cell r="T238">
            <v>14.16</v>
          </cell>
          <cell r="U238">
            <v>53234.389999999898</v>
          </cell>
        </row>
        <row r="239">
          <cell r="A239" t="str">
            <v>PLN   Złoty</v>
          </cell>
          <cell r="E239" t="str">
            <v>KB Sprzed. bezpośrednia</v>
          </cell>
          <cell r="H239">
            <v>24</v>
          </cell>
          <cell r="J239">
            <v>818.55999999999904</v>
          </cell>
          <cell r="K239">
            <v>163.289999999999</v>
          </cell>
          <cell r="L239">
            <v>0</v>
          </cell>
          <cell r="M239">
            <v>0</v>
          </cell>
          <cell r="N239">
            <v>163.289999999999</v>
          </cell>
          <cell r="O239">
            <v>17248.5999999999</v>
          </cell>
          <cell r="Q239">
            <v>0</v>
          </cell>
          <cell r="R239">
            <v>17248.5999999999</v>
          </cell>
          <cell r="S239">
            <v>2828.5999999999899</v>
          </cell>
          <cell r="T239">
            <v>4.9400000000000004</v>
          </cell>
          <cell r="U239">
            <v>17253.54</v>
          </cell>
        </row>
        <row r="240">
          <cell r="A240" t="str">
            <v>PLN   Złoty</v>
          </cell>
          <cell r="E240" t="str">
            <v>KB Sprzed. bezpośrednia</v>
          </cell>
          <cell r="H240">
            <v>24</v>
          </cell>
          <cell r="J240">
            <v>865.62</v>
          </cell>
          <cell r="K240">
            <v>163.289999999999</v>
          </cell>
          <cell r="L240">
            <v>1056.48</v>
          </cell>
          <cell r="M240">
            <v>0</v>
          </cell>
          <cell r="N240">
            <v>1219.77</v>
          </cell>
          <cell r="O240">
            <v>17620.639999999901</v>
          </cell>
          <cell r="Q240">
            <v>0</v>
          </cell>
          <cell r="R240">
            <v>17620.639999999901</v>
          </cell>
          <cell r="S240">
            <v>3611.1999999999898</v>
          </cell>
          <cell r="T240">
            <v>4.71999999999999</v>
          </cell>
          <cell r="U240">
            <v>17625.36</v>
          </cell>
        </row>
        <row r="241">
          <cell r="A241" t="str">
            <v>PLN   Złoty</v>
          </cell>
          <cell r="E241" t="str">
            <v>KB Sprzed. bezpośrednia</v>
          </cell>
          <cell r="H241">
            <v>108</v>
          </cell>
          <cell r="J241">
            <v>3860.46</v>
          </cell>
          <cell r="K241">
            <v>734.80999999999904</v>
          </cell>
          <cell r="L241">
            <v>7221.3599999999897</v>
          </cell>
          <cell r="M241">
            <v>0</v>
          </cell>
          <cell r="N241">
            <v>7956.17</v>
          </cell>
          <cell r="O241">
            <v>81725.259999999893</v>
          </cell>
          <cell r="Q241">
            <v>0</v>
          </cell>
          <cell r="R241">
            <v>81725.259999999893</v>
          </cell>
          <cell r="S241">
            <v>12962.059999999899</v>
          </cell>
          <cell r="T241">
            <v>21.239999999999899</v>
          </cell>
          <cell r="U241">
            <v>81746.5</v>
          </cell>
        </row>
        <row r="242">
          <cell r="A242" t="str">
            <v>PLN   Złoty</v>
          </cell>
          <cell r="E242" t="str">
            <v>KB Sprzed. bezpośrednia</v>
          </cell>
          <cell r="H242">
            <v>72</v>
          </cell>
          <cell r="J242">
            <v>2545.4499999999898</v>
          </cell>
          <cell r="K242">
            <v>489.86</v>
          </cell>
          <cell r="L242">
            <v>2486.1599999999899</v>
          </cell>
          <cell r="M242">
            <v>0</v>
          </cell>
          <cell r="N242">
            <v>2976.02</v>
          </cell>
          <cell r="O242">
            <v>54321.72</v>
          </cell>
          <cell r="Q242">
            <v>0</v>
          </cell>
          <cell r="R242">
            <v>54321.72</v>
          </cell>
          <cell r="S242">
            <v>8111.3999999999896</v>
          </cell>
          <cell r="T242">
            <v>14.83</v>
          </cell>
          <cell r="U242">
            <v>54336.55</v>
          </cell>
        </row>
        <row r="243">
          <cell r="A243" t="str">
            <v>PLN   Złoty</v>
          </cell>
          <cell r="E243" t="str">
            <v>KB Sprzed. bezpośrednia</v>
          </cell>
          <cell r="H243">
            <v>96</v>
          </cell>
          <cell r="J243">
            <v>3319.44</v>
          </cell>
          <cell r="K243">
            <v>653.15999999999894</v>
          </cell>
          <cell r="L243">
            <v>977.51999999999896</v>
          </cell>
          <cell r="M243">
            <v>0</v>
          </cell>
          <cell r="N243">
            <v>1630.68</v>
          </cell>
          <cell r="O243">
            <v>67091.119999999893</v>
          </cell>
          <cell r="Q243">
            <v>0</v>
          </cell>
          <cell r="R243">
            <v>67091.119999999893</v>
          </cell>
          <cell r="S243">
            <v>14325.76</v>
          </cell>
          <cell r="T243">
            <v>18.87</v>
          </cell>
          <cell r="U243">
            <v>67109.990000000005</v>
          </cell>
        </row>
        <row r="244">
          <cell r="A244" t="str">
            <v>PLN   Złoty</v>
          </cell>
          <cell r="E244" t="str">
            <v>KB Sprzed. bezpośrednia</v>
          </cell>
          <cell r="H244">
            <v>72</v>
          </cell>
          <cell r="J244">
            <v>2586.02</v>
          </cell>
          <cell r="K244">
            <v>489.87</v>
          </cell>
          <cell r="L244">
            <v>1851.8399999999899</v>
          </cell>
          <cell r="M244">
            <v>0</v>
          </cell>
          <cell r="N244">
            <v>2341.71</v>
          </cell>
          <cell r="O244">
            <v>53243.139999999898</v>
          </cell>
          <cell r="Q244">
            <v>0</v>
          </cell>
          <cell r="R244">
            <v>53243.139999999898</v>
          </cell>
          <cell r="S244">
            <v>10185.74</v>
          </cell>
          <cell r="T244">
            <v>14.68</v>
          </cell>
          <cell r="U244">
            <v>53257.82</v>
          </cell>
        </row>
        <row r="245">
          <cell r="A245" t="str">
            <v>PLN   Złoty</v>
          </cell>
          <cell r="E245" t="str">
            <v>KB Sprzed. bezpośrednia</v>
          </cell>
          <cell r="H245">
            <v>24</v>
          </cell>
          <cell r="J245">
            <v>821.86</v>
          </cell>
          <cell r="K245">
            <v>163.289999999999</v>
          </cell>
          <cell r="L245">
            <v>0</v>
          </cell>
          <cell r="M245">
            <v>0</v>
          </cell>
          <cell r="N245">
            <v>163.289999999999</v>
          </cell>
          <cell r="O245">
            <v>16520.400000000001</v>
          </cell>
          <cell r="Q245">
            <v>0</v>
          </cell>
          <cell r="R245">
            <v>16520.400000000001</v>
          </cell>
          <cell r="S245">
            <v>3637.92</v>
          </cell>
          <cell r="T245">
            <v>4.71999999999999</v>
          </cell>
          <cell r="U245">
            <v>16525.119999999901</v>
          </cell>
        </row>
        <row r="246">
          <cell r="A246" t="str">
            <v>PLN   Złoty</v>
          </cell>
          <cell r="E246" t="str">
            <v>KB Sprzed. bezpośrednia</v>
          </cell>
          <cell r="H246">
            <v>24</v>
          </cell>
          <cell r="J246">
            <v>863.44</v>
          </cell>
          <cell r="K246">
            <v>163.289999999999</v>
          </cell>
          <cell r="L246">
            <v>449.39999999999901</v>
          </cell>
          <cell r="M246">
            <v>0</v>
          </cell>
          <cell r="N246">
            <v>612.69000000000005</v>
          </cell>
          <cell r="O246">
            <v>17011.279999999901</v>
          </cell>
          <cell r="Q246">
            <v>0</v>
          </cell>
          <cell r="R246">
            <v>17011.279999999901</v>
          </cell>
          <cell r="S246">
            <v>4166.1999999999898</v>
          </cell>
          <cell r="T246">
            <v>4.71999999999999</v>
          </cell>
          <cell r="U246">
            <v>17016</v>
          </cell>
        </row>
        <row r="247">
          <cell r="A247" t="str">
            <v>PLN   Złoty</v>
          </cell>
          <cell r="E247" t="str">
            <v>KB Sprzed. bezpośrednia</v>
          </cell>
          <cell r="H247">
            <v>24</v>
          </cell>
          <cell r="J247">
            <v>883.84</v>
          </cell>
          <cell r="K247">
            <v>163.289999999999</v>
          </cell>
          <cell r="L247">
            <v>0</v>
          </cell>
          <cell r="M247">
            <v>0</v>
          </cell>
          <cell r="N247">
            <v>163.289999999999</v>
          </cell>
          <cell r="O247">
            <v>17313.88</v>
          </cell>
          <cell r="Q247">
            <v>0</v>
          </cell>
          <cell r="R247">
            <v>17313.88</v>
          </cell>
          <cell r="S247">
            <v>4364.84</v>
          </cell>
          <cell r="T247">
            <v>4.9400000000000004</v>
          </cell>
          <cell r="U247">
            <v>17318.82</v>
          </cell>
        </row>
        <row r="248">
          <cell r="A248" t="str">
            <v>PLN   Złoty</v>
          </cell>
          <cell r="E248" t="str">
            <v>KB Sprzed. bezpośrednia</v>
          </cell>
          <cell r="H248">
            <v>12</v>
          </cell>
          <cell r="J248">
            <v>435.43</v>
          </cell>
          <cell r="K248">
            <v>81.64</v>
          </cell>
          <cell r="L248">
            <v>742.44</v>
          </cell>
          <cell r="M248">
            <v>0</v>
          </cell>
          <cell r="N248">
            <v>824.08</v>
          </cell>
          <cell r="O248">
            <v>9027.1399999999903</v>
          </cell>
          <cell r="Q248">
            <v>0</v>
          </cell>
          <cell r="R248">
            <v>9027.1399999999903</v>
          </cell>
          <cell r="S248">
            <v>1652.8599999999899</v>
          </cell>
          <cell r="T248">
            <v>2.35</v>
          </cell>
          <cell r="U248">
            <v>9029.4899999999907</v>
          </cell>
        </row>
        <row r="249">
          <cell r="A249" t="str">
            <v>PLN   Złoty</v>
          </cell>
          <cell r="E249" t="str">
            <v>KB Sprzed. bezpośrednia</v>
          </cell>
          <cell r="H249">
            <v>84</v>
          </cell>
          <cell r="J249">
            <v>2872.3899999999899</v>
          </cell>
          <cell r="K249">
            <v>571.50999999999897</v>
          </cell>
          <cell r="L249">
            <v>0</v>
          </cell>
          <cell r="M249">
            <v>0</v>
          </cell>
          <cell r="N249">
            <v>571.50999999999897</v>
          </cell>
          <cell r="O249">
            <v>57817.29</v>
          </cell>
          <cell r="Q249">
            <v>0</v>
          </cell>
          <cell r="R249">
            <v>57817.29</v>
          </cell>
          <cell r="S249">
            <v>12635.79</v>
          </cell>
          <cell r="T249">
            <v>16.52</v>
          </cell>
          <cell r="U249">
            <v>57833.809999999903</v>
          </cell>
        </row>
        <row r="250">
          <cell r="A250" t="str">
            <v>PLN   Złoty</v>
          </cell>
          <cell r="E250" t="str">
            <v>KB Sprzed. bezpośrednia</v>
          </cell>
          <cell r="H250">
            <v>96</v>
          </cell>
          <cell r="J250">
            <v>3356.19</v>
          </cell>
          <cell r="K250">
            <v>653.15999999999894</v>
          </cell>
          <cell r="L250">
            <v>4152.4799999999896</v>
          </cell>
          <cell r="M250">
            <v>0</v>
          </cell>
          <cell r="N250">
            <v>4805.6400000000003</v>
          </cell>
          <cell r="O250">
            <v>73228.83</v>
          </cell>
          <cell r="Q250">
            <v>0</v>
          </cell>
          <cell r="R250">
            <v>73228.83</v>
          </cell>
          <cell r="S250">
            <v>9090.20999999999</v>
          </cell>
          <cell r="T250">
            <v>19.760000000000002</v>
          </cell>
          <cell r="U250">
            <v>73248.589999999895</v>
          </cell>
        </row>
        <row r="251">
          <cell r="A251" t="str">
            <v>PLN   Złoty</v>
          </cell>
          <cell r="E251" t="str">
            <v>KB Sprzed. bezpośrednia</v>
          </cell>
          <cell r="H251">
            <v>24</v>
          </cell>
          <cell r="J251">
            <v>818.55999999999904</v>
          </cell>
          <cell r="K251">
            <v>163.289999999999</v>
          </cell>
          <cell r="L251">
            <v>0</v>
          </cell>
          <cell r="M251">
            <v>0</v>
          </cell>
          <cell r="N251">
            <v>163.289999999999</v>
          </cell>
          <cell r="O251">
            <v>17248.5999999999</v>
          </cell>
          <cell r="Q251">
            <v>0</v>
          </cell>
          <cell r="R251">
            <v>17248.5999999999</v>
          </cell>
          <cell r="S251">
            <v>2828.5999999999899</v>
          </cell>
          <cell r="T251">
            <v>4.9400000000000004</v>
          </cell>
          <cell r="U251">
            <v>17253.54</v>
          </cell>
        </row>
        <row r="252">
          <cell r="A252" t="str">
            <v>PLN   Złoty</v>
          </cell>
          <cell r="E252" t="str">
            <v>KB Sprzed. bezpośrednia</v>
          </cell>
          <cell r="H252">
            <v>24</v>
          </cell>
          <cell r="J252">
            <v>821.07</v>
          </cell>
          <cell r="K252">
            <v>163.289999999999</v>
          </cell>
          <cell r="L252">
            <v>0</v>
          </cell>
          <cell r="M252">
            <v>0</v>
          </cell>
          <cell r="N252">
            <v>163.289999999999</v>
          </cell>
          <cell r="O252">
            <v>16519.61</v>
          </cell>
          <cell r="Q252">
            <v>0</v>
          </cell>
          <cell r="R252">
            <v>16519.61</v>
          </cell>
          <cell r="S252">
            <v>3618.55</v>
          </cell>
          <cell r="T252">
            <v>4.71999999999999</v>
          </cell>
          <cell r="U252">
            <v>16524.330000000002</v>
          </cell>
        </row>
        <row r="253">
          <cell r="A253" t="str">
            <v>PLN   Złoty</v>
          </cell>
          <cell r="E253" t="str">
            <v>KB Sprzed. bezpośrednia</v>
          </cell>
          <cell r="H253">
            <v>24</v>
          </cell>
          <cell r="J253">
            <v>865.62</v>
          </cell>
          <cell r="K253">
            <v>163.289999999999</v>
          </cell>
          <cell r="L253">
            <v>1148.4000000000001</v>
          </cell>
          <cell r="M253">
            <v>0</v>
          </cell>
          <cell r="N253">
            <v>1311.69</v>
          </cell>
          <cell r="O253">
            <v>17712.560000000001</v>
          </cell>
          <cell r="Q253">
            <v>0</v>
          </cell>
          <cell r="R253">
            <v>17712.560000000001</v>
          </cell>
          <cell r="S253">
            <v>3519.28</v>
          </cell>
          <cell r="T253">
            <v>4.71999999999999</v>
          </cell>
          <cell r="U253">
            <v>17717.279999999901</v>
          </cell>
        </row>
        <row r="254">
          <cell r="A254" t="str">
            <v>PLN   Złoty</v>
          </cell>
          <cell r="E254" t="str">
            <v>KB Sprzed. bezpośrednia</v>
          </cell>
          <cell r="H254">
            <v>24.219999999999899</v>
          </cell>
          <cell r="J254">
            <v>804.75999999999897</v>
          </cell>
          <cell r="K254">
            <v>164.78</v>
          </cell>
          <cell r="L254">
            <v>0</v>
          </cell>
          <cell r="M254">
            <v>0</v>
          </cell>
          <cell r="N254">
            <v>164.78</v>
          </cell>
          <cell r="O254">
            <v>15924.35</v>
          </cell>
          <cell r="Q254">
            <v>0</v>
          </cell>
          <cell r="R254">
            <v>15924.35</v>
          </cell>
          <cell r="S254">
            <v>3814.9499999999898</v>
          </cell>
          <cell r="T254">
            <v>4.54</v>
          </cell>
          <cell r="U254">
            <v>15928.889999999899</v>
          </cell>
        </row>
        <row r="255">
          <cell r="A255" t="str">
            <v>PLN   Złoty</v>
          </cell>
          <cell r="E255" t="str">
            <v>KB Sprzed. bezpośrednia</v>
          </cell>
          <cell r="H255">
            <v>155</v>
          </cell>
          <cell r="J255">
            <v>5460.6599999999899</v>
          </cell>
          <cell r="K255">
            <v>1054.5699999999899</v>
          </cell>
          <cell r="L255">
            <v>9566.0400000000009</v>
          </cell>
          <cell r="M255">
            <v>0</v>
          </cell>
          <cell r="N255">
            <v>10620.61</v>
          </cell>
          <cell r="O255">
            <v>116413.12</v>
          </cell>
          <cell r="Q255">
            <v>0</v>
          </cell>
          <cell r="R255">
            <v>116413.12</v>
          </cell>
          <cell r="S255">
            <v>17523.619999999901</v>
          </cell>
          <cell r="T255">
            <v>30.489999999999899</v>
          </cell>
          <cell r="U255">
            <v>116443.61</v>
          </cell>
        </row>
        <row r="256">
          <cell r="A256" t="str">
            <v>PLN   Złoty</v>
          </cell>
          <cell r="E256" t="str">
            <v>KB Sprzed. bezpośrednia</v>
          </cell>
          <cell r="H256">
            <v>216</v>
          </cell>
          <cell r="J256">
            <v>7414.9399999999896</v>
          </cell>
          <cell r="K256">
            <v>1469.5899999999899</v>
          </cell>
          <cell r="L256">
            <v>0</v>
          </cell>
          <cell r="M256">
            <v>0</v>
          </cell>
          <cell r="N256">
            <v>1469.5899999999899</v>
          </cell>
          <cell r="O256">
            <v>154558.019999999</v>
          </cell>
          <cell r="Q256">
            <v>0</v>
          </cell>
          <cell r="R256">
            <v>154558.019999999</v>
          </cell>
          <cell r="S256">
            <v>27313.5</v>
          </cell>
          <cell r="T256">
            <v>44.259999999999899</v>
          </cell>
          <cell r="U256">
            <v>154602.28</v>
          </cell>
        </row>
        <row r="257">
          <cell r="A257" t="str">
            <v>PLN   Złoty</v>
          </cell>
          <cell r="E257" t="str">
            <v>KB Sprzed. bezpośrednia</v>
          </cell>
          <cell r="H257">
            <v>24</v>
          </cell>
          <cell r="J257">
            <v>859.58</v>
          </cell>
          <cell r="K257">
            <v>163.289999999999</v>
          </cell>
          <cell r="L257">
            <v>1685.28</v>
          </cell>
          <cell r="M257">
            <v>0</v>
          </cell>
          <cell r="N257">
            <v>1848.5699999999899</v>
          </cell>
          <cell r="O257">
            <v>18243.41</v>
          </cell>
          <cell r="Q257">
            <v>0</v>
          </cell>
          <cell r="R257">
            <v>18243.41</v>
          </cell>
          <cell r="S257">
            <v>2838.9099999999899</v>
          </cell>
          <cell r="T257">
            <v>4.71999999999999</v>
          </cell>
          <cell r="U257">
            <v>18248.13</v>
          </cell>
        </row>
        <row r="258">
          <cell r="A258" t="str">
            <v>PLN   Złoty</v>
          </cell>
          <cell r="E258" t="str">
            <v>KB Sprzed. bezpośrednia</v>
          </cell>
          <cell r="H258">
            <v>73</v>
          </cell>
          <cell r="J258">
            <v>2529.7199999999898</v>
          </cell>
          <cell r="K258">
            <v>496.67</v>
          </cell>
          <cell r="L258">
            <v>1130.8199999999899</v>
          </cell>
          <cell r="M258">
            <v>0</v>
          </cell>
          <cell r="N258">
            <v>1627.49</v>
          </cell>
          <cell r="O258">
            <v>51410.269999999902</v>
          </cell>
          <cell r="Q258">
            <v>0</v>
          </cell>
          <cell r="R258">
            <v>51410.269999999902</v>
          </cell>
          <cell r="S258">
            <v>10636.209999999901</v>
          </cell>
          <cell r="T258">
            <v>14.3599999999999</v>
          </cell>
          <cell r="U258">
            <v>51424.629999999903</v>
          </cell>
        </row>
        <row r="259">
          <cell r="A259" t="str">
            <v>PLN   Złoty</v>
          </cell>
          <cell r="E259" t="str">
            <v>KB Sprzed. bezpośrednia</v>
          </cell>
          <cell r="H259">
            <v>188</v>
          </cell>
          <cell r="J259">
            <v>6781.9899999999898</v>
          </cell>
          <cell r="K259">
            <v>1279.0999999999899</v>
          </cell>
          <cell r="L259">
            <v>7859.8</v>
          </cell>
          <cell r="M259">
            <v>0</v>
          </cell>
          <cell r="N259">
            <v>9138.8999999999905</v>
          </cell>
          <cell r="O259">
            <v>137613.679999999</v>
          </cell>
          <cell r="Q259">
            <v>0</v>
          </cell>
          <cell r="R259">
            <v>137613.679999999</v>
          </cell>
          <cell r="S259">
            <v>28730.84</v>
          </cell>
          <cell r="T259">
            <v>36.969999999999899</v>
          </cell>
          <cell r="U259">
            <v>137650.649999999</v>
          </cell>
        </row>
        <row r="260">
          <cell r="A260" t="str">
            <v>PLN   Złoty</v>
          </cell>
          <cell r="E260" t="str">
            <v>KB Sprzed. bezpośrednia</v>
          </cell>
          <cell r="H260">
            <v>672</v>
          </cell>
          <cell r="J260">
            <v>23731.99</v>
          </cell>
          <cell r="K260">
            <v>4572.0299999999897</v>
          </cell>
          <cell r="L260">
            <v>18016.400000000001</v>
          </cell>
          <cell r="M260">
            <v>0</v>
          </cell>
          <cell r="N260">
            <v>22588.43</v>
          </cell>
          <cell r="O260">
            <v>501789.40999999898</v>
          </cell>
          <cell r="Q260">
            <v>0</v>
          </cell>
          <cell r="R260">
            <v>501789.40999999898</v>
          </cell>
          <cell r="S260">
            <v>80297.389999999898</v>
          </cell>
          <cell r="T260">
            <v>138.38999999999899</v>
          </cell>
          <cell r="U260">
            <v>501927.799999999</v>
          </cell>
        </row>
        <row r="261">
          <cell r="A261" t="str">
            <v>PLN   Złoty</v>
          </cell>
          <cell r="E261" t="str">
            <v>KB Sprzed. bezpośrednia</v>
          </cell>
          <cell r="H261">
            <v>12</v>
          </cell>
          <cell r="J261">
            <v>423.05</v>
          </cell>
          <cell r="K261">
            <v>190.81</v>
          </cell>
          <cell r="L261">
            <v>1038.1199999999899</v>
          </cell>
          <cell r="M261">
            <v>0</v>
          </cell>
          <cell r="N261">
            <v>1228.93</v>
          </cell>
          <cell r="O261">
            <v>9026.5499999999902</v>
          </cell>
          <cell r="Q261">
            <v>0</v>
          </cell>
          <cell r="R261">
            <v>9026.5499999999902</v>
          </cell>
          <cell r="S261">
            <v>1350.8099999999899</v>
          </cell>
          <cell r="T261">
            <v>2.25</v>
          </cell>
          <cell r="U261">
            <v>9028.7999999999902</v>
          </cell>
        </row>
        <row r="262">
          <cell r="A262" t="str">
            <v>PLN   Złoty</v>
          </cell>
          <cell r="E262" t="str">
            <v>KB Sprzed. bezpośrednia</v>
          </cell>
          <cell r="H262">
            <v>36</v>
          </cell>
          <cell r="J262">
            <v>1261.54</v>
          </cell>
          <cell r="K262">
            <v>572.44000000000005</v>
          </cell>
          <cell r="L262">
            <v>2781.5999999999899</v>
          </cell>
          <cell r="M262">
            <v>0</v>
          </cell>
          <cell r="N262">
            <v>3354.04</v>
          </cell>
          <cell r="O262">
            <v>26739.29</v>
          </cell>
          <cell r="Q262">
            <v>0</v>
          </cell>
          <cell r="R262">
            <v>26739.29</v>
          </cell>
          <cell r="S262">
            <v>4203.67</v>
          </cell>
          <cell r="T262">
            <v>6.71999999999999</v>
          </cell>
          <cell r="U262">
            <v>26746.0099999999</v>
          </cell>
        </row>
        <row r="263">
          <cell r="A263" t="str">
            <v>PLN   Złoty</v>
          </cell>
          <cell r="E263" t="str">
            <v>KB Sprzed. bezpośrednia</v>
          </cell>
          <cell r="H263">
            <v>20</v>
          </cell>
          <cell r="J263">
            <v>663.99</v>
          </cell>
          <cell r="K263">
            <v>318.01999999999902</v>
          </cell>
          <cell r="L263">
            <v>0</v>
          </cell>
          <cell r="M263">
            <v>0</v>
          </cell>
          <cell r="N263">
            <v>318.01999999999902</v>
          </cell>
          <cell r="O263">
            <v>13272.959999999901</v>
          </cell>
          <cell r="Q263">
            <v>0</v>
          </cell>
          <cell r="R263">
            <v>13272.959999999901</v>
          </cell>
          <cell r="S263">
            <v>3012.6399999999899</v>
          </cell>
          <cell r="T263">
            <v>3.73</v>
          </cell>
          <cell r="U263">
            <v>13276.69</v>
          </cell>
        </row>
        <row r="264">
          <cell r="A264" t="str">
            <v>PLN   Złoty</v>
          </cell>
          <cell r="E264" t="str">
            <v>KB Sprzed. bezpośrednia</v>
          </cell>
          <cell r="H264">
            <v>122</v>
          </cell>
          <cell r="J264">
            <v>4169.97</v>
          </cell>
          <cell r="K264">
            <v>1939.93</v>
          </cell>
          <cell r="L264">
            <v>5614.18</v>
          </cell>
          <cell r="M264">
            <v>0</v>
          </cell>
          <cell r="N264">
            <v>7554.1099999999897</v>
          </cell>
          <cell r="O264">
            <v>86698.880000000005</v>
          </cell>
          <cell r="Q264">
            <v>0</v>
          </cell>
          <cell r="R264">
            <v>86698.880000000005</v>
          </cell>
          <cell r="S264">
            <v>15580.18</v>
          </cell>
          <cell r="T264">
            <v>22.77</v>
          </cell>
          <cell r="U264">
            <v>86721.649999999907</v>
          </cell>
        </row>
        <row r="265">
          <cell r="A265" t="str">
            <v>PLN   Złoty</v>
          </cell>
          <cell r="E265" t="str">
            <v>KB Sprzed. bezpośrednia</v>
          </cell>
          <cell r="H265">
            <v>24</v>
          </cell>
          <cell r="J265">
            <v>851.25999999999897</v>
          </cell>
          <cell r="K265">
            <v>381.62</v>
          </cell>
          <cell r="L265">
            <v>2040.72</v>
          </cell>
          <cell r="M265">
            <v>0</v>
          </cell>
          <cell r="N265">
            <v>2422.34</v>
          </cell>
          <cell r="O265">
            <v>18022.740000000002</v>
          </cell>
          <cell r="Q265">
            <v>0</v>
          </cell>
          <cell r="R265">
            <v>18022.740000000002</v>
          </cell>
          <cell r="S265">
            <v>2857.26</v>
          </cell>
          <cell r="T265">
            <v>4.4800000000000004</v>
          </cell>
          <cell r="U265">
            <v>18027.22</v>
          </cell>
        </row>
        <row r="266">
          <cell r="A266" t="str">
            <v>PLN   Złoty</v>
          </cell>
          <cell r="E266" t="str">
            <v>KB Sprzed. bezpośrednia</v>
          </cell>
          <cell r="H266">
            <v>50</v>
          </cell>
          <cell r="J266">
            <v>1685.19</v>
          </cell>
          <cell r="K266">
            <v>795.04999999999905</v>
          </cell>
          <cell r="L266">
            <v>0</v>
          </cell>
          <cell r="M266">
            <v>0</v>
          </cell>
          <cell r="N266">
            <v>795.04999999999905</v>
          </cell>
          <cell r="O266">
            <v>36160.980000000003</v>
          </cell>
          <cell r="Q266">
            <v>0</v>
          </cell>
          <cell r="R266">
            <v>36160.980000000003</v>
          </cell>
          <cell r="S266">
            <v>5172.5200000000004</v>
          </cell>
          <cell r="T266">
            <v>10.23</v>
          </cell>
          <cell r="U266">
            <v>36171.209999999897</v>
          </cell>
        </row>
        <row r="267">
          <cell r="A267" t="str">
            <v>PLN   Złoty</v>
          </cell>
          <cell r="E267" t="str">
            <v>KB Sprzed. bezpośrednia</v>
          </cell>
          <cell r="H267">
            <v>89</v>
          </cell>
          <cell r="J267">
            <v>3097.07</v>
          </cell>
          <cell r="K267">
            <v>1415.18</v>
          </cell>
          <cell r="L267">
            <v>6372.72</v>
          </cell>
          <cell r="M267">
            <v>0</v>
          </cell>
          <cell r="N267">
            <v>7787.8999999999896</v>
          </cell>
          <cell r="O267">
            <v>65501.48</v>
          </cell>
          <cell r="Q267">
            <v>0</v>
          </cell>
          <cell r="R267">
            <v>65501.48</v>
          </cell>
          <cell r="S267">
            <v>10462.16</v>
          </cell>
          <cell r="T267">
            <v>16.59</v>
          </cell>
          <cell r="U267">
            <v>65518.07</v>
          </cell>
        </row>
        <row r="268">
          <cell r="A268" t="str">
            <v>PLN   Złoty</v>
          </cell>
          <cell r="E268" t="str">
            <v>KB Sprzed. bezpośrednia</v>
          </cell>
          <cell r="H268">
            <v>336</v>
          </cell>
          <cell r="J268">
            <v>11583.379999999899</v>
          </cell>
          <cell r="K268">
            <v>5342.7299999999896</v>
          </cell>
          <cell r="L268">
            <v>11750.879999999899</v>
          </cell>
          <cell r="M268">
            <v>0</v>
          </cell>
          <cell r="N268">
            <v>17093.61</v>
          </cell>
          <cell r="O268">
            <v>235165.079999999</v>
          </cell>
          <cell r="Q268">
            <v>0</v>
          </cell>
          <cell r="R268">
            <v>235165.079999999</v>
          </cell>
          <cell r="S268">
            <v>48945.72</v>
          </cell>
          <cell r="T268">
            <v>62.74</v>
          </cell>
          <cell r="U268">
            <v>235227.82</v>
          </cell>
        </row>
        <row r="269">
          <cell r="A269" t="str">
            <v>PLN   Złoty</v>
          </cell>
          <cell r="E269" t="str">
            <v>KB Sprzed. bezpośrednia</v>
          </cell>
          <cell r="H269">
            <v>92</v>
          </cell>
          <cell r="J269">
            <v>3201.54</v>
          </cell>
          <cell r="K269">
            <v>1462.9</v>
          </cell>
          <cell r="L269">
            <v>3308.76</v>
          </cell>
          <cell r="M269">
            <v>0</v>
          </cell>
          <cell r="N269">
            <v>4771.6599999999899</v>
          </cell>
          <cell r="O269">
            <v>64511.57</v>
          </cell>
          <cell r="Q269">
            <v>0</v>
          </cell>
          <cell r="R269">
            <v>64511.57</v>
          </cell>
          <cell r="S269">
            <v>14013.67</v>
          </cell>
          <cell r="T269">
            <v>17.18</v>
          </cell>
          <cell r="U269">
            <v>64528.75</v>
          </cell>
        </row>
        <row r="270">
          <cell r="A270" t="str">
            <v>PLN   Złoty</v>
          </cell>
          <cell r="E270" t="str">
            <v>KB Sprzed. bezpośrednia</v>
          </cell>
          <cell r="H270">
            <v>40</v>
          </cell>
          <cell r="J270">
            <v>1373.95</v>
          </cell>
          <cell r="K270">
            <v>636.03999999999905</v>
          </cell>
          <cell r="L270">
            <v>1379.76</v>
          </cell>
          <cell r="M270">
            <v>0</v>
          </cell>
          <cell r="N270">
            <v>2015.8</v>
          </cell>
          <cell r="O270">
            <v>27971.65</v>
          </cell>
          <cell r="Q270">
            <v>0</v>
          </cell>
          <cell r="R270">
            <v>27971.65</v>
          </cell>
          <cell r="S270">
            <v>5728.0299999999897</v>
          </cell>
          <cell r="T270">
            <v>7.46999999999999</v>
          </cell>
          <cell r="U270">
            <v>27979.119999999901</v>
          </cell>
        </row>
        <row r="271">
          <cell r="A271" t="str">
            <v>PLN   Złoty</v>
          </cell>
          <cell r="E271" t="str">
            <v>KB Sprzed. bezpośrednia</v>
          </cell>
          <cell r="H271">
            <v>49</v>
          </cell>
          <cell r="J271">
            <v>1663.69</v>
          </cell>
          <cell r="K271">
            <v>779.15999999999894</v>
          </cell>
          <cell r="L271">
            <v>0</v>
          </cell>
          <cell r="M271">
            <v>0</v>
          </cell>
          <cell r="N271">
            <v>779.15999999999894</v>
          </cell>
          <cell r="O271">
            <v>35347.959999999897</v>
          </cell>
          <cell r="Q271">
            <v>0</v>
          </cell>
          <cell r="R271">
            <v>35347.959999999897</v>
          </cell>
          <cell r="S271">
            <v>5458.3999999999896</v>
          </cell>
          <cell r="T271">
            <v>9.99</v>
          </cell>
          <cell r="U271">
            <v>35357.949999999903</v>
          </cell>
        </row>
        <row r="272">
          <cell r="A272" t="str">
            <v>PLN   Złoty</v>
          </cell>
          <cell r="E272" t="str">
            <v>KB Sprzed. bezpośrednia</v>
          </cell>
          <cell r="H272">
            <v>24</v>
          </cell>
          <cell r="J272">
            <v>851.25999999999897</v>
          </cell>
          <cell r="K272">
            <v>381.62</v>
          </cell>
          <cell r="L272">
            <v>2325.36</v>
          </cell>
          <cell r="M272">
            <v>0</v>
          </cell>
          <cell r="N272">
            <v>2706.98</v>
          </cell>
          <cell r="O272">
            <v>18307.38</v>
          </cell>
          <cell r="Q272">
            <v>0</v>
          </cell>
          <cell r="R272">
            <v>18307.38</v>
          </cell>
          <cell r="S272">
            <v>2572.6199999999899</v>
          </cell>
          <cell r="T272">
            <v>4.4800000000000004</v>
          </cell>
          <cell r="U272">
            <v>18311.86</v>
          </cell>
        </row>
        <row r="273">
          <cell r="A273" t="str">
            <v>PLN   Złoty</v>
          </cell>
          <cell r="E273" t="str">
            <v>KB Sprzed. bezpośrednia</v>
          </cell>
          <cell r="H273">
            <v>84</v>
          </cell>
          <cell r="J273">
            <v>2860.23</v>
          </cell>
          <cell r="K273">
            <v>1335.67</v>
          </cell>
          <cell r="L273">
            <v>977.51999999999896</v>
          </cell>
          <cell r="M273">
            <v>0</v>
          </cell>
          <cell r="N273">
            <v>2313.19</v>
          </cell>
          <cell r="O273">
            <v>56795.41</v>
          </cell>
          <cell r="Q273">
            <v>0</v>
          </cell>
          <cell r="R273">
            <v>56795.41</v>
          </cell>
          <cell r="S273">
            <v>13357.91</v>
          </cell>
          <cell r="T273">
            <v>15.68</v>
          </cell>
          <cell r="U273">
            <v>56811.089999999902</v>
          </cell>
        </row>
        <row r="274">
          <cell r="A274" t="str">
            <v>PLN   Złoty</v>
          </cell>
          <cell r="E274" t="str">
            <v>KB Sprzed. bezpośrednia</v>
          </cell>
          <cell r="H274">
            <v>25</v>
          </cell>
          <cell r="J274">
            <v>860.27999999999895</v>
          </cell>
          <cell r="K274">
            <v>397.51999999999902</v>
          </cell>
          <cell r="L274">
            <v>1537.67</v>
          </cell>
          <cell r="M274">
            <v>0</v>
          </cell>
          <cell r="N274">
            <v>1935.19</v>
          </cell>
          <cell r="O274">
            <v>18159.16</v>
          </cell>
          <cell r="Q274">
            <v>0</v>
          </cell>
          <cell r="R274">
            <v>18159.16</v>
          </cell>
          <cell r="S274">
            <v>2942.09</v>
          </cell>
          <cell r="T274">
            <v>4.6699999999999902</v>
          </cell>
          <cell r="U274">
            <v>18163.830000000002</v>
          </cell>
        </row>
        <row r="275">
          <cell r="A275" t="str">
            <v>PLN   Złoty</v>
          </cell>
          <cell r="E275" t="str">
            <v>KB Sprzed. bezpośrednia</v>
          </cell>
          <cell r="H275">
            <v>60</v>
          </cell>
          <cell r="J275">
            <v>2053.69</v>
          </cell>
          <cell r="K275">
            <v>954.05999999999904</v>
          </cell>
          <cell r="L275">
            <v>1212.48</v>
          </cell>
          <cell r="M275">
            <v>0</v>
          </cell>
          <cell r="N275">
            <v>2166.54</v>
          </cell>
          <cell r="O275">
            <v>41093.08</v>
          </cell>
          <cell r="Q275">
            <v>0</v>
          </cell>
          <cell r="R275">
            <v>41093.08</v>
          </cell>
          <cell r="S275">
            <v>9279.2000000000007</v>
          </cell>
          <cell r="T275">
            <v>11.1999999999999</v>
          </cell>
          <cell r="U275">
            <v>41104.279999999897</v>
          </cell>
        </row>
        <row r="276">
          <cell r="A276" t="str">
            <v>PLN   Złoty</v>
          </cell>
          <cell r="E276" t="str">
            <v>KB Sprzed. bezpośrednia</v>
          </cell>
          <cell r="H276">
            <v>24</v>
          </cell>
          <cell r="J276">
            <v>851.25999999999897</v>
          </cell>
          <cell r="K276">
            <v>381.62</v>
          </cell>
          <cell r="L276">
            <v>1300.8</v>
          </cell>
          <cell r="M276">
            <v>0</v>
          </cell>
          <cell r="N276">
            <v>1682.42</v>
          </cell>
          <cell r="O276">
            <v>17282.82</v>
          </cell>
          <cell r="Q276">
            <v>0</v>
          </cell>
          <cell r="R276">
            <v>17282.82</v>
          </cell>
          <cell r="S276">
            <v>3597.1799999999898</v>
          </cell>
          <cell r="T276">
            <v>4.4800000000000004</v>
          </cell>
          <cell r="U276">
            <v>17287.299999999901</v>
          </cell>
        </row>
        <row r="277">
          <cell r="A277" t="str">
            <v>PLN   Złoty</v>
          </cell>
          <cell r="E277" t="str">
            <v>KB Sprzed. bezpośrednia</v>
          </cell>
          <cell r="H277">
            <v>68</v>
          </cell>
          <cell r="J277">
            <v>2383.9</v>
          </cell>
          <cell r="K277">
            <v>1081.27</v>
          </cell>
          <cell r="L277">
            <v>0</v>
          </cell>
          <cell r="M277">
            <v>0</v>
          </cell>
          <cell r="N277">
            <v>1081.27</v>
          </cell>
          <cell r="O277">
            <v>47144.559999999903</v>
          </cell>
          <cell r="Q277">
            <v>0</v>
          </cell>
          <cell r="R277">
            <v>47144.559999999903</v>
          </cell>
          <cell r="S277">
            <v>11325.16</v>
          </cell>
          <cell r="T277">
            <v>13.27</v>
          </cell>
          <cell r="U277">
            <v>47157.83</v>
          </cell>
        </row>
        <row r="278">
          <cell r="A278" t="str">
            <v>PLN   Złoty</v>
          </cell>
          <cell r="E278" t="str">
            <v>KB Sprzed. bezpośrednia</v>
          </cell>
          <cell r="H278">
            <v>111</v>
          </cell>
          <cell r="J278">
            <v>3937.71</v>
          </cell>
          <cell r="K278">
            <v>1765.01</v>
          </cell>
          <cell r="L278">
            <v>0</v>
          </cell>
          <cell r="M278">
            <v>0</v>
          </cell>
          <cell r="N278">
            <v>1765.01</v>
          </cell>
          <cell r="O278">
            <v>80603.990000000005</v>
          </cell>
          <cell r="Q278">
            <v>0</v>
          </cell>
          <cell r="R278">
            <v>80603.990000000005</v>
          </cell>
          <cell r="S278">
            <v>15978.459999999901</v>
          </cell>
          <cell r="T278">
            <v>22.75</v>
          </cell>
          <cell r="U278">
            <v>80626.740000000005</v>
          </cell>
        </row>
        <row r="279">
          <cell r="A279" t="str">
            <v>PLN   Złoty</v>
          </cell>
          <cell r="E279" t="str">
            <v>KB Sprzed. bezpośrednia</v>
          </cell>
          <cell r="H279">
            <v>81</v>
          </cell>
          <cell r="J279">
            <v>2737.36</v>
          </cell>
          <cell r="K279">
            <v>1287.97</v>
          </cell>
          <cell r="L279">
            <v>1815.8399999999899</v>
          </cell>
          <cell r="M279">
            <v>0</v>
          </cell>
          <cell r="N279">
            <v>3103.8099999999899</v>
          </cell>
          <cell r="O279">
            <v>55619.519999999902</v>
          </cell>
          <cell r="Q279">
            <v>0</v>
          </cell>
          <cell r="R279">
            <v>55619.519999999902</v>
          </cell>
          <cell r="S279">
            <v>11521.709999999901</v>
          </cell>
          <cell r="T279">
            <v>15.13</v>
          </cell>
          <cell r="U279">
            <v>55634.65</v>
          </cell>
        </row>
        <row r="280">
          <cell r="A280" t="str">
            <v>PLN   Złoty</v>
          </cell>
          <cell r="E280" t="str">
            <v>KB Sprzed. bezpośrednia</v>
          </cell>
          <cell r="H280">
            <v>170</v>
          </cell>
          <cell r="J280">
            <v>5727.42</v>
          </cell>
          <cell r="K280">
            <v>2703.1599999999899</v>
          </cell>
          <cell r="L280">
            <v>4308.1499999999896</v>
          </cell>
          <cell r="M280">
            <v>0</v>
          </cell>
          <cell r="N280">
            <v>7011.31</v>
          </cell>
          <cell r="O280">
            <v>117211.81</v>
          </cell>
          <cell r="Q280">
            <v>0</v>
          </cell>
          <cell r="R280">
            <v>117211.81</v>
          </cell>
          <cell r="S280">
            <v>23268.529999999901</v>
          </cell>
          <cell r="T280">
            <v>31.73</v>
          </cell>
          <cell r="U280">
            <v>117243.539999999</v>
          </cell>
        </row>
        <row r="281">
          <cell r="A281" t="str">
            <v>PLN   Złoty</v>
          </cell>
          <cell r="E281" t="str">
            <v>KB Sprzed. bezpośrednia</v>
          </cell>
          <cell r="H281">
            <v>4</v>
          </cell>
          <cell r="J281">
            <v>133.21</v>
          </cell>
          <cell r="K281">
            <v>63.6</v>
          </cell>
          <cell r="L281">
            <v>0</v>
          </cell>
          <cell r="M281">
            <v>0</v>
          </cell>
          <cell r="N281">
            <v>63.6</v>
          </cell>
          <cell r="O281">
            <v>2829.1399999999899</v>
          </cell>
          <cell r="Q281">
            <v>0</v>
          </cell>
          <cell r="R281">
            <v>2829.1399999999899</v>
          </cell>
          <cell r="S281">
            <v>437.86</v>
          </cell>
          <cell r="T281">
            <v>0.8</v>
          </cell>
          <cell r="U281">
            <v>2829.94</v>
          </cell>
        </row>
        <row r="282">
          <cell r="A282" t="str">
            <v>PLN   Złoty</v>
          </cell>
          <cell r="E282" t="str">
            <v>KB Sprzed. bezpośrednia</v>
          </cell>
          <cell r="H282">
            <v>24</v>
          </cell>
          <cell r="J282">
            <v>851.25999999999897</v>
          </cell>
          <cell r="K282">
            <v>381.62</v>
          </cell>
          <cell r="L282">
            <v>1545.3599999999899</v>
          </cell>
          <cell r="M282">
            <v>0</v>
          </cell>
          <cell r="N282">
            <v>1926.98</v>
          </cell>
          <cell r="O282">
            <v>17527.38</v>
          </cell>
          <cell r="Q282">
            <v>0</v>
          </cell>
          <cell r="R282">
            <v>17527.38</v>
          </cell>
          <cell r="S282">
            <v>3352.6199999999899</v>
          </cell>
          <cell r="T282">
            <v>4.4800000000000004</v>
          </cell>
          <cell r="U282">
            <v>17531.86</v>
          </cell>
        </row>
        <row r="283">
          <cell r="A283" t="str">
            <v>PLN   Złoty</v>
          </cell>
          <cell r="E283" t="str">
            <v>KB Sprzed. bezpośrednia</v>
          </cell>
          <cell r="H283">
            <v>96</v>
          </cell>
          <cell r="J283">
            <v>3311.94</v>
          </cell>
          <cell r="K283">
            <v>1526.5</v>
          </cell>
          <cell r="L283">
            <v>7222.0799999999899</v>
          </cell>
          <cell r="M283">
            <v>0</v>
          </cell>
          <cell r="N283">
            <v>8748.5799999999908</v>
          </cell>
          <cell r="O283">
            <v>71057.08</v>
          </cell>
          <cell r="Q283">
            <v>0</v>
          </cell>
          <cell r="R283">
            <v>71057.08</v>
          </cell>
          <cell r="S283">
            <v>10176.68</v>
          </cell>
          <cell r="T283">
            <v>17.920000000000002</v>
          </cell>
          <cell r="U283">
            <v>71075</v>
          </cell>
        </row>
        <row r="284">
          <cell r="A284" t="str">
            <v>PLN   Złoty</v>
          </cell>
          <cell r="E284" t="str">
            <v>KB Sprzed. bezpośrednia</v>
          </cell>
          <cell r="H284">
            <v>24</v>
          </cell>
          <cell r="J284">
            <v>807.21</v>
          </cell>
          <cell r="K284">
            <v>381.62</v>
          </cell>
          <cell r="L284">
            <v>0</v>
          </cell>
          <cell r="M284">
            <v>0</v>
          </cell>
          <cell r="N284">
            <v>381.62</v>
          </cell>
          <cell r="O284">
            <v>15937.969999999899</v>
          </cell>
          <cell r="Q284">
            <v>0</v>
          </cell>
          <cell r="R284">
            <v>15937.969999999899</v>
          </cell>
          <cell r="S284">
            <v>3862.03</v>
          </cell>
          <cell r="T284">
            <v>4.4800000000000004</v>
          </cell>
          <cell r="U284">
            <v>15942.45</v>
          </cell>
        </row>
        <row r="285">
          <cell r="A285" t="str">
            <v>PLN   Złoty</v>
          </cell>
          <cell r="E285" t="str">
            <v>KB Sprzed. bezpośrednia</v>
          </cell>
          <cell r="H285">
            <v>24</v>
          </cell>
          <cell r="J285">
            <v>807.21</v>
          </cell>
          <cell r="K285">
            <v>381.62</v>
          </cell>
          <cell r="L285">
            <v>0</v>
          </cell>
          <cell r="M285">
            <v>0</v>
          </cell>
          <cell r="N285">
            <v>381.62</v>
          </cell>
          <cell r="O285">
            <v>15937.969999999899</v>
          </cell>
          <cell r="Q285">
            <v>0</v>
          </cell>
          <cell r="R285">
            <v>15937.969999999899</v>
          </cell>
          <cell r="S285">
            <v>3862.03</v>
          </cell>
          <cell r="T285">
            <v>4.4800000000000004</v>
          </cell>
          <cell r="U285">
            <v>15942.45</v>
          </cell>
        </row>
        <row r="286">
          <cell r="A286" t="str">
            <v>PLN   Złoty</v>
          </cell>
          <cell r="E286" t="str">
            <v>KB Sprzed. bezpośrednia</v>
          </cell>
          <cell r="H286">
            <v>24</v>
          </cell>
          <cell r="J286">
            <v>801.59</v>
          </cell>
          <cell r="K286">
            <v>381.62</v>
          </cell>
          <cell r="L286">
            <v>0</v>
          </cell>
          <cell r="M286">
            <v>0</v>
          </cell>
          <cell r="N286">
            <v>381.62</v>
          </cell>
          <cell r="O286">
            <v>15932.35</v>
          </cell>
          <cell r="Q286">
            <v>0</v>
          </cell>
          <cell r="R286">
            <v>15932.35</v>
          </cell>
          <cell r="S286">
            <v>3729.17</v>
          </cell>
          <cell r="T286">
            <v>4.4800000000000004</v>
          </cell>
          <cell r="U286">
            <v>15936.83</v>
          </cell>
        </row>
        <row r="287">
          <cell r="A287" t="str">
            <v>PLN   Złoty</v>
          </cell>
          <cell r="E287" t="str">
            <v>KB Sprzed. bezpośrednia</v>
          </cell>
          <cell r="H287">
            <v>24</v>
          </cell>
          <cell r="J287">
            <v>801.59</v>
          </cell>
          <cell r="K287">
            <v>381.62</v>
          </cell>
          <cell r="L287">
            <v>0</v>
          </cell>
          <cell r="M287">
            <v>0</v>
          </cell>
          <cell r="N287">
            <v>381.62</v>
          </cell>
          <cell r="O287">
            <v>17017.0099999999</v>
          </cell>
          <cell r="Q287">
            <v>0</v>
          </cell>
          <cell r="R287">
            <v>17017.0099999999</v>
          </cell>
          <cell r="S287">
            <v>2644.51</v>
          </cell>
          <cell r="T287">
            <v>4.8099999999999898</v>
          </cell>
          <cell r="U287">
            <v>17021.82</v>
          </cell>
        </row>
        <row r="288">
          <cell r="A288" t="str">
            <v>PLN   Złoty</v>
          </cell>
          <cell r="E288" t="str">
            <v>KB Sprzed. bezpośrednia</v>
          </cell>
          <cell r="H288">
            <v>422</v>
          </cell>
          <cell r="J288">
            <v>14222.1</v>
          </cell>
          <cell r="K288">
            <v>6710.2299999999896</v>
          </cell>
          <cell r="L288">
            <v>2985.1199999999899</v>
          </cell>
          <cell r="M288">
            <v>0</v>
          </cell>
          <cell r="N288">
            <v>9695.35</v>
          </cell>
          <cell r="O288">
            <v>283256.489999999</v>
          </cell>
          <cell r="Q288">
            <v>0</v>
          </cell>
          <cell r="R288">
            <v>283256.489999999</v>
          </cell>
          <cell r="S288">
            <v>65575.41</v>
          </cell>
          <cell r="T288">
            <v>78.799999999999898</v>
          </cell>
          <cell r="U288">
            <v>283335.28999999899</v>
          </cell>
        </row>
        <row r="289">
          <cell r="A289" t="str">
            <v>PLN   Złoty</v>
          </cell>
          <cell r="E289" t="str">
            <v>KB Sprzed. bezpośrednia</v>
          </cell>
          <cell r="H289">
            <v>63</v>
          </cell>
          <cell r="J289">
            <v>2109.88</v>
          </cell>
          <cell r="K289">
            <v>1001.77</v>
          </cell>
          <cell r="L289">
            <v>0</v>
          </cell>
          <cell r="M289">
            <v>0</v>
          </cell>
          <cell r="N289">
            <v>1001.77</v>
          </cell>
          <cell r="O289">
            <v>44675.379999999903</v>
          </cell>
          <cell r="Q289">
            <v>0</v>
          </cell>
          <cell r="R289">
            <v>44675.379999999903</v>
          </cell>
          <cell r="S289">
            <v>7074.4399999999896</v>
          </cell>
          <cell r="T289">
            <v>12.63</v>
          </cell>
          <cell r="U289">
            <v>44688.01</v>
          </cell>
        </row>
        <row r="290">
          <cell r="A290" t="str">
            <v>PLN   Złoty</v>
          </cell>
          <cell r="E290" t="str">
            <v>KB Sprzed. bezpośrednia</v>
          </cell>
          <cell r="H290">
            <v>15</v>
          </cell>
          <cell r="J290">
            <v>510.12</v>
          </cell>
          <cell r="K290">
            <v>238.52</v>
          </cell>
          <cell r="L290">
            <v>0</v>
          </cell>
          <cell r="M290">
            <v>0</v>
          </cell>
          <cell r="N290">
            <v>238.52</v>
          </cell>
          <cell r="O290">
            <v>9966.85</v>
          </cell>
          <cell r="Q290">
            <v>0</v>
          </cell>
          <cell r="R290">
            <v>9966.85</v>
          </cell>
          <cell r="S290">
            <v>2544.9499999999898</v>
          </cell>
          <cell r="T290">
            <v>2.7999999999999901</v>
          </cell>
          <cell r="U290">
            <v>9969.6499999999905</v>
          </cell>
        </row>
        <row r="291">
          <cell r="A291" t="str">
            <v>PLN   Złoty</v>
          </cell>
          <cell r="E291" t="str">
            <v>KB Sprzed. bezpośrednia</v>
          </cell>
          <cell r="H291">
            <v>179</v>
          </cell>
          <cell r="J291">
            <v>6227.9899999999898</v>
          </cell>
          <cell r="K291">
            <v>2846.27</v>
          </cell>
          <cell r="L291">
            <v>10415.790000000001</v>
          </cell>
          <cell r="M291">
            <v>0</v>
          </cell>
          <cell r="N291">
            <v>13262.059999999899</v>
          </cell>
          <cell r="O291">
            <v>129102.98</v>
          </cell>
          <cell r="Q291">
            <v>0</v>
          </cell>
          <cell r="R291">
            <v>129102.98</v>
          </cell>
          <cell r="S291">
            <v>23653.9399999999</v>
          </cell>
          <cell r="T291">
            <v>33.31</v>
          </cell>
          <cell r="U291">
            <v>129136.289999999</v>
          </cell>
        </row>
        <row r="292">
          <cell r="A292" t="str">
            <v>PLN   Złoty</v>
          </cell>
          <cell r="E292" t="str">
            <v>KB Sprzed. bezpośrednia</v>
          </cell>
          <cell r="H292">
            <v>24</v>
          </cell>
          <cell r="J292">
            <v>840.22</v>
          </cell>
          <cell r="K292">
            <v>381.62</v>
          </cell>
          <cell r="L292">
            <v>977.51999999999896</v>
          </cell>
          <cell r="M292">
            <v>0</v>
          </cell>
          <cell r="N292">
            <v>1359.14</v>
          </cell>
          <cell r="O292">
            <v>18033.16</v>
          </cell>
          <cell r="Q292">
            <v>0</v>
          </cell>
          <cell r="R292">
            <v>18033.16</v>
          </cell>
          <cell r="S292">
            <v>2575.4</v>
          </cell>
          <cell r="T292">
            <v>4.8099999999999898</v>
          </cell>
          <cell r="U292">
            <v>18037.97</v>
          </cell>
        </row>
        <row r="293">
          <cell r="A293" t="str">
            <v>PLN   Złoty</v>
          </cell>
          <cell r="E293" t="str">
            <v>KB Sprzed. bezpośrednia</v>
          </cell>
          <cell r="H293">
            <v>73</v>
          </cell>
          <cell r="J293">
            <v>2493.8000000000002</v>
          </cell>
          <cell r="K293">
            <v>1160.77</v>
          </cell>
          <cell r="L293">
            <v>1118.52</v>
          </cell>
          <cell r="M293">
            <v>0</v>
          </cell>
          <cell r="N293">
            <v>2279.29</v>
          </cell>
          <cell r="O293">
            <v>51052.68</v>
          </cell>
          <cell r="Q293">
            <v>0</v>
          </cell>
          <cell r="R293">
            <v>51052.68</v>
          </cell>
          <cell r="S293">
            <v>10114.120000000001</v>
          </cell>
          <cell r="T293">
            <v>14.07</v>
          </cell>
          <cell r="U293">
            <v>51066.75</v>
          </cell>
        </row>
        <row r="294">
          <cell r="A294" t="str">
            <v>PLN   Złoty</v>
          </cell>
          <cell r="E294" t="str">
            <v>KB Sprzed. bezpośrednia</v>
          </cell>
          <cell r="H294">
            <v>72</v>
          </cell>
          <cell r="J294">
            <v>2509.8099999999899</v>
          </cell>
          <cell r="K294">
            <v>1144.8599999999899</v>
          </cell>
          <cell r="L294">
            <v>2396.88</v>
          </cell>
          <cell r="M294">
            <v>0</v>
          </cell>
          <cell r="N294">
            <v>3541.7399999999898</v>
          </cell>
          <cell r="O294">
            <v>53552.949999999903</v>
          </cell>
          <cell r="Q294">
            <v>0</v>
          </cell>
          <cell r="R294">
            <v>53552.949999999903</v>
          </cell>
          <cell r="S294">
            <v>8007.05</v>
          </cell>
          <cell r="T294">
            <v>14.43</v>
          </cell>
          <cell r="U294">
            <v>53567.379999999903</v>
          </cell>
        </row>
        <row r="295">
          <cell r="A295" t="str">
            <v>PLN   Złoty</v>
          </cell>
          <cell r="E295" t="str">
            <v>KB Sprzed. bezpośrednia</v>
          </cell>
          <cell r="H295">
            <v>16</v>
          </cell>
          <cell r="J295">
            <v>541.47</v>
          </cell>
          <cell r="K295">
            <v>254.41</v>
          </cell>
          <cell r="L295">
            <v>0</v>
          </cell>
          <cell r="M295">
            <v>0</v>
          </cell>
          <cell r="N295">
            <v>254.41</v>
          </cell>
          <cell r="O295">
            <v>10628.629999999899</v>
          </cell>
          <cell r="Q295">
            <v>0</v>
          </cell>
          <cell r="R295">
            <v>10628.629999999899</v>
          </cell>
          <cell r="S295">
            <v>2651.77</v>
          </cell>
          <cell r="T295">
            <v>2.99</v>
          </cell>
          <cell r="U295">
            <v>10631.62</v>
          </cell>
        </row>
        <row r="296">
          <cell r="A296" t="str">
            <v>PLN   Złoty</v>
          </cell>
          <cell r="E296" t="str">
            <v>KB Sprzed. bezpośrednia</v>
          </cell>
          <cell r="H296">
            <v>18</v>
          </cell>
          <cell r="J296">
            <v>610.25999999999897</v>
          </cell>
          <cell r="K296">
            <v>286.23</v>
          </cell>
          <cell r="L296">
            <v>0</v>
          </cell>
          <cell r="M296">
            <v>0</v>
          </cell>
          <cell r="N296">
            <v>286.23</v>
          </cell>
          <cell r="O296">
            <v>11958.34</v>
          </cell>
          <cell r="Q296">
            <v>0</v>
          </cell>
          <cell r="R296">
            <v>11958.34</v>
          </cell>
          <cell r="S296">
            <v>3010.46</v>
          </cell>
          <cell r="T296">
            <v>3.37</v>
          </cell>
          <cell r="U296">
            <v>11961.709999999901</v>
          </cell>
        </row>
        <row r="297">
          <cell r="A297" t="str">
            <v>PLN   Złoty</v>
          </cell>
          <cell r="E297" t="str">
            <v>KB Sprzed. bezpośrednia</v>
          </cell>
          <cell r="H297">
            <v>12</v>
          </cell>
          <cell r="J297">
            <v>336.63</v>
          </cell>
          <cell r="K297">
            <v>227.47</v>
          </cell>
          <cell r="L297">
            <v>449.39999999999901</v>
          </cell>
          <cell r="M297">
            <v>0</v>
          </cell>
          <cell r="N297">
            <v>676.87</v>
          </cell>
          <cell r="O297">
            <v>6985.29</v>
          </cell>
          <cell r="Q297">
            <v>0</v>
          </cell>
          <cell r="R297">
            <v>6985.29</v>
          </cell>
          <cell r="S297">
            <v>1271.3099999999899</v>
          </cell>
          <cell r="T297">
            <v>1.81</v>
          </cell>
          <cell r="U297">
            <v>6987.1</v>
          </cell>
        </row>
        <row r="298">
          <cell r="A298" t="str">
            <v>PLN   Złoty</v>
          </cell>
          <cell r="E298" t="str">
            <v>KB Sprzed. bezpośrednia</v>
          </cell>
          <cell r="H298">
            <v>72</v>
          </cell>
          <cell r="J298">
            <v>1943.5999999999899</v>
          </cell>
          <cell r="K298">
            <v>1364.8399999999899</v>
          </cell>
          <cell r="L298">
            <v>0</v>
          </cell>
          <cell r="M298">
            <v>0</v>
          </cell>
          <cell r="N298">
            <v>1364.8399999999899</v>
          </cell>
          <cell r="O298">
            <v>39139.18</v>
          </cell>
          <cell r="Q298">
            <v>0</v>
          </cell>
          <cell r="R298">
            <v>39139.18</v>
          </cell>
          <cell r="S298">
            <v>8533.45999999999</v>
          </cell>
          <cell r="T298">
            <v>10.89</v>
          </cell>
          <cell r="U298">
            <v>39150.07</v>
          </cell>
        </row>
        <row r="299">
          <cell r="A299" t="str">
            <v>PLN   Złoty</v>
          </cell>
          <cell r="E299" t="str">
            <v>KB Sprzed. bezpośrednia</v>
          </cell>
          <cell r="H299">
            <v>171</v>
          </cell>
          <cell r="J299">
            <v>4776.8</v>
          </cell>
          <cell r="K299">
            <v>3241.4899999999898</v>
          </cell>
          <cell r="L299">
            <v>11755.17</v>
          </cell>
          <cell r="M299">
            <v>0</v>
          </cell>
          <cell r="N299">
            <v>14996.66</v>
          </cell>
          <cell r="O299">
            <v>104871.45</v>
          </cell>
          <cell r="Q299">
            <v>0</v>
          </cell>
          <cell r="R299">
            <v>104871.45</v>
          </cell>
          <cell r="S299">
            <v>12292.62</v>
          </cell>
          <cell r="T299">
            <v>25.85</v>
          </cell>
          <cell r="U299">
            <v>104897.3</v>
          </cell>
        </row>
        <row r="300">
          <cell r="A300" t="str">
            <v>PLN   Złoty</v>
          </cell>
          <cell r="E300" t="str">
            <v>KB Sprzed. bezpośrednia</v>
          </cell>
          <cell r="H300">
            <v>12</v>
          </cell>
          <cell r="J300">
            <v>344.94</v>
          </cell>
          <cell r="K300">
            <v>227.47</v>
          </cell>
          <cell r="L300">
            <v>541.32000000000005</v>
          </cell>
          <cell r="M300">
            <v>0</v>
          </cell>
          <cell r="N300">
            <v>768.78999999999905</v>
          </cell>
          <cell r="O300">
            <v>7085.52</v>
          </cell>
          <cell r="Q300">
            <v>0</v>
          </cell>
          <cell r="R300">
            <v>7085.52</v>
          </cell>
          <cell r="S300">
            <v>1374.8399999999899</v>
          </cell>
          <cell r="T300">
            <v>1.81</v>
          </cell>
          <cell r="U300">
            <v>7087.3299999999899</v>
          </cell>
        </row>
        <row r="301">
          <cell r="A301" t="str">
            <v>PLN   Złoty</v>
          </cell>
          <cell r="E301" t="str">
            <v>KB Sprzed. bezpośrednia</v>
          </cell>
          <cell r="H301">
            <v>48</v>
          </cell>
          <cell r="J301">
            <v>1304.92</v>
          </cell>
          <cell r="K301">
            <v>909.88</v>
          </cell>
          <cell r="L301">
            <v>0</v>
          </cell>
          <cell r="M301">
            <v>0</v>
          </cell>
          <cell r="N301">
            <v>909.88</v>
          </cell>
          <cell r="O301">
            <v>27473.52</v>
          </cell>
          <cell r="Q301">
            <v>0</v>
          </cell>
          <cell r="R301">
            <v>27473.52</v>
          </cell>
          <cell r="S301">
            <v>4531.68</v>
          </cell>
          <cell r="T301">
            <v>7.6799999999999899</v>
          </cell>
          <cell r="U301">
            <v>27481.200000000001</v>
          </cell>
        </row>
        <row r="302">
          <cell r="A302" t="str">
            <v>PLN   Złoty</v>
          </cell>
          <cell r="E302" t="str">
            <v>KB Sprzed. bezpośrednia</v>
          </cell>
          <cell r="H302">
            <v>24</v>
          </cell>
          <cell r="J302">
            <v>694.75</v>
          </cell>
          <cell r="K302">
            <v>454.94</v>
          </cell>
          <cell r="L302">
            <v>1992.72</v>
          </cell>
          <cell r="M302">
            <v>0</v>
          </cell>
          <cell r="N302">
            <v>2447.6599999999899</v>
          </cell>
          <cell r="O302">
            <v>15085.99</v>
          </cell>
          <cell r="Q302">
            <v>0</v>
          </cell>
          <cell r="R302">
            <v>15085.99</v>
          </cell>
          <cell r="S302">
            <v>1954.01</v>
          </cell>
          <cell r="T302">
            <v>3.6299999999999901</v>
          </cell>
          <cell r="U302">
            <v>15089.62</v>
          </cell>
        </row>
        <row r="303">
          <cell r="A303" t="str">
            <v>PLN   Złoty</v>
          </cell>
          <cell r="E303" t="str">
            <v>KB Sprzed. bezpośrednia</v>
          </cell>
          <cell r="H303">
            <v>24</v>
          </cell>
          <cell r="J303">
            <v>642.23</v>
          </cell>
          <cell r="K303">
            <v>454.94</v>
          </cell>
          <cell r="L303">
            <v>0</v>
          </cell>
          <cell r="M303">
            <v>0</v>
          </cell>
          <cell r="N303">
            <v>454.94</v>
          </cell>
          <cell r="O303">
            <v>13040.75</v>
          </cell>
          <cell r="Q303">
            <v>0</v>
          </cell>
          <cell r="R303">
            <v>13040.75</v>
          </cell>
          <cell r="S303">
            <v>2711.8899999999899</v>
          </cell>
          <cell r="T303">
            <v>3.6299999999999901</v>
          </cell>
          <cell r="U303">
            <v>13044.379999999899</v>
          </cell>
        </row>
        <row r="304">
          <cell r="A304" t="str">
            <v>PLN   Złoty</v>
          </cell>
          <cell r="E304" t="str">
            <v>KB Sprzed. bezpośrednia</v>
          </cell>
          <cell r="H304">
            <v>24</v>
          </cell>
          <cell r="J304">
            <v>660.73</v>
          </cell>
          <cell r="K304">
            <v>454.94</v>
          </cell>
          <cell r="L304">
            <v>0</v>
          </cell>
          <cell r="M304">
            <v>0</v>
          </cell>
          <cell r="N304">
            <v>454.94</v>
          </cell>
          <cell r="O304">
            <v>14430.809999999899</v>
          </cell>
          <cell r="Q304">
            <v>0</v>
          </cell>
          <cell r="R304">
            <v>14430.809999999899</v>
          </cell>
          <cell r="S304">
            <v>1774.95</v>
          </cell>
          <cell r="T304">
            <v>4.0499999999999901</v>
          </cell>
          <cell r="U304">
            <v>14434.86</v>
          </cell>
        </row>
        <row r="305">
          <cell r="A305" t="str">
            <v>PLN   Złoty</v>
          </cell>
          <cell r="E305" t="str">
            <v>KB Sprzed. bezpośrednia</v>
          </cell>
          <cell r="H305">
            <v>48</v>
          </cell>
          <cell r="J305">
            <v>1371.4</v>
          </cell>
          <cell r="K305">
            <v>909.89999999999895</v>
          </cell>
          <cell r="L305">
            <v>3594.96</v>
          </cell>
          <cell r="M305">
            <v>0</v>
          </cell>
          <cell r="N305">
            <v>4504.8599999999897</v>
          </cell>
          <cell r="O305">
            <v>29376.0099999999</v>
          </cell>
          <cell r="Q305">
            <v>0</v>
          </cell>
          <cell r="R305">
            <v>29376.0099999999</v>
          </cell>
          <cell r="S305">
            <v>4260.9499999999898</v>
          </cell>
          <cell r="T305">
            <v>7.1399999999999899</v>
          </cell>
          <cell r="U305">
            <v>29383.15</v>
          </cell>
        </row>
        <row r="306">
          <cell r="A306" t="str">
            <v>PLN   Złoty</v>
          </cell>
          <cell r="E306" t="str">
            <v>KB Sprzed. bezpośrednia</v>
          </cell>
          <cell r="H306">
            <v>24</v>
          </cell>
          <cell r="J306">
            <v>694.75</v>
          </cell>
          <cell r="K306">
            <v>454.94</v>
          </cell>
          <cell r="L306">
            <v>1484.88</v>
          </cell>
          <cell r="M306">
            <v>0</v>
          </cell>
          <cell r="N306">
            <v>1939.8199999999899</v>
          </cell>
          <cell r="O306">
            <v>14578.15</v>
          </cell>
          <cell r="Q306">
            <v>0</v>
          </cell>
          <cell r="R306">
            <v>14578.15</v>
          </cell>
          <cell r="S306">
            <v>2461.8499999999899</v>
          </cell>
          <cell r="T306">
            <v>3.6299999999999901</v>
          </cell>
          <cell r="U306">
            <v>14581.78</v>
          </cell>
        </row>
        <row r="307">
          <cell r="A307" t="str">
            <v>PLN   Złoty</v>
          </cell>
          <cell r="E307" t="str">
            <v>KB Sprzed. bezpośrednia</v>
          </cell>
          <cell r="H307">
            <v>14</v>
          </cell>
          <cell r="J307">
            <v>376.95999999999901</v>
          </cell>
          <cell r="K307">
            <v>265.38</v>
          </cell>
          <cell r="L307">
            <v>0</v>
          </cell>
          <cell r="M307">
            <v>0</v>
          </cell>
          <cell r="N307">
            <v>265.38</v>
          </cell>
          <cell r="O307">
            <v>7609.43</v>
          </cell>
          <cell r="Q307">
            <v>0</v>
          </cell>
          <cell r="R307">
            <v>7609.43</v>
          </cell>
          <cell r="S307">
            <v>1635.47</v>
          </cell>
          <cell r="T307">
            <v>2.12</v>
          </cell>
          <cell r="U307">
            <v>7611.55</v>
          </cell>
        </row>
        <row r="308">
          <cell r="A308" t="str">
            <v>PLN   Złoty</v>
          </cell>
          <cell r="E308" t="str">
            <v>KB Sprzed. bezpośrednia</v>
          </cell>
          <cell r="H308">
            <v>52</v>
          </cell>
          <cell r="J308">
            <v>1431.52</v>
          </cell>
          <cell r="K308">
            <v>985.71</v>
          </cell>
          <cell r="L308">
            <v>0</v>
          </cell>
          <cell r="M308">
            <v>0</v>
          </cell>
          <cell r="N308">
            <v>985.71</v>
          </cell>
          <cell r="O308">
            <v>32783.65</v>
          </cell>
          <cell r="Q308">
            <v>0</v>
          </cell>
          <cell r="R308">
            <v>32783.65</v>
          </cell>
          <cell r="S308">
            <v>2328.8299999999899</v>
          </cell>
          <cell r="T308">
            <v>9.23</v>
          </cell>
          <cell r="U308">
            <v>32792.879999999903</v>
          </cell>
        </row>
        <row r="309">
          <cell r="A309" t="str">
            <v>PLN   Złoty</v>
          </cell>
          <cell r="E309" t="str">
            <v>KB Sprzed. bezpośrednia</v>
          </cell>
          <cell r="H309">
            <v>24</v>
          </cell>
          <cell r="J309">
            <v>644.17999999999904</v>
          </cell>
          <cell r="K309">
            <v>454.94</v>
          </cell>
          <cell r="L309">
            <v>0</v>
          </cell>
          <cell r="M309">
            <v>0</v>
          </cell>
          <cell r="N309">
            <v>454.94</v>
          </cell>
          <cell r="O309">
            <v>13042.7</v>
          </cell>
          <cell r="Q309">
            <v>0</v>
          </cell>
          <cell r="R309">
            <v>13042.7</v>
          </cell>
          <cell r="S309">
            <v>2757.6999999999898</v>
          </cell>
          <cell r="T309">
            <v>3.6299999999999901</v>
          </cell>
          <cell r="U309">
            <v>13046.33</v>
          </cell>
        </row>
        <row r="310">
          <cell r="A310" t="str">
            <v>PLN   Złoty</v>
          </cell>
          <cell r="E310" t="str">
            <v>KB Sprzed. bezpośrednia</v>
          </cell>
          <cell r="H310">
            <v>50</v>
          </cell>
          <cell r="J310">
            <v>1385.21</v>
          </cell>
          <cell r="K310">
            <v>947.79999999999905</v>
          </cell>
          <cell r="L310">
            <v>0</v>
          </cell>
          <cell r="M310">
            <v>0</v>
          </cell>
          <cell r="N310">
            <v>947.79999999999905</v>
          </cell>
          <cell r="O310">
            <v>30072.889999999901</v>
          </cell>
          <cell r="Q310">
            <v>0</v>
          </cell>
          <cell r="R310">
            <v>30072.889999999901</v>
          </cell>
          <cell r="S310">
            <v>3902.63</v>
          </cell>
          <cell r="T310">
            <v>8.4299999999999908</v>
          </cell>
          <cell r="U310">
            <v>30081.32</v>
          </cell>
        </row>
        <row r="311">
          <cell r="A311" t="str">
            <v>PLN   Złoty</v>
          </cell>
          <cell r="E311" t="str">
            <v>KB Sprzed. bezpośrednia</v>
          </cell>
          <cell r="H311">
            <v>12</v>
          </cell>
          <cell r="J311">
            <v>331.67</v>
          </cell>
          <cell r="K311">
            <v>227.47</v>
          </cell>
          <cell r="L311">
            <v>0</v>
          </cell>
          <cell r="M311">
            <v>0</v>
          </cell>
          <cell r="N311">
            <v>227.47</v>
          </cell>
          <cell r="O311">
            <v>7179.4399999999896</v>
          </cell>
          <cell r="Q311">
            <v>0</v>
          </cell>
          <cell r="R311">
            <v>7179.4399999999896</v>
          </cell>
          <cell r="S311">
            <v>956.08</v>
          </cell>
          <cell r="T311">
            <v>2.00999999999999</v>
          </cell>
          <cell r="U311">
            <v>7181.4499999999898</v>
          </cell>
        </row>
        <row r="312">
          <cell r="A312" t="str">
            <v>PLN   Złoty</v>
          </cell>
          <cell r="E312" t="str">
            <v>KB Sprzed. bezpośrednia</v>
          </cell>
          <cell r="H312">
            <v>81</v>
          </cell>
          <cell r="J312">
            <v>2298.29</v>
          </cell>
          <cell r="K312">
            <v>1535.44</v>
          </cell>
          <cell r="L312">
            <v>7056.5799999999899</v>
          </cell>
          <cell r="M312">
            <v>0</v>
          </cell>
          <cell r="N312">
            <v>8592.02</v>
          </cell>
          <cell r="O312">
            <v>51199.889999999898</v>
          </cell>
          <cell r="Q312">
            <v>0</v>
          </cell>
          <cell r="R312">
            <v>51199.889999999898</v>
          </cell>
          <cell r="S312">
            <v>5170.1099999999897</v>
          </cell>
          <cell r="T312">
            <v>12.24</v>
          </cell>
          <cell r="U312">
            <v>51212.129999999903</v>
          </cell>
        </row>
        <row r="313">
          <cell r="A313" t="str">
            <v>PLN   Złoty</v>
          </cell>
          <cell r="E313" t="str">
            <v>KB Sprzed. bezpośrednia</v>
          </cell>
          <cell r="H313">
            <v>24</v>
          </cell>
          <cell r="J313">
            <v>694.75</v>
          </cell>
          <cell r="K313">
            <v>454.94</v>
          </cell>
          <cell r="L313">
            <v>2255.7600000000002</v>
          </cell>
          <cell r="M313">
            <v>0</v>
          </cell>
          <cell r="N313">
            <v>2710.6999999999898</v>
          </cell>
          <cell r="O313">
            <v>15349.03</v>
          </cell>
          <cell r="Q313">
            <v>0</v>
          </cell>
          <cell r="R313">
            <v>15349.03</v>
          </cell>
          <cell r="S313">
            <v>1690.97</v>
          </cell>
          <cell r="T313">
            <v>3.6299999999999901</v>
          </cell>
          <cell r="U313">
            <v>15352.66</v>
          </cell>
        </row>
        <row r="314">
          <cell r="A314" t="str">
            <v>PLN   Złoty</v>
          </cell>
          <cell r="E314" t="str">
            <v>KB Sprzed. bezpośrednia</v>
          </cell>
          <cell r="H314">
            <v>36</v>
          </cell>
          <cell r="J314">
            <v>1023.64</v>
          </cell>
          <cell r="K314">
            <v>682.41999999999905</v>
          </cell>
          <cell r="L314">
            <v>1733.16</v>
          </cell>
          <cell r="M314">
            <v>0</v>
          </cell>
          <cell r="N314">
            <v>2415.5799999999899</v>
          </cell>
          <cell r="O314">
            <v>21354.59</v>
          </cell>
          <cell r="Q314">
            <v>0</v>
          </cell>
          <cell r="R314">
            <v>21354.59</v>
          </cell>
          <cell r="S314">
            <v>3753.8499999999899</v>
          </cell>
          <cell r="T314">
            <v>5.44</v>
          </cell>
          <cell r="U314">
            <v>21360.029999999901</v>
          </cell>
        </row>
        <row r="315">
          <cell r="A315" t="str">
            <v>PLN   Złoty</v>
          </cell>
          <cell r="E315" t="str">
            <v>KB Sprzed. bezpośrednia</v>
          </cell>
          <cell r="H315">
            <v>24</v>
          </cell>
          <cell r="J315">
            <v>648.75</v>
          </cell>
          <cell r="K315">
            <v>454.94</v>
          </cell>
          <cell r="L315">
            <v>0</v>
          </cell>
          <cell r="M315">
            <v>0</v>
          </cell>
          <cell r="N315">
            <v>454.94</v>
          </cell>
          <cell r="O315">
            <v>14146.219999999899</v>
          </cell>
          <cell r="Q315">
            <v>0</v>
          </cell>
          <cell r="R315">
            <v>14146.219999999899</v>
          </cell>
          <cell r="S315">
            <v>1766.02</v>
          </cell>
          <cell r="T315">
            <v>3.96</v>
          </cell>
          <cell r="U315">
            <v>14150.18</v>
          </cell>
        </row>
        <row r="316">
          <cell r="A316" t="str">
            <v>PLN   Złoty</v>
          </cell>
          <cell r="E316" t="str">
            <v>KB Sprzed. bezpośrednia</v>
          </cell>
          <cell r="H316">
            <v>64</v>
          </cell>
          <cell r="J316">
            <v>1715.8699999999899</v>
          </cell>
          <cell r="K316">
            <v>1213.18</v>
          </cell>
          <cell r="L316">
            <v>0</v>
          </cell>
          <cell r="M316">
            <v>0</v>
          </cell>
          <cell r="N316">
            <v>1213.18</v>
          </cell>
          <cell r="O316">
            <v>34778.709999999897</v>
          </cell>
          <cell r="Q316">
            <v>0</v>
          </cell>
          <cell r="R316">
            <v>34778.709999999897</v>
          </cell>
          <cell r="S316">
            <v>7307.93</v>
          </cell>
          <cell r="T316">
            <v>9.6799999999999908</v>
          </cell>
          <cell r="U316">
            <v>34788.389999999898</v>
          </cell>
        </row>
        <row r="317">
          <cell r="A317" t="str">
            <v>PLN   Złoty</v>
          </cell>
          <cell r="E317" t="str">
            <v>KB Sprzed. bezpośrednia</v>
          </cell>
          <cell r="H317">
            <v>25</v>
          </cell>
          <cell r="J317">
            <v>703.28999999999905</v>
          </cell>
          <cell r="K317">
            <v>473.89999999999901</v>
          </cell>
          <cell r="L317">
            <v>1517.0799999999899</v>
          </cell>
          <cell r="M317">
            <v>0</v>
          </cell>
          <cell r="N317">
            <v>1990.98</v>
          </cell>
          <cell r="O317">
            <v>15135.5</v>
          </cell>
          <cell r="Q317">
            <v>0</v>
          </cell>
          <cell r="R317">
            <v>15135.5</v>
          </cell>
          <cell r="S317">
            <v>2114.5</v>
          </cell>
          <cell r="T317">
            <v>3.77999999999999</v>
          </cell>
          <cell r="U317">
            <v>15139.28</v>
          </cell>
        </row>
        <row r="318">
          <cell r="A318" t="str">
            <v>PLN   Złoty</v>
          </cell>
          <cell r="E318" t="str">
            <v>KB Sprzed. bezpośrednia</v>
          </cell>
          <cell r="H318">
            <v>24</v>
          </cell>
          <cell r="J318">
            <v>667.12</v>
          </cell>
          <cell r="K318">
            <v>454.94</v>
          </cell>
          <cell r="L318">
            <v>1805.52</v>
          </cell>
          <cell r="M318">
            <v>0</v>
          </cell>
          <cell r="N318">
            <v>2260.46</v>
          </cell>
          <cell r="O318">
            <v>14871.16</v>
          </cell>
          <cell r="Q318">
            <v>0</v>
          </cell>
          <cell r="R318">
            <v>14871.16</v>
          </cell>
          <cell r="S318">
            <v>1490.8399999999899</v>
          </cell>
          <cell r="T318">
            <v>3.6299999999999901</v>
          </cell>
          <cell r="U318">
            <v>14874.79</v>
          </cell>
        </row>
        <row r="319">
          <cell r="A319" t="str">
            <v>PLN   Złoty</v>
          </cell>
          <cell r="E319" t="str">
            <v>KB Sprzed. bezpośrednia</v>
          </cell>
          <cell r="H319">
            <v>14</v>
          </cell>
          <cell r="J319">
            <v>379.57999999999902</v>
          </cell>
          <cell r="K319">
            <v>265.38</v>
          </cell>
          <cell r="L319">
            <v>0</v>
          </cell>
          <cell r="M319">
            <v>0</v>
          </cell>
          <cell r="N319">
            <v>265.38</v>
          </cell>
          <cell r="O319">
            <v>7612.05</v>
          </cell>
          <cell r="Q319">
            <v>0</v>
          </cell>
          <cell r="R319">
            <v>7612.05</v>
          </cell>
          <cell r="S319">
            <v>1697.95</v>
          </cell>
          <cell r="T319">
            <v>2.12</v>
          </cell>
          <cell r="U319">
            <v>7614.17</v>
          </cell>
        </row>
        <row r="320">
          <cell r="A320" t="str">
            <v>PLN   Złoty</v>
          </cell>
          <cell r="E320" t="str">
            <v>KB Sprzed. bezpośrednia</v>
          </cell>
          <cell r="H320">
            <v>10</v>
          </cell>
          <cell r="J320">
            <v>271.08999999999901</v>
          </cell>
          <cell r="K320">
            <v>189.569999999999</v>
          </cell>
          <cell r="L320">
            <v>0</v>
          </cell>
          <cell r="M320">
            <v>0</v>
          </cell>
          <cell r="N320">
            <v>189.569999999999</v>
          </cell>
          <cell r="O320">
            <v>5895.05</v>
          </cell>
          <cell r="Q320">
            <v>0</v>
          </cell>
          <cell r="R320">
            <v>5895.05</v>
          </cell>
          <cell r="S320">
            <v>754.95</v>
          </cell>
          <cell r="T320">
            <v>1.6499999999999899</v>
          </cell>
          <cell r="U320">
            <v>5896.6999999999898</v>
          </cell>
        </row>
        <row r="321">
          <cell r="A321" t="str">
            <v>PLN   Złoty</v>
          </cell>
          <cell r="E321" t="str">
            <v>KB Sprzed. bezpośrednia</v>
          </cell>
          <cell r="H321">
            <v>24</v>
          </cell>
          <cell r="J321">
            <v>690.59</v>
          </cell>
          <cell r="K321">
            <v>454.94</v>
          </cell>
          <cell r="L321">
            <v>1684.5599999999899</v>
          </cell>
          <cell r="M321">
            <v>0</v>
          </cell>
          <cell r="N321">
            <v>2139.5</v>
          </cell>
          <cell r="O321">
            <v>14773.67</v>
          </cell>
          <cell r="Q321">
            <v>0</v>
          </cell>
          <cell r="R321">
            <v>14773.67</v>
          </cell>
          <cell r="S321">
            <v>2164.09</v>
          </cell>
          <cell r="T321">
            <v>3.6299999999999901</v>
          </cell>
          <cell r="U321">
            <v>14777.299999999899</v>
          </cell>
        </row>
        <row r="322">
          <cell r="A322" t="str">
            <v>PLN   Złoty</v>
          </cell>
          <cell r="E322" t="str">
            <v>KB Sprzed. bezpośrednia</v>
          </cell>
          <cell r="H322">
            <v>24</v>
          </cell>
          <cell r="J322">
            <v>642.23</v>
          </cell>
          <cell r="K322">
            <v>454.94</v>
          </cell>
          <cell r="L322">
            <v>0</v>
          </cell>
          <cell r="M322">
            <v>0</v>
          </cell>
          <cell r="N322">
            <v>454.94</v>
          </cell>
          <cell r="O322">
            <v>13040.75</v>
          </cell>
          <cell r="Q322">
            <v>0</v>
          </cell>
          <cell r="R322">
            <v>13040.75</v>
          </cell>
          <cell r="S322">
            <v>2711.8899999999899</v>
          </cell>
          <cell r="T322">
            <v>3.6299999999999901</v>
          </cell>
          <cell r="U322">
            <v>13044.379999999899</v>
          </cell>
        </row>
        <row r="323">
          <cell r="A323" t="str">
            <v>PLN   Złoty</v>
          </cell>
          <cell r="E323" t="str">
            <v>KB Sprzed. bezpośrednia</v>
          </cell>
          <cell r="H323">
            <v>72</v>
          </cell>
          <cell r="J323">
            <v>1938.44</v>
          </cell>
          <cell r="K323">
            <v>1364.8399999999899</v>
          </cell>
          <cell r="L323">
            <v>0</v>
          </cell>
          <cell r="M323">
            <v>0</v>
          </cell>
          <cell r="N323">
            <v>1364.8399999999899</v>
          </cell>
          <cell r="O323">
            <v>39134.019999999902</v>
          </cell>
          <cell r="Q323">
            <v>0</v>
          </cell>
          <cell r="R323">
            <v>39134.019999999902</v>
          </cell>
          <cell r="S323">
            <v>8411.18</v>
          </cell>
          <cell r="T323">
            <v>10.89</v>
          </cell>
          <cell r="U323">
            <v>39144.910000000003</v>
          </cell>
        </row>
        <row r="324">
          <cell r="A324" t="str">
            <v>PLN   Złoty</v>
          </cell>
          <cell r="E324" t="str">
            <v>KB Sprzed. bezpośrednia</v>
          </cell>
          <cell r="H324">
            <v>24</v>
          </cell>
          <cell r="J324">
            <v>646.79999999999905</v>
          </cell>
          <cell r="K324">
            <v>454.94</v>
          </cell>
          <cell r="L324">
            <v>0</v>
          </cell>
          <cell r="M324">
            <v>0</v>
          </cell>
          <cell r="N324">
            <v>454.94</v>
          </cell>
          <cell r="O324">
            <v>13045.32</v>
          </cell>
          <cell r="Q324">
            <v>0</v>
          </cell>
          <cell r="R324">
            <v>13045.32</v>
          </cell>
          <cell r="S324">
            <v>2818.92</v>
          </cell>
          <cell r="T324">
            <v>3.6299999999999901</v>
          </cell>
          <cell r="U324">
            <v>13048.95</v>
          </cell>
        </row>
        <row r="325">
          <cell r="A325" t="str">
            <v>PLN   Złoty</v>
          </cell>
          <cell r="E325" t="str">
            <v>KB Sprzed. bezpośrednia</v>
          </cell>
          <cell r="H325">
            <v>156</v>
          </cell>
          <cell r="J325">
            <v>4255.04</v>
          </cell>
          <cell r="K325">
            <v>2957.15</v>
          </cell>
          <cell r="L325">
            <v>2033.76</v>
          </cell>
          <cell r="M325">
            <v>0</v>
          </cell>
          <cell r="N325">
            <v>4990.9099999999899</v>
          </cell>
          <cell r="O325">
            <v>86879.22</v>
          </cell>
          <cell r="Q325">
            <v>0</v>
          </cell>
          <cell r="R325">
            <v>86879.22</v>
          </cell>
          <cell r="S325">
            <v>17486.0999999999</v>
          </cell>
          <cell r="T325">
            <v>23.59</v>
          </cell>
          <cell r="U325">
            <v>86902.809999999896</v>
          </cell>
        </row>
        <row r="326">
          <cell r="A326" t="str">
            <v>PLN   Złoty</v>
          </cell>
          <cell r="E326" t="str">
            <v>KB Sprzed. bezpośrednia</v>
          </cell>
          <cell r="H326">
            <v>24</v>
          </cell>
          <cell r="J326">
            <v>646.14999999999895</v>
          </cell>
          <cell r="K326">
            <v>454.94</v>
          </cell>
          <cell r="L326">
            <v>0</v>
          </cell>
          <cell r="M326">
            <v>0</v>
          </cell>
          <cell r="N326">
            <v>454.94</v>
          </cell>
          <cell r="O326">
            <v>14143.62</v>
          </cell>
          <cell r="Q326">
            <v>0</v>
          </cell>
          <cell r="R326">
            <v>14143.62</v>
          </cell>
          <cell r="S326">
            <v>1704.78</v>
          </cell>
          <cell r="T326">
            <v>3.96</v>
          </cell>
          <cell r="U326">
            <v>14147.58</v>
          </cell>
        </row>
        <row r="327">
          <cell r="A327" t="str">
            <v>PLN   Złoty</v>
          </cell>
          <cell r="E327" t="str">
            <v>KB Sprzed. bezpośrednia</v>
          </cell>
          <cell r="H327">
            <v>96</v>
          </cell>
          <cell r="J327">
            <v>2751.0999999999899</v>
          </cell>
          <cell r="K327">
            <v>1819.79</v>
          </cell>
          <cell r="L327">
            <v>6738.2399999999898</v>
          </cell>
          <cell r="M327">
            <v>0</v>
          </cell>
          <cell r="N327">
            <v>8558.0300000000007</v>
          </cell>
          <cell r="O327">
            <v>59083.449999999903</v>
          </cell>
          <cell r="Q327">
            <v>0</v>
          </cell>
          <cell r="R327">
            <v>59083.449999999903</v>
          </cell>
          <cell r="S327">
            <v>8394.9500000000007</v>
          </cell>
          <cell r="T327">
            <v>14.51</v>
          </cell>
          <cell r="U327">
            <v>59097.959999999897</v>
          </cell>
        </row>
        <row r="328">
          <cell r="A328" t="str">
            <v>PLN   Złoty</v>
          </cell>
          <cell r="E328" t="str">
            <v>KB Sprzed. bezpośrednia</v>
          </cell>
          <cell r="H328">
            <v>24</v>
          </cell>
          <cell r="J328">
            <v>685.7</v>
          </cell>
          <cell r="K328">
            <v>454.94</v>
          </cell>
          <cell r="L328">
            <v>977.51999999999896</v>
          </cell>
          <cell r="M328">
            <v>0</v>
          </cell>
          <cell r="N328">
            <v>1432.46</v>
          </cell>
          <cell r="O328">
            <v>15160.69</v>
          </cell>
          <cell r="Q328">
            <v>0</v>
          </cell>
          <cell r="R328">
            <v>15160.69</v>
          </cell>
          <cell r="S328">
            <v>1657.79</v>
          </cell>
          <cell r="T328">
            <v>3.96</v>
          </cell>
          <cell r="U328">
            <v>15164.65</v>
          </cell>
        </row>
        <row r="329">
          <cell r="A329" t="str">
            <v>PLN   Złoty</v>
          </cell>
          <cell r="E329" t="str">
            <v>KB Sprzed. bezpośrednia</v>
          </cell>
          <cell r="H329">
            <v>24</v>
          </cell>
          <cell r="J329">
            <v>650.67999999999904</v>
          </cell>
          <cell r="K329">
            <v>454.92</v>
          </cell>
          <cell r="L329">
            <v>0</v>
          </cell>
          <cell r="M329">
            <v>0</v>
          </cell>
          <cell r="N329">
            <v>454.92</v>
          </cell>
          <cell r="O329">
            <v>13049.18</v>
          </cell>
          <cell r="Q329">
            <v>0</v>
          </cell>
          <cell r="R329">
            <v>13049.18</v>
          </cell>
          <cell r="S329">
            <v>2910.82</v>
          </cell>
          <cell r="T329">
            <v>3.6299999999999901</v>
          </cell>
          <cell r="U329">
            <v>13052.809999999899</v>
          </cell>
        </row>
        <row r="330">
          <cell r="A330" t="str">
            <v>PLN   Złoty</v>
          </cell>
          <cell r="E330" t="str">
            <v>KB Sprzed. bezpośrednia</v>
          </cell>
          <cell r="H330">
            <v>48</v>
          </cell>
          <cell r="J330">
            <v>2091.15</v>
          </cell>
          <cell r="K330">
            <v>642.88</v>
          </cell>
          <cell r="L330">
            <v>3220.1199999999899</v>
          </cell>
          <cell r="M330">
            <v>0</v>
          </cell>
          <cell r="N330">
            <v>3863</v>
          </cell>
          <cell r="O330">
            <v>49515.11</v>
          </cell>
          <cell r="Q330">
            <v>0</v>
          </cell>
          <cell r="R330">
            <v>49515.11</v>
          </cell>
          <cell r="S330">
            <v>1775.29</v>
          </cell>
          <cell r="T330">
            <v>13.24</v>
          </cell>
          <cell r="U330">
            <v>49528.349999999897</v>
          </cell>
        </row>
        <row r="331">
          <cell r="A331" t="str">
            <v>PLN   Złoty</v>
          </cell>
          <cell r="E331" t="str">
            <v>KB Sprzed. bezpośrednia</v>
          </cell>
          <cell r="H331">
            <v>129</v>
          </cell>
          <cell r="J331">
            <v>5632.5699999999897</v>
          </cell>
          <cell r="K331">
            <v>1727.75</v>
          </cell>
          <cell r="L331">
            <v>11454.08</v>
          </cell>
          <cell r="M331">
            <v>0</v>
          </cell>
          <cell r="N331">
            <v>13181.83</v>
          </cell>
          <cell r="O331">
            <v>135884.47</v>
          </cell>
          <cell r="Q331">
            <v>0</v>
          </cell>
          <cell r="R331">
            <v>135884.47</v>
          </cell>
          <cell r="S331">
            <v>2268.92</v>
          </cell>
          <cell r="T331">
            <v>35.57</v>
          </cell>
          <cell r="U331">
            <v>135920.04</v>
          </cell>
        </row>
        <row r="332">
          <cell r="A332" t="str">
            <v>PLN   Złoty</v>
          </cell>
          <cell r="E332" t="str">
            <v>KB Sprzed. bezpośrednia</v>
          </cell>
          <cell r="H332">
            <v>25</v>
          </cell>
          <cell r="J332">
            <v>1061.3599999999899</v>
          </cell>
          <cell r="K332">
            <v>334.83999999999901</v>
          </cell>
          <cell r="L332">
            <v>1431.0699999999899</v>
          </cell>
          <cell r="M332">
            <v>0</v>
          </cell>
          <cell r="N332">
            <v>1765.91</v>
          </cell>
          <cell r="O332">
            <v>25515.27</v>
          </cell>
          <cell r="Q332">
            <v>0</v>
          </cell>
          <cell r="R332">
            <v>25515.27</v>
          </cell>
          <cell r="S332">
            <v>516.73</v>
          </cell>
          <cell r="T332">
            <v>6.8899999999999899</v>
          </cell>
          <cell r="U332">
            <v>25522.16</v>
          </cell>
        </row>
        <row r="333">
          <cell r="A333" t="str">
            <v>PLN   Złoty</v>
          </cell>
          <cell r="E333" t="str">
            <v>KB Sprzed. bezpośrednia</v>
          </cell>
          <cell r="H333">
            <v>72</v>
          </cell>
          <cell r="J333">
            <v>3203.6399999999899</v>
          </cell>
          <cell r="K333">
            <v>964.32</v>
          </cell>
          <cell r="L333">
            <v>4258.3199999999897</v>
          </cell>
          <cell r="M333">
            <v>0</v>
          </cell>
          <cell r="N333">
            <v>5222.6400000000003</v>
          </cell>
          <cell r="O333">
            <v>73767.72</v>
          </cell>
          <cell r="Q333">
            <v>0</v>
          </cell>
          <cell r="R333">
            <v>73767.72</v>
          </cell>
          <cell r="S333">
            <v>4809.4799999999896</v>
          </cell>
          <cell r="T333">
            <v>19.850000000000001</v>
          </cell>
          <cell r="U333">
            <v>73787.570000000007</v>
          </cell>
        </row>
        <row r="334">
          <cell r="A334" t="str">
            <v>PLN   Złoty</v>
          </cell>
          <cell r="E334" t="str">
            <v>KB Sprzed. bezpośrednia</v>
          </cell>
          <cell r="H334">
            <v>48</v>
          </cell>
          <cell r="J334">
            <v>2139.67</v>
          </cell>
          <cell r="K334">
            <v>642.88</v>
          </cell>
          <cell r="L334">
            <v>2351.2800000000002</v>
          </cell>
          <cell r="M334">
            <v>0</v>
          </cell>
          <cell r="N334">
            <v>2994.1599999999899</v>
          </cell>
          <cell r="O334">
            <v>48694.79</v>
          </cell>
          <cell r="Q334">
            <v>0</v>
          </cell>
          <cell r="R334">
            <v>48694.79</v>
          </cell>
          <cell r="S334">
            <v>3786.4899999999898</v>
          </cell>
          <cell r="T334">
            <v>13.24</v>
          </cell>
          <cell r="U334">
            <v>48708.029999999897</v>
          </cell>
        </row>
        <row r="335">
          <cell r="A335" t="str">
            <v>PLN   Złoty</v>
          </cell>
          <cell r="E335" t="str">
            <v>KB Sprzed. bezpośrednia</v>
          </cell>
          <cell r="H335">
            <v>54.18</v>
          </cell>
          <cell r="J335">
            <v>2278.34</v>
          </cell>
          <cell r="K335">
            <v>725.65999999999894</v>
          </cell>
          <cell r="L335">
            <v>2936.55</v>
          </cell>
          <cell r="M335">
            <v>0</v>
          </cell>
          <cell r="N335">
            <v>3662.21</v>
          </cell>
          <cell r="O335">
            <v>54066.099999999897</v>
          </cell>
          <cell r="Q335">
            <v>0</v>
          </cell>
          <cell r="R335">
            <v>54066.099999999897</v>
          </cell>
          <cell r="S335">
            <v>1815.97</v>
          </cell>
          <cell r="T335">
            <v>14.6199999999999</v>
          </cell>
          <cell r="U335">
            <v>54080.72</v>
          </cell>
        </row>
        <row r="336">
          <cell r="A336" t="str">
            <v>PLN   Złoty</v>
          </cell>
          <cell r="E336" t="str">
            <v>KB Sprzed. bezpośrednia</v>
          </cell>
          <cell r="H336">
            <v>48</v>
          </cell>
          <cell r="J336">
            <v>2054.4699999999898</v>
          </cell>
          <cell r="K336">
            <v>642.88</v>
          </cell>
          <cell r="L336">
            <v>1219.44</v>
          </cell>
          <cell r="M336">
            <v>0</v>
          </cell>
          <cell r="N336">
            <v>1862.3199999999899</v>
          </cell>
          <cell r="O336">
            <v>49602.379999999903</v>
          </cell>
          <cell r="Q336">
            <v>0</v>
          </cell>
          <cell r="R336">
            <v>49602.379999999903</v>
          </cell>
          <cell r="S336">
            <v>788.5</v>
          </cell>
          <cell r="T336">
            <v>13.89</v>
          </cell>
          <cell r="U336">
            <v>49616.269999999902</v>
          </cell>
        </row>
        <row r="337">
          <cell r="A337" t="str">
            <v>PLN   Złoty</v>
          </cell>
          <cell r="E337" t="str">
            <v>KB Sprzed. bezpośrednia</v>
          </cell>
          <cell r="H337">
            <v>24</v>
          </cell>
          <cell r="J337">
            <v>1009.21</v>
          </cell>
          <cell r="K337">
            <v>321.44</v>
          </cell>
          <cell r="L337">
            <v>1003.92</v>
          </cell>
          <cell r="M337">
            <v>0</v>
          </cell>
          <cell r="N337">
            <v>1325.3599999999899</v>
          </cell>
          <cell r="O337">
            <v>24761.93</v>
          </cell>
          <cell r="Q337">
            <v>0</v>
          </cell>
          <cell r="R337">
            <v>24761.93</v>
          </cell>
          <cell r="S337">
            <v>-7.8499999999999899</v>
          </cell>
          <cell r="T337">
            <v>6.82</v>
          </cell>
          <cell r="U337">
            <v>24768.75</v>
          </cell>
        </row>
        <row r="338">
          <cell r="A338" t="str">
            <v>PLN   Złoty</v>
          </cell>
          <cell r="E338" t="str">
            <v>KB Sprzed. bezpośrednia</v>
          </cell>
          <cell r="H338">
            <v>2866</v>
          </cell>
          <cell r="J338">
            <v>121388.86</v>
          </cell>
          <cell r="K338">
            <v>38385.57</v>
          </cell>
          <cell r="L338">
            <v>202037.87</v>
          </cell>
          <cell r="M338">
            <v>0</v>
          </cell>
          <cell r="N338">
            <v>240423.44</v>
          </cell>
          <cell r="O338">
            <v>2962317.75999999</v>
          </cell>
          <cell r="Q338">
            <v>0</v>
          </cell>
          <cell r="R338">
            <v>2962317.75999999</v>
          </cell>
          <cell r="S338">
            <v>15042.11</v>
          </cell>
          <cell r="T338">
            <v>790.11</v>
          </cell>
          <cell r="U338">
            <v>2963107.87</v>
          </cell>
        </row>
        <row r="339">
          <cell r="A339" t="str">
            <v>PLN   Złoty</v>
          </cell>
          <cell r="E339" t="str">
            <v>KB Sprzed. bezpośrednia</v>
          </cell>
          <cell r="H339">
            <v>24</v>
          </cell>
          <cell r="J339">
            <v>1012.28</v>
          </cell>
          <cell r="K339">
            <v>321.44</v>
          </cell>
          <cell r="L339">
            <v>1518.96</v>
          </cell>
          <cell r="M339">
            <v>0</v>
          </cell>
          <cell r="N339">
            <v>1840.4</v>
          </cell>
          <cell r="O339">
            <v>25280.04</v>
          </cell>
          <cell r="Q339">
            <v>0</v>
          </cell>
          <cell r="R339">
            <v>25280.04</v>
          </cell>
          <cell r="S339">
            <v>-450.83999999999901</v>
          </cell>
          <cell r="T339">
            <v>6.82</v>
          </cell>
          <cell r="U339">
            <v>25286.86</v>
          </cell>
        </row>
        <row r="340">
          <cell r="A340" t="str">
            <v>PLN   Złoty</v>
          </cell>
          <cell r="E340" t="str">
            <v>KB Sprzed. bezpośrednia</v>
          </cell>
          <cell r="H340">
            <v>12</v>
          </cell>
          <cell r="J340">
            <v>522.84</v>
          </cell>
          <cell r="K340">
            <v>160.72</v>
          </cell>
          <cell r="L340">
            <v>907.91999999999905</v>
          </cell>
          <cell r="M340">
            <v>0</v>
          </cell>
          <cell r="N340">
            <v>1068.6400000000001</v>
          </cell>
          <cell r="O340">
            <v>12481.719999999899</v>
          </cell>
          <cell r="Q340">
            <v>0</v>
          </cell>
          <cell r="R340">
            <v>12481.719999999899</v>
          </cell>
          <cell r="S340">
            <v>340.88</v>
          </cell>
          <cell r="T340">
            <v>3.31</v>
          </cell>
          <cell r="U340">
            <v>12485.03</v>
          </cell>
        </row>
        <row r="341">
          <cell r="A341" t="str">
            <v>PLN   Złoty</v>
          </cell>
          <cell r="E341" t="str">
            <v>KB Sprzed. bezpośrednia</v>
          </cell>
          <cell r="H341">
            <v>36</v>
          </cell>
          <cell r="J341">
            <v>1559.27</v>
          </cell>
          <cell r="K341">
            <v>482.17</v>
          </cell>
          <cell r="L341">
            <v>1419.1199999999899</v>
          </cell>
          <cell r="M341">
            <v>0</v>
          </cell>
          <cell r="N341">
            <v>1901.29</v>
          </cell>
          <cell r="O341">
            <v>36131.279999999897</v>
          </cell>
          <cell r="Q341">
            <v>0</v>
          </cell>
          <cell r="R341">
            <v>36131.279999999897</v>
          </cell>
          <cell r="S341">
            <v>2113.92</v>
          </cell>
          <cell r="T341">
            <v>9.9299999999999908</v>
          </cell>
          <cell r="U341">
            <v>36141.209999999897</v>
          </cell>
        </row>
        <row r="342">
          <cell r="A342" t="str">
            <v>PLN   Złoty</v>
          </cell>
          <cell r="E342" t="str">
            <v>KB Sprzed. bezpośrednia</v>
          </cell>
          <cell r="H342">
            <v>660</v>
          </cell>
          <cell r="J342">
            <v>28130.81</v>
          </cell>
          <cell r="K342">
            <v>8839.6599999999908</v>
          </cell>
          <cell r="L342">
            <v>48296.800000000003</v>
          </cell>
          <cell r="M342">
            <v>0</v>
          </cell>
          <cell r="N342">
            <v>57136.459999999897</v>
          </cell>
          <cell r="O342">
            <v>684230.4</v>
          </cell>
          <cell r="Q342">
            <v>0</v>
          </cell>
          <cell r="R342">
            <v>684230.4</v>
          </cell>
          <cell r="S342">
            <v>5745.8999999999896</v>
          </cell>
          <cell r="T342">
            <v>181.979999999999</v>
          </cell>
          <cell r="U342">
            <v>684412.38</v>
          </cell>
        </row>
        <row r="343">
          <cell r="A343" t="str">
            <v>PLN   Złoty</v>
          </cell>
          <cell r="E343" t="str">
            <v>KB Sprzed. bezpośrednia</v>
          </cell>
          <cell r="H343">
            <v>7</v>
          </cell>
          <cell r="J343">
            <v>299.64999999999901</v>
          </cell>
          <cell r="K343">
            <v>93.75</v>
          </cell>
          <cell r="L343">
            <v>0</v>
          </cell>
          <cell r="M343">
            <v>0</v>
          </cell>
          <cell r="N343">
            <v>93.75</v>
          </cell>
          <cell r="O343">
            <v>6746.04</v>
          </cell>
          <cell r="Q343">
            <v>0</v>
          </cell>
          <cell r="R343">
            <v>6746.04</v>
          </cell>
          <cell r="S343">
            <v>603.96</v>
          </cell>
          <cell r="T343">
            <v>1.9299999999999899</v>
          </cell>
          <cell r="U343">
            <v>6747.97</v>
          </cell>
        </row>
        <row r="344">
          <cell r="A344" t="str">
            <v>PLN   Złoty</v>
          </cell>
          <cell r="E344" t="str">
            <v>KB Sprzed. bezpośrednia</v>
          </cell>
          <cell r="H344">
            <v>85</v>
          </cell>
          <cell r="J344">
            <v>3738.21</v>
          </cell>
          <cell r="K344">
            <v>1138.44</v>
          </cell>
          <cell r="L344">
            <v>4906.6099999999897</v>
          </cell>
          <cell r="M344">
            <v>0</v>
          </cell>
          <cell r="N344">
            <v>6045.05</v>
          </cell>
          <cell r="O344">
            <v>86922.46</v>
          </cell>
          <cell r="Q344">
            <v>0</v>
          </cell>
          <cell r="R344">
            <v>86922.46</v>
          </cell>
          <cell r="S344">
            <v>4766.3699999999899</v>
          </cell>
          <cell r="T344">
            <v>23.44</v>
          </cell>
          <cell r="U344">
            <v>86945.899999999907</v>
          </cell>
        </row>
        <row r="345">
          <cell r="A345" t="str">
            <v>PLN   Złoty</v>
          </cell>
          <cell r="E345" t="str">
            <v>KB Sprzed. bezpośrednia</v>
          </cell>
          <cell r="H345">
            <v>120</v>
          </cell>
          <cell r="J345">
            <v>5050.1499999999896</v>
          </cell>
          <cell r="K345">
            <v>1607.21</v>
          </cell>
          <cell r="L345">
            <v>0</v>
          </cell>
          <cell r="M345">
            <v>0</v>
          </cell>
          <cell r="N345">
            <v>1607.21</v>
          </cell>
          <cell r="O345">
            <v>115559.75999999901</v>
          </cell>
          <cell r="Q345">
            <v>0</v>
          </cell>
          <cell r="R345">
            <v>115559.75999999901</v>
          </cell>
          <cell r="S345">
            <v>8306.8799999999901</v>
          </cell>
          <cell r="T345">
            <v>33.090000000000003</v>
          </cell>
          <cell r="U345">
            <v>115592.85</v>
          </cell>
        </row>
        <row r="346">
          <cell r="A346" t="str">
            <v>PLN   Złoty</v>
          </cell>
          <cell r="E346" t="str">
            <v>KB Sprzed. bezpośrednia</v>
          </cell>
          <cell r="H346">
            <v>72</v>
          </cell>
          <cell r="J346">
            <v>2992.65</v>
          </cell>
          <cell r="K346">
            <v>964.32</v>
          </cell>
          <cell r="L346">
            <v>0</v>
          </cell>
          <cell r="M346">
            <v>0</v>
          </cell>
          <cell r="N346">
            <v>964.32</v>
          </cell>
          <cell r="O346">
            <v>71239.05</v>
          </cell>
          <cell r="Q346">
            <v>0</v>
          </cell>
          <cell r="R346">
            <v>71239.05</v>
          </cell>
          <cell r="S346">
            <v>2163.5100000000002</v>
          </cell>
          <cell r="T346">
            <v>20.4499999999999</v>
          </cell>
          <cell r="U346">
            <v>71259.5</v>
          </cell>
        </row>
        <row r="347">
          <cell r="A347" t="str">
            <v>PLN   Złoty</v>
          </cell>
          <cell r="E347" t="str">
            <v>KB Sprzed. bezpośrednia</v>
          </cell>
          <cell r="H347">
            <v>1083.5</v>
          </cell>
          <cell r="J347">
            <v>46878.75</v>
          </cell>
          <cell r="K347">
            <v>14511.78</v>
          </cell>
          <cell r="L347">
            <v>53116.519999999902</v>
          </cell>
          <cell r="M347">
            <v>0</v>
          </cell>
          <cell r="N347">
            <v>67628.3</v>
          </cell>
          <cell r="O347">
            <v>1097804.97</v>
          </cell>
          <cell r="Q347">
            <v>0</v>
          </cell>
          <cell r="R347">
            <v>1097804.97</v>
          </cell>
          <cell r="S347">
            <v>52010.559999999903</v>
          </cell>
          <cell r="T347">
            <v>298.75999999999902</v>
          </cell>
          <cell r="U347">
            <v>1098103.73</v>
          </cell>
        </row>
        <row r="348">
          <cell r="A348" t="str">
            <v>PLN   Złoty</v>
          </cell>
          <cell r="E348" t="str">
            <v>KB Sprzed. bezpośrednia</v>
          </cell>
          <cell r="H348">
            <v>24</v>
          </cell>
          <cell r="J348">
            <v>1038.22</v>
          </cell>
          <cell r="K348">
            <v>321.44</v>
          </cell>
          <cell r="L348">
            <v>1484.88</v>
          </cell>
          <cell r="M348">
            <v>0</v>
          </cell>
          <cell r="N348">
            <v>1806.3199999999899</v>
          </cell>
          <cell r="O348">
            <v>25271.9</v>
          </cell>
          <cell r="Q348">
            <v>0</v>
          </cell>
          <cell r="R348">
            <v>25271.9</v>
          </cell>
          <cell r="S348">
            <v>192.819999999999</v>
          </cell>
          <cell r="T348">
            <v>6.82</v>
          </cell>
          <cell r="U348">
            <v>25278.720000000001</v>
          </cell>
        </row>
        <row r="349">
          <cell r="A349" t="str">
            <v>PLN   Złoty</v>
          </cell>
          <cell r="E349" t="str">
            <v>KB Sprzed. bezpośrednia</v>
          </cell>
          <cell r="H349">
            <v>120</v>
          </cell>
          <cell r="J349">
            <v>4999.1499999999896</v>
          </cell>
          <cell r="K349">
            <v>1607.21</v>
          </cell>
          <cell r="L349">
            <v>0</v>
          </cell>
          <cell r="M349">
            <v>0</v>
          </cell>
          <cell r="N349">
            <v>1607.21</v>
          </cell>
          <cell r="O349">
            <v>115508.75999999901</v>
          </cell>
          <cell r="Q349">
            <v>0</v>
          </cell>
          <cell r="R349">
            <v>115508.75999999901</v>
          </cell>
          <cell r="S349">
            <v>7109.3999999999896</v>
          </cell>
          <cell r="T349">
            <v>33.090000000000003</v>
          </cell>
          <cell r="U349">
            <v>115541.85</v>
          </cell>
        </row>
        <row r="350">
          <cell r="A350" t="str">
            <v>PLN   Złoty</v>
          </cell>
          <cell r="E350" t="str">
            <v>KB Sprzed. bezpośrednia</v>
          </cell>
          <cell r="H350">
            <v>237</v>
          </cell>
          <cell r="J350">
            <v>10437.1</v>
          </cell>
          <cell r="K350">
            <v>3174.25</v>
          </cell>
          <cell r="L350">
            <v>18424.560000000001</v>
          </cell>
          <cell r="M350">
            <v>0</v>
          </cell>
          <cell r="N350">
            <v>21598.81</v>
          </cell>
          <cell r="O350">
            <v>247118.14</v>
          </cell>
          <cell r="Q350">
            <v>0</v>
          </cell>
          <cell r="R350">
            <v>247118.14</v>
          </cell>
          <cell r="S350">
            <v>8877.1399999999903</v>
          </cell>
          <cell r="T350">
            <v>65.349999999999895</v>
          </cell>
          <cell r="U350">
            <v>247183.489999999</v>
          </cell>
        </row>
        <row r="351">
          <cell r="A351" t="str">
            <v>PLN   Złoty</v>
          </cell>
          <cell r="E351" t="str">
            <v>KB Sprzed. bezpośrednia</v>
          </cell>
          <cell r="H351">
            <v>48</v>
          </cell>
          <cell r="J351">
            <v>2077.8899999999899</v>
          </cell>
          <cell r="K351">
            <v>642.88</v>
          </cell>
          <cell r="L351">
            <v>1200.96</v>
          </cell>
          <cell r="M351">
            <v>0</v>
          </cell>
          <cell r="N351">
            <v>1843.8399999999899</v>
          </cell>
          <cell r="O351">
            <v>47482.69</v>
          </cell>
          <cell r="Q351">
            <v>0</v>
          </cell>
          <cell r="R351">
            <v>47482.69</v>
          </cell>
          <cell r="S351">
            <v>3482.51</v>
          </cell>
          <cell r="T351">
            <v>13.24</v>
          </cell>
          <cell r="U351">
            <v>47495.93</v>
          </cell>
        </row>
        <row r="352">
          <cell r="A352" t="str">
            <v>PLN   Złoty</v>
          </cell>
          <cell r="E352" t="str">
            <v>KB Sprzed. bezpośrednia</v>
          </cell>
          <cell r="H352">
            <v>156.18</v>
          </cell>
          <cell r="J352">
            <v>6429.8999999999896</v>
          </cell>
          <cell r="K352">
            <v>2091.79</v>
          </cell>
          <cell r="L352">
            <v>1786.89</v>
          </cell>
          <cell r="M352">
            <v>0</v>
          </cell>
          <cell r="N352">
            <v>3878.6799999999898</v>
          </cell>
          <cell r="O352">
            <v>149035.94</v>
          </cell>
          <cell r="Q352">
            <v>0</v>
          </cell>
          <cell r="R352">
            <v>149035.94</v>
          </cell>
          <cell r="S352">
            <v>8674.8099999999904</v>
          </cell>
          <cell r="T352">
            <v>42.149999999999899</v>
          </cell>
          <cell r="U352">
            <v>149078.09</v>
          </cell>
        </row>
        <row r="353">
          <cell r="A353" t="str">
            <v>PLN   Złoty</v>
          </cell>
          <cell r="E353" t="str">
            <v>KB Sprzed. bezpośrednia</v>
          </cell>
          <cell r="H353">
            <v>24</v>
          </cell>
          <cell r="J353">
            <v>1038.22</v>
          </cell>
          <cell r="K353">
            <v>321.44</v>
          </cell>
          <cell r="L353">
            <v>1542.72</v>
          </cell>
          <cell r="M353">
            <v>0</v>
          </cell>
          <cell r="N353">
            <v>1864.16</v>
          </cell>
          <cell r="O353">
            <v>24682.86</v>
          </cell>
          <cell r="Q353">
            <v>0</v>
          </cell>
          <cell r="R353">
            <v>24682.86</v>
          </cell>
          <cell r="S353">
            <v>781.86</v>
          </cell>
          <cell r="T353">
            <v>6.62</v>
          </cell>
          <cell r="U353">
            <v>24689.48</v>
          </cell>
        </row>
        <row r="354">
          <cell r="A354" t="str">
            <v>PLN   Złoty</v>
          </cell>
          <cell r="E354" t="str">
            <v>KB Sprzed. bezpośrednia</v>
          </cell>
          <cell r="H354">
            <v>120</v>
          </cell>
          <cell r="J354">
            <v>5273.71</v>
          </cell>
          <cell r="K354">
            <v>1607.21</v>
          </cell>
          <cell r="L354">
            <v>5234.68</v>
          </cell>
          <cell r="M354">
            <v>0</v>
          </cell>
          <cell r="N354">
            <v>6841.89</v>
          </cell>
          <cell r="O354">
            <v>124252.399999999</v>
          </cell>
          <cell r="Q354">
            <v>0</v>
          </cell>
          <cell r="R354">
            <v>124252.399999999</v>
          </cell>
          <cell r="S354">
            <v>5098.72</v>
          </cell>
          <cell r="T354">
            <v>34.07</v>
          </cell>
          <cell r="U354">
            <v>124286.47</v>
          </cell>
        </row>
        <row r="355">
          <cell r="A355" t="str">
            <v>PLN   Złoty</v>
          </cell>
          <cell r="E355" t="str">
            <v>KB Sprzed. bezpośrednia</v>
          </cell>
          <cell r="H355">
            <v>72</v>
          </cell>
          <cell r="J355">
            <v>3146.01</v>
          </cell>
          <cell r="K355">
            <v>964.32</v>
          </cell>
          <cell r="L355">
            <v>3332.4</v>
          </cell>
          <cell r="M355">
            <v>0</v>
          </cell>
          <cell r="N355">
            <v>4296.72</v>
          </cell>
          <cell r="O355">
            <v>72784.169999999896</v>
          </cell>
          <cell r="Q355">
            <v>0</v>
          </cell>
          <cell r="R355">
            <v>72784.169999999896</v>
          </cell>
          <cell r="S355">
            <v>4379.9099999999899</v>
          </cell>
          <cell r="T355">
            <v>19.850000000000001</v>
          </cell>
          <cell r="U355">
            <v>72804.02</v>
          </cell>
        </row>
        <row r="356">
          <cell r="A356" t="str">
            <v>PLN   Złoty</v>
          </cell>
          <cell r="E356" t="str">
            <v>KB Sprzed. bezpośrednia</v>
          </cell>
          <cell r="H356">
            <v>231</v>
          </cell>
          <cell r="J356">
            <v>9962.8199999999906</v>
          </cell>
          <cell r="K356">
            <v>3093.88</v>
          </cell>
          <cell r="L356">
            <v>12306.719999999899</v>
          </cell>
          <cell r="M356">
            <v>0</v>
          </cell>
          <cell r="N356">
            <v>15400.6</v>
          </cell>
          <cell r="O356">
            <v>235000.53</v>
          </cell>
          <cell r="Q356">
            <v>0</v>
          </cell>
          <cell r="R356">
            <v>235000.53</v>
          </cell>
          <cell r="S356">
            <v>9362.02</v>
          </cell>
          <cell r="T356">
            <v>63.689999999999898</v>
          </cell>
          <cell r="U356">
            <v>235064.22</v>
          </cell>
        </row>
        <row r="357">
          <cell r="A357" t="str">
            <v>PLN   Złoty</v>
          </cell>
          <cell r="E357" t="str">
            <v>KB Sprzed. bezpośrednia</v>
          </cell>
          <cell r="H357">
            <v>24</v>
          </cell>
          <cell r="J357">
            <v>1038.22</v>
          </cell>
          <cell r="K357">
            <v>321.44</v>
          </cell>
          <cell r="L357">
            <v>1335.1199999999899</v>
          </cell>
          <cell r="M357">
            <v>0</v>
          </cell>
          <cell r="N357">
            <v>1656.5599999999899</v>
          </cell>
          <cell r="O357">
            <v>25122.139999999901</v>
          </cell>
          <cell r="Q357">
            <v>0</v>
          </cell>
          <cell r="R357">
            <v>25122.139999999901</v>
          </cell>
          <cell r="S357">
            <v>342.57999999999902</v>
          </cell>
          <cell r="T357">
            <v>6.82</v>
          </cell>
          <cell r="U357">
            <v>25128.959999999901</v>
          </cell>
        </row>
        <row r="358">
          <cell r="A358" t="str">
            <v>PLN   Złoty</v>
          </cell>
          <cell r="E358" t="str">
            <v>KB Sprzed. bezpośrednia</v>
          </cell>
          <cell r="H358">
            <v>4</v>
          </cell>
          <cell r="J358">
            <v>165.78</v>
          </cell>
          <cell r="K358">
            <v>53.579999999999899</v>
          </cell>
          <cell r="L358">
            <v>0</v>
          </cell>
          <cell r="M358">
            <v>0</v>
          </cell>
          <cell r="N358">
            <v>53.579999999999899</v>
          </cell>
          <cell r="O358">
            <v>3849.44</v>
          </cell>
          <cell r="Q358">
            <v>0</v>
          </cell>
          <cell r="R358">
            <v>3849.44</v>
          </cell>
          <cell r="S358">
            <v>217</v>
          </cell>
          <cell r="T358">
            <v>1.1100000000000001</v>
          </cell>
          <cell r="U358">
            <v>3850.55</v>
          </cell>
        </row>
        <row r="359">
          <cell r="A359" t="str">
            <v>PLN   Złoty</v>
          </cell>
          <cell r="E359" t="str">
            <v>KB Sprzed. bezpośrednia</v>
          </cell>
          <cell r="H359">
            <v>12</v>
          </cell>
          <cell r="J359">
            <v>497.38999999999902</v>
          </cell>
          <cell r="K359">
            <v>160.72</v>
          </cell>
          <cell r="L359">
            <v>0</v>
          </cell>
          <cell r="M359">
            <v>0</v>
          </cell>
          <cell r="N359">
            <v>160.72</v>
          </cell>
          <cell r="O359">
            <v>11871.79</v>
          </cell>
          <cell r="Q359">
            <v>0</v>
          </cell>
          <cell r="R359">
            <v>11871.79</v>
          </cell>
          <cell r="S359">
            <v>328.13</v>
          </cell>
          <cell r="T359">
            <v>3.41</v>
          </cell>
          <cell r="U359">
            <v>11875.2</v>
          </cell>
        </row>
        <row r="360">
          <cell r="A360" t="str">
            <v>PLN   Złoty</v>
          </cell>
          <cell r="E360" t="str">
            <v>KB Sprzed. bezpośrednia</v>
          </cell>
          <cell r="H360">
            <v>38</v>
          </cell>
          <cell r="J360">
            <v>1610.5</v>
          </cell>
          <cell r="K360">
            <v>508.94</v>
          </cell>
          <cell r="L360">
            <v>865.2</v>
          </cell>
          <cell r="M360">
            <v>0</v>
          </cell>
          <cell r="N360">
            <v>1374.14</v>
          </cell>
          <cell r="O360">
            <v>37470.400000000001</v>
          </cell>
          <cell r="Q360">
            <v>0</v>
          </cell>
          <cell r="R360">
            <v>37470.400000000001</v>
          </cell>
          <cell r="S360">
            <v>2031.26</v>
          </cell>
          <cell r="T360">
            <v>10.48</v>
          </cell>
          <cell r="U360">
            <v>37480.879999999903</v>
          </cell>
        </row>
        <row r="361">
          <cell r="A361" t="str">
            <v>PLN   Złoty</v>
          </cell>
          <cell r="E361" t="str">
            <v>KB Sprzed. bezpośrednia</v>
          </cell>
          <cell r="H361">
            <v>24</v>
          </cell>
          <cell r="J361">
            <v>1045.5999999999899</v>
          </cell>
          <cell r="K361">
            <v>321.44</v>
          </cell>
          <cell r="L361">
            <v>2076.2399999999898</v>
          </cell>
          <cell r="M361">
            <v>0</v>
          </cell>
          <cell r="N361">
            <v>2397.6799999999898</v>
          </cell>
          <cell r="O361">
            <v>25223.7599999999</v>
          </cell>
          <cell r="Q361">
            <v>0</v>
          </cell>
          <cell r="R361">
            <v>25223.7599999999</v>
          </cell>
          <cell r="S361">
            <v>421.44</v>
          </cell>
          <cell r="T361">
            <v>6.62</v>
          </cell>
          <cell r="U361">
            <v>25230.38</v>
          </cell>
        </row>
        <row r="362">
          <cell r="A362" t="str">
            <v>PLN   Złoty</v>
          </cell>
          <cell r="E362" t="str">
            <v>KB Sprzed. bezpośrednia</v>
          </cell>
          <cell r="H362">
            <v>681</v>
          </cell>
          <cell r="J362">
            <v>29509.72</v>
          </cell>
          <cell r="K362">
            <v>9120.92</v>
          </cell>
          <cell r="L362">
            <v>48716.07</v>
          </cell>
          <cell r="M362">
            <v>0</v>
          </cell>
          <cell r="N362">
            <v>57836.989999999903</v>
          </cell>
          <cell r="O362">
            <v>705367.82999999903</v>
          </cell>
          <cell r="Q362">
            <v>0</v>
          </cell>
          <cell r="R362">
            <v>705367.82999999903</v>
          </cell>
          <cell r="S362">
            <v>18431.73</v>
          </cell>
          <cell r="T362">
            <v>187.77</v>
          </cell>
          <cell r="U362">
            <v>705555.59999999905</v>
          </cell>
        </row>
        <row r="363">
          <cell r="A363" t="str">
            <v>PLN   Złoty</v>
          </cell>
          <cell r="E363" t="str">
            <v>KB Sprzed. bezpośrednia</v>
          </cell>
          <cell r="H363">
            <v>144</v>
          </cell>
          <cell r="J363">
            <v>6229.31</v>
          </cell>
          <cell r="K363">
            <v>1928.66</v>
          </cell>
          <cell r="L363">
            <v>12522.48</v>
          </cell>
          <cell r="M363">
            <v>0</v>
          </cell>
          <cell r="N363">
            <v>14451.139999999899</v>
          </cell>
          <cell r="O363">
            <v>155244.609999999</v>
          </cell>
          <cell r="Q363">
            <v>0</v>
          </cell>
          <cell r="R363">
            <v>155244.609999999</v>
          </cell>
          <cell r="S363">
            <v>-2456.29</v>
          </cell>
          <cell r="T363">
            <v>40.880000000000003</v>
          </cell>
          <cell r="U363">
            <v>155285.489999999</v>
          </cell>
        </row>
        <row r="364">
          <cell r="A364" t="str">
            <v>PLN   Złoty</v>
          </cell>
          <cell r="E364" t="str">
            <v>KB Sprzed. bezpośrednia</v>
          </cell>
          <cell r="H364">
            <v>213.58</v>
          </cell>
          <cell r="J364">
            <v>8981.36</v>
          </cell>
          <cell r="K364">
            <v>2860.5799999999899</v>
          </cell>
          <cell r="L364">
            <v>12278.709999999901</v>
          </cell>
          <cell r="M364">
            <v>0</v>
          </cell>
          <cell r="N364">
            <v>15139.29</v>
          </cell>
          <cell r="O364">
            <v>213833.75</v>
          </cell>
          <cell r="Q364">
            <v>0</v>
          </cell>
          <cell r="R364">
            <v>213833.75</v>
          </cell>
          <cell r="S364">
            <v>6455.8699999999899</v>
          </cell>
          <cell r="T364">
            <v>57.64</v>
          </cell>
          <cell r="U364">
            <v>213891.39</v>
          </cell>
        </row>
        <row r="365">
          <cell r="A365" t="str">
            <v>PLN   Złoty</v>
          </cell>
          <cell r="E365" t="str">
            <v>KB Sprzed. bezpośrednia</v>
          </cell>
          <cell r="H365">
            <v>72</v>
          </cell>
          <cell r="J365">
            <v>3182.1999999999898</v>
          </cell>
          <cell r="K365">
            <v>964.32</v>
          </cell>
          <cell r="L365">
            <v>3936.7199999999898</v>
          </cell>
          <cell r="M365">
            <v>0</v>
          </cell>
          <cell r="N365">
            <v>4901.04</v>
          </cell>
          <cell r="O365">
            <v>73718.119999999893</v>
          </cell>
          <cell r="Q365">
            <v>0</v>
          </cell>
          <cell r="R365">
            <v>73718.119999999893</v>
          </cell>
          <cell r="S365">
            <v>4333.4799999999896</v>
          </cell>
          <cell r="T365">
            <v>19.93</v>
          </cell>
          <cell r="U365">
            <v>73738.05</v>
          </cell>
        </row>
        <row r="366">
          <cell r="A366" t="str">
            <v>PLN   Złoty</v>
          </cell>
          <cell r="E366" t="str">
            <v>KB Sprzed. bezpośrednia</v>
          </cell>
          <cell r="H366">
            <v>72.519999999999897</v>
          </cell>
          <cell r="J366">
            <v>2985.6399999999899</v>
          </cell>
          <cell r="K366">
            <v>971.29999999999905</v>
          </cell>
          <cell r="L366">
            <v>0</v>
          </cell>
          <cell r="M366">
            <v>0</v>
          </cell>
          <cell r="N366">
            <v>971.29999999999905</v>
          </cell>
          <cell r="O366">
            <v>68373.070000000007</v>
          </cell>
          <cell r="Q366">
            <v>0</v>
          </cell>
          <cell r="R366">
            <v>68373.070000000007</v>
          </cell>
          <cell r="S366">
            <v>4857.6199999999899</v>
          </cell>
          <cell r="T366">
            <v>19.57</v>
          </cell>
          <cell r="U366">
            <v>68392.639999999898</v>
          </cell>
        </row>
        <row r="367">
          <cell r="A367" t="str">
            <v>PLN   Złoty</v>
          </cell>
          <cell r="E367" t="str">
            <v>KB Sprzed. bezpośrednia</v>
          </cell>
          <cell r="H367">
            <v>384</v>
          </cell>
          <cell r="J367">
            <v>16645.1699999999</v>
          </cell>
          <cell r="K367">
            <v>5143.0699999999897</v>
          </cell>
          <cell r="L367">
            <v>18190.830000000002</v>
          </cell>
          <cell r="M367">
            <v>0</v>
          </cell>
          <cell r="N367">
            <v>23333.9</v>
          </cell>
          <cell r="O367">
            <v>388466.75</v>
          </cell>
          <cell r="Q367">
            <v>0</v>
          </cell>
          <cell r="R367">
            <v>388466.75</v>
          </cell>
          <cell r="S367">
            <v>19796.29</v>
          </cell>
          <cell r="T367">
            <v>105.87</v>
          </cell>
          <cell r="U367">
            <v>388572.62</v>
          </cell>
        </row>
        <row r="368">
          <cell r="A368" t="str">
            <v>PLN   Złoty</v>
          </cell>
          <cell r="E368" t="str">
            <v>KB Sprzed. bezpośrednia</v>
          </cell>
          <cell r="H368">
            <v>120</v>
          </cell>
          <cell r="J368">
            <v>5155.2399999999898</v>
          </cell>
          <cell r="K368">
            <v>1607.21</v>
          </cell>
          <cell r="L368">
            <v>3472.32</v>
          </cell>
          <cell r="M368">
            <v>0</v>
          </cell>
          <cell r="N368">
            <v>5079.5299999999897</v>
          </cell>
          <cell r="O368">
            <v>122371.57</v>
          </cell>
          <cell r="Q368">
            <v>0</v>
          </cell>
          <cell r="R368">
            <v>122371.57</v>
          </cell>
          <cell r="S368">
            <v>4073.3899999999899</v>
          </cell>
          <cell r="T368">
            <v>34.07</v>
          </cell>
          <cell r="U368">
            <v>122405.64</v>
          </cell>
        </row>
        <row r="369">
          <cell r="A369" t="str">
            <v>PLN   Złoty</v>
          </cell>
          <cell r="E369" t="str">
            <v>KB Sprzed. bezpośrednia</v>
          </cell>
          <cell r="H369">
            <v>24</v>
          </cell>
          <cell r="J369">
            <v>1045.5999999999899</v>
          </cell>
          <cell r="K369">
            <v>321.44</v>
          </cell>
          <cell r="L369">
            <v>1361.28</v>
          </cell>
          <cell r="M369">
            <v>0</v>
          </cell>
          <cell r="N369">
            <v>1682.72</v>
          </cell>
          <cell r="O369">
            <v>24508.799999999901</v>
          </cell>
          <cell r="Q369">
            <v>0</v>
          </cell>
          <cell r="R369">
            <v>24508.799999999901</v>
          </cell>
          <cell r="S369">
            <v>1136.4000000000001</v>
          </cell>
          <cell r="T369">
            <v>6.62</v>
          </cell>
          <cell r="U369">
            <v>24515.4199999999</v>
          </cell>
        </row>
        <row r="370">
          <cell r="A370" t="str">
            <v>PLN   Złoty</v>
          </cell>
          <cell r="E370" t="str">
            <v>KB Sprzed. bezpośrednia</v>
          </cell>
          <cell r="H370">
            <v>48</v>
          </cell>
          <cell r="J370">
            <v>2041.49</v>
          </cell>
          <cell r="K370">
            <v>642.88</v>
          </cell>
          <cell r="L370">
            <v>0</v>
          </cell>
          <cell r="M370">
            <v>0</v>
          </cell>
          <cell r="N370">
            <v>642.88</v>
          </cell>
          <cell r="O370">
            <v>46245.33</v>
          </cell>
          <cell r="Q370">
            <v>0</v>
          </cell>
          <cell r="R370">
            <v>46245.33</v>
          </cell>
          <cell r="S370">
            <v>3827.07</v>
          </cell>
          <cell r="T370">
            <v>13.24</v>
          </cell>
          <cell r="U370">
            <v>46258.57</v>
          </cell>
        </row>
        <row r="371">
          <cell r="A371" t="str">
            <v>PLN   Złoty</v>
          </cell>
          <cell r="E371" t="str">
            <v>KB Sprzed. bezpośrednia</v>
          </cell>
          <cell r="H371">
            <v>436</v>
          </cell>
          <cell r="J371">
            <v>18919.6899999999</v>
          </cell>
          <cell r="K371">
            <v>5839.5299999999897</v>
          </cell>
          <cell r="L371">
            <v>20754.279999999901</v>
          </cell>
          <cell r="M371">
            <v>0</v>
          </cell>
          <cell r="N371">
            <v>26593.81</v>
          </cell>
          <cell r="O371">
            <v>441193.41999999899</v>
          </cell>
          <cell r="Q371">
            <v>0</v>
          </cell>
          <cell r="R371">
            <v>441193.41999999899</v>
          </cell>
          <cell r="S371">
            <v>22858.58</v>
          </cell>
          <cell r="T371">
            <v>120.22</v>
          </cell>
          <cell r="U371">
            <v>441313.64</v>
          </cell>
        </row>
        <row r="372">
          <cell r="A372" t="str">
            <v>PLN   Złoty</v>
          </cell>
          <cell r="E372" t="str">
            <v>KB Sprzed. bezpośrednia</v>
          </cell>
          <cell r="H372">
            <v>24</v>
          </cell>
          <cell r="J372">
            <v>1068.2</v>
          </cell>
          <cell r="K372">
            <v>321.44</v>
          </cell>
          <cell r="L372">
            <v>1300.8</v>
          </cell>
          <cell r="M372">
            <v>0</v>
          </cell>
          <cell r="N372">
            <v>1622.24</v>
          </cell>
          <cell r="O372">
            <v>24294.2</v>
          </cell>
          <cell r="Q372">
            <v>0</v>
          </cell>
          <cell r="R372">
            <v>24294.2</v>
          </cell>
          <cell r="S372">
            <v>1907.0799999999899</v>
          </cell>
          <cell r="T372">
            <v>6.5599999999999898</v>
          </cell>
          <cell r="U372">
            <v>24300.7599999999</v>
          </cell>
        </row>
        <row r="373">
          <cell r="A373" t="str">
            <v>PLN   Złoty</v>
          </cell>
          <cell r="E373" t="str">
            <v>KB Sprzed. bezpośrednia</v>
          </cell>
          <cell r="H373">
            <v>175.979999999999</v>
          </cell>
          <cell r="J373">
            <v>7179.31</v>
          </cell>
          <cell r="K373">
            <v>2356.9699999999898</v>
          </cell>
          <cell r="L373">
            <v>0</v>
          </cell>
          <cell r="M373">
            <v>0</v>
          </cell>
          <cell r="N373">
            <v>2356.9699999999898</v>
          </cell>
          <cell r="O373">
            <v>165851.06</v>
          </cell>
          <cell r="Q373">
            <v>0</v>
          </cell>
          <cell r="R373">
            <v>165851.06</v>
          </cell>
          <cell r="S373">
            <v>10239.299999999899</v>
          </cell>
          <cell r="T373">
            <v>47.49</v>
          </cell>
          <cell r="U373">
            <v>165898.549999999</v>
          </cell>
        </row>
        <row r="374">
          <cell r="A374" t="str">
            <v>PLN   Złoty</v>
          </cell>
          <cell r="E374" t="str">
            <v>KB Sprzed. bezpośrednia</v>
          </cell>
          <cell r="H374">
            <v>48</v>
          </cell>
          <cell r="J374">
            <v>2054.71</v>
          </cell>
          <cell r="K374">
            <v>642.88</v>
          </cell>
          <cell r="L374">
            <v>1329.24</v>
          </cell>
          <cell r="M374">
            <v>0</v>
          </cell>
          <cell r="N374">
            <v>1972.1199999999899</v>
          </cell>
          <cell r="O374">
            <v>47587.79</v>
          </cell>
          <cell r="Q374">
            <v>0</v>
          </cell>
          <cell r="R374">
            <v>47587.79</v>
          </cell>
          <cell r="S374">
            <v>2809.0599999999899</v>
          </cell>
          <cell r="T374">
            <v>13.24</v>
          </cell>
          <cell r="U374">
            <v>47601.029999999897</v>
          </cell>
        </row>
        <row r="375">
          <cell r="A375" t="str">
            <v>PLN   Złoty</v>
          </cell>
          <cell r="E375" t="str">
            <v>KB Sprzed. bezpośrednia</v>
          </cell>
          <cell r="H375">
            <v>108</v>
          </cell>
          <cell r="J375">
            <v>4717.01</v>
          </cell>
          <cell r="K375">
            <v>1446.49</v>
          </cell>
          <cell r="L375">
            <v>6006.84</v>
          </cell>
          <cell r="M375">
            <v>0</v>
          </cell>
          <cell r="N375">
            <v>7453.3299999999899</v>
          </cell>
          <cell r="O375">
            <v>113093.47</v>
          </cell>
          <cell r="Q375">
            <v>0</v>
          </cell>
          <cell r="R375">
            <v>113093.47</v>
          </cell>
          <cell r="S375">
            <v>2602.73</v>
          </cell>
          <cell r="T375">
            <v>30.67</v>
          </cell>
          <cell r="U375">
            <v>113124.14</v>
          </cell>
        </row>
        <row r="376">
          <cell r="A376" t="str">
            <v>PLN   Złoty</v>
          </cell>
          <cell r="E376" t="str">
            <v>KB Sprzed. bezpośrednia</v>
          </cell>
          <cell r="H376">
            <v>74</v>
          </cell>
          <cell r="J376">
            <v>3139.82</v>
          </cell>
          <cell r="K376">
            <v>991.12</v>
          </cell>
          <cell r="L376">
            <v>2752.5599999999899</v>
          </cell>
          <cell r="M376">
            <v>0</v>
          </cell>
          <cell r="N376">
            <v>3743.6799999999898</v>
          </cell>
          <cell r="O376">
            <v>74039.979999999894</v>
          </cell>
          <cell r="Q376">
            <v>0</v>
          </cell>
          <cell r="R376">
            <v>74039.979999999894</v>
          </cell>
          <cell r="S376">
            <v>2972.02</v>
          </cell>
          <cell r="T376">
            <v>20.399999999999899</v>
          </cell>
          <cell r="U376">
            <v>74060.38</v>
          </cell>
        </row>
        <row r="377">
          <cell r="A377" t="str">
            <v>PLN   Złoty</v>
          </cell>
          <cell r="E377" t="str">
            <v>KB Sprzed. bezpośrednia</v>
          </cell>
          <cell r="H377">
            <v>36</v>
          </cell>
          <cell r="J377">
            <v>1568.38</v>
          </cell>
          <cell r="K377">
            <v>482.17</v>
          </cell>
          <cell r="L377">
            <v>2705.4</v>
          </cell>
          <cell r="M377">
            <v>0</v>
          </cell>
          <cell r="N377">
            <v>3187.57</v>
          </cell>
          <cell r="O377">
            <v>37426.669999999896</v>
          </cell>
          <cell r="Q377">
            <v>0</v>
          </cell>
          <cell r="R377">
            <v>37426.669999999896</v>
          </cell>
          <cell r="S377">
            <v>1041.1300000000001</v>
          </cell>
          <cell r="T377">
            <v>9.9299999999999908</v>
          </cell>
          <cell r="U377">
            <v>37436.599999999897</v>
          </cell>
        </row>
        <row r="378">
          <cell r="A378" t="str">
            <v>PLN   Złoty</v>
          </cell>
          <cell r="E378" t="str">
            <v>KB Sprzed. bezpośrednia</v>
          </cell>
          <cell r="H378">
            <v>24</v>
          </cell>
          <cell r="J378">
            <v>997.76999999999896</v>
          </cell>
          <cell r="K378">
            <v>321.44</v>
          </cell>
          <cell r="L378">
            <v>0</v>
          </cell>
          <cell r="M378">
            <v>0</v>
          </cell>
          <cell r="N378">
            <v>321.44</v>
          </cell>
          <cell r="O378">
            <v>23099.6899999999</v>
          </cell>
          <cell r="Q378">
            <v>0</v>
          </cell>
          <cell r="R378">
            <v>23099.6899999999</v>
          </cell>
          <cell r="S378">
            <v>1373.1099999999899</v>
          </cell>
          <cell r="T378">
            <v>6.62</v>
          </cell>
          <cell r="U378">
            <v>23106.31</v>
          </cell>
        </row>
        <row r="379">
          <cell r="A379" t="str">
            <v>PLN   Złoty</v>
          </cell>
          <cell r="E379" t="str">
            <v>KB Sprzed. bezpośrednia</v>
          </cell>
          <cell r="H379">
            <v>48</v>
          </cell>
          <cell r="J379">
            <v>2037.38</v>
          </cell>
          <cell r="K379">
            <v>642.88</v>
          </cell>
          <cell r="L379">
            <v>0</v>
          </cell>
          <cell r="M379">
            <v>0</v>
          </cell>
          <cell r="N379">
            <v>642.88</v>
          </cell>
          <cell r="O379">
            <v>47534.98</v>
          </cell>
          <cell r="Q379">
            <v>0</v>
          </cell>
          <cell r="R379">
            <v>47534.98</v>
          </cell>
          <cell r="S379">
            <v>2436.6199999999899</v>
          </cell>
          <cell r="T379">
            <v>13.6199999999999</v>
          </cell>
          <cell r="U379">
            <v>47548.599999999897</v>
          </cell>
        </row>
        <row r="380">
          <cell r="A380" t="str">
            <v>PLN   Złoty</v>
          </cell>
          <cell r="E380" t="str">
            <v>KB Sprzed. bezpośrednia</v>
          </cell>
          <cell r="H380">
            <v>50.96</v>
          </cell>
          <cell r="J380">
            <v>2104.4299999999898</v>
          </cell>
          <cell r="K380">
            <v>682.52999999999895</v>
          </cell>
          <cell r="L380">
            <v>0</v>
          </cell>
          <cell r="M380">
            <v>0</v>
          </cell>
          <cell r="N380">
            <v>682.52999999999895</v>
          </cell>
          <cell r="O380">
            <v>48052.339999999902</v>
          </cell>
          <cell r="Q380">
            <v>0</v>
          </cell>
          <cell r="R380">
            <v>48052.339999999902</v>
          </cell>
          <cell r="S380">
            <v>3563</v>
          </cell>
          <cell r="T380">
            <v>13.75</v>
          </cell>
          <cell r="U380">
            <v>48066.089999999902</v>
          </cell>
        </row>
        <row r="381">
          <cell r="A381" t="str">
            <v>PLN   Złoty</v>
          </cell>
          <cell r="E381" t="str">
            <v>KB Sprzed. bezpośrednia</v>
          </cell>
          <cell r="H381">
            <v>24</v>
          </cell>
          <cell r="J381">
            <v>1020.2</v>
          </cell>
          <cell r="K381">
            <v>321.44</v>
          </cell>
          <cell r="L381">
            <v>0</v>
          </cell>
          <cell r="M381">
            <v>0</v>
          </cell>
          <cell r="N381">
            <v>321.44</v>
          </cell>
          <cell r="O381">
            <v>23122.119999999901</v>
          </cell>
          <cell r="Q381">
            <v>0</v>
          </cell>
          <cell r="R381">
            <v>23122.119999999901</v>
          </cell>
          <cell r="S381">
            <v>1901.48</v>
          </cell>
          <cell r="T381">
            <v>6.62</v>
          </cell>
          <cell r="U381">
            <v>23128.74</v>
          </cell>
        </row>
        <row r="382">
          <cell r="A382" t="str">
            <v>PLN   Złoty</v>
          </cell>
          <cell r="E382" t="str">
            <v>KB Sprzed. bezpośrednia</v>
          </cell>
          <cell r="H382">
            <v>25</v>
          </cell>
          <cell r="J382">
            <v>1068.8299999999899</v>
          </cell>
          <cell r="K382">
            <v>334.83999999999901</v>
          </cell>
          <cell r="L382">
            <v>1098.18</v>
          </cell>
          <cell r="M382">
            <v>0</v>
          </cell>
          <cell r="N382">
            <v>1433.02</v>
          </cell>
          <cell r="O382">
            <v>25189.8499999999</v>
          </cell>
          <cell r="Q382">
            <v>0</v>
          </cell>
          <cell r="R382">
            <v>25189.8499999999</v>
          </cell>
          <cell r="S382">
            <v>1026.9000000000001</v>
          </cell>
          <cell r="T382">
            <v>6.8899999999999899</v>
          </cell>
          <cell r="U382">
            <v>25196.74</v>
          </cell>
        </row>
        <row r="383">
          <cell r="A383" t="str">
            <v>PLN   Złoty</v>
          </cell>
          <cell r="E383" t="str">
            <v>KB Sprzed. bezpośrednia</v>
          </cell>
          <cell r="H383">
            <v>158</v>
          </cell>
          <cell r="J383">
            <v>6781.34</v>
          </cell>
          <cell r="K383">
            <v>2116.1599999999899</v>
          </cell>
          <cell r="L383">
            <v>3588</v>
          </cell>
          <cell r="M383">
            <v>0</v>
          </cell>
          <cell r="N383">
            <v>5704.1599999999899</v>
          </cell>
          <cell r="O383">
            <v>155873.66</v>
          </cell>
          <cell r="Q383">
            <v>0</v>
          </cell>
          <cell r="R383">
            <v>155873.66</v>
          </cell>
          <cell r="S383">
            <v>10455.280000000001</v>
          </cell>
          <cell r="T383">
            <v>43.57</v>
          </cell>
          <cell r="U383">
            <v>155917.23000000001</v>
          </cell>
        </row>
        <row r="384">
          <cell r="A384" t="str">
            <v>PLN   Złoty</v>
          </cell>
          <cell r="E384" t="str">
            <v>KB Sprzed. bezpośrednia</v>
          </cell>
          <cell r="H384">
            <v>206</v>
          </cell>
          <cell r="J384">
            <v>9027</v>
          </cell>
          <cell r="K384">
            <v>2759.04</v>
          </cell>
          <cell r="L384">
            <v>18347.299999999901</v>
          </cell>
          <cell r="M384">
            <v>0</v>
          </cell>
          <cell r="N384">
            <v>21106.34</v>
          </cell>
          <cell r="O384">
            <v>217082.459999999</v>
          </cell>
          <cell r="Q384">
            <v>0</v>
          </cell>
          <cell r="R384">
            <v>217082.459999999</v>
          </cell>
          <cell r="S384">
            <v>4327.3999999999896</v>
          </cell>
          <cell r="T384">
            <v>56.799999999999898</v>
          </cell>
          <cell r="U384">
            <v>217139.26</v>
          </cell>
        </row>
        <row r="385">
          <cell r="A385" t="str">
            <v>PLN   Złoty</v>
          </cell>
          <cell r="E385" t="str">
            <v>KB Sprzed. bezpośrednia</v>
          </cell>
          <cell r="H385">
            <v>10</v>
          </cell>
          <cell r="J385">
            <v>435.68</v>
          </cell>
          <cell r="K385">
            <v>133.94</v>
          </cell>
          <cell r="L385">
            <v>885.1</v>
          </cell>
          <cell r="M385">
            <v>0</v>
          </cell>
          <cell r="N385">
            <v>1019.04</v>
          </cell>
          <cell r="O385">
            <v>10799.45</v>
          </cell>
          <cell r="Q385">
            <v>0</v>
          </cell>
          <cell r="R385">
            <v>10799.45</v>
          </cell>
          <cell r="S385">
            <v>-113.95</v>
          </cell>
          <cell r="T385">
            <v>2.8399999999999901</v>
          </cell>
          <cell r="U385">
            <v>10802.29</v>
          </cell>
        </row>
        <row r="386">
          <cell r="A386" t="str">
            <v>PLN   Złoty</v>
          </cell>
          <cell r="E386" t="str">
            <v>KB Sprzed. bezpośrednia</v>
          </cell>
          <cell r="H386">
            <v>24</v>
          </cell>
          <cell r="J386">
            <v>1012.28</v>
          </cell>
          <cell r="K386">
            <v>321.44</v>
          </cell>
          <cell r="L386">
            <v>1779.1199999999899</v>
          </cell>
          <cell r="M386">
            <v>0</v>
          </cell>
          <cell r="N386">
            <v>2100.5599999999899</v>
          </cell>
          <cell r="O386">
            <v>24893.32</v>
          </cell>
          <cell r="Q386">
            <v>0</v>
          </cell>
          <cell r="R386">
            <v>24893.32</v>
          </cell>
          <cell r="S386">
            <v>-64.12</v>
          </cell>
          <cell r="T386">
            <v>6.62</v>
          </cell>
          <cell r="U386">
            <v>24899.9399999999</v>
          </cell>
        </row>
        <row r="387">
          <cell r="A387" t="str">
            <v>PLN   Złoty</v>
          </cell>
          <cell r="E387" t="str">
            <v>KB Sprzed. bezpośrednia</v>
          </cell>
          <cell r="H387">
            <v>101.599999999999</v>
          </cell>
          <cell r="J387">
            <v>4195.55</v>
          </cell>
          <cell r="K387">
            <v>1360.77</v>
          </cell>
          <cell r="L387">
            <v>0</v>
          </cell>
          <cell r="M387">
            <v>0</v>
          </cell>
          <cell r="N387">
            <v>1360.77</v>
          </cell>
          <cell r="O387">
            <v>95802.86</v>
          </cell>
          <cell r="Q387">
            <v>0</v>
          </cell>
          <cell r="R387">
            <v>95802.86</v>
          </cell>
          <cell r="S387">
            <v>7103.72</v>
          </cell>
          <cell r="T387">
            <v>27.42</v>
          </cell>
          <cell r="U387">
            <v>95830.279999999897</v>
          </cell>
        </row>
        <row r="388">
          <cell r="A388" t="str">
            <v>PLN   Złoty</v>
          </cell>
          <cell r="E388" t="str">
            <v>KB Sprzed. bezpośrednia</v>
          </cell>
          <cell r="H388">
            <v>240</v>
          </cell>
          <cell r="J388">
            <v>10277.379999999899</v>
          </cell>
          <cell r="K388">
            <v>3214.42</v>
          </cell>
          <cell r="L388">
            <v>10196.639999999899</v>
          </cell>
          <cell r="M388">
            <v>0</v>
          </cell>
          <cell r="N388">
            <v>13411.059999999899</v>
          </cell>
          <cell r="O388">
            <v>241493.239999999</v>
          </cell>
          <cell r="Q388">
            <v>0</v>
          </cell>
          <cell r="R388">
            <v>241493.239999999</v>
          </cell>
          <cell r="S388">
            <v>10583.559999999899</v>
          </cell>
          <cell r="T388">
            <v>66.180000000000007</v>
          </cell>
          <cell r="U388">
            <v>241559.42</v>
          </cell>
        </row>
        <row r="389">
          <cell r="A389" t="str">
            <v>PLN   Złoty</v>
          </cell>
          <cell r="E389" t="str">
            <v>KB Sprzed. bezpośrednia</v>
          </cell>
          <cell r="H389">
            <v>228</v>
          </cell>
          <cell r="J389">
            <v>9619.8099999999904</v>
          </cell>
          <cell r="K389">
            <v>3053.71</v>
          </cell>
          <cell r="L389">
            <v>4094.4</v>
          </cell>
          <cell r="M389">
            <v>0</v>
          </cell>
          <cell r="N389">
            <v>7148.1099999999897</v>
          </cell>
          <cell r="O389">
            <v>229827.85</v>
          </cell>
          <cell r="Q389">
            <v>0</v>
          </cell>
          <cell r="R389">
            <v>229827.85</v>
          </cell>
          <cell r="S389">
            <v>6121.67</v>
          </cell>
          <cell r="T389">
            <v>64.73</v>
          </cell>
          <cell r="U389">
            <v>229892.579999999</v>
          </cell>
        </row>
        <row r="390">
          <cell r="A390" t="str">
            <v>PLN   Złoty</v>
          </cell>
          <cell r="E390" t="str">
            <v>KB Sprzed. bezpośrednia</v>
          </cell>
          <cell r="H390">
            <v>24</v>
          </cell>
          <cell r="J390">
            <v>1038.22</v>
          </cell>
          <cell r="K390">
            <v>321.44</v>
          </cell>
          <cell r="L390">
            <v>1590</v>
          </cell>
          <cell r="M390">
            <v>0</v>
          </cell>
          <cell r="N390">
            <v>1911.44</v>
          </cell>
          <cell r="O390">
            <v>24730.139999999901</v>
          </cell>
          <cell r="Q390">
            <v>0</v>
          </cell>
          <cell r="R390">
            <v>24730.139999999901</v>
          </cell>
          <cell r="S390">
            <v>734.58</v>
          </cell>
          <cell r="T390">
            <v>6.62</v>
          </cell>
          <cell r="U390">
            <v>24736.7599999999</v>
          </cell>
        </row>
        <row r="391">
          <cell r="A391" t="str">
            <v>PLN   Złoty</v>
          </cell>
          <cell r="E391" t="str">
            <v>KB Sprzed. bezpośrednia</v>
          </cell>
          <cell r="H391">
            <v>154</v>
          </cell>
          <cell r="J391">
            <v>6775.01</v>
          </cell>
          <cell r="K391">
            <v>2062.59</v>
          </cell>
          <cell r="L391">
            <v>11799.559999999899</v>
          </cell>
          <cell r="M391">
            <v>0</v>
          </cell>
          <cell r="N391">
            <v>13862.15</v>
          </cell>
          <cell r="O391">
            <v>160395.23000000001</v>
          </cell>
          <cell r="Q391">
            <v>0</v>
          </cell>
          <cell r="R391">
            <v>160395.23000000001</v>
          </cell>
          <cell r="S391">
            <v>5779.4899999999898</v>
          </cell>
          <cell r="T391">
            <v>42.469999999999899</v>
          </cell>
          <cell r="U391">
            <v>160437.70000000001</v>
          </cell>
        </row>
        <row r="392">
          <cell r="A392" t="str">
            <v>PLN   Złoty</v>
          </cell>
          <cell r="E392" t="str">
            <v>KB Sprzed. bezpośrednia</v>
          </cell>
          <cell r="H392">
            <v>24</v>
          </cell>
          <cell r="J392">
            <v>1060.77</v>
          </cell>
          <cell r="K392">
            <v>321.44</v>
          </cell>
          <cell r="L392">
            <v>1971.1199999999899</v>
          </cell>
          <cell r="M392">
            <v>0</v>
          </cell>
          <cell r="N392">
            <v>2292.5599999999899</v>
          </cell>
          <cell r="O392">
            <v>25780.6899999999</v>
          </cell>
          <cell r="Q392">
            <v>0</v>
          </cell>
          <cell r="R392">
            <v>25780.6899999999</v>
          </cell>
          <cell r="S392">
            <v>236.509999999999</v>
          </cell>
          <cell r="T392">
            <v>6.82</v>
          </cell>
          <cell r="U392">
            <v>25787.5099999999</v>
          </cell>
        </row>
        <row r="393">
          <cell r="A393" t="str">
            <v>PLN   Złoty</v>
          </cell>
          <cell r="E393" t="str">
            <v>KB Sprzed. bezpośrednia</v>
          </cell>
          <cell r="H393">
            <v>1522.4</v>
          </cell>
          <cell r="J393">
            <v>65112.4</v>
          </cell>
          <cell r="K393">
            <v>20390.16</v>
          </cell>
          <cell r="L393">
            <v>79133.570000000007</v>
          </cell>
          <cell r="M393">
            <v>0</v>
          </cell>
          <cell r="N393">
            <v>99523.729999999894</v>
          </cell>
          <cell r="O393">
            <v>1516912.87</v>
          </cell>
          <cell r="Q393">
            <v>0</v>
          </cell>
          <cell r="R393">
            <v>1516912.87</v>
          </cell>
          <cell r="S393">
            <v>80129.279999999897</v>
          </cell>
          <cell r="T393">
            <v>410.86</v>
          </cell>
          <cell r="U393">
            <v>1517323.73</v>
          </cell>
        </row>
        <row r="394">
          <cell r="A394" t="str">
            <v>PLN   Złoty</v>
          </cell>
          <cell r="E394" t="str">
            <v>KB Sprzed. bezpośrednia</v>
          </cell>
          <cell r="H394">
            <v>60</v>
          </cell>
          <cell r="J394">
            <v>2524.8200000000002</v>
          </cell>
          <cell r="K394">
            <v>803.61</v>
          </cell>
          <cell r="L394">
            <v>2338.92</v>
          </cell>
          <cell r="M394">
            <v>0</v>
          </cell>
          <cell r="N394">
            <v>3142.53</v>
          </cell>
          <cell r="O394">
            <v>59046.94</v>
          </cell>
          <cell r="Q394">
            <v>0</v>
          </cell>
          <cell r="R394">
            <v>59046.94</v>
          </cell>
          <cell r="S394">
            <v>2880.38</v>
          </cell>
          <cell r="T394">
            <v>16.219999999999899</v>
          </cell>
          <cell r="U394">
            <v>59063.16</v>
          </cell>
        </row>
        <row r="395">
          <cell r="A395" t="str">
            <v>PLN   Złoty</v>
          </cell>
          <cell r="E395" t="str">
            <v>KB Sprzed. bezpośrednia</v>
          </cell>
          <cell r="H395">
            <v>286.5</v>
          </cell>
          <cell r="J395">
            <v>12439.62</v>
          </cell>
          <cell r="K395">
            <v>3837.2199999999898</v>
          </cell>
          <cell r="L395">
            <v>14591.76</v>
          </cell>
          <cell r="M395">
            <v>0</v>
          </cell>
          <cell r="N395">
            <v>18428.98</v>
          </cell>
          <cell r="O395">
            <v>298595.21999999898</v>
          </cell>
          <cell r="Q395">
            <v>0</v>
          </cell>
          <cell r="R395">
            <v>298595.21999999898</v>
          </cell>
          <cell r="S395">
            <v>6516.72</v>
          </cell>
          <cell r="T395">
            <v>81.34</v>
          </cell>
          <cell r="U395">
            <v>298676.56</v>
          </cell>
        </row>
        <row r="396">
          <cell r="A396" t="str">
            <v>PLN   Złoty</v>
          </cell>
          <cell r="E396" t="str">
            <v>KB Sprzed. bezpośrednia</v>
          </cell>
          <cell r="H396">
            <v>49</v>
          </cell>
          <cell r="J396">
            <v>2126.2399999999898</v>
          </cell>
          <cell r="K396">
            <v>656.27999999999895</v>
          </cell>
          <cell r="L396">
            <v>2351.96</v>
          </cell>
          <cell r="M396">
            <v>0</v>
          </cell>
          <cell r="N396">
            <v>3008.2399999999898</v>
          </cell>
          <cell r="O396">
            <v>49602.959999999897</v>
          </cell>
          <cell r="Q396">
            <v>0</v>
          </cell>
          <cell r="R396">
            <v>49602.959999999897</v>
          </cell>
          <cell r="S396">
            <v>2548.5100000000002</v>
          </cell>
          <cell r="T396">
            <v>13.51</v>
          </cell>
          <cell r="U396">
            <v>49616.47</v>
          </cell>
        </row>
        <row r="397">
          <cell r="A397" t="str">
            <v>PLN   Złoty</v>
          </cell>
          <cell r="E397" t="str">
            <v>KB Sprzed. bezpośrednia</v>
          </cell>
          <cell r="H397">
            <v>25</v>
          </cell>
          <cell r="J397">
            <v>1068.8299999999899</v>
          </cell>
          <cell r="K397">
            <v>334.83999999999901</v>
          </cell>
          <cell r="L397">
            <v>1747.3099999999899</v>
          </cell>
          <cell r="M397">
            <v>0</v>
          </cell>
          <cell r="N397">
            <v>2082.15</v>
          </cell>
          <cell r="O397">
            <v>25838.98</v>
          </cell>
          <cell r="Q397">
            <v>0</v>
          </cell>
          <cell r="R397">
            <v>25838.98</v>
          </cell>
          <cell r="S397">
            <v>377.76999999999902</v>
          </cell>
          <cell r="T397">
            <v>6.8899999999999899</v>
          </cell>
          <cell r="U397">
            <v>25845.869999999901</v>
          </cell>
        </row>
        <row r="398">
          <cell r="A398" t="str">
            <v>PLN   Złoty</v>
          </cell>
          <cell r="E398" t="str">
            <v>KB Sprzed. bezpośrednia</v>
          </cell>
          <cell r="H398">
            <v>193</v>
          </cell>
          <cell r="J398">
            <v>8403.3899999999903</v>
          </cell>
          <cell r="K398">
            <v>2584.9299999999898</v>
          </cell>
          <cell r="L398">
            <v>8372.67</v>
          </cell>
          <cell r="M398">
            <v>0</v>
          </cell>
          <cell r="N398">
            <v>10957.6</v>
          </cell>
          <cell r="O398">
            <v>194512.35</v>
          </cell>
          <cell r="Q398">
            <v>0</v>
          </cell>
          <cell r="R398">
            <v>194512.35</v>
          </cell>
          <cell r="S398">
            <v>11602.139999999899</v>
          </cell>
          <cell r="T398">
            <v>53.219999999999899</v>
          </cell>
          <cell r="U398">
            <v>194565.57</v>
          </cell>
        </row>
        <row r="399">
          <cell r="A399" t="str">
            <v>PLN   Złoty</v>
          </cell>
          <cell r="E399" t="str">
            <v>KB Sprzed. bezpośrednia</v>
          </cell>
          <cell r="H399">
            <v>24</v>
          </cell>
          <cell r="J399">
            <v>1020.2</v>
          </cell>
          <cell r="K399">
            <v>321.44</v>
          </cell>
          <cell r="L399">
            <v>0</v>
          </cell>
          <cell r="M399">
            <v>0</v>
          </cell>
          <cell r="N399">
            <v>321.44</v>
          </cell>
          <cell r="O399">
            <v>23122.119999999901</v>
          </cell>
          <cell r="Q399">
            <v>0</v>
          </cell>
          <cell r="R399">
            <v>23122.119999999901</v>
          </cell>
          <cell r="S399">
            <v>1901.48</v>
          </cell>
          <cell r="T399">
            <v>6.62</v>
          </cell>
          <cell r="U399">
            <v>23128.74</v>
          </cell>
        </row>
        <row r="400">
          <cell r="A400" t="str">
            <v>PLN   Złoty</v>
          </cell>
          <cell r="E400" t="str">
            <v>KB Sprzed. bezpośrednia</v>
          </cell>
          <cell r="H400">
            <v>253.52</v>
          </cell>
          <cell r="J400">
            <v>10906.85</v>
          </cell>
          <cell r="K400">
            <v>3395.5</v>
          </cell>
          <cell r="L400">
            <v>0</v>
          </cell>
          <cell r="M400">
            <v>0</v>
          </cell>
          <cell r="N400">
            <v>3395.5</v>
          </cell>
          <cell r="O400">
            <v>241428.39</v>
          </cell>
          <cell r="Q400">
            <v>0</v>
          </cell>
          <cell r="R400">
            <v>241428.39</v>
          </cell>
          <cell r="S400">
            <v>26089.3499999999</v>
          </cell>
          <cell r="T400">
            <v>69.010000000000005</v>
          </cell>
          <cell r="U400">
            <v>241497.399999999</v>
          </cell>
        </row>
        <row r="401">
          <cell r="A401" t="str">
            <v>PLN   Złoty</v>
          </cell>
          <cell r="E401" t="str">
            <v>KB Sprzed. bezpośrednia</v>
          </cell>
          <cell r="H401">
            <v>451</v>
          </cell>
          <cell r="J401">
            <v>19943.86</v>
          </cell>
          <cell r="K401">
            <v>6040.4499999999898</v>
          </cell>
          <cell r="L401">
            <v>9938.8799999999901</v>
          </cell>
          <cell r="M401">
            <v>0</v>
          </cell>
          <cell r="N401">
            <v>15979.33</v>
          </cell>
          <cell r="O401">
            <v>447781.96</v>
          </cell>
          <cell r="Q401">
            <v>0</v>
          </cell>
          <cell r="R401">
            <v>447781.96</v>
          </cell>
          <cell r="S401">
            <v>41392.19</v>
          </cell>
          <cell r="T401">
            <v>125.13</v>
          </cell>
          <cell r="U401">
            <v>447907.09</v>
          </cell>
        </row>
        <row r="402">
          <cell r="A402" t="str">
            <v>PLN   Złoty</v>
          </cell>
          <cell r="E402" t="str">
            <v>KB Sprzed. bezpośrednia</v>
          </cell>
          <cell r="H402">
            <v>547.5</v>
          </cell>
          <cell r="J402">
            <v>24250.07</v>
          </cell>
          <cell r="K402">
            <v>7332.8999999999896</v>
          </cell>
          <cell r="L402">
            <v>12681.12</v>
          </cell>
          <cell r="M402">
            <v>0</v>
          </cell>
          <cell r="N402">
            <v>20014.02</v>
          </cell>
          <cell r="O402">
            <v>557116.93999999901</v>
          </cell>
          <cell r="Q402">
            <v>0</v>
          </cell>
          <cell r="R402">
            <v>557116.93999999901</v>
          </cell>
          <cell r="S402">
            <v>37675.040000000001</v>
          </cell>
          <cell r="T402">
            <v>155.81</v>
          </cell>
          <cell r="U402">
            <v>557272.75</v>
          </cell>
        </row>
        <row r="403">
          <cell r="A403" t="str">
            <v>PLN   Złoty</v>
          </cell>
          <cell r="E403" t="str">
            <v>KB Sprzed. bezpośrednia</v>
          </cell>
          <cell r="H403">
            <v>63</v>
          </cell>
          <cell r="J403">
            <v>2749.6399999999899</v>
          </cell>
          <cell r="K403">
            <v>843.77999999999895</v>
          </cell>
          <cell r="L403">
            <v>3980.4</v>
          </cell>
          <cell r="M403">
            <v>0</v>
          </cell>
          <cell r="N403">
            <v>4824.18</v>
          </cell>
          <cell r="O403">
            <v>64747.58</v>
          </cell>
          <cell r="Q403">
            <v>0</v>
          </cell>
          <cell r="R403">
            <v>64747.58</v>
          </cell>
          <cell r="S403">
            <v>2693.8899999999899</v>
          </cell>
          <cell r="T403">
            <v>17.37</v>
          </cell>
          <cell r="U403">
            <v>64764.949999999903</v>
          </cell>
        </row>
        <row r="404">
          <cell r="A404" t="str">
            <v>PLN   Złoty</v>
          </cell>
          <cell r="E404" t="str">
            <v>KB Sprzed. bezpośrednia</v>
          </cell>
          <cell r="H404">
            <v>48</v>
          </cell>
          <cell r="J404">
            <v>2091.15</v>
          </cell>
          <cell r="K404">
            <v>642.88</v>
          </cell>
          <cell r="L404">
            <v>3137.76</v>
          </cell>
          <cell r="M404">
            <v>0</v>
          </cell>
          <cell r="N404">
            <v>3780.6399999999899</v>
          </cell>
          <cell r="O404">
            <v>49432.75</v>
          </cell>
          <cell r="Q404">
            <v>0</v>
          </cell>
          <cell r="R404">
            <v>49432.75</v>
          </cell>
          <cell r="S404">
            <v>1857.65</v>
          </cell>
          <cell r="T404">
            <v>13.24</v>
          </cell>
          <cell r="U404">
            <v>49445.989999999903</v>
          </cell>
        </row>
        <row r="405">
          <cell r="A405" t="str">
            <v>PLN   Złoty</v>
          </cell>
          <cell r="E405" t="str">
            <v>KB Sprzed. bezpośrednia</v>
          </cell>
          <cell r="H405">
            <v>178</v>
          </cell>
          <cell r="J405">
            <v>7647.6899999999896</v>
          </cell>
          <cell r="K405">
            <v>2384.0300000000002</v>
          </cell>
          <cell r="L405">
            <v>5158.6599999999899</v>
          </cell>
          <cell r="M405">
            <v>0</v>
          </cell>
          <cell r="N405">
            <v>7542.6899999999896</v>
          </cell>
          <cell r="O405">
            <v>176728.94</v>
          </cell>
          <cell r="Q405">
            <v>0</v>
          </cell>
          <cell r="R405">
            <v>176728.94</v>
          </cell>
          <cell r="S405">
            <v>10849.92</v>
          </cell>
          <cell r="T405">
            <v>49.079999999999899</v>
          </cell>
          <cell r="U405">
            <v>176778.019999999</v>
          </cell>
        </row>
        <row r="406">
          <cell r="A406" t="str">
            <v>PLN   Złoty</v>
          </cell>
          <cell r="E406" t="str">
            <v>KB Sprzed. bezpośrednia</v>
          </cell>
          <cell r="H406">
            <v>48</v>
          </cell>
          <cell r="J406">
            <v>2055.52</v>
          </cell>
          <cell r="K406">
            <v>642.88</v>
          </cell>
          <cell r="L406">
            <v>1183.2</v>
          </cell>
          <cell r="M406">
            <v>0</v>
          </cell>
          <cell r="N406">
            <v>1826.0799999999899</v>
          </cell>
          <cell r="O406">
            <v>48736.32</v>
          </cell>
          <cell r="Q406">
            <v>0</v>
          </cell>
          <cell r="R406">
            <v>48736.32</v>
          </cell>
          <cell r="S406">
            <v>1679.52</v>
          </cell>
          <cell r="T406">
            <v>13.6199999999999</v>
          </cell>
          <cell r="U406">
            <v>48749.94</v>
          </cell>
        </row>
        <row r="407">
          <cell r="A407" t="str">
            <v>PLN   Złoty</v>
          </cell>
          <cell r="E407" t="str">
            <v>KB Sprzed. bezpośrednia</v>
          </cell>
          <cell r="H407">
            <v>24</v>
          </cell>
          <cell r="J407">
            <v>1038.22</v>
          </cell>
          <cell r="K407">
            <v>321.44</v>
          </cell>
          <cell r="L407">
            <v>1166.8800000000001</v>
          </cell>
          <cell r="M407">
            <v>0</v>
          </cell>
          <cell r="N407">
            <v>1488.3199999999899</v>
          </cell>
          <cell r="O407">
            <v>24307.02</v>
          </cell>
          <cell r="Q407">
            <v>0</v>
          </cell>
          <cell r="R407">
            <v>24307.02</v>
          </cell>
          <cell r="S407">
            <v>1157.7</v>
          </cell>
          <cell r="T407">
            <v>6.62</v>
          </cell>
          <cell r="U407">
            <v>24313.639999999901</v>
          </cell>
        </row>
        <row r="408">
          <cell r="A408" t="str">
            <v>PLN   Złoty</v>
          </cell>
          <cell r="E408" t="str">
            <v>KB Sprzed. bezpośrednia</v>
          </cell>
          <cell r="H408">
            <v>72</v>
          </cell>
          <cell r="J408">
            <v>3114.6399999999899</v>
          </cell>
          <cell r="K408">
            <v>964.32</v>
          </cell>
          <cell r="L408">
            <v>4178.6400000000003</v>
          </cell>
          <cell r="M408">
            <v>0</v>
          </cell>
          <cell r="N408">
            <v>5142.96</v>
          </cell>
          <cell r="O408">
            <v>73599.039999999906</v>
          </cell>
          <cell r="Q408">
            <v>0</v>
          </cell>
          <cell r="R408">
            <v>73599.039999999906</v>
          </cell>
          <cell r="S408">
            <v>2795.1199999999899</v>
          </cell>
          <cell r="T408">
            <v>19.850000000000001</v>
          </cell>
          <cell r="U408">
            <v>73618.889999999898</v>
          </cell>
        </row>
        <row r="409">
          <cell r="A409" t="str">
            <v>PLN   Złoty</v>
          </cell>
          <cell r="E409" t="str">
            <v>KB Sprzed. bezpośrednia</v>
          </cell>
          <cell r="H409">
            <v>90</v>
          </cell>
          <cell r="J409">
            <v>3745.9</v>
          </cell>
          <cell r="K409">
            <v>1205.4000000000001</v>
          </cell>
          <cell r="L409">
            <v>325.19999999999902</v>
          </cell>
          <cell r="M409">
            <v>0</v>
          </cell>
          <cell r="N409">
            <v>1530.5999999999899</v>
          </cell>
          <cell r="O409">
            <v>86953.3</v>
          </cell>
          <cell r="Q409">
            <v>0</v>
          </cell>
          <cell r="R409">
            <v>86953.3</v>
          </cell>
          <cell r="S409">
            <v>4925.96</v>
          </cell>
          <cell r="T409">
            <v>24.82</v>
          </cell>
          <cell r="U409">
            <v>86978.119999999893</v>
          </cell>
        </row>
        <row r="410">
          <cell r="A410" t="str">
            <v>PLN   Złoty</v>
          </cell>
          <cell r="E410" t="str">
            <v>KB Sprzed. bezpośrednia</v>
          </cell>
          <cell r="H410">
            <v>24</v>
          </cell>
          <cell r="J410">
            <v>1038.22</v>
          </cell>
          <cell r="K410">
            <v>321.44</v>
          </cell>
          <cell r="L410">
            <v>1779.1199999999899</v>
          </cell>
          <cell r="M410">
            <v>0</v>
          </cell>
          <cell r="N410">
            <v>2100.5599999999899</v>
          </cell>
          <cell r="O410">
            <v>24919.2599999999</v>
          </cell>
          <cell r="Q410">
            <v>0</v>
          </cell>
          <cell r="R410">
            <v>24919.2599999999</v>
          </cell>
          <cell r="S410">
            <v>545.46</v>
          </cell>
          <cell r="T410">
            <v>6.62</v>
          </cell>
          <cell r="U410">
            <v>24925.88</v>
          </cell>
        </row>
        <row r="411">
          <cell r="A411" t="str">
            <v>PLN   Złoty</v>
          </cell>
          <cell r="E411" t="str">
            <v>KB Sprzed. bezpośrednia</v>
          </cell>
          <cell r="H411">
            <v>24</v>
          </cell>
          <cell r="J411">
            <v>1004.79</v>
          </cell>
          <cell r="K411">
            <v>321.44</v>
          </cell>
          <cell r="L411">
            <v>1805.52</v>
          </cell>
          <cell r="M411">
            <v>0</v>
          </cell>
          <cell r="N411">
            <v>2126.96</v>
          </cell>
          <cell r="O411">
            <v>24912.23</v>
          </cell>
          <cell r="Q411">
            <v>0</v>
          </cell>
          <cell r="R411">
            <v>24912.23</v>
          </cell>
          <cell r="S411">
            <v>-266.38999999999902</v>
          </cell>
          <cell r="T411">
            <v>6.62</v>
          </cell>
          <cell r="U411">
            <v>24918.8499999999</v>
          </cell>
        </row>
        <row r="412">
          <cell r="A412" t="str">
            <v>PLN   Złoty</v>
          </cell>
          <cell r="E412" t="str">
            <v>KB Sprzed. bezpośrednia</v>
          </cell>
          <cell r="H412">
            <v>73</v>
          </cell>
          <cell r="J412">
            <v>3205.36</v>
          </cell>
          <cell r="K412">
            <v>977.72</v>
          </cell>
          <cell r="L412">
            <v>5693.93</v>
          </cell>
          <cell r="M412">
            <v>0</v>
          </cell>
          <cell r="N412">
            <v>6671.6499999999896</v>
          </cell>
          <cell r="O412">
            <v>76125.97</v>
          </cell>
          <cell r="Q412">
            <v>0</v>
          </cell>
          <cell r="R412">
            <v>76125.97</v>
          </cell>
          <cell r="S412">
            <v>2493.75</v>
          </cell>
          <cell r="T412">
            <v>20.1299999999999</v>
          </cell>
          <cell r="U412">
            <v>76146.100000000006</v>
          </cell>
        </row>
        <row r="413">
          <cell r="A413" t="str">
            <v>PLN   Złoty</v>
          </cell>
          <cell r="E413" t="str">
            <v>KB Sprzed. bezpośrednia</v>
          </cell>
          <cell r="H413">
            <v>25</v>
          </cell>
          <cell r="J413">
            <v>1095.74</v>
          </cell>
          <cell r="K413">
            <v>334.83999999999901</v>
          </cell>
          <cell r="L413">
            <v>1770.41</v>
          </cell>
          <cell r="M413">
            <v>0</v>
          </cell>
          <cell r="N413">
            <v>2105.25</v>
          </cell>
          <cell r="O413">
            <v>25888.99</v>
          </cell>
          <cell r="Q413">
            <v>0</v>
          </cell>
          <cell r="R413">
            <v>25888.99</v>
          </cell>
          <cell r="S413">
            <v>986.00999999999897</v>
          </cell>
          <cell r="T413">
            <v>6.8899999999999899</v>
          </cell>
          <cell r="U413">
            <v>25895.88</v>
          </cell>
        </row>
        <row r="414">
          <cell r="A414" t="str">
            <v>PLN   Złoty</v>
          </cell>
          <cell r="E414" t="str">
            <v>KB Sprzed. bezpośrednia</v>
          </cell>
          <cell r="H414">
            <v>25</v>
          </cell>
          <cell r="J414">
            <v>1061.3599999999899</v>
          </cell>
          <cell r="K414">
            <v>334.83999999999901</v>
          </cell>
          <cell r="L414">
            <v>1072.46</v>
          </cell>
          <cell r="M414">
            <v>0</v>
          </cell>
          <cell r="N414">
            <v>1407.3</v>
          </cell>
          <cell r="O414">
            <v>25156.66</v>
          </cell>
          <cell r="Q414">
            <v>0</v>
          </cell>
          <cell r="R414">
            <v>25156.66</v>
          </cell>
          <cell r="S414">
            <v>875.34</v>
          </cell>
          <cell r="T414">
            <v>6.8899999999999899</v>
          </cell>
          <cell r="U414">
            <v>25163.549999999901</v>
          </cell>
        </row>
        <row r="415">
          <cell r="A415" t="str">
            <v>PLN   Złoty</v>
          </cell>
          <cell r="E415" t="str">
            <v>KB Sprzed. bezpośrednia</v>
          </cell>
          <cell r="H415">
            <v>47.5</v>
          </cell>
          <cell r="J415">
            <v>1974.8399999999899</v>
          </cell>
          <cell r="K415">
            <v>636.19000000000005</v>
          </cell>
          <cell r="L415">
            <v>0</v>
          </cell>
          <cell r="M415">
            <v>0</v>
          </cell>
          <cell r="N415">
            <v>636.19000000000005</v>
          </cell>
          <cell r="O415">
            <v>45718.23</v>
          </cell>
          <cell r="Q415">
            <v>0</v>
          </cell>
          <cell r="R415">
            <v>45718.23</v>
          </cell>
          <cell r="S415">
            <v>2719.07</v>
          </cell>
          <cell r="T415">
            <v>13.1</v>
          </cell>
          <cell r="U415">
            <v>45731.33</v>
          </cell>
        </row>
        <row r="416">
          <cell r="A416" t="str">
            <v>PLN   Złoty</v>
          </cell>
          <cell r="E416" t="str">
            <v>KB Sprzed. bezpośrednia</v>
          </cell>
          <cell r="H416">
            <v>24</v>
          </cell>
          <cell r="J416">
            <v>994.74</v>
          </cell>
          <cell r="K416">
            <v>321.44</v>
          </cell>
          <cell r="L416">
            <v>0</v>
          </cell>
          <cell r="M416">
            <v>0</v>
          </cell>
          <cell r="N416">
            <v>321.44</v>
          </cell>
          <cell r="O416">
            <v>23096.66</v>
          </cell>
          <cell r="Q416">
            <v>0</v>
          </cell>
          <cell r="R416">
            <v>23096.66</v>
          </cell>
          <cell r="S416">
            <v>1301.98</v>
          </cell>
          <cell r="T416">
            <v>6.62</v>
          </cell>
          <cell r="U416">
            <v>23103.279999999901</v>
          </cell>
        </row>
        <row r="417">
          <cell r="A417" t="str">
            <v>PLN   Złoty</v>
          </cell>
          <cell r="E417" t="str">
            <v>KB Sprzed. bezpośrednia</v>
          </cell>
          <cell r="H417">
            <v>25</v>
          </cell>
          <cell r="J417">
            <v>1061.3599999999899</v>
          </cell>
          <cell r="K417">
            <v>334.83999999999901</v>
          </cell>
          <cell r="L417">
            <v>1390.18</v>
          </cell>
          <cell r="M417">
            <v>0</v>
          </cell>
          <cell r="N417">
            <v>1725.02</v>
          </cell>
          <cell r="O417">
            <v>25474.38</v>
          </cell>
          <cell r="Q417">
            <v>0</v>
          </cell>
          <cell r="R417">
            <v>25474.38</v>
          </cell>
          <cell r="S417">
            <v>557.62</v>
          </cell>
          <cell r="T417">
            <v>6.8899999999999899</v>
          </cell>
          <cell r="U417">
            <v>25481.27</v>
          </cell>
        </row>
        <row r="418">
          <cell r="A418" t="str">
            <v>PLN   Złoty</v>
          </cell>
          <cell r="E418" t="str">
            <v>KB Sprzed. bezpośrednia</v>
          </cell>
          <cell r="H418">
            <v>203.96</v>
          </cell>
          <cell r="J418">
            <v>8359.9500000000007</v>
          </cell>
          <cell r="K418">
            <v>2731.7199999999898</v>
          </cell>
          <cell r="L418">
            <v>0</v>
          </cell>
          <cell r="M418">
            <v>0</v>
          </cell>
          <cell r="N418">
            <v>2731.7199999999898</v>
          </cell>
          <cell r="O418">
            <v>192259.799999999</v>
          </cell>
          <cell r="Q418">
            <v>0</v>
          </cell>
          <cell r="R418">
            <v>192259.799999999</v>
          </cell>
          <cell r="S418">
            <v>12788.639999999899</v>
          </cell>
          <cell r="T418">
            <v>55.049999999999898</v>
          </cell>
          <cell r="U418">
            <v>192314.85</v>
          </cell>
        </row>
        <row r="419">
          <cell r="A419" t="str">
            <v>PLN   Złoty</v>
          </cell>
          <cell r="E419" t="str">
            <v>KB Sprzed. bezpośrednia</v>
          </cell>
          <cell r="H419">
            <v>109</v>
          </cell>
          <cell r="J419">
            <v>4700.0699999999897</v>
          </cell>
          <cell r="K419">
            <v>1459.89</v>
          </cell>
          <cell r="L419">
            <v>4064.51</v>
          </cell>
          <cell r="M419">
            <v>0</v>
          </cell>
          <cell r="N419">
            <v>5524.3999999999896</v>
          </cell>
          <cell r="O419">
            <v>109144.149999999</v>
          </cell>
          <cell r="Q419">
            <v>0</v>
          </cell>
          <cell r="R419">
            <v>109144.149999999</v>
          </cell>
          <cell r="S419">
            <v>6137.04</v>
          </cell>
          <cell r="T419">
            <v>30.05</v>
          </cell>
          <cell r="U419">
            <v>109174.2</v>
          </cell>
        </row>
        <row r="420">
          <cell r="A420" t="str">
            <v>PLN   Złoty</v>
          </cell>
          <cell r="E420" t="str">
            <v>KB Sprzed. bezpośrednia</v>
          </cell>
          <cell r="H420">
            <v>24</v>
          </cell>
          <cell r="J420">
            <v>994.74</v>
          </cell>
          <cell r="K420">
            <v>321.44</v>
          </cell>
          <cell r="L420">
            <v>0</v>
          </cell>
          <cell r="M420">
            <v>0</v>
          </cell>
          <cell r="N420">
            <v>321.44</v>
          </cell>
          <cell r="O420">
            <v>23743.54</v>
          </cell>
          <cell r="Q420">
            <v>0</v>
          </cell>
          <cell r="R420">
            <v>23743.54</v>
          </cell>
          <cell r="S420">
            <v>655.1</v>
          </cell>
          <cell r="T420">
            <v>6.82</v>
          </cell>
          <cell r="U420">
            <v>23750.36</v>
          </cell>
        </row>
        <row r="421">
          <cell r="A421" t="str">
            <v>PLN   Złoty</v>
          </cell>
          <cell r="E421" t="str">
            <v>KB Sprzed. bezpośrednia</v>
          </cell>
          <cell r="H421">
            <v>24</v>
          </cell>
          <cell r="J421">
            <v>1020.2</v>
          </cell>
          <cell r="K421">
            <v>321.44</v>
          </cell>
          <cell r="L421">
            <v>0</v>
          </cell>
          <cell r="M421">
            <v>0</v>
          </cell>
          <cell r="N421">
            <v>321.44</v>
          </cell>
          <cell r="O421">
            <v>23122.119999999901</v>
          </cell>
          <cell r="Q421">
            <v>0</v>
          </cell>
          <cell r="R421">
            <v>23122.119999999901</v>
          </cell>
          <cell r="S421">
            <v>1901.48</v>
          </cell>
          <cell r="T421">
            <v>6.62</v>
          </cell>
          <cell r="U421">
            <v>23128.74</v>
          </cell>
        </row>
        <row r="422">
          <cell r="A422" t="str">
            <v>PLN   Złoty</v>
          </cell>
          <cell r="E422" t="str">
            <v>KB Sprzed. bezpośrednia</v>
          </cell>
          <cell r="H422">
            <v>48</v>
          </cell>
          <cell r="J422">
            <v>2091.15</v>
          </cell>
          <cell r="K422">
            <v>642.88</v>
          </cell>
          <cell r="L422">
            <v>2212.8000000000002</v>
          </cell>
          <cell r="M422">
            <v>0</v>
          </cell>
          <cell r="N422">
            <v>2855.6799999999898</v>
          </cell>
          <cell r="O422">
            <v>48507.79</v>
          </cell>
          <cell r="Q422">
            <v>0</v>
          </cell>
          <cell r="R422">
            <v>48507.79</v>
          </cell>
          <cell r="S422">
            <v>2782.61</v>
          </cell>
          <cell r="T422">
            <v>13.24</v>
          </cell>
          <cell r="U422">
            <v>48521.029999999897</v>
          </cell>
        </row>
        <row r="423">
          <cell r="A423" t="str">
            <v>PLN   Złoty</v>
          </cell>
          <cell r="E423" t="str">
            <v>KB Sprzed. bezpośrednia</v>
          </cell>
          <cell r="H423">
            <v>25</v>
          </cell>
          <cell r="J423">
            <v>1061.3599999999899</v>
          </cell>
          <cell r="K423">
            <v>334.83999999999901</v>
          </cell>
          <cell r="L423">
            <v>1265.5</v>
          </cell>
          <cell r="M423">
            <v>0</v>
          </cell>
          <cell r="N423">
            <v>1600.3399999999899</v>
          </cell>
          <cell r="O423">
            <v>25349.7</v>
          </cell>
          <cell r="Q423">
            <v>0</v>
          </cell>
          <cell r="R423">
            <v>25349.7</v>
          </cell>
          <cell r="S423">
            <v>682.29999999999905</v>
          </cell>
          <cell r="T423">
            <v>6.8899999999999899</v>
          </cell>
          <cell r="U423">
            <v>25356.59</v>
          </cell>
        </row>
        <row r="424">
          <cell r="A424" t="str">
            <v>PLN   Złoty</v>
          </cell>
          <cell r="E424" t="str">
            <v>KB Sprzed. bezpośrednia</v>
          </cell>
          <cell r="H424">
            <v>24</v>
          </cell>
          <cell r="J424">
            <v>1068.2</v>
          </cell>
          <cell r="K424">
            <v>321.44</v>
          </cell>
          <cell r="L424">
            <v>1335.1199999999899</v>
          </cell>
          <cell r="M424">
            <v>0</v>
          </cell>
          <cell r="N424">
            <v>1656.5599999999899</v>
          </cell>
          <cell r="O424">
            <v>24505.24</v>
          </cell>
          <cell r="Q424">
            <v>0</v>
          </cell>
          <cell r="R424">
            <v>24505.24</v>
          </cell>
          <cell r="S424">
            <v>1696.04</v>
          </cell>
          <cell r="T424">
            <v>6.62</v>
          </cell>
          <cell r="U424">
            <v>24511.86</v>
          </cell>
        </row>
        <row r="425">
          <cell r="A425" t="str">
            <v>PLN   Złoty</v>
          </cell>
          <cell r="E425" t="str">
            <v>KB Sprzed. bezpośrednia</v>
          </cell>
          <cell r="H425">
            <v>563.41999999999905</v>
          </cell>
          <cell r="J425">
            <v>23097.549999999901</v>
          </cell>
          <cell r="K425">
            <v>7546.13</v>
          </cell>
          <cell r="L425">
            <v>0</v>
          </cell>
          <cell r="M425">
            <v>0</v>
          </cell>
          <cell r="N425">
            <v>7546.13</v>
          </cell>
          <cell r="O425">
            <v>531103.28</v>
          </cell>
          <cell r="Q425">
            <v>0</v>
          </cell>
          <cell r="R425">
            <v>531103.28</v>
          </cell>
          <cell r="S425">
            <v>35420.919999999896</v>
          </cell>
          <cell r="T425">
            <v>152.05000000000001</v>
          </cell>
          <cell r="U425">
            <v>531255.32999999903</v>
          </cell>
        </row>
        <row r="426">
          <cell r="A426" t="str">
            <v>PLN   Złoty</v>
          </cell>
          <cell r="E426" t="str">
            <v>KB Sprzed. bezpośrednia</v>
          </cell>
          <cell r="H426">
            <v>361</v>
          </cell>
          <cell r="J426">
            <v>15470.309999999899</v>
          </cell>
          <cell r="K426">
            <v>4835.0299999999897</v>
          </cell>
          <cell r="L426">
            <v>9513.75</v>
          </cell>
          <cell r="M426">
            <v>0</v>
          </cell>
          <cell r="N426">
            <v>14348.78</v>
          </cell>
          <cell r="O426">
            <v>357433.81</v>
          </cell>
          <cell r="Q426">
            <v>0</v>
          </cell>
          <cell r="R426">
            <v>357433.81</v>
          </cell>
          <cell r="S426">
            <v>22014.66</v>
          </cell>
          <cell r="T426">
            <v>99.54</v>
          </cell>
          <cell r="U426">
            <v>357533.34999999899</v>
          </cell>
        </row>
        <row r="427">
          <cell r="A427" t="str">
            <v>PLN   Złoty</v>
          </cell>
          <cell r="E427" t="str">
            <v>KB Sprzed. bezpośrednia</v>
          </cell>
          <cell r="H427">
            <v>396</v>
          </cell>
          <cell r="J427">
            <v>16819</v>
          </cell>
          <cell r="K427">
            <v>5303.8</v>
          </cell>
          <cell r="L427">
            <v>5678.88</v>
          </cell>
          <cell r="M427">
            <v>0</v>
          </cell>
          <cell r="N427">
            <v>10982.68</v>
          </cell>
          <cell r="O427">
            <v>399257.34</v>
          </cell>
          <cell r="Q427">
            <v>0</v>
          </cell>
          <cell r="R427">
            <v>399257.34</v>
          </cell>
          <cell r="S427">
            <v>13268.73</v>
          </cell>
          <cell r="T427">
            <v>112.86</v>
          </cell>
          <cell r="U427">
            <v>399370.2</v>
          </cell>
        </row>
        <row r="428">
          <cell r="A428" t="str">
            <v>PLN   Złoty</v>
          </cell>
          <cell r="E428" t="str">
            <v>KB Sprzed. bezpośrednia</v>
          </cell>
          <cell r="H428">
            <v>196</v>
          </cell>
          <cell r="J428">
            <v>8387.75</v>
          </cell>
          <cell r="K428">
            <v>2625.11</v>
          </cell>
          <cell r="L428">
            <v>12442.6</v>
          </cell>
          <cell r="M428">
            <v>0</v>
          </cell>
          <cell r="N428">
            <v>15067.709999999901</v>
          </cell>
          <cell r="O428">
            <v>201329.38</v>
          </cell>
          <cell r="Q428">
            <v>0</v>
          </cell>
          <cell r="R428">
            <v>201329.38</v>
          </cell>
          <cell r="S428">
            <v>4401.13</v>
          </cell>
          <cell r="T428">
            <v>54.0399999999999</v>
          </cell>
          <cell r="U428">
            <v>201383.42</v>
          </cell>
        </row>
        <row r="429">
          <cell r="A429" t="str">
            <v>PLN   Złoty</v>
          </cell>
          <cell r="E429" t="str">
            <v>KB Sprzed. bezpośrednia</v>
          </cell>
          <cell r="H429">
            <v>98</v>
          </cell>
          <cell r="J429">
            <v>4248.3299999999899</v>
          </cell>
          <cell r="K429">
            <v>1312.5599999999899</v>
          </cell>
          <cell r="L429">
            <v>6483.84</v>
          </cell>
          <cell r="M429">
            <v>0</v>
          </cell>
          <cell r="N429">
            <v>7796.3999999999896</v>
          </cell>
          <cell r="O429">
            <v>100981.69</v>
          </cell>
          <cell r="Q429">
            <v>0</v>
          </cell>
          <cell r="R429">
            <v>100981.69</v>
          </cell>
          <cell r="S429">
            <v>3218.98</v>
          </cell>
          <cell r="T429">
            <v>27.03</v>
          </cell>
          <cell r="U429">
            <v>101008.72</v>
          </cell>
        </row>
        <row r="430">
          <cell r="A430" t="str">
            <v>PLN   Złoty</v>
          </cell>
          <cell r="E430" t="str">
            <v>KB Sprzed. bezpośrednia</v>
          </cell>
          <cell r="H430">
            <v>54.219999999999899</v>
          </cell>
          <cell r="J430">
            <v>2330.75</v>
          </cell>
          <cell r="K430">
            <v>726.19</v>
          </cell>
          <cell r="L430">
            <v>3431.59</v>
          </cell>
          <cell r="M430">
            <v>0</v>
          </cell>
          <cell r="N430">
            <v>4157.7799999999897</v>
          </cell>
          <cell r="O430">
            <v>54649.61</v>
          </cell>
          <cell r="Q430">
            <v>0</v>
          </cell>
          <cell r="R430">
            <v>54649.61</v>
          </cell>
          <cell r="S430">
            <v>2517.2399999999898</v>
          </cell>
          <cell r="T430">
            <v>14.64</v>
          </cell>
          <cell r="U430">
            <v>54664.25</v>
          </cell>
        </row>
        <row r="431">
          <cell r="A431" t="str">
            <v>PLN   Złoty</v>
          </cell>
          <cell r="E431" t="str">
            <v>KB Sprzed. bezpośrednia</v>
          </cell>
          <cell r="H431">
            <v>65</v>
          </cell>
          <cell r="J431">
            <v>2796.8899999999899</v>
          </cell>
          <cell r="K431">
            <v>870.58</v>
          </cell>
          <cell r="L431">
            <v>2367.84</v>
          </cell>
          <cell r="M431">
            <v>0</v>
          </cell>
          <cell r="N431">
            <v>3238.42</v>
          </cell>
          <cell r="O431">
            <v>65024.11</v>
          </cell>
          <cell r="Q431">
            <v>0</v>
          </cell>
          <cell r="R431">
            <v>65024.11</v>
          </cell>
          <cell r="S431">
            <v>3576.8299999999899</v>
          </cell>
          <cell r="T431">
            <v>17.920000000000002</v>
          </cell>
          <cell r="U431">
            <v>65042.029999999897</v>
          </cell>
        </row>
        <row r="432">
          <cell r="A432" t="str">
            <v>PLN   Złoty</v>
          </cell>
          <cell r="E432" t="str">
            <v>KB Sprzed. bezpośrednia</v>
          </cell>
          <cell r="H432">
            <v>72</v>
          </cell>
          <cell r="J432">
            <v>3114.6399999999899</v>
          </cell>
          <cell r="K432">
            <v>964.32</v>
          </cell>
          <cell r="L432">
            <v>3602.88</v>
          </cell>
          <cell r="M432">
            <v>0</v>
          </cell>
          <cell r="N432">
            <v>4567.1999999999898</v>
          </cell>
          <cell r="O432">
            <v>74963.919999999896</v>
          </cell>
          <cell r="Q432">
            <v>0</v>
          </cell>
          <cell r="R432">
            <v>74963.919999999896</v>
          </cell>
          <cell r="S432">
            <v>1430.24</v>
          </cell>
          <cell r="T432">
            <v>20.4499999999999</v>
          </cell>
          <cell r="U432">
            <v>74984.369999999893</v>
          </cell>
        </row>
        <row r="433">
          <cell r="A433" t="str">
            <v>PLN   Złoty</v>
          </cell>
          <cell r="E433" t="str">
            <v>KB Sprzed. bezpośrednia</v>
          </cell>
          <cell r="H433">
            <v>180</v>
          </cell>
          <cell r="J433">
            <v>7960.8599999999897</v>
          </cell>
          <cell r="K433">
            <v>2410.8200000000002</v>
          </cell>
          <cell r="L433">
            <v>13277.52</v>
          </cell>
          <cell r="M433">
            <v>0</v>
          </cell>
          <cell r="N433">
            <v>15688.34</v>
          </cell>
          <cell r="O433">
            <v>187002.799999999</v>
          </cell>
          <cell r="Q433">
            <v>0</v>
          </cell>
          <cell r="R433">
            <v>187002.799999999</v>
          </cell>
          <cell r="S433">
            <v>8256.0400000000009</v>
          </cell>
          <cell r="T433">
            <v>49.63</v>
          </cell>
          <cell r="U433">
            <v>187052.429999999</v>
          </cell>
        </row>
        <row r="434">
          <cell r="A434" t="str">
            <v>PLN   Złoty</v>
          </cell>
          <cell r="E434" t="str">
            <v>KB Sprzed. bezpośrednia</v>
          </cell>
          <cell r="H434">
            <v>24</v>
          </cell>
          <cell r="J434">
            <v>1019.46</v>
          </cell>
          <cell r="K434">
            <v>321.44</v>
          </cell>
          <cell r="L434">
            <v>1419.1199999999899</v>
          </cell>
          <cell r="M434">
            <v>0</v>
          </cell>
          <cell r="N434">
            <v>1740.5599999999899</v>
          </cell>
          <cell r="O434">
            <v>25187.389999999901</v>
          </cell>
          <cell r="Q434">
            <v>0</v>
          </cell>
          <cell r="R434">
            <v>25187.389999999901</v>
          </cell>
          <cell r="S434">
            <v>-182.509999999999</v>
          </cell>
          <cell r="T434">
            <v>6.82</v>
          </cell>
          <cell r="U434">
            <v>25194.209999999901</v>
          </cell>
        </row>
        <row r="435">
          <cell r="A435" t="str">
            <v>PLN   Złoty</v>
          </cell>
          <cell r="E435" t="str">
            <v>KB Sprzed. bezpośrednia</v>
          </cell>
          <cell r="H435">
            <v>24</v>
          </cell>
          <cell r="J435">
            <v>1044.51</v>
          </cell>
          <cell r="K435">
            <v>321.44</v>
          </cell>
          <cell r="L435">
            <v>856.79999999999905</v>
          </cell>
          <cell r="M435">
            <v>0</v>
          </cell>
          <cell r="N435">
            <v>1178.24</v>
          </cell>
          <cell r="O435">
            <v>24650.11</v>
          </cell>
          <cell r="Q435">
            <v>0</v>
          </cell>
          <cell r="R435">
            <v>24650.11</v>
          </cell>
          <cell r="S435">
            <v>969.40999999999894</v>
          </cell>
          <cell r="T435">
            <v>6.82</v>
          </cell>
          <cell r="U435">
            <v>24656.93</v>
          </cell>
        </row>
        <row r="436">
          <cell r="A436" t="str">
            <v>PLN   Złoty</v>
          </cell>
          <cell r="E436" t="str">
            <v>KB Sprzed. bezpośrednia</v>
          </cell>
          <cell r="H436">
            <v>50.979999999999897</v>
          </cell>
          <cell r="J436">
            <v>2066</v>
          </cell>
          <cell r="K436">
            <v>682.79999999999905</v>
          </cell>
          <cell r="L436">
            <v>0</v>
          </cell>
          <cell r="M436">
            <v>0</v>
          </cell>
          <cell r="N436">
            <v>682.79999999999905</v>
          </cell>
          <cell r="O436">
            <v>48031.949999999903</v>
          </cell>
          <cell r="Q436">
            <v>0</v>
          </cell>
          <cell r="R436">
            <v>48031.949999999903</v>
          </cell>
          <cell r="S436">
            <v>2642.17</v>
          </cell>
          <cell r="T436">
            <v>13.76</v>
          </cell>
          <cell r="U436">
            <v>48045.709999999897</v>
          </cell>
        </row>
        <row r="437">
          <cell r="A437" t="str">
            <v>PLN   Złoty</v>
          </cell>
          <cell r="E437" t="str">
            <v>KB Sprzed. bezpośrednia</v>
          </cell>
          <cell r="H437">
            <v>96</v>
          </cell>
          <cell r="J437">
            <v>4080</v>
          </cell>
          <cell r="K437">
            <v>1285.77</v>
          </cell>
          <cell r="L437">
            <v>2423.04</v>
          </cell>
          <cell r="M437">
            <v>0</v>
          </cell>
          <cell r="N437">
            <v>3708.8099999999899</v>
          </cell>
          <cell r="O437">
            <v>94910.729999999894</v>
          </cell>
          <cell r="Q437">
            <v>0</v>
          </cell>
          <cell r="R437">
            <v>94910.729999999894</v>
          </cell>
          <cell r="S437">
            <v>5162.0699999999897</v>
          </cell>
          <cell r="T437">
            <v>26.469999999999899</v>
          </cell>
          <cell r="U437">
            <v>94937.199999999895</v>
          </cell>
        </row>
        <row r="438">
          <cell r="A438" t="str">
            <v>PLN   Złoty</v>
          </cell>
          <cell r="E438" t="str">
            <v>KB Sprzed. bezpośrednia</v>
          </cell>
          <cell r="H438">
            <v>24</v>
          </cell>
          <cell r="J438">
            <v>1060.77</v>
          </cell>
          <cell r="K438">
            <v>321.44</v>
          </cell>
          <cell r="L438">
            <v>1684.5599999999899</v>
          </cell>
          <cell r="M438">
            <v>0</v>
          </cell>
          <cell r="N438">
            <v>2006</v>
          </cell>
          <cell r="O438">
            <v>25494.13</v>
          </cell>
          <cell r="Q438">
            <v>0</v>
          </cell>
          <cell r="R438">
            <v>25494.13</v>
          </cell>
          <cell r="S438">
            <v>523.07000000000005</v>
          </cell>
          <cell r="T438">
            <v>6.82</v>
          </cell>
          <cell r="U438">
            <v>25500.95</v>
          </cell>
        </row>
        <row r="439">
          <cell r="A439" t="str">
            <v>PLN   Złoty</v>
          </cell>
          <cell r="E439" t="str">
            <v>KB Sprzed. bezpośrednia</v>
          </cell>
          <cell r="H439">
            <v>683.55999999999904</v>
          </cell>
          <cell r="J439">
            <v>28494.59</v>
          </cell>
          <cell r="K439">
            <v>9155.2000000000007</v>
          </cell>
          <cell r="L439">
            <v>10862.16</v>
          </cell>
          <cell r="M439">
            <v>0</v>
          </cell>
          <cell r="N439">
            <v>20017.36</v>
          </cell>
          <cell r="O439">
            <v>655686.28</v>
          </cell>
          <cell r="Q439">
            <v>0</v>
          </cell>
          <cell r="R439">
            <v>655686.28</v>
          </cell>
          <cell r="S439">
            <v>43213.419999999896</v>
          </cell>
          <cell r="T439">
            <v>184.479999999999</v>
          </cell>
          <cell r="U439">
            <v>655870.76</v>
          </cell>
        </row>
        <row r="440">
          <cell r="A440" t="str">
            <v>PLN   Złoty</v>
          </cell>
          <cell r="E440" t="str">
            <v>KB Sprzed. bezpośrednia</v>
          </cell>
          <cell r="H440">
            <v>288</v>
          </cell>
          <cell r="J440">
            <v>12519.33</v>
          </cell>
          <cell r="K440">
            <v>3857.3099999999899</v>
          </cell>
          <cell r="L440">
            <v>10207.370000000001</v>
          </cell>
          <cell r="M440">
            <v>0</v>
          </cell>
          <cell r="N440">
            <v>14064.68</v>
          </cell>
          <cell r="O440">
            <v>287949.77</v>
          </cell>
          <cell r="Q440">
            <v>0</v>
          </cell>
          <cell r="R440">
            <v>287949.77</v>
          </cell>
          <cell r="S440">
            <v>19118.47</v>
          </cell>
          <cell r="T440">
            <v>79.409999999999897</v>
          </cell>
          <cell r="U440">
            <v>288029.179999999</v>
          </cell>
        </row>
        <row r="441">
          <cell r="A441" t="str">
            <v>PLN   Złoty</v>
          </cell>
          <cell r="E441" t="str">
            <v>KB Sprzed. bezpośrednia</v>
          </cell>
          <cell r="H441">
            <v>454.5</v>
          </cell>
          <cell r="J441">
            <v>19630.0099999999</v>
          </cell>
          <cell r="K441">
            <v>6087.31</v>
          </cell>
          <cell r="L441">
            <v>17658.959999999901</v>
          </cell>
          <cell r="M441">
            <v>0</v>
          </cell>
          <cell r="N441">
            <v>23746.27</v>
          </cell>
          <cell r="O441">
            <v>468094.40999999898</v>
          </cell>
          <cell r="Q441">
            <v>0</v>
          </cell>
          <cell r="R441">
            <v>468094.40999999898</v>
          </cell>
          <cell r="S441">
            <v>13379.94</v>
          </cell>
          <cell r="T441">
            <v>129.05000000000001</v>
          </cell>
          <cell r="U441">
            <v>468223.46</v>
          </cell>
        </row>
        <row r="442">
          <cell r="A442" t="str">
            <v>PLN   Złoty</v>
          </cell>
          <cell r="E442" t="str">
            <v>KB Sprzed. bezpośrednia</v>
          </cell>
          <cell r="H442">
            <v>0</v>
          </cell>
          <cell r="J442">
            <v>-7.4199999999999902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-7.4199999999999902</v>
          </cell>
          <cell r="Q442">
            <v>0</v>
          </cell>
          <cell r="R442">
            <v>-7.4199999999999902</v>
          </cell>
          <cell r="S442">
            <v>-174.58</v>
          </cell>
          <cell r="T442">
            <v>0</v>
          </cell>
          <cell r="U442">
            <v>-7.4199999999999902</v>
          </cell>
        </row>
        <row r="443">
          <cell r="A443" t="str">
            <v>PLN   Złoty</v>
          </cell>
          <cell r="E443" t="str">
            <v>KB Sprzed. bezpośrednia</v>
          </cell>
          <cell r="H443">
            <v>74</v>
          </cell>
          <cell r="J443">
            <v>3232.82</v>
          </cell>
          <cell r="K443">
            <v>991.12</v>
          </cell>
          <cell r="L443">
            <v>4384.5799999999899</v>
          </cell>
          <cell r="M443">
            <v>0</v>
          </cell>
          <cell r="N443">
            <v>5375.6999999999898</v>
          </cell>
          <cell r="O443">
            <v>75765</v>
          </cell>
          <cell r="Q443">
            <v>0</v>
          </cell>
          <cell r="R443">
            <v>75765</v>
          </cell>
          <cell r="S443">
            <v>3528.03</v>
          </cell>
          <cell r="T443">
            <v>20.399999999999899</v>
          </cell>
          <cell r="U443">
            <v>75785.399999999907</v>
          </cell>
        </row>
        <row r="444">
          <cell r="A444" t="str">
            <v>PLN   Złoty</v>
          </cell>
          <cell r="E444" t="str">
            <v>KB Sprzed. bezpośrednia</v>
          </cell>
          <cell r="H444">
            <v>48</v>
          </cell>
          <cell r="J444">
            <v>2124.67</v>
          </cell>
          <cell r="K444">
            <v>642.88</v>
          </cell>
          <cell r="L444">
            <v>3884.88</v>
          </cell>
          <cell r="M444">
            <v>0</v>
          </cell>
          <cell r="N444">
            <v>4527.76</v>
          </cell>
          <cell r="O444">
            <v>50213.389999999898</v>
          </cell>
          <cell r="Q444">
            <v>0</v>
          </cell>
          <cell r="R444">
            <v>50213.389999999898</v>
          </cell>
          <cell r="S444">
            <v>1899.97</v>
          </cell>
          <cell r="T444">
            <v>13.24</v>
          </cell>
          <cell r="U444">
            <v>50226.629999999903</v>
          </cell>
        </row>
        <row r="445">
          <cell r="A445" t="str">
            <v>PLN   Złoty</v>
          </cell>
          <cell r="E445" t="str">
            <v>KB Sprzed. bezpośrednia</v>
          </cell>
          <cell r="H445">
            <v>72</v>
          </cell>
          <cell r="J445">
            <v>3137.1599999999899</v>
          </cell>
          <cell r="K445">
            <v>964.32</v>
          </cell>
          <cell r="L445">
            <v>6061.4399999999896</v>
          </cell>
          <cell r="M445">
            <v>0</v>
          </cell>
          <cell r="N445">
            <v>7025.76</v>
          </cell>
          <cell r="O445">
            <v>77445</v>
          </cell>
          <cell r="Q445">
            <v>0</v>
          </cell>
          <cell r="R445">
            <v>77445</v>
          </cell>
          <cell r="S445">
            <v>-498.36</v>
          </cell>
          <cell r="T445">
            <v>20.4499999999999</v>
          </cell>
          <cell r="U445">
            <v>77465.449999999895</v>
          </cell>
        </row>
        <row r="446">
          <cell r="A446" t="str">
            <v>PLN   Złoty</v>
          </cell>
          <cell r="E446" t="str">
            <v>KB Sprzed. bezpośrednia</v>
          </cell>
          <cell r="H446">
            <v>24</v>
          </cell>
          <cell r="J446">
            <v>1044.51</v>
          </cell>
          <cell r="K446">
            <v>321.44</v>
          </cell>
          <cell r="L446">
            <v>1484.88</v>
          </cell>
          <cell r="M446">
            <v>0</v>
          </cell>
          <cell r="N446">
            <v>1806.3199999999899</v>
          </cell>
          <cell r="O446">
            <v>24631.31</v>
          </cell>
          <cell r="Q446">
            <v>0</v>
          </cell>
          <cell r="R446">
            <v>24631.31</v>
          </cell>
          <cell r="S446">
            <v>988.21</v>
          </cell>
          <cell r="T446">
            <v>6.62</v>
          </cell>
          <cell r="U446">
            <v>24637.93</v>
          </cell>
        </row>
        <row r="447">
          <cell r="A447" t="str">
            <v>PLN   Złoty</v>
          </cell>
          <cell r="E447" t="str">
            <v>KB Sprzed. bezpośrednia</v>
          </cell>
          <cell r="H447">
            <v>53.92</v>
          </cell>
          <cell r="J447">
            <v>2267.3899999999899</v>
          </cell>
          <cell r="K447">
            <v>722.17999999999904</v>
          </cell>
          <cell r="L447">
            <v>3099.86</v>
          </cell>
          <cell r="M447">
            <v>0</v>
          </cell>
          <cell r="N447">
            <v>3822.04</v>
          </cell>
          <cell r="O447">
            <v>53984.05</v>
          </cell>
          <cell r="Q447">
            <v>0</v>
          </cell>
          <cell r="R447">
            <v>53984.05</v>
          </cell>
          <cell r="S447">
            <v>1630.1099999999899</v>
          </cell>
          <cell r="T447">
            <v>14.55</v>
          </cell>
          <cell r="U447">
            <v>53998.599999999897</v>
          </cell>
        </row>
        <row r="448">
          <cell r="A448" t="str">
            <v>PLN   Złoty</v>
          </cell>
          <cell r="E448" t="str">
            <v>KB Sprzed. bezpośrednia</v>
          </cell>
          <cell r="H448">
            <v>24</v>
          </cell>
          <cell r="J448">
            <v>1038.22</v>
          </cell>
          <cell r="K448">
            <v>321.44</v>
          </cell>
          <cell r="L448">
            <v>1114.3199999999899</v>
          </cell>
          <cell r="M448">
            <v>0</v>
          </cell>
          <cell r="N448">
            <v>1435.76</v>
          </cell>
          <cell r="O448">
            <v>24254.459999999901</v>
          </cell>
          <cell r="Q448">
            <v>0</v>
          </cell>
          <cell r="R448">
            <v>24254.459999999901</v>
          </cell>
          <cell r="S448">
            <v>1210.26</v>
          </cell>
          <cell r="T448">
            <v>6.62</v>
          </cell>
          <cell r="U448">
            <v>24261.08</v>
          </cell>
        </row>
        <row r="449">
          <cell r="A449" t="str">
            <v>PLN   Złoty</v>
          </cell>
          <cell r="E449" t="str">
            <v>KB Sprzed. bezpośrednia</v>
          </cell>
          <cell r="H449">
            <v>57</v>
          </cell>
          <cell r="J449">
            <v>2480.71</v>
          </cell>
          <cell r="K449">
            <v>763.42999999999904</v>
          </cell>
          <cell r="L449">
            <v>4194.8599999999897</v>
          </cell>
          <cell r="M449">
            <v>0</v>
          </cell>
          <cell r="N449">
            <v>4958.29</v>
          </cell>
          <cell r="O449">
            <v>59167.629999999903</v>
          </cell>
          <cell r="Q449">
            <v>0</v>
          </cell>
          <cell r="R449">
            <v>59167.629999999903</v>
          </cell>
          <cell r="S449">
            <v>1678.16</v>
          </cell>
          <cell r="T449">
            <v>15.71</v>
          </cell>
          <cell r="U449">
            <v>59183.339999999902</v>
          </cell>
        </row>
        <row r="450">
          <cell r="A450" t="str">
            <v>PLN   Złoty</v>
          </cell>
          <cell r="E450" t="str">
            <v>KB Sprzed. bezpośrednia</v>
          </cell>
          <cell r="H450">
            <v>24</v>
          </cell>
          <cell r="J450">
            <v>796.72</v>
          </cell>
          <cell r="K450">
            <v>296.06</v>
          </cell>
          <cell r="L450">
            <v>1931.52</v>
          </cell>
          <cell r="M450">
            <v>0</v>
          </cell>
          <cell r="N450">
            <v>2227.5799999999899</v>
          </cell>
          <cell r="O450">
            <v>16147.02</v>
          </cell>
          <cell r="Q450">
            <v>0</v>
          </cell>
          <cell r="R450">
            <v>16147.02</v>
          </cell>
          <cell r="S450">
            <v>3395.6999999999898</v>
          </cell>
          <cell r="T450">
            <v>3.98</v>
          </cell>
          <cell r="U450">
            <v>16151</v>
          </cell>
        </row>
        <row r="451">
          <cell r="A451" t="str">
            <v>PLN   Złoty</v>
          </cell>
          <cell r="E451" t="str">
            <v>KB Sprzed. bezpośrednia</v>
          </cell>
          <cell r="H451">
            <v>48</v>
          </cell>
          <cell r="J451">
            <v>1593.5699999999899</v>
          </cell>
          <cell r="K451">
            <v>592.12</v>
          </cell>
          <cell r="L451">
            <v>4047.36</v>
          </cell>
          <cell r="M451">
            <v>0</v>
          </cell>
          <cell r="N451">
            <v>4639.4799999999896</v>
          </cell>
          <cell r="O451">
            <v>32478.49</v>
          </cell>
          <cell r="Q451">
            <v>0</v>
          </cell>
          <cell r="R451">
            <v>32478.49</v>
          </cell>
          <cell r="S451">
            <v>6606.9499999999898</v>
          </cell>
          <cell r="T451">
            <v>7.96999999999999</v>
          </cell>
          <cell r="U451">
            <v>32486.459999999901</v>
          </cell>
        </row>
        <row r="452">
          <cell r="A452" t="str">
            <v>PLN   Złoty</v>
          </cell>
          <cell r="E452" t="str">
            <v>KB Sprzed. bezpośrednia</v>
          </cell>
          <cell r="H452">
            <v>24</v>
          </cell>
          <cell r="J452">
            <v>796.72</v>
          </cell>
          <cell r="K452">
            <v>296.06</v>
          </cell>
          <cell r="L452">
            <v>1590</v>
          </cell>
          <cell r="M452">
            <v>0</v>
          </cell>
          <cell r="N452">
            <v>1886.0599999999899</v>
          </cell>
          <cell r="O452">
            <v>15805.5</v>
          </cell>
          <cell r="Q452">
            <v>0</v>
          </cell>
          <cell r="R452">
            <v>15805.5</v>
          </cell>
          <cell r="S452">
            <v>3737.2199999999898</v>
          </cell>
          <cell r="T452">
            <v>3.98</v>
          </cell>
          <cell r="U452">
            <v>15809.48</v>
          </cell>
        </row>
        <row r="453">
          <cell r="A453" t="str">
            <v>PLN   Złoty</v>
          </cell>
          <cell r="E453" t="str">
            <v>KB Sprzed. bezpośrednia</v>
          </cell>
          <cell r="H453">
            <v>24</v>
          </cell>
          <cell r="J453">
            <v>802.45</v>
          </cell>
          <cell r="K453">
            <v>296.06</v>
          </cell>
          <cell r="L453">
            <v>1931.52</v>
          </cell>
          <cell r="M453">
            <v>0</v>
          </cell>
          <cell r="N453">
            <v>2227.5799999999899</v>
          </cell>
          <cell r="O453">
            <v>16152.75</v>
          </cell>
          <cell r="Q453">
            <v>0</v>
          </cell>
          <cell r="R453">
            <v>16152.75</v>
          </cell>
          <cell r="S453">
            <v>3528.4499999999898</v>
          </cell>
          <cell r="T453">
            <v>3.98</v>
          </cell>
          <cell r="U453">
            <v>16156.73</v>
          </cell>
        </row>
        <row r="454">
          <cell r="A454" t="str">
            <v>PLN   Złoty</v>
          </cell>
          <cell r="E454" t="str">
            <v>KB Sprzed. bezpośrednia</v>
          </cell>
          <cell r="H454">
            <v>24</v>
          </cell>
          <cell r="J454">
            <v>802.45</v>
          </cell>
          <cell r="K454">
            <v>296.06</v>
          </cell>
          <cell r="L454">
            <v>2076.2399999999898</v>
          </cell>
          <cell r="M454">
            <v>0</v>
          </cell>
          <cell r="N454">
            <v>2372.3000000000002</v>
          </cell>
          <cell r="O454">
            <v>16297.469999999899</v>
          </cell>
          <cell r="Q454">
            <v>0</v>
          </cell>
          <cell r="R454">
            <v>16297.469999999899</v>
          </cell>
          <cell r="S454">
            <v>3383.73</v>
          </cell>
          <cell r="T454">
            <v>3.98</v>
          </cell>
          <cell r="U454">
            <v>16301.45</v>
          </cell>
        </row>
        <row r="455">
          <cell r="A455" t="str">
            <v>PLN   Złoty</v>
          </cell>
          <cell r="E455" t="str">
            <v>KB Sprzed. bezpośrednia</v>
          </cell>
          <cell r="H455">
            <v>57</v>
          </cell>
          <cell r="J455">
            <v>1859.54</v>
          </cell>
          <cell r="K455">
            <v>703.14999999999895</v>
          </cell>
          <cell r="L455">
            <v>3919.9699999999898</v>
          </cell>
          <cell r="M455">
            <v>0</v>
          </cell>
          <cell r="N455">
            <v>4623.1199999999899</v>
          </cell>
          <cell r="O455">
            <v>37649.11</v>
          </cell>
          <cell r="Q455">
            <v>0</v>
          </cell>
          <cell r="R455">
            <v>37649.11</v>
          </cell>
          <cell r="S455">
            <v>7960.5799999999899</v>
          </cell>
          <cell r="T455">
            <v>9.4700000000000006</v>
          </cell>
          <cell r="U455">
            <v>37658.58</v>
          </cell>
        </row>
        <row r="456">
          <cell r="A456" t="str">
            <v>PLN   Złoty</v>
          </cell>
          <cell r="E456" t="str">
            <v>KB Sprzed. bezpośrednia</v>
          </cell>
          <cell r="H456">
            <v>24</v>
          </cell>
          <cell r="J456">
            <v>796.72</v>
          </cell>
          <cell r="K456">
            <v>296.06</v>
          </cell>
          <cell r="L456">
            <v>1815.8399999999899</v>
          </cell>
          <cell r="M456">
            <v>0</v>
          </cell>
          <cell r="N456">
            <v>2111.9</v>
          </cell>
          <cell r="O456">
            <v>16031.34</v>
          </cell>
          <cell r="Q456">
            <v>0</v>
          </cell>
          <cell r="R456">
            <v>16031.34</v>
          </cell>
          <cell r="S456">
            <v>3511.38</v>
          </cell>
          <cell r="T456">
            <v>3.98</v>
          </cell>
          <cell r="U456">
            <v>16035.32</v>
          </cell>
        </row>
        <row r="457">
          <cell r="A457" t="str">
            <v>PLN   Złoty</v>
          </cell>
          <cell r="E457" t="str">
            <v>KB Sprzed. bezpośrednia</v>
          </cell>
          <cell r="H457">
            <v>48</v>
          </cell>
          <cell r="J457">
            <v>1569.27</v>
          </cell>
          <cell r="K457">
            <v>592.12</v>
          </cell>
          <cell r="L457">
            <v>1529.28</v>
          </cell>
          <cell r="M457">
            <v>0</v>
          </cell>
          <cell r="N457">
            <v>2121.4</v>
          </cell>
          <cell r="O457">
            <v>32346.99</v>
          </cell>
          <cell r="Q457">
            <v>0</v>
          </cell>
          <cell r="R457">
            <v>32346.99</v>
          </cell>
          <cell r="S457">
            <v>6144.21</v>
          </cell>
          <cell r="T457">
            <v>8.7100000000000009</v>
          </cell>
          <cell r="U457">
            <v>32355.7</v>
          </cell>
        </row>
        <row r="458">
          <cell r="A458" t="str">
            <v>PLN   Złoty</v>
          </cell>
          <cell r="E458" t="str">
            <v>KB Sprzed. bezpośrednia</v>
          </cell>
          <cell r="H458">
            <v>234</v>
          </cell>
          <cell r="J458">
            <v>7699.31</v>
          </cell>
          <cell r="K458">
            <v>2886.57</v>
          </cell>
          <cell r="L458">
            <v>16649.34</v>
          </cell>
          <cell r="M458">
            <v>0</v>
          </cell>
          <cell r="N458">
            <v>19535.91</v>
          </cell>
          <cell r="O458">
            <v>155181.76000000001</v>
          </cell>
          <cell r="Q458">
            <v>0</v>
          </cell>
          <cell r="R458">
            <v>155181.76000000001</v>
          </cell>
          <cell r="S458">
            <v>33663.32</v>
          </cell>
          <cell r="T458">
            <v>38.869999999999898</v>
          </cell>
          <cell r="U458">
            <v>155220.63</v>
          </cell>
        </row>
        <row r="459">
          <cell r="A459" t="str">
            <v>PLN   Złoty</v>
          </cell>
          <cell r="E459" t="str">
            <v>KB Sprzed. bezpośrednia</v>
          </cell>
          <cell r="H459">
            <v>4.5</v>
          </cell>
          <cell r="J459">
            <v>131.30000000000001</v>
          </cell>
          <cell r="K459">
            <v>2004.4</v>
          </cell>
          <cell r="L459">
            <v>0</v>
          </cell>
          <cell r="M459">
            <v>0</v>
          </cell>
          <cell r="N459">
            <v>2004.4</v>
          </cell>
          <cell r="O459">
            <v>5383.3</v>
          </cell>
          <cell r="Q459">
            <v>0</v>
          </cell>
          <cell r="R459">
            <v>5383.3</v>
          </cell>
          <cell r="S459">
            <v>-2162.7399999999898</v>
          </cell>
          <cell r="T459">
            <v>0.98999999999999899</v>
          </cell>
          <cell r="U459">
            <v>5384.29</v>
          </cell>
        </row>
        <row r="460">
          <cell r="A460" t="str">
            <v>PLN   Złoty</v>
          </cell>
          <cell r="E460" t="str">
            <v>KB Sprzed. bezpośrednia</v>
          </cell>
          <cell r="H460">
            <v>24</v>
          </cell>
          <cell r="J460">
            <v>695.29999999999905</v>
          </cell>
          <cell r="K460">
            <v>146.34</v>
          </cell>
          <cell r="L460">
            <v>0</v>
          </cell>
          <cell r="M460">
            <v>0</v>
          </cell>
          <cell r="N460">
            <v>146.34</v>
          </cell>
          <cell r="O460">
            <v>13789.41</v>
          </cell>
          <cell r="Q460">
            <v>0</v>
          </cell>
          <cell r="R460">
            <v>13789.41</v>
          </cell>
          <cell r="S460">
            <v>3265.9499999999898</v>
          </cell>
          <cell r="T460">
            <v>3.9399999999999902</v>
          </cell>
          <cell r="U460">
            <v>13793.35</v>
          </cell>
        </row>
        <row r="461">
          <cell r="A461" t="str">
            <v>PLN   Złoty</v>
          </cell>
          <cell r="E461" t="str">
            <v>KB Sprzed. bezpośrednia</v>
          </cell>
          <cell r="H461">
            <v>25</v>
          </cell>
          <cell r="J461">
            <v>754.75999999999897</v>
          </cell>
          <cell r="K461">
            <v>152.44</v>
          </cell>
          <cell r="L461">
            <v>1935.8499999999899</v>
          </cell>
          <cell r="M461">
            <v>0</v>
          </cell>
          <cell r="N461">
            <v>2088.29</v>
          </cell>
          <cell r="O461">
            <v>16330.309999999899</v>
          </cell>
          <cell r="Q461">
            <v>0</v>
          </cell>
          <cell r="R461">
            <v>16330.309999999899</v>
          </cell>
          <cell r="S461">
            <v>2182.94</v>
          </cell>
          <cell r="T461">
            <v>4.0999999999999899</v>
          </cell>
          <cell r="U461">
            <v>16334.41</v>
          </cell>
        </row>
        <row r="462">
          <cell r="A462" t="str">
            <v>PLN   Złoty</v>
          </cell>
          <cell r="E462" t="str">
            <v>KB Sprzed. bezpośrednia</v>
          </cell>
          <cell r="H462">
            <v>24</v>
          </cell>
          <cell r="J462">
            <v>744.08</v>
          </cell>
          <cell r="K462">
            <v>146.33000000000001</v>
          </cell>
          <cell r="L462">
            <v>1090.5599999999899</v>
          </cell>
          <cell r="M462">
            <v>0</v>
          </cell>
          <cell r="N462">
            <v>1236.8900000000001</v>
          </cell>
          <cell r="O462">
            <v>14928.75</v>
          </cell>
          <cell r="Q462">
            <v>0</v>
          </cell>
          <cell r="R462">
            <v>14928.75</v>
          </cell>
          <cell r="S462">
            <v>3321.09</v>
          </cell>
          <cell r="T462">
            <v>3.9399999999999902</v>
          </cell>
          <cell r="U462">
            <v>14932.69</v>
          </cell>
        </row>
        <row r="463">
          <cell r="A463" t="str">
            <v>PLN   Złoty</v>
          </cell>
          <cell r="E463" t="str">
            <v>KB Sprzed. bezpośrednia</v>
          </cell>
          <cell r="H463">
            <v>12</v>
          </cell>
          <cell r="J463">
            <v>366.92</v>
          </cell>
          <cell r="K463">
            <v>176.9</v>
          </cell>
          <cell r="L463">
            <v>475.68</v>
          </cell>
          <cell r="M463">
            <v>0</v>
          </cell>
          <cell r="N463">
            <v>652.58000000000004</v>
          </cell>
          <cell r="O463">
            <v>7021.68</v>
          </cell>
          <cell r="Q463">
            <v>0</v>
          </cell>
          <cell r="R463">
            <v>7021.68</v>
          </cell>
          <cell r="S463">
            <v>1978.3199999999899</v>
          </cell>
          <cell r="T463">
            <v>1.83</v>
          </cell>
          <cell r="U463">
            <v>7023.51</v>
          </cell>
        </row>
        <row r="464">
          <cell r="A464" t="str">
            <v>PLN   Złoty</v>
          </cell>
          <cell r="E464" t="str">
            <v>KB Sprzed. bezpośrednia</v>
          </cell>
          <cell r="H464">
            <v>36</v>
          </cell>
          <cell r="J464">
            <v>1050.43</v>
          </cell>
          <cell r="K464">
            <v>530.73</v>
          </cell>
          <cell r="L464">
            <v>0</v>
          </cell>
          <cell r="M464">
            <v>0</v>
          </cell>
          <cell r="N464">
            <v>530.73</v>
          </cell>
          <cell r="O464">
            <v>19587.7</v>
          </cell>
          <cell r="Q464">
            <v>0</v>
          </cell>
          <cell r="R464">
            <v>19587.7</v>
          </cell>
          <cell r="S464">
            <v>6176.7799999999897</v>
          </cell>
          <cell r="T464">
            <v>5.46999999999999</v>
          </cell>
          <cell r="U464">
            <v>19593.1699999999</v>
          </cell>
        </row>
        <row r="465">
          <cell r="A465" t="str">
            <v>PLN   Złoty</v>
          </cell>
          <cell r="E465" t="str">
            <v>KB Sprzed. bezpośrednia</v>
          </cell>
          <cell r="H465">
            <v>24</v>
          </cell>
          <cell r="J465">
            <v>744.08</v>
          </cell>
          <cell r="K465">
            <v>353.81999999999903</v>
          </cell>
          <cell r="L465">
            <v>688.55999999999904</v>
          </cell>
          <cell r="M465">
            <v>0</v>
          </cell>
          <cell r="N465">
            <v>1042.3800000000001</v>
          </cell>
          <cell r="O465">
            <v>13790.82</v>
          </cell>
          <cell r="Q465">
            <v>0</v>
          </cell>
          <cell r="R465">
            <v>13790.82</v>
          </cell>
          <cell r="S465">
            <v>4459.0200000000004</v>
          </cell>
          <cell r="T465">
            <v>3.64</v>
          </cell>
          <cell r="U465">
            <v>13794.459999999901</v>
          </cell>
        </row>
        <row r="466">
          <cell r="A466" t="str">
            <v>PLN   Złoty</v>
          </cell>
          <cell r="E466" t="str">
            <v>KB Sprzed. bezpośrednia</v>
          </cell>
          <cell r="H466">
            <v>24</v>
          </cell>
          <cell r="J466">
            <v>744.08</v>
          </cell>
          <cell r="K466">
            <v>353.81999999999903</v>
          </cell>
          <cell r="L466">
            <v>898.79999999999905</v>
          </cell>
          <cell r="M466">
            <v>0</v>
          </cell>
          <cell r="N466">
            <v>1252.6199999999899</v>
          </cell>
          <cell r="O466">
            <v>14001.059999999899</v>
          </cell>
          <cell r="Q466">
            <v>0</v>
          </cell>
          <cell r="R466">
            <v>14001.059999999899</v>
          </cell>
          <cell r="S466">
            <v>4248.7799999999897</v>
          </cell>
          <cell r="T466">
            <v>3.64</v>
          </cell>
          <cell r="U466">
            <v>14004.7</v>
          </cell>
        </row>
        <row r="467">
          <cell r="A467" t="str">
            <v>PLN   Złoty</v>
          </cell>
          <cell r="E467" t="str">
            <v>KB Sprzed. bezpośrednia</v>
          </cell>
          <cell r="H467">
            <v>12</v>
          </cell>
          <cell r="J467">
            <v>372.05</v>
          </cell>
          <cell r="K467">
            <v>176.9</v>
          </cell>
          <cell r="L467">
            <v>1038.1199999999899</v>
          </cell>
          <cell r="M467">
            <v>0</v>
          </cell>
          <cell r="N467">
            <v>1215.02</v>
          </cell>
          <cell r="O467">
            <v>7589.25</v>
          </cell>
          <cell r="Q467">
            <v>0</v>
          </cell>
          <cell r="R467">
            <v>7589.25</v>
          </cell>
          <cell r="S467">
            <v>1535.67</v>
          </cell>
          <cell r="T467">
            <v>1.83</v>
          </cell>
          <cell r="U467">
            <v>7591.0799999999899</v>
          </cell>
        </row>
        <row r="468">
          <cell r="A468" t="str">
            <v>PLN   Złoty</v>
          </cell>
          <cell r="E468" t="str">
            <v>KB Sprzed. bezpośrednia</v>
          </cell>
          <cell r="H468">
            <v>24</v>
          </cell>
          <cell r="J468">
            <v>699.63</v>
          </cell>
          <cell r="K468">
            <v>353.81999999999903</v>
          </cell>
          <cell r="L468">
            <v>0</v>
          </cell>
          <cell r="M468">
            <v>0</v>
          </cell>
          <cell r="N468">
            <v>353.81999999999903</v>
          </cell>
          <cell r="O468">
            <v>13057.809999999899</v>
          </cell>
          <cell r="Q468">
            <v>0</v>
          </cell>
          <cell r="R468">
            <v>13057.809999999899</v>
          </cell>
          <cell r="S468">
            <v>4101.2299999999896</v>
          </cell>
          <cell r="T468">
            <v>3.64</v>
          </cell>
          <cell r="U468">
            <v>13061.45</v>
          </cell>
        </row>
        <row r="469">
          <cell r="A469" t="str">
            <v>PLN   Złoty</v>
          </cell>
          <cell r="E469" t="str">
            <v>KB Sprzed. bezpośrednia</v>
          </cell>
          <cell r="H469">
            <v>24</v>
          </cell>
          <cell r="J469">
            <v>738.82</v>
          </cell>
          <cell r="K469">
            <v>353.81999999999903</v>
          </cell>
          <cell r="L469">
            <v>951.36</v>
          </cell>
          <cell r="M469">
            <v>0</v>
          </cell>
          <cell r="N469">
            <v>1305.18</v>
          </cell>
          <cell r="O469">
            <v>14048.36</v>
          </cell>
          <cell r="Q469">
            <v>0</v>
          </cell>
          <cell r="R469">
            <v>14048.36</v>
          </cell>
          <cell r="S469">
            <v>4073.0799999999899</v>
          </cell>
          <cell r="T469">
            <v>3.64</v>
          </cell>
          <cell r="U469">
            <v>14052</v>
          </cell>
        </row>
        <row r="470">
          <cell r="A470" t="str">
            <v>PLN   Złoty</v>
          </cell>
          <cell r="E470" t="str">
            <v>KB Sprzed. bezpośrednia</v>
          </cell>
          <cell r="H470">
            <v>48</v>
          </cell>
          <cell r="J470">
            <v>1482.13</v>
          </cell>
          <cell r="K470">
            <v>707.63</v>
          </cell>
          <cell r="L470">
            <v>2312.6399999999899</v>
          </cell>
          <cell r="M470">
            <v>0</v>
          </cell>
          <cell r="N470">
            <v>3020.27</v>
          </cell>
          <cell r="O470">
            <v>28511.119999999901</v>
          </cell>
          <cell r="Q470">
            <v>0</v>
          </cell>
          <cell r="R470">
            <v>28511.119999999901</v>
          </cell>
          <cell r="S470">
            <v>7841.92</v>
          </cell>
          <cell r="T470">
            <v>7.29</v>
          </cell>
          <cell r="U470">
            <v>28518.41</v>
          </cell>
        </row>
        <row r="471">
          <cell r="A471" t="str">
            <v>PLN   Złoty</v>
          </cell>
          <cell r="E471" t="str">
            <v>KB Sprzed. bezpośrednia</v>
          </cell>
          <cell r="H471">
            <v>31</v>
          </cell>
          <cell r="J471">
            <v>899.38</v>
          </cell>
          <cell r="K471">
            <v>457.00999999999902</v>
          </cell>
          <cell r="L471">
            <v>0</v>
          </cell>
          <cell r="M471">
            <v>0</v>
          </cell>
          <cell r="N471">
            <v>457.00999999999902</v>
          </cell>
          <cell r="O471">
            <v>16862.02</v>
          </cell>
          <cell r="Q471">
            <v>0</v>
          </cell>
          <cell r="R471">
            <v>16862.02</v>
          </cell>
          <cell r="S471">
            <v>5198.0600000000004</v>
          </cell>
          <cell r="T471">
            <v>4.7</v>
          </cell>
          <cell r="U471">
            <v>16866.72</v>
          </cell>
        </row>
        <row r="472">
          <cell r="A472" t="str">
            <v>PLN   Złoty</v>
          </cell>
          <cell r="E472" t="str">
            <v>KB Sprzed. bezpośrednia</v>
          </cell>
          <cell r="H472">
            <v>82</v>
          </cell>
          <cell r="J472">
            <v>2494.0599999999899</v>
          </cell>
          <cell r="K472">
            <v>1208.8699999999899</v>
          </cell>
          <cell r="L472">
            <v>3944.6399999999899</v>
          </cell>
          <cell r="M472">
            <v>0</v>
          </cell>
          <cell r="N472">
            <v>5153.51</v>
          </cell>
          <cell r="O472">
            <v>48662.459999999897</v>
          </cell>
          <cell r="Q472">
            <v>0</v>
          </cell>
          <cell r="R472">
            <v>48662.459999999897</v>
          </cell>
          <cell r="S472">
            <v>12510.379999999899</v>
          </cell>
          <cell r="T472">
            <v>12.46</v>
          </cell>
          <cell r="U472">
            <v>48674.919999999896</v>
          </cell>
        </row>
        <row r="473">
          <cell r="A473" t="str">
            <v>PLN   Złoty</v>
          </cell>
          <cell r="E473" t="str">
            <v>KB Sprzed. bezpośrednia</v>
          </cell>
          <cell r="H473">
            <v>48</v>
          </cell>
          <cell r="J473">
            <v>1504.5999999999899</v>
          </cell>
          <cell r="K473">
            <v>707.63</v>
          </cell>
          <cell r="L473">
            <v>1940.16</v>
          </cell>
          <cell r="M473">
            <v>0</v>
          </cell>
          <cell r="N473">
            <v>2647.79</v>
          </cell>
          <cell r="O473">
            <v>28161.360000000001</v>
          </cell>
          <cell r="Q473">
            <v>0</v>
          </cell>
          <cell r="R473">
            <v>28161.360000000001</v>
          </cell>
          <cell r="S473">
            <v>8742.2399999999907</v>
          </cell>
          <cell r="T473">
            <v>7.29</v>
          </cell>
          <cell r="U473">
            <v>28168.65</v>
          </cell>
        </row>
        <row r="474">
          <cell r="A474" t="str">
            <v>PLN   Złoty</v>
          </cell>
          <cell r="E474" t="str">
            <v>KB Sprzed. bezpośrednia</v>
          </cell>
          <cell r="H474">
            <v>24</v>
          </cell>
          <cell r="J474">
            <v>733.88999999999896</v>
          </cell>
          <cell r="K474">
            <v>353.81999999999903</v>
          </cell>
          <cell r="L474">
            <v>1335.1199999999899</v>
          </cell>
          <cell r="M474">
            <v>0</v>
          </cell>
          <cell r="N474">
            <v>1688.94</v>
          </cell>
          <cell r="O474">
            <v>16005.49</v>
          </cell>
          <cell r="Q474">
            <v>0</v>
          </cell>
          <cell r="R474">
            <v>16005.49</v>
          </cell>
          <cell r="S474">
            <v>1994.51</v>
          </cell>
          <cell r="T474">
            <v>4.1299999999999901</v>
          </cell>
          <cell r="U474">
            <v>16009.62</v>
          </cell>
        </row>
        <row r="475">
          <cell r="A475" t="str">
            <v>PLN   Złoty</v>
          </cell>
          <cell r="E475" t="str">
            <v>KB Sprzed. bezpośrednia</v>
          </cell>
          <cell r="H475">
            <v>72</v>
          </cell>
          <cell r="J475">
            <v>2096.6599999999899</v>
          </cell>
          <cell r="K475">
            <v>1061.44</v>
          </cell>
          <cell r="L475">
            <v>0</v>
          </cell>
          <cell r="M475">
            <v>0</v>
          </cell>
          <cell r="N475">
            <v>1061.44</v>
          </cell>
          <cell r="O475">
            <v>39171.18</v>
          </cell>
          <cell r="Q475">
            <v>0</v>
          </cell>
          <cell r="R475">
            <v>39171.18</v>
          </cell>
          <cell r="S475">
            <v>12254.1</v>
          </cell>
          <cell r="T475">
            <v>10.94</v>
          </cell>
          <cell r="U475">
            <v>39182.120000000003</v>
          </cell>
        </row>
        <row r="476">
          <cell r="A476" t="str">
            <v>PLN   Złoty</v>
          </cell>
          <cell r="E476" t="str">
            <v>KB Sprzed. bezpośrednia</v>
          </cell>
          <cell r="H476">
            <v>36</v>
          </cell>
          <cell r="J476">
            <v>1043.0799999999899</v>
          </cell>
          <cell r="K476">
            <v>530.73</v>
          </cell>
          <cell r="L476">
            <v>0</v>
          </cell>
          <cell r="M476">
            <v>0</v>
          </cell>
          <cell r="N476">
            <v>530.73</v>
          </cell>
          <cell r="O476">
            <v>21947.799999999901</v>
          </cell>
          <cell r="Q476">
            <v>0</v>
          </cell>
          <cell r="R476">
            <v>21947.799999999901</v>
          </cell>
          <cell r="S476">
            <v>3635.2399999999898</v>
          </cell>
          <cell r="T476">
            <v>6.1799999999999899</v>
          </cell>
          <cell r="U476">
            <v>21953.98</v>
          </cell>
        </row>
        <row r="477">
          <cell r="A477" t="str">
            <v>PLN   Złoty</v>
          </cell>
          <cell r="E477" t="str">
            <v>KB Sprzed. bezpośrednia</v>
          </cell>
          <cell r="H477">
            <v>10</v>
          </cell>
          <cell r="J477">
            <v>291.47000000000003</v>
          </cell>
          <cell r="K477">
            <v>147.41999999999899</v>
          </cell>
          <cell r="L477">
            <v>0</v>
          </cell>
          <cell r="M477">
            <v>0</v>
          </cell>
          <cell r="N477">
            <v>147.41999999999899</v>
          </cell>
          <cell r="O477">
            <v>5440.6999999999898</v>
          </cell>
          <cell r="Q477">
            <v>0</v>
          </cell>
          <cell r="R477">
            <v>5440.6999999999898</v>
          </cell>
          <cell r="S477">
            <v>1708.9</v>
          </cell>
          <cell r="T477">
            <v>1.52</v>
          </cell>
          <cell r="U477">
            <v>5442.22</v>
          </cell>
        </row>
        <row r="478">
          <cell r="A478" t="str">
            <v>PLN   Złoty</v>
          </cell>
          <cell r="E478" t="str">
            <v>KB Sprzed. bezpośrednia</v>
          </cell>
          <cell r="H478">
            <v>48</v>
          </cell>
          <cell r="J478">
            <v>1497.0999999999899</v>
          </cell>
          <cell r="K478">
            <v>707.63</v>
          </cell>
          <cell r="L478">
            <v>4047.36</v>
          </cell>
          <cell r="M478">
            <v>0</v>
          </cell>
          <cell r="N478">
            <v>4754.9899999999898</v>
          </cell>
          <cell r="O478">
            <v>30260.81</v>
          </cell>
          <cell r="Q478">
            <v>0</v>
          </cell>
          <cell r="R478">
            <v>30260.81</v>
          </cell>
          <cell r="S478">
            <v>6459.1899999999896</v>
          </cell>
          <cell r="T478">
            <v>7.29</v>
          </cell>
          <cell r="U478">
            <v>30268.0999999999</v>
          </cell>
        </row>
        <row r="479">
          <cell r="A479" t="str">
            <v>PLN   Złoty</v>
          </cell>
          <cell r="E479" t="str">
            <v>KB Sprzed. bezpośrednia</v>
          </cell>
          <cell r="H479">
            <v>114</v>
          </cell>
          <cell r="J479">
            <v>3455.46</v>
          </cell>
          <cell r="K479">
            <v>1680.6099999999899</v>
          </cell>
          <cell r="L479">
            <v>7261.1999999999898</v>
          </cell>
          <cell r="M479">
            <v>0</v>
          </cell>
          <cell r="N479">
            <v>8941.8099999999904</v>
          </cell>
          <cell r="O479">
            <v>69417.979999999894</v>
          </cell>
          <cell r="Q479">
            <v>0</v>
          </cell>
          <cell r="R479">
            <v>69417.979999999894</v>
          </cell>
          <cell r="S479">
            <v>15336.58</v>
          </cell>
          <cell r="T479">
            <v>17.329999999999899</v>
          </cell>
          <cell r="U479">
            <v>69435.309999999896</v>
          </cell>
        </row>
        <row r="480">
          <cell r="A480" t="str">
            <v>PLN   Złoty</v>
          </cell>
          <cell r="E480" t="str">
            <v>KB Sprzed. bezpośrednia</v>
          </cell>
          <cell r="H480">
            <v>24</v>
          </cell>
          <cell r="J480">
            <v>738.82</v>
          </cell>
          <cell r="K480">
            <v>353.81999999999903</v>
          </cell>
          <cell r="L480">
            <v>1300.8</v>
          </cell>
          <cell r="M480">
            <v>0</v>
          </cell>
          <cell r="N480">
            <v>1654.6199999999899</v>
          </cell>
          <cell r="O480">
            <v>14397.799999999899</v>
          </cell>
          <cell r="Q480">
            <v>0</v>
          </cell>
          <cell r="R480">
            <v>14397.799999999899</v>
          </cell>
          <cell r="S480">
            <v>3723.6399999999899</v>
          </cell>
          <cell r="T480">
            <v>3.64</v>
          </cell>
          <cell r="U480">
            <v>14401.44</v>
          </cell>
        </row>
        <row r="481">
          <cell r="A481" t="str">
            <v>PLN   Złoty</v>
          </cell>
          <cell r="E481" t="str">
            <v>KB Sprzed. bezpośrednia</v>
          </cell>
          <cell r="H481">
            <v>12</v>
          </cell>
          <cell r="J481">
            <v>366.92</v>
          </cell>
          <cell r="K481">
            <v>176.9</v>
          </cell>
          <cell r="L481">
            <v>946.08</v>
          </cell>
          <cell r="M481">
            <v>0</v>
          </cell>
          <cell r="N481">
            <v>1122.98</v>
          </cell>
          <cell r="O481">
            <v>7492.0799999999899</v>
          </cell>
          <cell r="Q481">
            <v>0</v>
          </cell>
          <cell r="R481">
            <v>7492.0799999999899</v>
          </cell>
          <cell r="S481">
            <v>1507.92</v>
          </cell>
          <cell r="T481">
            <v>1.83</v>
          </cell>
          <cell r="U481">
            <v>7493.9099999999899</v>
          </cell>
        </row>
        <row r="482">
          <cell r="A482" t="str">
            <v>PLN   Złoty</v>
          </cell>
          <cell r="E482" t="str">
            <v>KB Sprzed. bezpośrednia</v>
          </cell>
          <cell r="H482">
            <v>38</v>
          </cell>
          <cell r="J482">
            <v>1145.6300000000001</v>
          </cell>
          <cell r="K482">
            <v>560.21</v>
          </cell>
          <cell r="L482">
            <v>1251.5599999999899</v>
          </cell>
          <cell r="M482">
            <v>0</v>
          </cell>
          <cell r="N482">
            <v>1811.77</v>
          </cell>
          <cell r="O482">
            <v>21964.29</v>
          </cell>
          <cell r="Q482">
            <v>0</v>
          </cell>
          <cell r="R482">
            <v>21964.29</v>
          </cell>
          <cell r="S482">
            <v>6134.97</v>
          </cell>
          <cell r="T482">
            <v>5.78</v>
          </cell>
          <cell r="U482">
            <v>21970.07</v>
          </cell>
        </row>
        <row r="483">
          <cell r="A483" t="str">
            <v>PLN   Złoty</v>
          </cell>
          <cell r="E483" t="str">
            <v>KB Sprzed. bezpośrednia</v>
          </cell>
          <cell r="H483">
            <v>16</v>
          </cell>
          <cell r="J483">
            <v>478.05</v>
          </cell>
          <cell r="K483">
            <v>235.87</v>
          </cell>
          <cell r="L483">
            <v>530</v>
          </cell>
          <cell r="M483">
            <v>0</v>
          </cell>
          <cell r="N483">
            <v>765.87</v>
          </cell>
          <cell r="O483">
            <v>9246.8199999999906</v>
          </cell>
          <cell r="Q483">
            <v>0</v>
          </cell>
          <cell r="R483">
            <v>9246.8199999999906</v>
          </cell>
          <cell r="S483">
            <v>2478.7800000000002</v>
          </cell>
          <cell r="T483">
            <v>2.4300000000000002</v>
          </cell>
          <cell r="U483">
            <v>9249.25</v>
          </cell>
        </row>
        <row r="484">
          <cell r="A484" t="str">
            <v>PLN   Złoty</v>
          </cell>
          <cell r="E484" t="str">
            <v>KB Sprzed. bezpośrednia</v>
          </cell>
          <cell r="H484">
            <v>25</v>
          </cell>
          <cell r="J484">
            <v>749.50999999999897</v>
          </cell>
          <cell r="K484">
            <v>368.56</v>
          </cell>
          <cell r="L484">
            <v>1341.43</v>
          </cell>
          <cell r="M484">
            <v>0</v>
          </cell>
          <cell r="N484">
            <v>1709.99</v>
          </cell>
          <cell r="O484">
            <v>14964.04</v>
          </cell>
          <cell r="Q484">
            <v>0</v>
          </cell>
          <cell r="R484">
            <v>14964.04</v>
          </cell>
          <cell r="S484">
            <v>3418.71</v>
          </cell>
          <cell r="T484">
            <v>3.7999999999999901</v>
          </cell>
          <cell r="U484">
            <v>14967.84</v>
          </cell>
        </row>
        <row r="485">
          <cell r="A485" t="str">
            <v>PLN   Złoty</v>
          </cell>
          <cell r="E485" t="str">
            <v>KB Sprzed. bezpośrednia</v>
          </cell>
          <cell r="H485">
            <v>24</v>
          </cell>
          <cell r="J485">
            <v>695.29999999999905</v>
          </cell>
          <cell r="K485">
            <v>353.81999999999903</v>
          </cell>
          <cell r="L485">
            <v>0</v>
          </cell>
          <cell r="M485">
            <v>0</v>
          </cell>
          <cell r="N485">
            <v>353.81999999999903</v>
          </cell>
          <cell r="O485">
            <v>13053.48</v>
          </cell>
          <cell r="Q485">
            <v>0</v>
          </cell>
          <cell r="R485">
            <v>13053.48</v>
          </cell>
          <cell r="S485">
            <v>4001.88</v>
          </cell>
          <cell r="T485">
            <v>3.64</v>
          </cell>
          <cell r="U485">
            <v>13057.12</v>
          </cell>
        </row>
        <row r="486">
          <cell r="A486" t="str">
            <v>PLN   Złoty</v>
          </cell>
          <cell r="E486" t="str">
            <v>KB Sprzed. bezpośrednia</v>
          </cell>
          <cell r="H486">
            <v>96</v>
          </cell>
          <cell r="J486">
            <v>2982.2199999999898</v>
          </cell>
          <cell r="K486">
            <v>1415.26</v>
          </cell>
          <cell r="L486">
            <v>8803.2000000000007</v>
          </cell>
          <cell r="M486">
            <v>0</v>
          </cell>
          <cell r="N486">
            <v>10218.459999999901</v>
          </cell>
          <cell r="O486">
            <v>61218.12</v>
          </cell>
          <cell r="Q486">
            <v>0</v>
          </cell>
          <cell r="R486">
            <v>61218.12</v>
          </cell>
          <cell r="S486">
            <v>11928.36</v>
          </cell>
          <cell r="T486">
            <v>14.59</v>
          </cell>
          <cell r="U486">
            <v>61232.709999999897</v>
          </cell>
        </row>
        <row r="487">
          <cell r="A487" t="str">
            <v>PLN   Złoty</v>
          </cell>
          <cell r="E487" t="str">
            <v>KB Sprzed. bezpośrednia</v>
          </cell>
          <cell r="H487">
            <v>120</v>
          </cell>
          <cell r="J487">
            <v>3620.5999999999899</v>
          </cell>
          <cell r="K487">
            <v>1769.0699999999899</v>
          </cell>
          <cell r="L487">
            <v>4336.3199999999897</v>
          </cell>
          <cell r="M487">
            <v>0</v>
          </cell>
          <cell r="N487">
            <v>6105.39</v>
          </cell>
          <cell r="O487">
            <v>69747.789999999906</v>
          </cell>
          <cell r="Q487">
            <v>0</v>
          </cell>
          <cell r="R487">
            <v>69747.789999999906</v>
          </cell>
          <cell r="S487">
            <v>19057.25</v>
          </cell>
          <cell r="T487">
            <v>18.23</v>
          </cell>
          <cell r="U487">
            <v>69766.02</v>
          </cell>
        </row>
        <row r="488">
          <cell r="A488" t="str">
            <v>PLN   Złoty</v>
          </cell>
          <cell r="E488" t="str">
            <v>KB Sprzed. bezpośrednia</v>
          </cell>
          <cell r="H488">
            <v>60</v>
          </cell>
          <cell r="J488">
            <v>1778.17</v>
          </cell>
          <cell r="K488">
            <v>884.53999999999905</v>
          </cell>
          <cell r="L488">
            <v>1200.96</v>
          </cell>
          <cell r="M488">
            <v>0</v>
          </cell>
          <cell r="N488">
            <v>2085.5</v>
          </cell>
          <cell r="O488">
            <v>33874.57</v>
          </cell>
          <cell r="Q488">
            <v>0</v>
          </cell>
          <cell r="R488">
            <v>33874.57</v>
          </cell>
          <cell r="S488">
            <v>9737.9899999999907</v>
          </cell>
          <cell r="T488">
            <v>9.1199999999999903</v>
          </cell>
          <cell r="U488">
            <v>33883.69</v>
          </cell>
        </row>
        <row r="489">
          <cell r="A489" t="str">
            <v>PLN   Złoty</v>
          </cell>
          <cell r="E489" t="str">
            <v>KB Sprzed. bezpośrednia</v>
          </cell>
          <cell r="H489">
            <v>24</v>
          </cell>
          <cell r="J489">
            <v>748.58</v>
          </cell>
          <cell r="K489">
            <v>353.81999999999903</v>
          </cell>
          <cell r="L489">
            <v>1300.8</v>
          </cell>
          <cell r="M489">
            <v>0</v>
          </cell>
          <cell r="N489">
            <v>1654.6199999999899</v>
          </cell>
          <cell r="O489">
            <v>14407.559999999899</v>
          </cell>
          <cell r="Q489">
            <v>0</v>
          </cell>
          <cell r="R489">
            <v>14407.559999999899</v>
          </cell>
          <cell r="S489">
            <v>3952.44</v>
          </cell>
          <cell r="T489">
            <v>3.64</v>
          </cell>
          <cell r="U489">
            <v>14411.2</v>
          </cell>
        </row>
        <row r="490">
          <cell r="A490" t="str">
            <v>PLN   Złoty</v>
          </cell>
          <cell r="E490" t="str">
            <v>KB Sprzed. bezpośrednia</v>
          </cell>
          <cell r="H490">
            <v>46</v>
          </cell>
          <cell r="J490">
            <v>1411.8199999999899</v>
          </cell>
          <cell r="K490">
            <v>678.13</v>
          </cell>
          <cell r="L490">
            <v>0</v>
          </cell>
          <cell r="M490">
            <v>0</v>
          </cell>
          <cell r="N490">
            <v>678.13</v>
          </cell>
          <cell r="O490">
            <v>25098.299999999901</v>
          </cell>
          <cell r="Q490">
            <v>0</v>
          </cell>
          <cell r="R490">
            <v>25098.299999999901</v>
          </cell>
          <cell r="S490">
            <v>9530.2199999999903</v>
          </cell>
          <cell r="T490">
            <v>6.99</v>
          </cell>
          <cell r="U490">
            <v>25105.29</v>
          </cell>
        </row>
        <row r="491">
          <cell r="A491" t="str">
            <v>PLN   Złoty</v>
          </cell>
          <cell r="E491" t="str">
            <v>KB Sprzed. bezpośrednia</v>
          </cell>
          <cell r="H491">
            <v>120</v>
          </cell>
          <cell r="J491">
            <v>3780.96</v>
          </cell>
          <cell r="K491">
            <v>1769.0699999999899</v>
          </cell>
          <cell r="L491">
            <v>5014.0799999999899</v>
          </cell>
          <cell r="M491">
            <v>0</v>
          </cell>
          <cell r="N491">
            <v>6783.1499999999896</v>
          </cell>
          <cell r="O491">
            <v>78477.41</v>
          </cell>
          <cell r="Q491">
            <v>0</v>
          </cell>
          <cell r="R491">
            <v>78477.41</v>
          </cell>
          <cell r="S491">
            <v>14259.79</v>
          </cell>
          <cell r="T491">
            <v>20.6299999999999</v>
          </cell>
          <cell r="U491">
            <v>78498.039999999906</v>
          </cell>
        </row>
        <row r="492">
          <cell r="A492" t="str">
            <v>PLN   Złoty</v>
          </cell>
          <cell r="E492" t="str">
            <v>KB Sprzed. bezpośrednia</v>
          </cell>
          <cell r="H492">
            <v>36</v>
          </cell>
          <cell r="J492">
            <v>1120.5699999999899</v>
          </cell>
          <cell r="K492">
            <v>530.73</v>
          </cell>
          <cell r="L492">
            <v>2261.4</v>
          </cell>
          <cell r="M492">
            <v>0</v>
          </cell>
          <cell r="N492">
            <v>2792.13</v>
          </cell>
          <cell r="O492">
            <v>21919.24</v>
          </cell>
          <cell r="Q492">
            <v>0</v>
          </cell>
          <cell r="R492">
            <v>21919.24</v>
          </cell>
          <cell r="S492">
            <v>5565.8</v>
          </cell>
          <cell r="T492">
            <v>5.46999999999999</v>
          </cell>
          <cell r="U492">
            <v>21924.709999999901</v>
          </cell>
        </row>
        <row r="493">
          <cell r="A493" t="str">
            <v>PLN   Złoty</v>
          </cell>
          <cell r="E493" t="str">
            <v>KB Sprzed. bezpośrednia</v>
          </cell>
          <cell r="H493">
            <v>84</v>
          </cell>
          <cell r="J493">
            <v>2447.4699999999898</v>
          </cell>
          <cell r="K493">
            <v>1238.3399999999899</v>
          </cell>
          <cell r="L493">
            <v>0</v>
          </cell>
          <cell r="M493">
            <v>0</v>
          </cell>
          <cell r="N493">
            <v>1238.3399999999899</v>
          </cell>
          <cell r="O493">
            <v>45701.07</v>
          </cell>
          <cell r="Q493">
            <v>0</v>
          </cell>
          <cell r="R493">
            <v>45701.07</v>
          </cell>
          <cell r="S493">
            <v>14329.65</v>
          </cell>
          <cell r="T493">
            <v>12.77</v>
          </cell>
          <cell r="U493">
            <v>45713.839999999902</v>
          </cell>
        </row>
        <row r="494">
          <cell r="A494" t="str">
            <v>PLN   Złoty</v>
          </cell>
          <cell r="E494" t="str">
            <v>KB Sprzed. bezpośrednia</v>
          </cell>
          <cell r="H494">
            <v>25</v>
          </cell>
          <cell r="J494">
            <v>759.39999999999895</v>
          </cell>
          <cell r="K494">
            <v>368.56</v>
          </cell>
          <cell r="L494">
            <v>1517.0799999999899</v>
          </cell>
          <cell r="M494">
            <v>0</v>
          </cell>
          <cell r="N494">
            <v>1885.64</v>
          </cell>
          <cell r="O494">
            <v>15149.58</v>
          </cell>
          <cell r="Q494">
            <v>0</v>
          </cell>
          <cell r="R494">
            <v>15149.58</v>
          </cell>
          <cell r="S494">
            <v>3475.42</v>
          </cell>
          <cell r="T494">
            <v>3.7999999999999901</v>
          </cell>
          <cell r="U494">
            <v>15153.379999999899</v>
          </cell>
        </row>
        <row r="495">
          <cell r="A495" t="str">
            <v>PLN   Złoty</v>
          </cell>
          <cell r="E495" t="str">
            <v>KB Sprzed. bezpośrednia</v>
          </cell>
          <cell r="H495">
            <v>12</v>
          </cell>
          <cell r="J495">
            <v>359.88999999999902</v>
          </cell>
          <cell r="K495">
            <v>176.9</v>
          </cell>
          <cell r="L495">
            <v>902.75999999999897</v>
          </cell>
          <cell r="M495">
            <v>0</v>
          </cell>
          <cell r="N495">
            <v>1079.6600000000001</v>
          </cell>
          <cell r="O495">
            <v>7441.7299999999896</v>
          </cell>
          <cell r="Q495">
            <v>0</v>
          </cell>
          <cell r="R495">
            <v>7441.7299999999896</v>
          </cell>
          <cell r="S495">
            <v>1384.99</v>
          </cell>
          <cell r="T495">
            <v>1.83</v>
          </cell>
          <cell r="U495">
            <v>7443.56</v>
          </cell>
        </row>
        <row r="496">
          <cell r="A496" t="str">
            <v>PLN   Złoty</v>
          </cell>
          <cell r="E496" t="str">
            <v>KB Sprzed. bezpośrednia</v>
          </cell>
          <cell r="H496">
            <v>15</v>
          </cell>
          <cell r="J496">
            <v>446.81999999999903</v>
          </cell>
          <cell r="K496">
            <v>221.13999999999899</v>
          </cell>
          <cell r="L496">
            <v>0</v>
          </cell>
          <cell r="M496">
            <v>0</v>
          </cell>
          <cell r="N496">
            <v>221.13999999999899</v>
          </cell>
          <cell r="O496">
            <v>9510.4099999999908</v>
          </cell>
          <cell r="Q496">
            <v>0</v>
          </cell>
          <cell r="R496">
            <v>9510.4099999999908</v>
          </cell>
          <cell r="S496">
            <v>1448.44</v>
          </cell>
          <cell r="T496">
            <v>2.6899999999999902</v>
          </cell>
          <cell r="U496">
            <v>9513.1</v>
          </cell>
        </row>
        <row r="497">
          <cell r="A497" t="str">
            <v>PLN   Złoty</v>
          </cell>
          <cell r="E497" t="str">
            <v>KB Sprzed. bezpośrednia</v>
          </cell>
          <cell r="H497">
            <v>10</v>
          </cell>
          <cell r="J497">
            <v>297.83999999999901</v>
          </cell>
          <cell r="K497">
            <v>147.41999999999899</v>
          </cell>
          <cell r="L497">
            <v>0</v>
          </cell>
          <cell r="M497">
            <v>0</v>
          </cell>
          <cell r="N497">
            <v>147.41999999999899</v>
          </cell>
          <cell r="O497">
            <v>6501.26</v>
          </cell>
          <cell r="Q497">
            <v>0</v>
          </cell>
          <cell r="R497">
            <v>6501.26</v>
          </cell>
          <cell r="S497">
            <v>804.63999999999896</v>
          </cell>
          <cell r="T497">
            <v>1.84</v>
          </cell>
          <cell r="U497">
            <v>6503.1</v>
          </cell>
        </row>
        <row r="498">
          <cell r="A498" t="str">
            <v>PLN   Złoty</v>
          </cell>
          <cell r="E498" t="str">
            <v>KB Sprzed. bezpośrednia</v>
          </cell>
          <cell r="H498">
            <v>24</v>
          </cell>
          <cell r="J498">
            <v>714.1</v>
          </cell>
          <cell r="K498">
            <v>353.81999999999903</v>
          </cell>
          <cell r="L498">
            <v>0</v>
          </cell>
          <cell r="M498">
            <v>0</v>
          </cell>
          <cell r="N498">
            <v>353.81999999999903</v>
          </cell>
          <cell r="O498">
            <v>15215.84</v>
          </cell>
          <cell r="Q498">
            <v>0</v>
          </cell>
          <cell r="R498">
            <v>15215.84</v>
          </cell>
          <cell r="S498">
            <v>2300.8000000000002</v>
          </cell>
          <cell r="T498">
            <v>4.2999999999999901</v>
          </cell>
          <cell r="U498">
            <v>15220.139999999899</v>
          </cell>
        </row>
        <row r="499">
          <cell r="A499" t="str">
            <v>PLN   Złoty</v>
          </cell>
          <cell r="E499" t="str">
            <v>KB Sprzed. bezpośrednia</v>
          </cell>
          <cell r="H499">
            <v>12</v>
          </cell>
          <cell r="J499">
            <v>356.00999999999902</v>
          </cell>
          <cell r="K499">
            <v>176.9</v>
          </cell>
          <cell r="L499">
            <v>0</v>
          </cell>
          <cell r="M499">
            <v>0</v>
          </cell>
          <cell r="N499">
            <v>176.9</v>
          </cell>
          <cell r="O499">
            <v>7492.47</v>
          </cell>
          <cell r="Q499">
            <v>0</v>
          </cell>
          <cell r="R499">
            <v>7492.47</v>
          </cell>
          <cell r="S499">
            <v>1239.3299999999899</v>
          </cell>
          <cell r="T499">
            <v>2.1099999999999901</v>
          </cell>
          <cell r="U499">
            <v>7494.5799999999899</v>
          </cell>
        </row>
        <row r="500">
          <cell r="A500" t="str">
            <v>PLN   Złoty</v>
          </cell>
          <cell r="E500" t="str">
            <v>KB Sprzed. bezpośrednia</v>
          </cell>
          <cell r="H500">
            <v>22</v>
          </cell>
          <cell r="J500">
            <v>643.74</v>
          </cell>
          <cell r="K500">
            <v>324.33999999999901</v>
          </cell>
          <cell r="L500">
            <v>0</v>
          </cell>
          <cell r="M500">
            <v>0</v>
          </cell>
          <cell r="N500">
            <v>324.33999999999901</v>
          </cell>
          <cell r="O500">
            <v>11972.07</v>
          </cell>
          <cell r="Q500">
            <v>0</v>
          </cell>
          <cell r="R500">
            <v>11972.07</v>
          </cell>
          <cell r="S500">
            <v>3817.53</v>
          </cell>
          <cell r="T500">
            <v>3.3399999999999901</v>
          </cell>
          <cell r="U500">
            <v>11975.41</v>
          </cell>
        </row>
        <row r="501">
          <cell r="A501" t="str">
            <v>PLN   Złoty</v>
          </cell>
          <cell r="E501" t="str">
            <v>KB Sprzed. bezpośrednia</v>
          </cell>
          <cell r="H501">
            <v>14</v>
          </cell>
          <cell r="J501">
            <v>410.94</v>
          </cell>
          <cell r="K501">
            <v>206.38999999999899</v>
          </cell>
          <cell r="L501">
            <v>0</v>
          </cell>
          <cell r="M501">
            <v>0</v>
          </cell>
          <cell r="N501">
            <v>206.38999999999899</v>
          </cell>
          <cell r="O501">
            <v>8540.5499999999902</v>
          </cell>
          <cell r="Q501">
            <v>0</v>
          </cell>
          <cell r="R501">
            <v>8540.5499999999902</v>
          </cell>
          <cell r="S501">
            <v>1539.45</v>
          </cell>
          <cell r="T501">
            <v>2.41</v>
          </cell>
          <cell r="U501">
            <v>8542.95999999999</v>
          </cell>
        </row>
        <row r="502">
          <cell r="A502" t="str">
            <v>PLN   Złoty</v>
          </cell>
          <cell r="E502" t="str">
            <v>KB Sprzed. bezpośrednia</v>
          </cell>
          <cell r="H502">
            <v>72</v>
          </cell>
          <cell r="J502">
            <v>2106.5300000000002</v>
          </cell>
          <cell r="K502">
            <v>1061.44</v>
          </cell>
          <cell r="L502">
            <v>0</v>
          </cell>
          <cell r="M502">
            <v>0</v>
          </cell>
          <cell r="N502">
            <v>1061.44</v>
          </cell>
          <cell r="O502">
            <v>39181.050000000003</v>
          </cell>
          <cell r="Q502">
            <v>0</v>
          </cell>
          <cell r="R502">
            <v>39181.050000000003</v>
          </cell>
          <cell r="S502">
            <v>12486.15</v>
          </cell>
          <cell r="T502">
            <v>10.94</v>
          </cell>
          <cell r="U502">
            <v>39191.989999999903</v>
          </cell>
        </row>
        <row r="503">
          <cell r="A503" t="str">
            <v>PLN   Złoty</v>
          </cell>
          <cell r="E503" t="str">
            <v>KB Sprzed. bezpośrednia</v>
          </cell>
          <cell r="H503">
            <v>57</v>
          </cell>
          <cell r="J503">
            <v>1663.16</v>
          </cell>
          <cell r="K503">
            <v>840.30999999999904</v>
          </cell>
          <cell r="L503">
            <v>0</v>
          </cell>
          <cell r="M503">
            <v>0</v>
          </cell>
          <cell r="N503">
            <v>840.30999999999904</v>
          </cell>
          <cell r="O503">
            <v>34762.29</v>
          </cell>
          <cell r="Q503">
            <v>0</v>
          </cell>
          <cell r="R503">
            <v>34762.29</v>
          </cell>
          <cell r="S503">
            <v>6031.47</v>
          </cell>
          <cell r="T503">
            <v>9.8000000000000007</v>
          </cell>
          <cell r="U503">
            <v>34772.089999999902</v>
          </cell>
        </row>
        <row r="504">
          <cell r="A504" t="str">
            <v>PLN   Złoty</v>
          </cell>
          <cell r="E504" t="str">
            <v>KB Sprzed. bezpośrednia</v>
          </cell>
          <cell r="H504">
            <v>49</v>
          </cell>
          <cell r="J504">
            <v>1492.77</v>
          </cell>
          <cell r="K504">
            <v>722.38</v>
          </cell>
          <cell r="L504">
            <v>3697.13</v>
          </cell>
          <cell r="M504">
            <v>0</v>
          </cell>
          <cell r="N504">
            <v>4419.51</v>
          </cell>
          <cell r="O504">
            <v>30421.18</v>
          </cell>
          <cell r="Q504">
            <v>0</v>
          </cell>
          <cell r="R504">
            <v>30421.18</v>
          </cell>
          <cell r="S504">
            <v>6193.17</v>
          </cell>
          <cell r="T504">
            <v>7.45</v>
          </cell>
          <cell r="U504">
            <v>30428.63</v>
          </cell>
        </row>
        <row r="505">
          <cell r="A505" t="str">
            <v>PLN   Złoty</v>
          </cell>
          <cell r="E505" t="str">
            <v>KB Sprzed. bezpośrednia</v>
          </cell>
          <cell r="H505">
            <v>24</v>
          </cell>
          <cell r="J505">
            <v>697.45</v>
          </cell>
          <cell r="K505">
            <v>353.81999999999903</v>
          </cell>
          <cell r="L505">
            <v>0</v>
          </cell>
          <cell r="M505">
            <v>0</v>
          </cell>
          <cell r="N505">
            <v>353.81999999999903</v>
          </cell>
          <cell r="O505">
            <v>13055.629999999899</v>
          </cell>
          <cell r="Q505">
            <v>0</v>
          </cell>
          <cell r="R505">
            <v>13055.629999999899</v>
          </cell>
          <cell r="S505">
            <v>4051.57</v>
          </cell>
          <cell r="T505">
            <v>3.64</v>
          </cell>
          <cell r="U505">
            <v>13059.27</v>
          </cell>
        </row>
        <row r="506">
          <cell r="A506" t="str">
            <v>PLN   Złoty</v>
          </cell>
          <cell r="E506" t="str">
            <v>KB Sprzed. bezpośrednia</v>
          </cell>
          <cell r="H506">
            <v>24</v>
          </cell>
          <cell r="J506">
            <v>743.34</v>
          </cell>
          <cell r="K506">
            <v>353.81999999999903</v>
          </cell>
          <cell r="L506">
            <v>2119.1999999999898</v>
          </cell>
          <cell r="M506">
            <v>0</v>
          </cell>
          <cell r="N506">
            <v>2473.02</v>
          </cell>
          <cell r="O506">
            <v>15220.719999999899</v>
          </cell>
          <cell r="Q506">
            <v>0</v>
          </cell>
          <cell r="R506">
            <v>15220.719999999899</v>
          </cell>
          <cell r="S506">
            <v>3010.88</v>
          </cell>
          <cell r="T506">
            <v>3.64</v>
          </cell>
          <cell r="U506">
            <v>15224.36</v>
          </cell>
        </row>
        <row r="507">
          <cell r="A507" t="str">
            <v>PLN   Złoty</v>
          </cell>
          <cell r="E507" t="str">
            <v>KB Sprzed. bezpośrednia</v>
          </cell>
          <cell r="H507">
            <v>133</v>
          </cell>
          <cell r="J507">
            <v>4107.55</v>
          </cell>
          <cell r="K507">
            <v>1960.72</v>
          </cell>
          <cell r="L507">
            <v>9343.69</v>
          </cell>
          <cell r="M507">
            <v>0</v>
          </cell>
          <cell r="N507">
            <v>11304.41</v>
          </cell>
          <cell r="O507">
            <v>81936.119999999893</v>
          </cell>
          <cell r="Q507">
            <v>0</v>
          </cell>
          <cell r="R507">
            <v>81936.119999999893</v>
          </cell>
          <cell r="S507">
            <v>18811.57</v>
          </cell>
          <cell r="T507">
            <v>20.21</v>
          </cell>
          <cell r="U507">
            <v>81956.33</v>
          </cell>
        </row>
        <row r="508">
          <cell r="A508" t="str">
            <v>PLN   Złoty</v>
          </cell>
          <cell r="E508" t="str">
            <v>KB Sprzed. bezpośrednia</v>
          </cell>
          <cell r="H508">
            <v>24</v>
          </cell>
          <cell r="J508">
            <v>743.34</v>
          </cell>
          <cell r="K508">
            <v>353.81999999999903</v>
          </cell>
          <cell r="L508">
            <v>1419.1199999999899</v>
          </cell>
          <cell r="M508">
            <v>0</v>
          </cell>
          <cell r="N508">
            <v>1772.94</v>
          </cell>
          <cell r="O508">
            <v>14520.639999999899</v>
          </cell>
          <cell r="Q508">
            <v>0</v>
          </cell>
          <cell r="R508">
            <v>14520.639999999899</v>
          </cell>
          <cell r="S508">
            <v>3710.96</v>
          </cell>
          <cell r="T508">
            <v>3.64</v>
          </cell>
          <cell r="U508">
            <v>14524.28</v>
          </cell>
        </row>
        <row r="509">
          <cell r="A509" t="str">
            <v>PLN   Złoty</v>
          </cell>
          <cell r="E509" t="str">
            <v>KB Sprzed. bezpośrednia</v>
          </cell>
          <cell r="H509">
            <v>24</v>
          </cell>
          <cell r="J509">
            <v>741.09</v>
          </cell>
          <cell r="K509">
            <v>353.81999999999903</v>
          </cell>
          <cell r="L509">
            <v>1815.8399999999899</v>
          </cell>
          <cell r="M509">
            <v>0</v>
          </cell>
          <cell r="N509">
            <v>2169.6599999999899</v>
          </cell>
          <cell r="O509">
            <v>14915.11</v>
          </cell>
          <cell r="Q509">
            <v>0</v>
          </cell>
          <cell r="R509">
            <v>14915.11</v>
          </cell>
          <cell r="S509">
            <v>3261.29</v>
          </cell>
          <cell r="T509">
            <v>3.64</v>
          </cell>
          <cell r="U509">
            <v>14918.75</v>
          </cell>
        </row>
        <row r="510">
          <cell r="A510" t="str">
            <v>PLN   Złoty</v>
          </cell>
          <cell r="E510" t="str">
            <v>KB Sprzed. bezpośrednia</v>
          </cell>
          <cell r="H510">
            <v>12</v>
          </cell>
          <cell r="J510">
            <v>349.75</v>
          </cell>
          <cell r="K510">
            <v>176.9</v>
          </cell>
          <cell r="L510">
            <v>0</v>
          </cell>
          <cell r="M510">
            <v>0</v>
          </cell>
          <cell r="N510">
            <v>176.9</v>
          </cell>
          <cell r="O510">
            <v>6528.8299999999899</v>
          </cell>
          <cell r="Q510">
            <v>0</v>
          </cell>
          <cell r="R510">
            <v>6528.8299999999899</v>
          </cell>
          <cell r="S510">
            <v>2050.69</v>
          </cell>
          <cell r="T510">
            <v>1.83</v>
          </cell>
          <cell r="U510">
            <v>6530.6599999999899</v>
          </cell>
        </row>
        <row r="511">
          <cell r="A511" t="str">
            <v>PLN   Złoty</v>
          </cell>
          <cell r="E511" t="str">
            <v>KB Sprzed. bezpośrednia</v>
          </cell>
          <cell r="H511">
            <v>24</v>
          </cell>
          <cell r="J511">
            <v>699.63</v>
          </cell>
          <cell r="K511">
            <v>353.69999999999902</v>
          </cell>
          <cell r="L511">
            <v>0</v>
          </cell>
          <cell r="M511">
            <v>0</v>
          </cell>
          <cell r="N511">
            <v>353.69999999999902</v>
          </cell>
          <cell r="O511">
            <v>13057.69</v>
          </cell>
          <cell r="Q511">
            <v>0</v>
          </cell>
          <cell r="R511">
            <v>13057.69</v>
          </cell>
          <cell r="S511">
            <v>4101.3500000000004</v>
          </cell>
          <cell r="T511">
            <v>3.64</v>
          </cell>
          <cell r="U511">
            <v>13061.33</v>
          </cell>
        </row>
        <row r="512">
          <cell r="A512" t="str">
            <v>PLN   Złoty</v>
          </cell>
          <cell r="E512" t="str">
            <v>KB Sprzed. bezpośrednia</v>
          </cell>
          <cell r="H512">
            <v>12</v>
          </cell>
          <cell r="J512">
            <v>496.01999999999902</v>
          </cell>
          <cell r="K512">
            <v>227.849999999999</v>
          </cell>
          <cell r="L512">
            <v>0</v>
          </cell>
          <cell r="M512">
            <v>0</v>
          </cell>
          <cell r="N512">
            <v>227.849999999999</v>
          </cell>
          <cell r="O512">
            <v>10081.790000000001</v>
          </cell>
          <cell r="Q512">
            <v>0</v>
          </cell>
          <cell r="R512">
            <v>10081.790000000001</v>
          </cell>
          <cell r="S512">
            <v>2084.77</v>
          </cell>
          <cell r="T512">
            <v>2.8399999999999901</v>
          </cell>
          <cell r="U512">
            <v>10084.629999999899</v>
          </cell>
        </row>
        <row r="513">
          <cell r="A513" t="str">
            <v>PLN   Złoty</v>
          </cell>
          <cell r="E513" t="str">
            <v>KB Sprzed. bezpośrednia</v>
          </cell>
          <cell r="H513">
            <v>34</v>
          </cell>
          <cell r="J513">
            <v>1424.66</v>
          </cell>
          <cell r="K513">
            <v>645.6</v>
          </cell>
          <cell r="L513">
            <v>0</v>
          </cell>
          <cell r="M513">
            <v>0</v>
          </cell>
          <cell r="N513">
            <v>645.6</v>
          </cell>
          <cell r="O513">
            <v>28584.36</v>
          </cell>
          <cell r="Q513">
            <v>0</v>
          </cell>
          <cell r="R513">
            <v>28584.36</v>
          </cell>
          <cell r="S513">
            <v>6359.4799999999896</v>
          </cell>
          <cell r="T513">
            <v>8.06</v>
          </cell>
          <cell r="U513">
            <v>28592.4199999999</v>
          </cell>
        </row>
        <row r="514">
          <cell r="A514" t="str">
            <v>PLN   Złoty</v>
          </cell>
          <cell r="E514" t="str">
            <v>KB Sprzed. bezpośrednia</v>
          </cell>
          <cell r="H514">
            <v>26</v>
          </cell>
          <cell r="J514">
            <v>1082.8599999999899</v>
          </cell>
          <cell r="K514">
            <v>493.69999999999902</v>
          </cell>
          <cell r="L514">
            <v>0</v>
          </cell>
          <cell r="M514">
            <v>0</v>
          </cell>
          <cell r="N514">
            <v>493.69999999999902</v>
          </cell>
          <cell r="O514">
            <v>23588.9199999999</v>
          </cell>
          <cell r="Q514">
            <v>0</v>
          </cell>
          <cell r="R514">
            <v>23588.9199999999</v>
          </cell>
          <cell r="S514">
            <v>2971.38</v>
          </cell>
          <cell r="T514">
            <v>6.69</v>
          </cell>
          <cell r="U514">
            <v>23595.61</v>
          </cell>
        </row>
        <row r="515">
          <cell r="A515" t="str">
            <v>PLN   Złoty</v>
          </cell>
          <cell r="E515" t="str">
            <v>KB Sprzed. bezpośrednia</v>
          </cell>
          <cell r="H515">
            <v>10</v>
          </cell>
          <cell r="J515">
            <v>416.44999999999902</v>
          </cell>
          <cell r="K515">
            <v>189.88</v>
          </cell>
          <cell r="L515">
            <v>0</v>
          </cell>
          <cell r="M515">
            <v>0</v>
          </cell>
          <cell r="N515">
            <v>189.88</v>
          </cell>
          <cell r="O515">
            <v>8839.4699999999903</v>
          </cell>
          <cell r="Q515">
            <v>0</v>
          </cell>
          <cell r="R515">
            <v>8839.4699999999903</v>
          </cell>
          <cell r="S515">
            <v>1376.03</v>
          </cell>
          <cell r="T515">
            <v>2.5</v>
          </cell>
          <cell r="U515">
            <v>8841.9699999999903</v>
          </cell>
        </row>
        <row r="516">
          <cell r="A516" t="str">
            <v>PLN   Złoty</v>
          </cell>
          <cell r="E516" t="str">
            <v>KB Sprzed. bezpośrednia</v>
          </cell>
          <cell r="H516">
            <v>6</v>
          </cell>
          <cell r="J516">
            <v>252.37</v>
          </cell>
          <cell r="K516">
            <v>113.93</v>
          </cell>
          <cell r="L516">
            <v>0</v>
          </cell>
          <cell r="M516">
            <v>0</v>
          </cell>
          <cell r="N516">
            <v>113.93</v>
          </cell>
          <cell r="O516">
            <v>5446.0799999999899</v>
          </cell>
          <cell r="Q516">
            <v>0</v>
          </cell>
          <cell r="R516">
            <v>5446.0799999999899</v>
          </cell>
          <cell r="S516">
            <v>745.32</v>
          </cell>
          <cell r="T516">
            <v>1.54</v>
          </cell>
          <cell r="U516">
            <v>5447.6199999999899</v>
          </cell>
        </row>
        <row r="517">
          <cell r="A517" t="str">
            <v>PLN   Złoty</v>
          </cell>
          <cell r="E517" t="str">
            <v>KB Sprzed. bezpośrednia</v>
          </cell>
          <cell r="H517">
            <v>80</v>
          </cell>
          <cell r="J517">
            <v>3493.6199999999899</v>
          </cell>
          <cell r="K517">
            <v>1519.05</v>
          </cell>
          <cell r="L517">
            <v>0</v>
          </cell>
          <cell r="M517">
            <v>0</v>
          </cell>
          <cell r="N517">
            <v>1519.05</v>
          </cell>
          <cell r="O517">
            <v>72743</v>
          </cell>
          <cell r="Q517">
            <v>0</v>
          </cell>
          <cell r="R517">
            <v>72743</v>
          </cell>
          <cell r="S517">
            <v>12946.68</v>
          </cell>
          <cell r="T517">
            <v>20.57</v>
          </cell>
          <cell r="U517">
            <v>72763.570000000007</v>
          </cell>
        </row>
        <row r="518">
          <cell r="A518" t="str">
            <v>PLN   Złoty</v>
          </cell>
          <cell r="E518" t="str">
            <v>KB Sprzed. bezpośrednia</v>
          </cell>
          <cell r="H518">
            <v>48</v>
          </cell>
          <cell r="J518">
            <v>2105.02</v>
          </cell>
          <cell r="K518">
            <v>911.42999999999904</v>
          </cell>
          <cell r="L518">
            <v>3558.2399999999898</v>
          </cell>
          <cell r="M518">
            <v>0</v>
          </cell>
          <cell r="N518">
            <v>4469.67</v>
          </cell>
          <cell r="O518">
            <v>44006.36</v>
          </cell>
          <cell r="Q518">
            <v>0</v>
          </cell>
          <cell r="R518">
            <v>44006.36</v>
          </cell>
          <cell r="S518">
            <v>7624.84</v>
          </cell>
          <cell r="T518">
            <v>11.38</v>
          </cell>
          <cell r="U518">
            <v>44017.739999999903</v>
          </cell>
        </row>
        <row r="519">
          <cell r="A519" t="str">
            <v>PLN   Złoty</v>
          </cell>
          <cell r="E519" t="str">
            <v>KB Sprzed. bezpośrednia</v>
          </cell>
          <cell r="H519">
            <v>24</v>
          </cell>
          <cell r="J519">
            <v>985.12</v>
          </cell>
          <cell r="K519">
            <v>455.72</v>
          </cell>
          <cell r="L519">
            <v>0</v>
          </cell>
          <cell r="M519">
            <v>0</v>
          </cell>
          <cell r="N519">
            <v>455.72</v>
          </cell>
          <cell r="O519">
            <v>20774.830000000002</v>
          </cell>
          <cell r="Q519">
            <v>0</v>
          </cell>
          <cell r="R519">
            <v>20774.830000000002</v>
          </cell>
          <cell r="S519">
            <v>3386.9299999999898</v>
          </cell>
          <cell r="T519">
            <v>5.8799999999999901</v>
          </cell>
          <cell r="U519">
            <v>20780.709999999901</v>
          </cell>
        </row>
        <row r="520">
          <cell r="A520" t="str">
            <v>PLN   Złoty</v>
          </cell>
          <cell r="E520" t="str">
            <v>KB Sprzed. bezpośrednia</v>
          </cell>
          <cell r="H520">
            <v>25</v>
          </cell>
          <cell r="J520">
            <v>1054.5</v>
          </cell>
          <cell r="K520">
            <v>474.69999999999902</v>
          </cell>
          <cell r="L520">
            <v>1935.8499999999899</v>
          </cell>
          <cell r="M520">
            <v>0</v>
          </cell>
          <cell r="N520">
            <v>2410.5500000000002</v>
          </cell>
          <cell r="O520">
            <v>22960.709999999901</v>
          </cell>
          <cell r="Q520">
            <v>0</v>
          </cell>
          <cell r="R520">
            <v>22960.709999999901</v>
          </cell>
          <cell r="S520">
            <v>2903.04</v>
          </cell>
          <cell r="T520">
            <v>5.9299999999999899</v>
          </cell>
          <cell r="U520">
            <v>22966.639999999901</v>
          </cell>
        </row>
        <row r="521">
          <cell r="A521" t="str">
            <v>PLN   Złoty</v>
          </cell>
          <cell r="E521" t="str">
            <v>KB Sprzed. bezpośrednia</v>
          </cell>
          <cell r="H521">
            <v>24</v>
          </cell>
          <cell r="J521">
            <v>1042.0899999999899</v>
          </cell>
          <cell r="K521">
            <v>455.72</v>
          </cell>
          <cell r="L521">
            <v>1419.1199999999899</v>
          </cell>
          <cell r="M521">
            <v>0</v>
          </cell>
          <cell r="N521">
            <v>1874.8399999999899</v>
          </cell>
          <cell r="O521">
            <v>21632.77</v>
          </cell>
          <cell r="Q521">
            <v>0</v>
          </cell>
          <cell r="R521">
            <v>21632.77</v>
          </cell>
          <cell r="S521">
            <v>3927.23</v>
          </cell>
          <cell r="T521">
            <v>5.6799999999999899</v>
          </cell>
          <cell r="U521">
            <v>21638.45</v>
          </cell>
        </row>
        <row r="522">
          <cell r="A522" t="str">
            <v>PLN   Złoty</v>
          </cell>
          <cell r="E522" t="str">
            <v>KB Sprzed. bezpośrednia</v>
          </cell>
          <cell r="H522">
            <v>8</v>
          </cell>
          <cell r="J522">
            <v>334.19</v>
          </cell>
          <cell r="K522">
            <v>151.9</v>
          </cell>
          <cell r="L522">
            <v>0</v>
          </cell>
          <cell r="M522">
            <v>0</v>
          </cell>
          <cell r="N522">
            <v>151.9</v>
          </cell>
          <cell r="O522">
            <v>6724.6999999999898</v>
          </cell>
          <cell r="Q522">
            <v>0</v>
          </cell>
          <cell r="R522">
            <v>6724.6999999999898</v>
          </cell>
          <cell r="S522">
            <v>1472.5</v>
          </cell>
          <cell r="T522">
            <v>1.8899999999999899</v>
          </cell>
          <cell r="U522">
            <v>6726.59</v>
          </cell>
        </row>
        <row r="523">
          <cell r="A523" t="str">
            <v>PLN   Złoty</v>
          </cell>
          <cell r="E523" t="str">
            <v>KB Sprzed. bezpośrednia</v>
          </cell>
          <cell r="H523">
            <v>0</v>
          </cell>
          <cell r="J523">
            <v>-122.319999999999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-122.319999999999</v>
          </cell>
          <cell r="Q523">
            <v>0</v>
          </cell>
          <cell r="R523">
            <v>-122.319999999999</v>
          </cell>
          <cell r="S523">
            <v>-2877.6799999999898</v>
          </cell>
          <cell r="T523">
            <v>0</v>
          </cell>
          <cell r="U523">
            <v>-122.319999999999</v>
          </cell>
        </row>
        <row r="524">
          <cell r="A524" t="str">
            <v>PLN   Złoty</v>
          </cell>
          <cell r="E524" t="str">
            <v>KB Sprzed. bezpośrednia</v>
          </cell>
          <cell r="H524">
            <v>0</v>
          </cell>
          <cell r="J524">
            <v>0</v>
          </cell>
          <cell r="K524">
            <v>830</v>
          </cell>
          <cell r="L524">
            <v>0</v>
          </cell>
          <cell r="M524">
            <v>0</v>
          </cell>
          <cell r="N524">
            <v>830</v>
          </cell>
          <cell r="O524">
            <v>830</v>
          </cell>
          <cell r="Q524">
            <v>0</v>
          </cell>
          <cell r="R524">
            <v>830</v>
          </cell>
          <cell r="S524">
            <v>-830</v>
          </cell>
          <cell r="T524">
            <v>0</v>
          </cell>
          <cell r="U524">
            <v>830</v>
          </cell>
        </row>
        <row r="525">
          <cell r="A525" t="str">
            <v>PLN   Złoty</v>
          </cell>
          <cell r="E525" t="str">
            <v>KB Sprzed. bezpośrednia</v>
          </cell>
          <cell r="H525">
            <v>19.5</v>
          </cell>
          <cell r="J525">
            <v>570.50999999999897</v>
          </cell>
          <cell r="K525">
            <v>10109.059999999899</v>
          </cell>
          <cell r="L525">
            <v>0</v>
          </cell>
          <cell r="M525">
            <v>0</v>
          </cell>
          <cell r="N525">
            <v>10109.059999999899</v>
          </cell>
          <cell r="O525">
            <v>23989.5099999999</v>
          </cell>
          <cell r="Q525">
            <v>0</v>
          </cell>
          <cell r="R525">
            <v>23989.5099999999</v>
          </cell>
          <cell r="S525">
            <v>-9996.09</v>
          </cell>
          <cell r="T525">
            <v>4.0499999999999901</v>
          </cell>
          <cell r="U525">
            <v>23993.56</v>
          </cell>
        </row>
        <row r="526">
          <cell r="A526" t="str">
            <v>PLN   Złoty</v>
          </cell>
          <cell r="E526" t="str">
            <v>KB Sprzed. bezpośrednia</v>
          </cell>
          <cell r="H526">
            <v>24</v>
          </cell>
          <cell r="J526">
            <v>841.30999999999904</v>
          </cell>
          <cell r="K526">
            <v>235.28</v>
          </cell>
          <cell r="L526">
            <v>1779.1199999999899</v>
          </cell>
          <cell r="M526">
            <v>0</v>
          </cell>
          <cell r="N526">
            <v>2014.4</v>
          </cell>
          <cell r="O526">
            <v>17420.2599999999</v>
          </cell>
          <cell r="Q526">
            <v>0</v>
          </cell>
          <cell r="R526">
            <v>17420.2599999999</v>
          </cell>
          <cell r="S526">
            <v>3215.1799999999898</v>
          </cell>
          <cell r="T526">
            <v>4.4299999999999899</v>
          </cell>
          <cell r="U526">
            <v>17424.6899999999</v>
          </cell>
        </row>
        <row r="527">
          <cell r="A527" t="str">
            <v>PLN   Złoty</v>
          </cell>
          <cell r="E527" t="str">
            <v>KB Sprzed. bezpośrednia</v>
          </cell>
          <cell r="H527">
            <v>24</v>
          </cell>
          <cell r="J527">
            <v>843.85</v>
          </cell>
          <cell r="K527">
            <v>235.28</v>
          </cell>
          <cell r="L527">
            <v>1335.1199999999899</v>
          </cell>
          <cell r="M527">
            <v>0</v>
          </cell>
          <cell r="N527">
            <v>1570.4</v>
          </cell>
          <cell r="O527">
            <v>16978.799999999901</v>
          </cell>
          <cell r="Q527">
            <v>0</v>
          </cell>
          <cell r="R527">
            <v>16978.799999999901</v>
          </cell>
          <cell r="S527">
            <v>3719.04</v>
          </cell>
          <cell r="T527">
            <v>4.4299999999999899</v>
          </cell>
          <cell r="U527">
            <v>16983.23</v>
          </cell>
        </row>
        <row r="528">
          <cell r="A528" t="str">
            <v>PLN   Złoty</v>
          </cell>
          <cell r="E528" t="str">
            <v>KB Sprzed. bezpośrednia</v>
          </cell>
          <cell r="H528">
            <v>10</v>
          </cell>
          <cell r="J528">
            <v>330.94999999999902</v>
          </cell>
          <cell r="K528">
            <v>98.04</v>
          </cell>
          <cell r="L528">
            <v>0</v>
          </cell>
          <cell r="M528">
            <v>0</v>
          </cell>
          <cell r="N528">
            <v>98.04</v>
          </cell>
          <cell r="O528">
            <v>6497.55</v>
          </cell>
          <cell r="Q528">
            <v>0</v>
          </cell>
          <cell r="R528">
            <v>6497.55</v>
          </cell>
          <cell r="S528">
            <v>1620.45</v>
          </cell>
          <cell r="T528">
            <v>1.85</v>
          </cell>
          <cell r="U528">
            <v>6499.3999999999896</v>
          </cell>
        </row>
        <row r="529">
          <cell r="A529" t="str">
            <v>PLN   Złoty</v>
          </cell>
          <cell r="E529" t="str">
            <v>KB Sprzed. bezpośrednia</v>
          </cell>
          <cell r="H529">
            <v>24</v>
          </cell>
          <cell r="J529">
            <v>791.92999999999904</v>
          </cell>
          <cell r="K529">
            <v>235.28</v>
          </cell>
          <cell r="L529">
            <v>0</v>
          </cell>
          <cell r="M529">
            <v>0</v>
          </cell>
          <cell r="N529">
            <v>235.28</v>
          </cell>
          <cell r="O529">
            <v>16410.16</v>
          </cell>
          <cell r="Q529">
            <v>0</v>
          </cell>
          <cell r="R529">
            <v>16410.16</v>
          </cell>
          <cell r="S529">
            <v>3014</v>
          </cell>
          <cell r="T529">
            <v>4.6799999999999899</v>
          </cell>
          <cell r="U529">
            <v>16414.84</v>
          </cell>
        </row>
        <row r="530">
          <cell r="A530" t="str">
            <v>PLN   Złoty</v>
          </cell>
          <cell r="E530" t="str">
            <v>KB Sprzed. bezpośrednia</v>
          </cell>
          <cell r="H530">
            <v>22</v>
          </cell>
          <cell r="J530">
            <v>775.91999999999905</v>
          </cell>
          <cell r="K530">
            <v>215.68</v>
          </cell>
          <cell r="L530">
            <v>1361.14</v>
          </cell>
          <cell r="M530">
            <v>0</v>
          </cell>
          <cell r="N530">
            <v>1576.8199999999899</v>
          </cell>
          <cell r="O530">
            <v>15703.57</v>
          </cell>
          <cell r="Q530">
            <v>0</v>
          </cell>
          <cell r="R530">
            <v>15703.57</v>
          </cell>
          <cell r="S530">
            <v>3326.4299999999898</v>
          </cell>
          <cell r="T530">
            <v>4.0499999999999901</v>
          </cell>
          <cell r="U530">
            <v>15707.62</v>
          </cell>
        </row>
        <row r="531">
          <cell r="A531" t="str">
            <v>PLN   Złoty</v>
          </cell>
          <cell r="E531" t="str">
            <v>KB Sprzed. bezpośrednia</v>
          </cell>
          <cell r="H531">
            <v>48</v>
          </cell>
          <cell r="J531">
            <v>1634.8199999999899</v>
          </cell>
          <cell r="K531">
            <v>470.56</v>
          </cell>
          <cell r="L531">
            <v>1200.96</v>
          </cell>
          <cell r="M531">
            <v>0</v>
          </cell>
          <cell r="N531">
            <v>1671.52</v>
          </cell>
          <cell r="O531">
            <v>32435.4399999999</v>
          </cell>
          <cell r="Q531">
            <v>0</v>
          </cell>
          <cell r="R531">
            <v>32435.4399999999</v>
          </cell>
          <cell r="S531">
            <v>7662.56</v>
          </cell>
          <cell r="T531">
            <v>8.8499999999999908</v>
          </cell>
          <cell r="U531">
            <v>32444.29</v>
          </cell>
        </row>
        <row r="532">
          <cell r="A532" t="str">
            <v>PLN   Złoty</v>
          </cell>
          <cell r="E532" t="str">
            <v>KB Sprzed. bezpośrednia</v>
          </cell>
          <cell r="H532">
            <v>72</v>
          </cell>
          <cell r="J532">
            <v>2478.67</v>
          </cell>
          <cell r="K532">
            <v>705.82</v>
          </cell>
          <cell r="L532">
            <v>2399.52</v>
          </cell>
          <cell r="M532">
            <v>0</v>
          </cell>
          <cell r="N532">
            <v>3105.34</v>
          </cell>
          <cell r="O532">
            <v>49277.66</v>
          </cell>
          <cell r="Q532">
            <v>0</v>
          </cell>
          <cell r="R532">
            <v>49277.66</v>
          </cell>
          <cell r="S532">
            <v>11517.94</v>
          </cell>
          <cell r="T532">
            <v>13.2799999999999</v>
          </cell>
          <cell r="U532">
            <v>49290.94</v>
          </cell>
        </row>
        <row r="533">
          <cell r="A533" t="str">
            <v>PLN   Złoty</v>
          </cell>
          <cell r="E533" t="str">
            <v>KB Sprzed. bezpośrednia</v>
          </cell>
          <cell r="H533">
            <v>72</v>
          </cell>
          <cell r="J533">
            <v>2534.1599999999899</v>
          </cell>
          <cell r="K533">
            <v>705.82</v>
          </cell>
          <cell r="L533">
            <v>2706.2399999999898</v>
          </cell>
          <cell r="M533">
            <v>0</v>
          </cell>
          <cell r="N533">
            <v>3412.0599999999899</v>
          </cell>
          <cell r="O533">
            <v>52094.98</v>
          </cell>
          <cell r="Q533">
            <v>0</v>
          </cell>
          <cell r="R533">
            <v>52094.98</v>
          </cell>
          <cell r="S533">
            <v>10060.700000000001</v>
          </cell>
          <cell r="T533">
            <v>14.02</v>
          </cell>
          <cell r="U533">
            <v>52109</v>
          </cell>
        </row>
        <row r="534">
          <cell r="A534" t="str">
            <v>PLN   Złoty</v>
          </cell>
          <cell r="E534" t="str">
            <v>KB Sprzed. bezpośrednia</v>
          </cell>
          <cell r="H534">
            <v>8</v>
          </cell>
          <cell r="J534">
            <v>270.43</v>
          </cell>
          <cell r="K534">
            <v>78.42</v>
          </cell>
          <cell r="L534">
            <v>0</v>
          </cell>
          <cell r="M534">
            <v>0</v>
          </cell>
          <cell r="N534">
            <v>78.42</v>
          </cell>
          <cell r="O534">
            <v>5203.6999999999898</v>
          </cell>
          <cell r="Q534">
            <v>0</v>
          </cell>
          <cell r="R534">
            <v>5203.6999999999898</v>
          </cell>
          <cell r="S534">
            <v>1429.5799999999899</v>
          </cell>
          <cell r="T534">
            <v>1.48</v>
          </cell>
          <cell r="U534">
            <v>5205.18</v>
          </cell>
        </row>
        <row r="535">
          <cell r="A535" t="str">
            <v>PLN   Złoty</v>
          </cell>
          <cell r="E535" t="str">
            <v>KB Sprzed. bezpośrednia</v>
          </cell>
          <cell r="H535">
            <v>72</v>
          </cell>
          <cell r="J535">
            <v>2530.7399999999898</v>
          </cell>
          <cell r="K535">
            <v>705.82</v>
          </cell>
          <cell r="L535">
            <v>3602.88</v>
          </cell>
          <cell r="M535">
            <v>0</v>
          </cell>
          <cell r="N535">
            <v>4308.6999999999898</v>
          </cell>
          <cell r="O535">
            <v>50533.15</v>
          </cell>
          <cell r="Q535">
            <v>0</v>
          </cell>
          <cell r="R535">
            <v>50533.15</v>
          </cell>
          <cell r="S535">
            <v>11539.25</v>
          </cell>
          <cell r="T535">
            <v>13.2799999999999</v>
          </cell>
          <cell r="U535">
            <v>50546.43</v>
          </cell>
        </row>
        <row r="536">
          <cell r="A536" t="str">
            <v>PLN   Złoty</v>
          </cell>
          <cell r="E536" t="str">
            <v>KB Sprzed. bezpośrednia</v>
          </cell>
          <cell r="H536">
            <v>24</v>
          </cell>
          <cell r="J536">
            <v>843.85</v>
          </cell>
          <cell r="K536">
            <v>235.28</v>
          </cell>
          <cell r="L536">
            <v>1300.8</v>
          </cell>
          <cell r="M536">
            <v>0</v>
          </cell>
          <cell r="N536">
            <v>1536.0799999999899</v>
          </cell>
          <cell r="O536">
            <v>16944.48</v>
          </cell>
          <cell r="Q536">
            <v>0</v>
          </cell>
          <cell r="R536">
            <v>16944.48</v>
          </cell>
          <cell r="S536">
            <v>3753.36</v>
          </cell>
          <cell r="T536">
            <v>4.4299999999999899</v>
          </cell>
          <cell r="U536">
            <v>16948.91</v>
          </cell>
        </row>
        <row r="537">
          <cell r="A537" t="str">
            <v>PLN   Złoty</v>
          </cell>
          <cell r="E537" t="str">
            <v>KB Sprzed. bezpośrednia</v>
          </cell>
          <cell r="H537">
            <v>32</v>
          </cell>
          <cell r="J537">
            <v>1102.78</v>
          </cell>
          <cell r="K537">
            <v>313.69999999999902</v>
          </cell>
          <cell r="L537">
            <v>1971.1199999999899</v>
          </cell>
          <cell r="M537">
            <v>0</v>
          </cell>
          <cell r="N537">
            <v>2284.8200000000002</v>
          </cell>
          <cell r="O537">
            <v>22807</v>
          </cell>
          <cell r="Q537">
            <v>0</v>
          </cell>
          <cell r="R537">
            <v>22807</v>
          </cell>
          <cell r="S537">
            <v>4239.8</v>
          </cell>
          <cell r="T537">
            <v>5.91</v>
          </cell>
          <cell r="U537">
            <v>22812.91</v>
          </cell>
        </row>
        <row r="538">
          <cell r="A538" t="str">
            <v>PLN   Złoty</v>
          </cell>
          <cell r="E538" t="str">
            <v>KB Sprzed. bezpośrednia</v>
          </cell>
          <cell r="H538">
            <v>48</v>
          </cell>
          <cell r="J538">
            <v>1698.73</v>
          </cell>
          <cell r="K538">
            <v>470.56</v>
          </cell>
          <cell r="L538">
            <v>3003.84</v>
          </cell>
          <cell r="M538">
            <v>0</v>
          </cell>
          <cell r="N538">
            <v>3474.4</v>
          </cell>
          <cell r="O538">
            <v>34302.230000000003</v>
          </cell>
          <cell r="Q538">
            <v>0</v>
          </cell>
          <cell r="R538">
            <v>34302.230000000003</v>
          </cell>
          <cell r="S538">
            <v>7363.21</v>
          </cell>
          <cell r="T538">
            <v>8.8499999999999908</v>
          </cell>
          <cell r="U538">
            <v>34311.08</v>
          </cell>
        </row>
        <row r="539">
          <cell r="A539" t="str">
            <v>PLN   Złoty</v>
          </cell>
          <cell r="E539" t="str">
            <v>KB Sprzed. bezpośrednia</v>
          </cell>
          <cell r="H539">
            <v>24</v>
          </cell>
          <cell r="J539">
            <v>837.94</v>
          </cell>
          <cell r="K539">
            <v>235.28</v>
          </cell>
          <cell r="L539">
            <v>1419.1199999999899</v>
          </cell>
          <cell r="M539">
            <v>0</v>
          </cell>
          <cell r="N539">
            <v>1654.4</v>
          </cell>
          <cell r="O539">
            <v>17056.889999999901</v>
          </cell>
          <cell r="Q539">
            <v>0</v>
          </cell>
          <cell r="R539">
            <v>17056.889999999901</v>
          </cell>
          <cell r="S539">
            <v>3495.51</v>
          </cell>
          <cell r="T539">
            <v>4.4299999999999899</v>
          </cell>
          <cell r="U539">
            <v>17061.32</v>
          </cell>
        </row>
        <row r="540">
          <cell r="A540" t="str">
            <v>PLN   Złoty</v>
          </cell>
          <cell r="E540" t="str">
            <v>KB Sprzed. bezpośrednia</v>
          </cell>
          <cell r="H540">
            <v>25</v>
          </cell>
          <cell r="J540">
            <v>858.71</v>
          </cell>
          <cell r="K540">
            <v>245.069999999999</v>
          </cell>
          <cell r="L540">
            <v>1935.8499999999899</v>
          </cell>
          <cell r="M540">
            <v>0</v>
          </cell>
          <cell r="N540">
            <v>2180.92</v>
          </cell>
          <cell r="O540">
            <v>18211.029999999901</v>
          </cell>
          <cell r="Q540">
            <v>0</v>
          </cell>
          <cell r="R540">
            <v>18211.029999999901</v>
          </cell>
          <cell r="S540">
            <v>2850.4699999999898</v>
          </cell>
          <cell r="T540">
            <v>4.6100000000000003</v>
          </cell>
          <cell r="U540">
            <v>18215.639999999901</v>
          </cell>
        </row>
        <row r="541">
          <cell r="A541" t="str">
            <v>PLN   Złoty</v>
          </cell>
          <cell r="E541" t="str">
            <v>KB Sprzed. bezpośrednia</v>
          </cell>
          <cell r="H541">
            <v>72</v>
          </cell>
          <cell r="J541">
            <v>2378.23</v>
          </cell>
          <cell r="K541">
            <v>705.82</v>
          </cell>
          <cell r="L541">
            <v>0</v>
          </cell>
          <cell r="M541">
            <v>0</v>
          </cell>
          <cell r="N541">
            <v>705.82</v>
          </cell>
          <cell r="O541">
            <v>49232.809999999903</v>
          </cell>
          <cell r="Q541">
            <v>0</v>
          </cell>
          <cell r="R541">
            <v>49232.809999999903</v>
          </cell>
          <cell r="S541">
            <v>9098.70999999999</v>
          </cell>
          <cell r="T541">
            <v>14.02</v>
          </cell>
          <cell r="U541">
            <v>49246.83</v>
          </cell>
        </row>
        <row r="542">
          <cell r="A542" t="str">
            <v>PLN   Złoty</v>
          </cell>
          <cell r="E542" t="str">
            <v>KB Sprzed. bezpośrednia</v>
          </cell>
          <cell r="H542">
            <v>48</v>
          </cell>
          <cell r="J542">
            <v>1685.18</v>
          </cell>
          <cell r="K542">
            <v>470.56</v>
          </cell>
          <cell r="L542">
            <v>2212.8000000000002</v>
          </cell>
          <cell r="M542">
            <v>0</v>
          </cell>
          <cell r="N542">
            <v>2683.36</v>
          </cell>
          <cell r="O542">
            <v>33497.639999999898</v>
          </cell>
          <cell r="Q542">
            <v>0</v>
          </cell>
          <cell r="R542">
            <v>33497.639999999898</v>
          </cell>
          <cell r="S542">
            <v>7835.64</v>
          </cell>
          <cell r="T542">
            <v>8.8499999999999908</v>
          </cell>
          <cell r="U542">
            <v>33506.489999999903</v>
          </cell>
        </row>
        <row r="543">
          <cell r="A543" t="str">
            <v>PLN   Złoty</v>
          </cell>
          <cell r="E543" t="str">
            <v>KB Sprzed. bezpośrednia</v>
          </cell>
          <cell r="H543">
            <v>24</v>
          </cell>
          <cell r="J543">
            <v>797.55999999999904</v>
          </cell>
          <cell r="K543">
            <v>235.28</v>
          </cell>
          <cell r="L543">
            <v>0</v>
          </cell>
          <cell r="M543">
            <v>0</v>
          </cell>
          <cell r="N543">
            <v>235.28</v>
          </cell>
          <cell r="O543">
            <v>16415.7599999999</v>
          </cell>
          <cell r="Q543">
            <v>0</v>
          </cell>
          <cell r="R543">
            <v>16415.7599999999</v>
          </cell>
          <cell r="S543">
            <v>3146.1599999999899</v>
          </cell>
          <cell r="T543">
            <v>4.6799999999999899</v>
          </cell>
          <cell r="U543">
            <v>16420.4399999999</v>
          </cell>
        </row>
        <row r="544">
          <cell r="A544" t="str">
            <v>PLN   Złoty</v>
          </cell>
          <cell r="E544" t="str">
            <v>KB Sprzed. bezpośrednia</v>
          </cell>
          <cell r="H544">
            <v>24</v>
          </cell>
          <cell r="J544">
            <v>797.55999999999904</v>
          </cell>
          <cell r="K544">
            <v>235.28</v>
          </cell>
          <cell r="L544">
            <v>0</v>
          </cell>
          <cell r="M544">
            <v>0</v>
          </cell>
          <cell r="N544">
            <v>235.28</v>
          </cell>
          <cell r="O544">
            <v>16415.7599999999</v>
          </cell>
          <cell r="Q544">
            <v>0</v>
          </cell>
          <cell r="R544">
            <v>16415.7599999999</v>
          </cell>
          <cell r="S544">
            <v>3146.1599999999899</v>
          </cell>
          <cell r="T544">
            <v>4.6799999999999899</v>
          </cell>
          <cell r="U544">
            <v>16420.4399999999</v>
          </cell>
        </row>
        <row r="545">
          <cell r="A545" t="str">
            <v>PLN   Złoty</v>
          </cell>
          <cell r="E545" t="str">
            <v>KB Sprzed. bezpośrednia</v>
          </cell>
          <cell r="H545">
            <v>24</v>
          </cell>
          <cell r="J545">
            <v>835.38999999999896</v>
          </cell>
          <cell r="K545">
            <v>235.28</v>
          </cell>
          <cell r="L545">
            <v>1637.28</v>
          </cell>
          <cell r="M545">
            <v>0</v>
          </cell>
          <cell r="N545">
            <v>1872.5599999999899</v>
          </cell>
          <cell r="O545">
            <v>17272.5</v>
          </cell>
          <cell r="Q545">
            <v>0</v>
          </cell>
          <cell r="R545">
            <v>17272.5</v>
          </cell>
          <cell r="S545">
            <v>3217.7399999999898</v>
          </cell>
          <cell r="T545">
            <v>4.4299999999999899</v>
          </cell>
          <cell r="U545">
            <v>17276.93</v>
          </cell>
        </row>
        <row r="546">
          <cell r="A546" t="str">
            <v>PLN   Złoty</v>
          </cell>
          <cell r="E546" t="str">
            <v>KB Sprzed. bezpośrednia</v>
          </cell>
          <cell r="H546">
            <v>216</v>
          </cell>
          <cell r="J546">
            <v>7580.3599999999897</v>
          </cell>
          <cell r="K546">
            <v>2117.42</v>
          </cell>
          <cell r="L546">
            <v>15570.24</v>
          </cell>
          <cell r="M546">
            <v>0</v>
          </cell>
          <cell r="N546">
            <v>17687.66</v>
          </cell>
          <cell r="O546">
            <v>156348.97</v>
          </cell>
          <cell r="Q546">
            <v>0</v>
          </cell>
          <cell r="R546">
            <v>156348.97</v>
          </cell>
          <cell r="S546">
            <v>29577.83</v>
          </cell>
          <cell r="T546">
            <v>39.82</v>
          </cell>
          <cell r="U546">
            <v>156388.79</v>
          </cell>
        </row>
        <row r="547">
          <cell r="A547" t="str">
            <v>PLN   Złoty</v>
          </cell>
          <cell r="E547" t="str">
            <v>KB Sprzed. bezpośrednia</v>
          </cell>
          <cell r="H547">
            <v>107</v>
          </cell>
          <cell r="J547">
            <v>3964.07</v>
          </cell>
          <cell r="K547">
            <v>529.64999999999895</v>
          </cell>
          <cell r="L547">
            <v>3123.9499999999898</v>
          </cell>
          <cell r="M547">
            <v>0</v>
          </cell>
          <cell r="N547">
            <v>3653.5999999999899</v>
          </cell>
          <cell r="O547">
            <v>82421.100000000006</v>
          </cell>
          <cell r="Q547">
            <v>0</v>
          </cell>
          <cell r="R547">
            <v>82421.100000000006</v>
          </cell>
          <cell r="S547">
            <v>14808.62</v>
          </cell>
          <cell r="T547">
            <v>168.83</v>
          </cell>
          <cell r="U547">
            <v>82589.929999999906</v>
          </cell>
        </row>
        <row r="548">
          <cell r="A548" t="str">
            <v>PLN   Złoty</v>
          </cell>
          <cell r="E548" t="str">
            <v>KB Sprzed. bezpośrednia</v>
          </cell>
          <cell r="H548">
            <v>72</v>
          </cell>
          <cell r="J548">
            <v>2803.3899999999899</v>
          </cell>
          <cell r="K548">
            <v>356.38999999999902</v>
          </cell>
          <cell r="L548">
            <v>4914</v>
          </cell>
          <cell r="M548">
            <v>0</v>
          </cell>
          <cell r="N548">
            <v>5270.39</v>
          </cell>
          <cell r="O548">
            <v>58408.800000000003</v>
          </cell>
          <cell r="Q548">
            <v>0</v>
          </cell>
          <cell r="R548">
            <v>58408.800000000003</v>
          </cell>
          <cell r="S548">
            <v>10351.200000000001</v>
          </cell>
          <cell r="T548">
            <v>113.61</v>
          </cell>
          <cell r="U548">
            <v>58522.41</v>
          </cell>
        </row>
        <row r="549">
          <cell r="A549" t="str">
            <v>PLN   Złoty</v>
          </cell>
          <cell r="E549" t="str">
            <v>KB Sprzed. bezpośrednia</v>
          </cell>
          <cell r="H549">
            <v>24</v>
          </cell>
          <cell r="J549">
            <v>934.48</v>
          </cell>
          <cell r="K549">
            <v>118.8</v>
          </cell>
          <cell r="L549">
            <v>1637.28</v>
          </cell>
          <cell r="M549">
            <v>0</v>
          </cell>
          <cell r="N549">
            <v>1756.0799999999899</v>
          </cell>
          <cell r="O549">
            <v>19865.97</v>
          </cell>
          <cell r="Q549">
            <v>0</v>
          </cell>
          <cell r="R549">
            <v>19865.97</v>
          </cell>
          <cell r="S549">
            <v>3054.03</v>
          </cell>
          <cell r="T549">
            <v>38.759999999999899</v>
          </cell>
          <cell r="U549">
            <v>19904.73</v>
          </cell>
        </row>
        <row r="550">
          <cell r="A550" t="str">
            <v>PLN   Złoty</v>
          </cell>
          <cell r="E550" t="str">
            <v>KB Sprzed. bezpośrednia</v>
          </cell>
          <cell r="H550">
            <v>48</v>
          </cell>
          <cell r="J550">
            <v>1780.8699999999899</v>
          </cell>
          <cell r="K550">
            <v>237.59</v>
          </cell>
          <cell r="L550">
            <v>0</v>
          </cell>
          <cell r="M550">
            <v>0</v>
          </cell>
          <cell r="N550">
            <v>237.59</v>
          </cell>
          <cell r="O550">
            <v>35575.139999999898</v>
          </cell>
          <cell r="Q550">
            <v>0</v>
          </cell>
          <cell r="R550">
            <v>35575.139999999898</v>
          </cell>
          <cell r="S550">
            <v>8104.8599999999897</v>
          </cell>
          <cell r="T550">
            <v>75.739999999999895</v>
          </cell>
          <cell r="U550">
            <v>35650.879999999903</v>
          </cell>
        </row>
        <row r="551">
          <cell r="A551" t="str">
            <v>PLN   Złoty</v>
          </cell>
          <cell r="E551" t="str">
            <v>KB Sprzed. bezpośrednia</v>
          </cell>
          <cell r="H551">
            <v>24</v>
          </cell>
          <cell r="J551">
            <v>934.48</v>
          </cell>
          <cell r="K551">
            <v>118.8</v>
          </cell>
          <cell r="L551">
            <v>688.55999999999904</v>
          </cell>
          <cell r="M551">
            <v>0</v>
          </cell>
          <cell r="N551">
            <v>807.36</v>
          </cell>
          <cell r="O551">
            <v>18520.18</v>
          </cell>
          <cell r="Q551">
            <v>0</v>
          </cell>
          <cell r="R551">
            <v>18520.18</v>
          </cell>
          <cell r="S551">
            <v>4399.8199999999897</v>
          </cell>
          <cell r="T551">
            <v>37.869999999999898</v>
          </cell>
          <cell r="U551">
            <v>18558.049999999901</v>
          </cell>
        </row>
        <row r="552">
          <cell r="A552" t="str">
            <v>PLN   Złoty</v>
          </cell>
          <cell r="E552" t="str">
            <v>KB Sprzed. bezpośrednia</v>
          </cell>
          <cell r="H552">
            <v>97</v>
          </cell>
          <cell r="J552">
            <v>3756.4299999999898</v>
          </cell>
          <cell r="K552">
            <v>480.14999999999901</v>
          </cell>
          <cell r="L552">
            <v>6498.1099999999897</v>
          </cell>
          <cell r="M552">
            <v>0</v>
          </cell>
          <cell r="N552">
            <v>6978.26</v>
          </cell>
          <cell r="O552">
            <v>78547.149999999907</v>
          </cell>
          <cell r="Q552">
            <v>0</v>
          </cell>
          <cell r="R552">
            <v>78547.149999999907</v>
          </cell>
          <cell r="S552">
            <v>13587.85</v>
          </cell>
          <cell r="T552">
            <v>153.05000000000001</v>
          </cell>
          <cell r="U552">
            <v>78700.199999999895</v>
          </cell>
        </row>
        <row r="553">
          <cell r="A553" t="str">
            <v>PLN   Złoty</v>
          </cell>
          <cell r="E553" t="str">
            <v>KB Sprzed. bezpośrednia</v>
          </cell>
          <cell r="H553">
            <v>24</v>
          </cell>
          <cell r="J553">
            <v>934.48</v>
          </cell>
          <cell r="K553">
            <v>118.8</v>
          </cell>
          <cell r="L553">
            <v>1253.52</v>
          </cell>
          <cell r="M553">
            <v>0</v>
          </cell>
          <cell r="N553">
            <v>1372.3199999999899</v>
          </cell>
          <cell r="O553">
            <v>19085.139999999901</v>
          </cell>
          <cell r="Q553">
            <v>0</v>
          </cell>
          <cell r="R553">
            <v>19085.139999999901</v>
          </cell>
          <cell r="S553">
            <v>3834.86</v>
          </cell>
          <cell r="T553">
            <v>37.869999999999898</v>
          </cell>
          <cell r="U553">
            <v>19123.0099999999</v>
          </cell>
        </row>
        <row r="554">
          <cell r="A554" t="str">
            <v>PLN   Złoty</v>
          </cell>
          <cell r="E554" t="str">
            <v>KB Sprzed. bezpośrednia</v>
          </cell>
          <cell r="H554">
            <v>73</v>
          </cell>
          <cell r="J554">
            <v>2821.9299999999898</v>
          </cell>
          <cell r="K554">
            <v>361.33999999999901</v>
          </cell>
          <cell r="L554">
            <v>2894.1599999999899</v>
          </cell>
          <cell r="M554">
            <v>0</v>
          </cell>
          <cell r="N554">
            <v>3255.5</v>
          </cell>
          <cell r="O554">
            <v>57111.55</v>
          </cell>
          <cell r="Q554">
            <v>0</v>
          </cell>
          <cell r="R554">
            <v>57111.55</v>
          </cell>
          <cell r="S554">
            <v>12103.45</v>
          </cell>
          <cell r="T554">
            <v>115.18</v>
          </cell>
          <cell r="U554">
            <v>57226.73</v>
          </cell>
        </row>
        <row r="555">
          <cell r="A555" t="str">
            <v>PLN   Złoty</v>
          </cell>
          <cell r="E555" t="str">
            <v>KB Sprzed. bezpośrednia</v>
          </cell>
          <cell r="H555">
            <v>72</v>
          </cell>
          <cell r="J555">
            <v>2720.17</v>
          </cell>
          <cell r="K555">
            <v>356.38999999999902</v>
          </cell>
          <cell r="L555">
            <v>5863.1999999999898</v>
          </cell>
          <cell r="M555">
            <v>0</v>
          </cell>
          <cell r="N555">
            <v>6219.59</v>
          </cell>
          <cell r="O555">
            <v>59274.779999999897</v>
          </cell>
          <cell r="Q555">
            <v>0</v>
          </cell>
          <cell r="R555">
            <v>59274.779999999897</v>
          </cell>
          <cell r="S555">
            <v>7445.22</v>
          </cell>
          <cell r="T555">
            <v>113.61</v>
          </cell>
          <cell r="U555">
            <v>59388.389999999898</v>
          </cell>
        </row>
        <row r="556">
          <cell r="A556" t="str">
            <v>PLN   Złoty</v>
          </cell>
          <cell r="E556" t="str">
            <v>KB Sprzed. bezpośrednia</v>
          </cell>
          <cell r="H556">
            <v>24</v>
          </cell>
          <cell r="J556">
            <v>934.48</v>
          </cell>
          <cell r="K556">
            <v>118.8</v>
          </cell>
          <cell r="L556">
            <v>1931.52</v>
          </cell>
          <cell r="M556">
            <v>0</v>
          </cell>
          <cell r="N556">
            <v>2050.3200000000002</v>
          </cell>
          <cell r="O556">
            <v>19763.139999999901</v>
          </cell>
          <cell r="Q556">
            <v>0</v>
          </cell>
          <cell r="R556">
            <v>19763.139999999901</v>
          </cell>
          <cell r="S556">
            <v>3156.86</v>
          </cell>
          <cell r="T556">
            <v>37.869999999999898</v>
          </cell>
          <cell r="U556">
            <v>19801.0099999999</v>
          </cell>
        </row>
        <row r="557">
          <cell r="A557" t="str">
            <v>PLN   Złoty</v>
          </cell>
          <cell r="E557" t="str">
            <v>KB Sprzed. bezpośrednia</v>
          </cell>
          <cell r="H557">
            <v>96</v>
          </cell>
          <cell r="J557">
            <v>3543.04</v>
          </cell>
          <cell r="K557">
            <v>475.19999999999902</v>
          </cell>
          <cell r="L557">
            <v>0</v>
          </cell>
          <cell r="M557">
            <v>0</v>
          </cell>
          <cell r="N557">
            <v>475.19999999999902</v>
          </cell>
          <cell r="O557">
            <v>71131.600000000006</v>
          </cell>
          <cell r="Q557">
            <v>0</v>
          </cell>
          <cell r="R557">
            <v>71131.600000000006</v>
          </cell>
          <cell r="S557">
            <v>15769.76</v>
          </cell>
          <cell r="T557">
            <v>151.47</v>
          </cell>
          <cell r="U557">
            <v>71283.070000000007</v>
          </cell>
        </row>
        <row r="558">
          <cell r="A558" t="str">
            <v>PLN   Złoty</v>
          </cell>
          <cell r="E558" t="str">
            <v>KB Sprzed. bezpośrednia</v>
          </cell>
          <cell r="H558">
            <v>24</v>
          </cell>
          <cell r="J558">
            <v>927.95</v>
          </cell>
          <cell r="K558">
            <v>118.8</v>
          </cell>
          <cell r="L558">
            <v>1379.76</v>
          </cell>
          <cell r="M558">
            <v>0</v>
          </cell>
          <cell r="N558">
            <v>1498.5599999999899</v>
          </cell>
          <cell r="O558">
            <v>19601.9199999999</v>
          </cell>
          <cell r="Q558">
            <v>0</v>
          </cell>
          <cell r="R558">
            <v>19601.9199999999</v>
          </cell>
          <cell r="S558">
            <v>3157.76</v>
          </cell>
          <cell r="T558">
            <v>38.759999999999899</v>
          </cell>
          <cell r="U558">
            <v>19640.68</v>
          </cell>
        </row>
        <row r="559">
          <cell r="A559" t="str">
            <v>PLN   Złoty</v>
          </cell>
          <cell r="E559" t="str">
            <v>KB Sprzed. bezpośrednia</v>
          </cell>
          <cell r="H559">
            <v>216</v>
          </cell>
          <cell r="J559">
            <v>7982.6999999999898</v>
          </cell>
          <cell r="K559">
            <v>1069.19</v>
          </cell>
          <cell r="L559">
            <v>0</v>
          </cell>
          <cell r="M559">
            <v>0</v>
          </cell>
          <cell r="N559">
            <v>1069.19</v>
          </cell>
          <cell r="O559">
            <v>160056.95000000001</v>
          </cell>
          <cell r="Q559">
            <v>0</v>
          </cell>
          <cell r="R559">
            <v>160056.95000000001</v>
          </cell>
          <cell r="S559">
            <v>35738.65</v>
          </cell>
          <cell r="T559">
            <v>340.81999999999903</v>
          </cell>
          <cell r="U559">
            <v>160397.769999999</v>
          </cell>
        </row>
        <row r="560">
          <cell r="A560" t="str">
            <v>PLN   Złoty</v>
          </cell>
          <cell r="E560" t="str">
            <v>KB Sprzed. bezpośrednia</v>
          </cell>
          <cell r="H560">
            <v>48</v>
          </cell>
          <cell r="J560">
            <v>1755.0599999999899</v>
          </cell>
          <cell r="K560">
            <v>237.59</v>
          </cell>
          <cell r="L560">
            <v>1030.0799999999899</v>
          </cell>
          <cell r="M560">
            <v>0</v>
          </cell>
          <cell r="N560">
            <v>1267.67</v>
          </cell>
          <cell r="O560">
            <v>36579.410000000003</v>
          </cell>
          <cell r="Q560">
            <v>0</v>
          </cell>
          <cell r="R560">
            <v>36579.410000000003</v>
          </cell>
          <cell r="S560">
            <v>6467.71</v>
          </cell>
          <cell r="T560">
            <v>75.739999999999895</v>
          </cell>
          <cell r="U560">
            <v>36655.15</v>
          </cell>
        </row>
        <row r="561">
          <cell r="A561" t="str">
            <v>PLN   Złoty</v>
          </cell>
          <cell r="E561" t="str">
            <v>KB Sprzed. bezpośrednia</v>
          </cell>
          <cell r="H561">
            <v>24</v>
          </cell>
          <cell r="J561">
            <v>927.95</v>
          </cell>
          <cell r="K561">
            <v>118.8</v>
          </cell>
          <cell r="L561">
            <v>1030.0799999999899</v>
          </cell>
          <cell r="M561">
            <v>0</v>
          </cell>
          <cell r="N561">
            <v>1148.8800000000001</v>
          </cell>
          <cell r="O561">
            <v>19252.240000000002</v>
          </cell>
          <cell r="Q561">
            <v>0</v>
          </cell>
          <cell r="R561">
            <v>19252.240000000002</v>
          </cell>
          <cell r="S561">
            <v>3507.44</v>
          </cell>
          <cell r="T561">
            <v>38.759999999999899</v>
          </cell>
          <cell r="U561">
            <v>19291</v>
          </cell>
        </row>
        <row r="562">
          <cell r="A562" t="str">
            <v>PLN   Złoty</v>
          </cell>
          <cell r="E562" t="str">
            <v>KB Sprzed. bezpośrednia</v>
          </cell>
          <cell r="H562">
            <v>118.5</v>
          </cell>
          <cell r="J562">
            <v>4613.9499999999898</v>
          </cell>
          <cell r="K562">
            <v>586.57000000000005</v>
          </cell>
          <cell r="L562">
            <v>6328.14</v>
          </cell>
          <cell r="M562">
            <v>0</v>
          </cell>
          <cell r="N562">
            <v>6914.71</v>
          </cell>
          <cell r="O562">
            <v>96332.24</v>
          </cell>
          <cell r="Q562">
            <v>0</v>
          </cell>
          <cell r="R562">
            <v>96332.24</v>
          </cell>
          <cell r="S562">
            <v>16835.2599999999</v>
          </cell>
          <cell r="T562">
            <v>191.41</v>
          </cell>
          <cell r="U562">
            <v>96523.649999999907</v>
          </cell>
        </row>
        <row r="563">
          <cell r="A563" t="str">
            <v>PLN   Złoty</v>
          </cell>
          <cell r="E563" t="str">
            <v>KB Sprzed. bezpośrednia</v>
          </cell>
          <cell r="H563">
            <v>1876</v>
          </cell>
          <cell r="J563">
            <v>70896.059999999896</v>
          </cell>
          <cell r="K563">
            <v>9286.1200000000008</v>
          </cell>
          <cell r="L563">
            <v>128217.02</v>
          </cell>
          <cell r="M563">
            <v>0</v>
          </cell>
          <cell r="N563">
            <v>137503.14000000001</v>
          </cell>
          <cell r="O563">
            <v>1519271.9099999899</v>
          </cell>
          <cell r="Q563">
            <v>0</v>
          </cell>
          <cell r="R563">
            <v>1519271.9099999899</v>
          </cell>
          <cell r="S563">
            <v>219628.13</v>
          </cell>
          <cell r="T563">
            <v>2958.65</v>
          </cell>
          <cell r="U563">
            <v>1522230.56</v>
          </cell>
        </row>
        <row r="564">
          <cell r="A564" t="str">
            <v>PLN   Złoty</v>
          </cell>
          <cell r="E564" t="str">
            <v>KB Sprzed. bezpośrednia</v>
          </cell>
          <cell r="H564">
            <v>47.52</v>
          </cell>
          <cell r="J564">
            <v>1704.91</v>
          </cell>
          <cell r="K564">
            <v>235.22</v>
          </cell>
          <cell r="L564">
            <v>0</v>
          </cell>
          <cell r="M564">
            <v>0</v>
          </cell>
          <cell r="N564">
            <v>235.22</v>
          </cell>
          <cell r="O564">
            <v>34071.550000000003</v>
          </cell>
          <cell r="Q564">
            <v>0</v>
          </cell>
          <cell r="R564">
            <v>34071.550000000003</v>
          </cell>
          <cell r="S564">
            <v>7746.05</v>
          </cell>
          <cell r="T564">
            <v>72.519999999999897</v>
          </cell>
          <cell r="U564">
            <v>34144.07</v>
          </cell>
        </row>
        <row r="565">
          <cell r="A565" t="str">
            <v>PLN   Złoty</v>
          </cell>
          <cell r="E565" t="str">
            <v>KB Sprzed. bezpośrednia</v>
          </cell>
          <cell r="H565">
            <v>12</v>
          </cell>
          <cell r="J565">
            <v>445.25</v>
          </cell>
          <cell r="K565">
            <v>59.399999999999899</v>
          </cell>
          <cell r="L565">
            <v>0</v>
          </cell>
          <cell r="M565">
            <v>0</v>
          </cell>
          <cell r="N565">
            <v>59.399999999999899</v>
          </cell>
          <cell r="O565">
            <v>8893.8199999999906</v>
          </cell>
          <cell r="Q565">
            <v>0</v>
          </cell>
          <cell r="R565">
            <v>8893.8199999999906</v>
          </cell>
          <cell r="S565">
            <v>2026.18</v>
          </cell>
          <cell r="T565">
            <v>18.93</v>
          </cell>
          <cell r="U565">
            <v>8912.75</v>
          </cell>
        </row>
        <row r="566">
          <cell r="A566" t="str">
            <v>PLN   Złoty</v>
          </cell>
          <cell r="E566" t="str">
            <v>KB Sprzed. bezpośrednia</v>
          </cell>
          <cell r="H566">
            <v>24</v>
          </cell>
          <cell r="J566">
            <v>934.48</v>
          </cell>
          <cell r="K566">
            <v>118.8</v>
          </cell>
          <cell r="L566">
            <v>1419.1199999999899</v>
          </cell>
          <cell r="M566">
            <v>0</v>
          </cell>
          <cell r="N566">
            <v>1537.92</v>
          </cell>
          <cell r="O566">
            <v>19647.810000000001</v>
          </cell>
          <cell r="Q566">
            <v>0</v>
          </cell>
          <cell r="R566">
            <v>19647.810000000001</v>
          </cell>
          <cell r="S566">
            <v>3272.19</v>
          </cell>
          <cell r="T566">
            <v>38.759999999999899</v>
          </cell>
          <cell r="U566">
            <v>19686.57</v>
          </cell>
        </row>
        <row r="567">
          <cell r="A567" t="str">
            <v>PLN   Złoty</v>
          </cell>
          <cell r="E567" t="str">
            <v>KB Sprzed. bezpośrednia</v>
          </cell>
          <cell r="H567">
            <v>866</v>
          </cell>
          <cell r="J567">
            <v>32042.23</v>
          </cell>
          <cell r="K567">
            <v>4286.67</v>
          </cell>
          <cell r="L567">
            <v>56151.41</v>
          </cell>
          <cell r="M567">
            <v>0</v>
          </cell>
          <cell r="N567">
            <v>60438.080000000002</v>
          </cell>
          <cell r="O567">
            <v>697898.72999999905</v>
          </cell>
          <cell r="Q567">
            <v>0</v>
          </cell>
          <cell r="R567">
            <v>697898.72999999905</v>
          </cell>
          <cell r="S567">
            <v>88015.57</v>
          </cell>
          <cell r="T567">
            <v>1366.43</v>
          </cell>
          <cell r="U567">
            <v>699265.16</v>
          </cell>
        </row>
        <row r="568">
          <cell r="A568" t="str">
            <v>PLN   Złoty</v>
          </cell>
          <cell r="E568" t="str">
            <v>KB Sprzed. bezpośrednia</v>
          </cell>
          <cell r="H568">
            <v>24</v>
          </cell>
          <cell r="J568">
            <v>884.16999999999905</v>
          </cell>
          <cell r="K568">
            <v>118.8</v>
          </cell>
          <cell r="L568">
            <v>0</v>
          </cell>
          <cell r="M568">
            <v>0</v>
          </cell>
          <cell r="N568">
            <v>118.8</v>
          </cell>
          <cell r="O568">
            <v>17781.310000000001</v>
          </cell>
          <cell r="Q568">
            <v>0</v>
          </cell>
          <cell r="R568">
            <v>17781.310000000001</v>
          </cell>
          <cell r="S568">
            <v>3905.8099999999899</v>
          </cell>
          <cell r="T568">
            <v>37.869999999999898</v>
          </cell>
          <cell r="U568">
            <v>17819.18</v>
          </cell>
        </row>
        <row r="569">
          <cell r="A569" t="str">
            <v>PLN   Złoty</v>
          </cell>
          <cell r="E569" t="str">
            <v>KB Sprzed. bezpośrednia</v>
          </cell>
          <cell r="H569">
            <v>72</v>
          </cell>
          <cell r="J569">
            <v>2783.79</v>
          </cell>
          <cell r="K569">
            <v>356.38999999999902</v>
          </cell>
          <cell r="L569">
            <v>3746.88</v>
          </cell>
          <cell r="M569">
            <v>0</v>
          </cell>
          <cell r="N569">
            <v>4103.2700000000004</v>
          </cell>
          <cell r="O569">
            <v>57222.080000000002</v>
          </cell>
          <cell r="Q569">
            <v>0</v>
          </cell>
          <cell r="R569">
            <v>57222.080000000002</v>
          </cell>
          <cell r="S569">
            <v>11056.959999999901</v>
          </cell>
          <cell r="T569">
            <v>113.61</v>
          </cell>
          <cell r="U569">
            <v>57335.69</v>
          </cell>
        </row>
        <row r="570">
          <cell r="A570" t="str">
            <v>PLN   Złoty</v>
          </cell>
          <cell r="E570" t="str">
            <v>KB Sprzed. bezpośrednia</v>
          </cell>
          <cell r="H570">
            <v>108</v>
          </cell>
          <cell r="J570">
            <v>3978.8899999999899</v>
          </cell>
          <cell r="K570">
            <v>534.6</v>
          </cell>
          <cell r="L570">
            <v>0</v>
          </cell>
          <cell r="M570">
            <v>0</v>
          </cell>
          <cell r="N570">
            <v>534.6</v>
          </cell>
          <cell r="O570">
            <v>80016.02</v>
          </cell>
          <cell r="Q570">
            <v>0</v>
          </cell>
          <cell r="R570">
            <v>80016.02</v>
          </cell>
          <cell r="S570">
            <v>17576.02</v>
          </cell>
          <cell r="T570">
            <v>170.41999999999899</v>
          </cell>
          <cell r="U570">
            <v>80186.44</v>
          </cell>
        </row>
        <row r="571">
          <cell r="A571" t="str">
            <v>PLN   Złoty</v>
          </cell>
          <cell r="E571" t="str">
            <v>KB Sprzed. bezpośrednia</v>
          </cell>
          <cell r="H571">
            <v>168</v>
          </cell>
          <cell r="J571">
            <v>6189.38</v>
          </cell>
          <cell r="K571">
            <v>831.59</v>
          </cell>
          <cell r="L571">
            <v>0</v>
          </cell>
          <cell r="M571">
            <v>0</v>
          </cell>
          <cell r="N571">
            <v>831.59</v>
          </cell>
          <cell r="O571">
            <v>127248.84</v>
          </cell>
          <cell r="Q571">
            <v>0</v>
          </cell>
          <cell r="R571">
            <v>127248.84</v>
          </cell>
          <cell r="S571">
            <v>24561</v>
          </cell>
          <cell r="T571">
            <v>271.36</v>
          </cell>
          <cell r="U571">
            <v>127520.2</v>
          </cell>
        </row>
        <row r="572">
          <cell r="A572" t="str">
            <v>PLN   Złoty</v>
          </cell>
          <cell r="E572" t="str">
            <v>KB Sprzed. bezpośrednia</v>
          </cell>
          <cell r="H572">
            <v>657</v>
          </cell>
          <cell r="J572">
            <v>24979.0999999999</v>
          </cell>
          <cell r="K572">
            <v>3252.13</v>
          </cell>
          <cell r="L572">
            <v>31358.95</v>
          </cell>
          <cell r="M572">
            <v>0</v>
          </cell>
          <cell r="N572">
            <v>34611.08</v>
          </cell>
          <cell r="O572">
            <v>518897.239999999</v>
          </cell>
          <cell r="Q572">
            <v>0</v>
          </cell>
          <cell r="R572">
            <v>518897.239999999</v>
          </cell>
          <cell r="S572">
            <v>93776.449999999895</v>
          </cell>
          <cell r="T572">
            <v>1036.6600000000001</v>
          </cell>
          <cell r="U572">
            <v>519933.9</v>
          </cell>
        </row>
        <row r="573">
          <cell r="A573" t="str">
            <v>PLN   Złoty</v>
          </cell>
          <cell r="E573" t="str">
            <v>KB Sprzed. bezpośrednia</v>
          </cell>
          <cell r="H573">
            <v>144</v>
          </cell>
          <cell r="J573">
            <v>5523.84</v>
          </cell>
          <cell r="K573">
            <v>712.78999999999905</v>
          </cell>
          <cell r="L573">
            <v>6809.52</v>
          </cell>
          <cell r="M573">
            <v>0</v>
          </cell>
          <cell r="N573">
            <v>7522.31</v>
          </cell>
          <cell r="O573">
            <v>116098.61</v>
          </cell>
          <cell r="Q573">
            <v>0</v>
          </cell>
          <cell r="R573">
            <v>116098.61</v>
          </cell>
          <cell r="S573">
            <v>19386.91</v>
          </cell>
          <cell r="T573">
            <v>232.59</v>
          </cell>
          <cell r="U573">
            <v>116331.2</v>
          </cell>
        </row>
        <row r="574">
          <cell r="A574" t="str">
            <v>PLN   Złoty</v>
          </cell>
          <cell r="E574" t="str">
            <v>KB Sprzed. bezpośrednia</v>
          </cell>
          <cell r="H574">
            <v>48</v>
          </cell>
          <cell r="J574">
            <v>1792.69</v>
          </cell>
          <cell r="K574">
            <v>237.59</v>
          </cell>
          <cell r="L574">
            <v>2754.2399999999898</v>
          </cell>
          <cell r="M574">
            <v>0</v>
          </cell>
          <cell r="N574">
            <v>2991.8299999999899</v>
          </cell>
          <cell r="O574">
            <v>38342.07</v>
          </cell>
          <cell r="Q574">
            <v>0</v>
          </cell>
          <cell r="R574">
            <v>38342.07</v>
          </cell>
          <cell r="S574">
            <v>5628.09</v>
          </cell>
          <cell r="T574">
            <v>75.739999999999895</v>
          </cell>
          <cell r="U574">
            <v>38417.809999999903</v>
          </cell>
        </row>
        <row r="575">
          <cell r="A575" t="str">
            <v>PLN   Złoty</v>
          </cell>
          <cell r="E575" t="str">
            <v>KB Sprzed. bezpośrednia</v>
          </cell>
          <cell r="H575">
            <v>240</v>
          </cell>
          <cell r="J575">
            <v>8807.9699999999903</v>
          </cell>
          <cell r="K575">
            <v>1187.99</v>
          </cell>
          <cell r="L575">
            <v>5865.84</v>
          </cell>
          <cell r="M575">
            <v>0</v>
          </cell>
          <cell r="N575">
            <v>7053.8299999999899</v>
          </cell>
          <cell r="O575">
            <v>183645.2</v>
          </cell>
          <cell r="Q575">
            <v>0</v>
          </cell>
          <cell r="R575">
            <v>183645.2</v>
          </cell>
          <cell r="S575">
            <v>32392</v>
          </cell>
          <cell r="T575">
            <v>378.68</v>
          </cell>
          <cell r="U575">
            <v>184023.88</v>
          </cell>
        </row>
        <row r="576">
          <cell r="A576" t="str">
            <v>PLN   Złoty</v>
          </cell>
          <cell r="E576" t="str">
            <v>KB Sprzed. bezpośrednia</v>
          </cell>
          <cell r="H576">
            <v>46.5</v>
          </cell>
          <cell r="J576">
            <v>1797.89</v>
          </cell>
          <cell r="K576">
            <v>230.16999999999899</v>
          </cell>
          <cell r="L576">
            <v>2610.7800000000002</v>
          </cell>
          <cell r="M576">
            <v>0</v>
          </cell>
          <cell r="N576">
            <v>2840.9499999999898</v>
          </cell>
          <cell r="O576">
            <v>37916.19</v>
          </cell>
          <cell r="Q576">
            <v>0</v>
          </cell>
          <cell r="R576">
            <v>37916.19</v>
          </cell>
          <cell r="S576">
            <v>6180.6899999999896</v>
          </cell>
          <cell r="T576">
            <v>75.1099999999999</v>
          </cell>
          <cell r="U576">
            <v>37991.300000000003</v>
          </cell>
        </row>
        <row r="577">
          <cell r="A577" t="str">
            <v>PLN   Złoty</v>
          </cell>
          <cell r="E577" t="str">
            <v>KB Sprzed. bezpośrednia</v>
          </cell>
          <cell r="H577">
            <v>216</v>
          </cell>
          <cell r="J577">
            <v>8282.9500000000007</v>
          </cell>
          <cell r="K577">
            <v>1069.19</v>
          </cell>
          <cell r="L577">
            <v>17315.04</v>
          </cell>
          <cell r="M577">
            <v>0</v>
          </cell>
          <cell r="N577">
            <v>18384.23</v>
          </cell>
          <cell r="O577">
            <v>177672.239999999</v>
          </cell>
          <cell r="Q577">
            <v>0</v>
          </cell>
          <cell r="R577">
            <v>177672.239999999</v>
          </cell>
          <cell r="S577">
            <v>25487.7599999999</v>
          </cell>
          <cell r="T577">
            <v>340.81999999999903</v>
          </cell>
          <cell r="U577">
            <v>178013.06</v>
          </cell>
        </row>
        <row r="578">
          <cell r="A578" t="str">
            <v>PLN   Złoty</v>
          </cell>
          <cell r="E578" t="str">
            <v>KB Sprzed. bezpośrednia</v>
          </cell>
          <cell r="H578">
            <v>142</v>
          </cell>
          <cell r="J578">
            <v>5412.6499999999896</v>
          </cell>
          <cell r="K578">
            <v>702.89999999999895</v>
          </cell>
          <cell r="L578">
            <v>4580.3999999999896</v>
          </cell>
          <cell r="M578">
            <v>0</v>
          </cell>
          <cell r="N578">
            <v>5283.3</v>
          </cell>
          <cell r="O578">
            <v>109967.789999999</v>
          </cell>
          <cell r="Q578">
            <v>0</v>
          </cell>
          <cell r="R578">
            <v>109967.789999999</v>
          </cell>
          <cell r="S578">
            <v>22790.79</v>
          </cell>
          <cell r="T578">
            <v>224.06</v>
          </cell>
          <cell r="U578">
            <v>110191.85</v>
          </cell>
        </row>
        <row r="579">
          <cell r="A579" t="str">
            <v>PLN   Złoty</v>
          </cell>
          <cell r="E579" t="str">
            <v>KB Sprzed. bezpośrednia</v>
          </cell>
          <cell r="H579">
            <v>73</v>
          </cell>
          <cell r="J579">
            <v>2679.75</v>
          </cell>
          <cell r="K579">
            <v>361.33999999999901</v>
          </cell>
          <cell r="L579">
            <v>3819.9699999999898</v>
          </cell>
          <cell r="M579">
            <v>0</v>
          </cell>
          <cell r="N579">
            <v>4181.3100000000004</v>
          </cell>
          <cell r="O579">
            <v>57895.18</v>
          </cell>
          <cell r="Q579">
            <v>0</v>
          </cell>
          <cell r="R579">
            <v>57895.18</v>
          </cell>
          <cell r="S579">
            <v>7833.05</v>
          </cell>
          <cell r="T579">
            <v>115.18</v>
          </cell>
          <cell r="U579">
            <v>58010.36</v>
          </cell>
        </row>
        <row r="580">
          <cell r="A580" t="str">
            <v>PLN   Złoty</v>
          </cell>
          <cell r="E580" t="str">
            <v>KB Sprzed. bezpośrednia</v>
          </cell>
          <cell r="H580">
            <v>165</v>
          </cell>
          <cell r="J580">
            <v>6239.71</v>
          </cell>
          <cell r="K580">
            <v>816.74</v>
          </cell>
          <cell r="L580">
            <v>6375.6</v>
          </cell>
          <cell r="M580">
            <v>0</v>
          </cell>
          <cell r="N580">
            <v>7192.34</v>
          </cell>
          <cell r="O580">
            <v>131512.989999999</v>
          </cell>
          <cell r="Q580">
            <v>0</v>
          </cell>
          <cell r="R580">
            <v>131512.989999999</v>
          </cell>
          <cell r="S580">
            <v>21530.209999999901</v>
          </cell>
          <cell r="T580">
            <v>266.50999999999902</v>
          </cell>
          <cell r="U580">
            <v>131779.5</v>
          </cell>
        </row>
        <row r="581">
          <cell r="A581" t="str">
            <v>PLN   Złoty</v>
          </cell>
          <cell r="E581" t="str">
            <v>KB Sprzed. bezpośrednia</v>
          </cell>
          <cell r="H581">
            <v>264</v>
          </cell>
          <cell r="J581">
            <v>9944.84</v>
          </cell>
          <cell r="K581">
            <v>1306.79</v>
          </cell>
          <cell r="L581">
            <v>8231.2800000000007</v>
          </cell>
          <cell r="M581">
            <v>0</v>
          </cell>
          <cell r="N581">
            <v>9538.0699999999906</v>
          </cell>
          <cell r="O581">
            <v>204044.649999999</v>
          </cell>
          <cell r="Q581">
            <v>0</v>
          </cell>
          <cell r="R581">
            <v>204044.649999999</v>
          </cell>
          <cell r="S581">
            <v>39876.47</v>
          </cell>
          <cell r="T581">
            <v>416.55</v>
          </cell>
          <cell r="U581">
            <v>204461.2</v>
          </cell>
        </row>
        <row r="582">
          <cell r="A582" t="str">
            <v>PLN   Złoty</v>
          </cell>
          <cell r="E582" t="str">
            <v>KB Sprzed. bezpośrednia</v>
          </cell>
          <cell r="H582">
            <v>10</v>
          </cell>
          <cell r="J582">
            <v>352.22</v>
          </cell>
          <cell r="K582">
            <v>49.5</v>
          </cell>
          <cell r="L582">
            <v>618.70000000000005</v>
          </cell>
          <cell r="M582">
            <v>0</v>
          </cell>
          <cell r="N582">
            <v>668.2</v>
          </cell>
          <cell r="O582">
            <v>8176.84</v>
          </cell>
          <cell r="Q582">
            <v>0</v>
          </cell>
          <cell r="R582">
            <v>8176.84</v>
          </cell>
          <cell r="S582">
            <v>462.25999999999902</v>
          </cell>
          <cell r="T582">
            <v>16.16</v>
          </cell>
          <cell r="U582">
            <v>8193</v>
          </cell>
        </row>
        <row r="583">
          <cell r="A583" t="str">
            <v>PLN   Złoty</v>
          </cell>
          <cell r="E583" t="str">
            <v>KB Sprzed. bezpośrednia</v>
          </cell>
          <cell r="H583">
            <v>313</v>
          </cell>
          <cell r="J583">
            <v>11937.25</v>
          </cell>
          <cell r="K583">
            <v>1549.3299999999899</v>
          </cell>
          <cell r="L583">
            <v>15611.129999999899</v>
          </cell>
          <cell r="M583">
            <v>0</v>
          </cell>
          <cell r="N583">
            <v>17160.459999999901</v>
          </cell>
          <cell r="O583">
            <v>247915.23</v>
          </cell>
          <cell r="Q583">
            <v>0</v>
          </cell>
          <cell r="R583">
            <v>247915.23</v>
          </cell>
          <cell r="S583">
            <v>44875.059999999903</v>
          </cell>
          <cell r="T583">
            <v>493.86</v>
          </cell>
          <cell r="U583">
            <v>248409.09</v>
          </cell>
        </row>
        <row r="584">
          <cell r="A584" t="str">
            <v>PLN   Złoty</v>
          </cell>
          <cell r="E584" t="str">
            <v>KB Sprzed. bezpośrednia</v>
          </cell>
          <cell r="H584">
            <v>120</v>
          </cell>
          <cell r="J584">
            <v>4343.25</v>
          </cell>
          <cell r="K584">
            <v>594</v>
          </cell>
          <cell r="L584">
            <v>3984.2399999999898</v>
          </cell>
          <cell r="M584">
            <v>0</v>
          </cell>
          <cell r="N584">
            <v>4578.2399999999898</v>
          </cell>
          <cell r="O584">
            <v>94798.539999999906</v>
          </cell>
          <cell r="Q584">
            <v>0</v>
          </cell>
          <cell r="R584">
            <v>94798.539999999906</v>
          </cell>
          <cell r="S584">
            <v>11730.74</v>
          </cell>
          <cell r="T584">
            <v>193.819999999999</v>
          </cell>
          <cell r="U584">
            <v>94992.36</v>
          </cell>
        </row>
        <row r="585">
          <cell r="A585" t="str">
            <v>PLN   Złoty</v>
          </cell>
          <cell r="E585" t="str">
            <v>KB Sprzed. bezpośrednia</v>
          </cell>
          <cell r="H585">
            <v>144</v>
          </cell>
          <cell r="J585">
            <v>5305.22</v>
          </cell>
          <cell r="K585">
            <v>712.78999999999905</v>
          </cell>
          <cell r="L585">
            <v>0</v>
          </cell>
          <cell r="M585">
            <v>0</v>
          </cell>
          <cell r="N585">
            <v>712.78999999999905</v>
          </cell>
          <cell r="O585">
            <v>106688.05</v>
          </cell>
          <cell r="Q585">
            <v>0</v>
          </cell>
          <cell r="R585">
            <v>106688.05</v>
          </cell>
          <cell r="S585">
            <v>23434.6699999999</v>
          </cell>
          <cell r="T585">
            <v>227.22</v>
          </cell>
          <cell r="U585">
            <v>106915.27</v>
          </cell>
        </row>
        <row r="586">
          <cell r="A586" t="str">
            <v>PLN   Złoty</v>
          </cell>
          <cell r="E586" t="str">
            <v>KB Sprzed. bezpośrednia</v>
          </cell>
          <cell r="H586">
            <v>48</v>
          </cell>
          <cell r="J586">
            <v>1768.43</v>
          </cell>
          <cell r="K586">
            <v>237.59</v>
          </cell>
          <cell r="L586">
            <v>0</v>
          </cell>
          <cell r="M586">
            <v>0</v>
          </cell>
          <cell r="N586">
            <v>237.59</v>
          </cell>
          <cell r="O586">
            <v>36356.839999999902</v>
          </cell>
          <cell r="Q586">
            <v>0</v>
          </cell>
          <cell r="R586">
            <v>36356.839999999902</v>
          </cell>
          <cell r="S586">
            <v>7017.3999999999896</v>
          </cell>
          <cell r="T586">
            <v>77.53</v>
          </cell>
          <cell r="U586">
            <v>36434.370000000003</v>
          </cell>
        </row>
        <row r="587">
          <cell r="A587" t="str">
            <v>PLN   Złoty</v>
          </cell>
          <cell r="E587" t="str">
            <v>KB Sprzed. bezpośrednia</v>
          </cell>
          <cell r="H587">
            <v>96</v>
          </cell>
          <cell r="J587">
            <v>3454.1999999999898</v>
          </cell>
          <cell r="K587">
            <v>475.19999999999902</v>
          </cell>
          <cell r="L587">
            <v>0</v>
          </cell>
          <cell r="M587">
            <v>0</v>
          </cell>
          <cell r="N587">
            <v>475.19999999999902</v>
          </cell>
          <cell r="O587">
            <v>71042.759999999893</v>
          </cell>
          <cell r="Q587">
            <v>0</v>
          </cell>
          <cell r="R587">
            <v>71042.759999999893</v>
          </cell>
          <cell r="S587">
            <v>13680.12</v>
          </cell>
          <cell r="T587">
            <v>151.47</v>
          </cell>
          <cell r="U587">
            <v>71194.229999999894</v>
          </cell>
        </row>
        <row r="588">
          <cell r="A588" t="str">
            <v>PLN   Złoty</v>
          </cell>
          <cell r="E588" t="str">
            <v>KB Sprzed. bezpośrednia</v>
          </cell>
          <cell r="H588">
            <v>48</v>
          </cell>
          <cell r="J588">
            <v>1868.95</v>
          </cell>
          <cell r="K588">
            <v>237.59</v>
          </cell>
          <cell r="L588">
            <v>4152.4799999999896</v>
          </cell>
          <cell r="M588">
            <v>0</v>
          </cell>
          <cell r="N588">
            <v>4390.0699999999897</v>
          </cell>
          <cell r="O588">
            <v>39815.699999999903</v>
          </cell>
          <cell r="Q588">
            <v>0</v>
          </cell>
          <cell r="R588">
            <v>39815.699999999903</v>
          </cell>
          <cell r="S588">
            <v>6024.3</v>
          </cell>
          <cell r="T588">
            <v>75.739999999999895</v>
          </cell>
          <cell r="U588">
            <v>39891.440000000002</v>
          </cell>
        </row>
        <row r="589">
          <cell r="A589" t="str">
            <v>PLN   Złoty</v>
          </cell>
          <cell r="E589" t="str">
            <v>KB Sprzed. bezpośrednia</v>
          </cell>
          <cell r="H589">
            <v>72</v>
          </cell>
          <cell r="J589">
            <v>2720.17</v>
          </cell>
          <cell r="K589">
            <v>356.38999999999902</v>
          </cell>
          <cell r="L589">
            <v>5600.1599999999899</v>
          </cell>
          <cell r="M589">
            <v>0</v>
          </cell>
          <cell r="N589">
            <v>5956.55</v>
          </cell>
          <cell r="O589">
            <v>59011.739999999903</v>
          </cell>
          <cell r="Q589">
            <v>0</v>
          </cell>
          <cell r="R589">
            <v>59011.739999999903</v>
          </cell>
          <cell r="S589">
            <v>7708.26</v>
          </cell>
          <cell r="T589">
            <v>113.61</v>
          </cell>
          <cell r="U589">
            <v>59125.349999999897</v>
          </cell>
        </row>
        <row r="590">
          <cell r="A590" t="str">
            <v>PLN   Złoty</v>
          </cell>
          <cell r="E590" t="str">
            <v>KB Sprzed. bezpośrednia</v>
          </cell>
          <cell r="H590">
            <v>48</v>
          </cell>
          <cell r="J590">
            <v>1792.69</v>
          </cell>
          <cell r="K590">
            <v>237.59</v>
          </cell>
          <cell r="L590">
            <v>4178.88</v>
          </cell>
          <cell r="M590">
            <v>0</v>
          </cell>
          <cell r="N590">
            <v>4416.47</v>
          </cell>
          <cell r="O590">
            <v>39765.839999999902</v>
          </cell>
          <cell r="Q590">
            <v>0</v>
          </cell>
          <cell r="R590">
            <v>39765.839999999902</v>
          </cell>
          <cell r="S590">
            <v>4204.3199999999897</v>
          </cell>
          <cell r="T590">
            <v>75.739999999999895</v>
          </cell>
          <cell r="U590">
            <v>39841.58</v>
          </cell>
        </row>
        <row r="591">
          <cell r="A591" t="str">
            <v>PLN   Złoty</v>
          </cell>
          <cell r="E591" t="str">
            <v>KB Sprzed. bezpośrednia</v>
          </cell>
          <cell r="H591">
            <v>776</v>
          </cell>
          <cell r="J591">
            <v>29291.9199999999</v>
          </cell>
          <cell r="K591">
            <v>3841.17</v>
          </cell>
          <cell r="L591">
            <v>54142.309999999903</v>
          </cell>
          <cell r="M591">
            <v>0</v>
          </cell>
          <cell r="N591">
            <v>57983.48</v>
          </cell>
          <cell r="O591">
            <v>629775.06999999902</v>
          </cell>
          <cell r="Q591">
            <v>0</v>
          </cell>
          <cell r="R591">
            <v>629775.06999999902</v>
          </cell>
          <cell r="S591">
            <v>88682.33</v>
          </cell>
          <cell r="T591">
            <v>1224.43</v>
          </cell>
          <cell r="U591">
            <v>630999.5</v>
          </cell>
        </row>
        <row r="592">
          <cell r="A592" t="str">
            <v>PLN   Złoty</v>
          </cell>
          <cell r="E592" t="str">
            <v>KB Sprzed. bezpośrednia</v>
          </cell>
          <cell r="H592">
            <v>120</v>
          </cell>
          <cell r="J592">
            <v>4265.51</v>
          </cell>
          <cell r="K592">
            <v>594</v>
          </cell>
          <cell r="L592">
            <v>9274.0799999999908</v>
          </cell>
          <cell r="M592">
            <v>0</v>
          </cell>
          <cell r="N592">
            <v>9868.0799999999908</v>
          </cell>
          <cell r="O592">
            <v>100010.64</v>
          </cell>
          <cell r="Q592">
            <v>0</v>
          </cell>
          <cell r="R592">
            <v>100010.64</v>
          </cell>
          <cell r="S592">
            <v>4611.84</v>
          </cell>
          <cell r="T592">
            <v>193.819999999999</v>
          </cell>
          <cell r="U592">
            <v>100204.46</v>
          </cell>
        </row>
        <row r="593">
          <cell r="A593" t="str">
            <v>PLN   Złoty</v>
          </cell>
          <cell r="E593" t="str">
            <v>KB Sprzed. bezpośrednia</v>
          </cell>
          <cell r="H593">
            <v>24</v>
          </cell>
          <cell r="J593">
            <v>864.75</v>
          </cell>
          <cell r="K593">
            <v>118.8</v>
          </cell>
          <cell r="L593">
            <v>1484.88</v>
          </cell>
          <cell r="M593">
            <v>0</v>
          </cell>
          <cell r="N593">
            <v>1603.68</v>
          </cell>
          <cell r="O593">
            <v>19246.77</v>
          </cell>
          <cell r="Q593">
            <v>0</v>
          </cell>
          <cell r="R593">
            <v>19246.77</v>
          </cell>
          <cell r="S593">
            <v>1963.71</v>
          </cell>
          <cell r="T593">
            <v>37.869999999999898</v>
          </cell>
          <cell r="U593">
            <v>19284.639999999901</v>
          </cell>
        </row>
        <row r="594">
          <cell r="A594" t="str">
            <v>PLN   Złoty</v>
          </cell>
          <cell r="E594" t="str">
            <v>KB Sprzed. bezpośrednia</v>
          </cell>
          <cell r="H594">
            <v>48</v>
          </cell>
          <cell r="J594">
            <v>1855.8399999999899</v>
          </cell>
          <cell r="K594">
            <v>237.59</v>
          </cell>
          <cell r="L594">
            <v>3179.04</v>
          </cell>
          <cell r="M594">
            <v>0</v>
          </cell>
          <cell r="N594">
            <v>3416.63</v>
          </cell>
          <cell r="O594">
            <v>38829.15</v>
          </cell>
          <cell r="Q594">
            <v>0</v>
          </cell>
          <cell r="R594">
            <v>38829.15</v>
          </cell>
          <cell r="S594">
            <v>6690.21</v>
          </cell>
          <cell r="T594">
            <v>75.739999999999895</v>
          </cell>
          <cell r="U594">
            <v>38904.889999999898</v>
          </cell>
        </row>
        <row r="595">
          <cell r="A595" t="str">
            <v>PLN   Złoty</v>
          </cell>
          <cell r="E595" t="str">
            <v>KB Sprzed. bezpośrednia</v>
          </cell>
          <cell r="H595">
            <v>212.69999999999899</v>
          </cell>
          <cell r="J595">
            <v>7577.8199999999897</v>
          </cell>
          <cell r="K595">
            <v>1052.8599999999899</v>
          </cell>
          <cell r="L595">
            <v>0</v>
          </cell>
          <cell r="M595">
            <v>0</v>
          </cell>
          <cell r="N595">
            <v>1052.8599999999899</v>
          </cell>
          <cell r="O595">
            <v>152451.239999999</v>
          </cell>
          <cell r="Q595">
            <v>0</v>
          </cell>
          <cell r="R595">
            <v>152451.239999999</v>
          </cell>
          <cell r="S595">
            <v>33414.54</v>
          </cell>
          <cell r="T595">
            <v>324.61</v>
          </cell>
          <cell r="U595">
            <v>152775.85</v>
          </cell>
        </row>
        <row r="596">
          <cell r="A596" t="str">
            <v>PLN   Złoty</v>
          </cell>
          <cell r="E596" t="str">
            <v>KB Sprzed. bezpośrednia</v>
          </cell>
          <cell r="H596">
            <v>24</v>
          </cell>
          <cell r="J596">
            <v>927.95</v>
          </cell>
          <cell r="K596">
            <v>118.8</v>
          </cell>
          <cell r="L596">
            <v>1200.96</v>
          </cell>
          <cell r="M596">
            <v>0</v>
          </cell>
          <cell r="N596">
            <v>1319.76</v>
          </cell>
          <cell r="O596">
            <v>19026.049999999901</v>
          </cell>
          <cell r="Q596">
            <v>0</v>
          </cell>
          <cell r="R596">
            <v>19026.049999999901</v>
          </cell>
          <cell r="S596">
            <v>3733.63</v>
          </cell>
          <cell r="T596">
            <v>37.869999999999898</v>
          </cell>
          <cell r="U596">
            <v>19063.9199999999</v>
          </cell>
        </row>
        <row r="597">
          <cell r="A597" t="str">
            <v>PLN   Złoty</v>
          </cell>
          <cell r="E597" t="str">
            <v>KB Sprzed. bezpośrednia</v>
          </cell>
          <cell r="H597">
            <v>48</v>
          </cell>
          <cell r="J597">
            <v>1690.69</v>
          </cell>
          <cell r="K597">
            <v>237.59</v>
          </cell>
          <cell r="L597">
            <v>2349.5999999999899</v>
          </cell>
          <cell r="M597">
            <v>0</v>
          </cell>
          <cell r="N597">
            <v>2587.19</v>
          </cell>
          <cell r="O597">
            <v>38628.699999999903</v>
          </cell>
          <cell r="Q597">
            <v>0</v>
          </cell>
          <cell r="R597">
            <v>38628.699999999903</v>
          </cell>
          <cell r="S597">
            <v>2838.98</v>
          </cell>
          <cell r="T597">
            <v>77.53</v>
          </cell>
          <cell r="U597">
            <v>38706.230000000003</v>
          </cell>
        </row>
        <row r="598">
          <cell r="A598" t="str">
            <v>PLN   Złoty</v>
          </cell>
          <cell r="E598" t="str">
            <v>KB Sprzed. bezpośrednia</v>
          </cell>
          <cell r="H598">
            <v>24</v>
          </cell>
          <cell r="J598">
            <v>934.48</v>
          </cell>
          <cell r="K598">
            <v>118.8</v>
          </cell>
          <cell r="L598">
            <v>1886.64</v>
          </cell>
          <cell r="M598">
            <v>0</v>
          </cell>
          <cell r="N598">
            <v>2005.44</v>
          </cell>
          <cell r="O598">
            <v>19718.2599999999</v>
          </cell>
          <cell r="Q598">
            <v>0</v>
          </cell>
          <cell r="R598">
            <v>19718.2599999999</v>
          </cell>
          <cell r="S598">
            <v>3201.7399999999898</v>
          </cell>
          <cell r="T598">
            <v>37.869999999999898</v>
          </cell>
          <cell r="U598">
            <v>19756.13</v>
          </cell>
        </row>
        <row r="599">
          <cell r="A599" t="str">
            <v>PLN   Złoty</v>
          </cell>
          <cell r="E599" t="str">
            <v>KB Sprzed. bezpośrednia</v>
          </cell>
          <cell r="H599">
            <v>48</v>
          </cell>
          <cell r="J599">
            <v>1768.43</v>
          </cell>
          <cell r="K599">
            <v>237.59</v>
          </cell>
          <cell r="L599">
            <v>0</v>
          </cell>
          <cell r="M599">
            <v>0</v>
          </cell>
          <cell r="N599">
            <v>237.59</v>
          </cell>
          <cell r="O599">
            <v>35562.699999999903</v>
          </cell>
          <cell r="Q599">
            <v>0</v>
          </cell>
          <cell r="R599">
            <v>35562.699999999903</v>
          </cell>
          <cell r="S599">
            <v>7811.54</v>
          </cell>
          <cell r="T599">
            <v>75.739999999999895</v>
          </cell>
          <cell r="U599">
            <v>35638.44</v>
          </cell>
        </row>
        <row r="600">
          <cell r="A600" t="str">
            <v>PLN   Złoty</v>
          </cell>
          <cell r="E600" t="str">
            <v>KB Sprzed. bezpośrednia</v>
          </cell>
          <cell r="H600">
            <v>24</v>
          </cell>
          <cell r="J600">
            <v>884.16999999999905</v>
          </cell>
          <cell r="K600">
            <v>118.8</v>
          </cell>
          <cell r="L600">
            <v>0</v>
          </cell>
          <cell r="M600">
            <v>0</v>
          </cell>
          <cell r="N600">
            <v>118.8</v>
          </cell>
          <cell r="O600">
            <v>18178.38</v>
          </cell>
          <cell r="Q600">
            <v>0</v>
          </cell>
          <cell r="R600">
            <v>18178.38</v>
          </cell>
          <cell r="S600">
            <v>3508.7399999999898</v>
          </cell>
          <cell r="T600">
            <v>38.759999999999899</v>
          </cell>
          <cell r="U600">
            <v>18217.139999999901</v>
          </cell>
        </row>
        <row r="601">
          <cell r="A601" t="str">
            <v>PLN   Złoty</v>
          </cell>
          <cell r="E601" t="str">
            <v>KB Sprzed. bezpośrednia</v>
          </cell>
          <cell r="H601">
            <v>422</v>
          </cell>
          <cell r="J601">
            <v>15981.02</v>
          </cell>
          <cell r="K601">
            <v>2088.8899999999899</v>
          </cell>
          <cell r="L601">
            <v>18917.5</v>
          </cell>
          <cell r="M601">
            <v>0</v>
          </cell>
          <cell r="N601">
            <v>21006.389999999901</v>
          </cell>
          <cell r="O601">
            <v>332006.549999999</v>
          </cell>
          <cell r="Q601">
            <v>0</v>
          </cell>
          <cell r="R601">
            <v>332006.549999999</v>
          </cell>
          <cell r="S601">
            <v>59967.489999999903</v>
          </cell>
          <cell r="T601">
            <v>665.86</v>
          </cell>
          <cell r="U601">
            <v>332672.40999999898</v>
          </cell>
        </row>
        <row r="602">
          <cell r="A602" t="str">
            <v>PLN   Złoty</v>
          </cell>
          <cell r="E602" t="str">
            <v>KB Sprzed. bezpośrednia</v>
          </cell>
          <cell r="H602">
            <v>48</v>
          </cell>
          <cell r="J602">
            <v>1729.5699999999899</v>
          </cell>
          <cell r="K602">
            <v>237.59</v>
          </cell>
          <cell r="L602">
            <v>946.79999999999905</v>
          </cell>
          <cell r="M602">
            <v>0</v>
          </cell>
          <cell r="N602">
            <v>1184.3900000000001</v>
          </cell>
          <cell r="O602">
            <v>37264.779999999897</v>
          </cell>
          <cell r="Q602">
            <v>0</v>
          </cell>
          <cell r="R602">
            <v>37264.779999999897</v>
          </cell>
          <cell r="S602">
            <v>5156.18</v>
          </cell>
          <cell r="T602">
            <v>77.53</v>
          </cell>
          <cell r="U602">
            <v>37342.309999999903</v>
          </cell>
        </row>
        <row r="603">
          <cell r="A603" t="str">
            <v>PLN   Złoty</v>
          </cell>
          <cell r="E603" t="str">
            <v>KB Sprzed. bezpośrednia</v>
          </cell>
          <cell r="H603">
            <v>229.66</v>
          </cell>
          <cell r="J603">
            <v>8182.1</v>
          </cell>
          <cell r="K603">
            <v>1136.8099999999899</v>
          </cell>
          <cell r="L603">
            <v>0</v>
          </cell>
          <cell r="M603">
            <v>0</v>
          </cell>
          <cell r="N603">
            <v>1136.8099999999899</v>
          </cell>
          <cell r="O603">
            <v>164607.25</v>
          </cell>
          <cell r="Q603">
            <v>0</v>
          </cell>
          <cell r="R603">
            <v>164607.25</v>
          </cell>
          <cell r="S603">
            <v>36078.86</v>
          </cell>
          <cell r="T603">
            <v>350.49</v>
          </cell>
          <cell r="U603">
            <v>164957.739999999</v>
          </cell>
        </row>
        <row r="604">
          <cell r="A604" t="str">
            <v>PLN   Złoty</v>
          </cell>
          <cell r="E604" t="str">
            <v>KB Sprzed. bezpośrednia</v>
          </cell>
          <cell r="H604">
            <v>172</v>
          </cell>
          <cell r="J604">
            <v>6525.43</v>
          </cell>
          <cell r="K604">
            <v>851.38999999999896</v>
          </cell>
          <cell r="L604">
            <v>7566.8599999999897</v>
          </cell>
          <cell r="M604">
            <v>0</v>
          </cell>
          <cell r="N604">
            <v>8418.25</v>
          </cell>
          <cell r="O604">
            <v>135188.44</v>
          </cell>
          <cell r="Q604">
            <v>0</v>
          </cell>
          <cell r="R604">
            <v>135188.44</v>
          </cell>
          <cell r="S604">
            <v>24864.04</v>
          </cell>
          <cell r="T604">
            <v>271.38999999999902</v>
          </cell>
          <cell r="U604">
            <v>135459.829999999</v>
          </cell>
        </row>
        <row r="605">
          <cell r="A605" t="str">
            <v>PLN   Złoty</v>
          </cell>
          <cell r="E605" t="str">
            <v>KB Sprzed. bezpośrednia</v>
          </cell>
          <cell r="H605">
            <v>216</v>
          </cell>
          <cell r="J605">
            <v>7642.05</v>
          </cell>
          <cell r="K605">
            <v>1069.19</v>
          </cell>
          <cell r="L605">
            <v>8372.6399999999903</v>
          </cell>
          <cell r="M605">
            <v>0</v>
          </cell>
          <cell r="N605">
            <v>9441.8299999999908</v>
          </cell>
          <cell r="O605">
            <v>171662.57</v>
          </cell>
          <cell r="Q605">
            <v>0</v>
          </cell>
          <cell r="R605">
            <v>171662.57</v>
          </cell>
          <cell r="S605">
            <v>15776.23</v>
          </cell>
          <cell r="T605">
            <v>348.88999999999902</v>
          </cell>
          <cell r="U605">
            <v>172011.459999999</v>
          </cell>
        </row>
        <row r="606">
          <cell r="A606" t="str">
            <v>PLN   Złoty</v>
          </cell>
          <cell r="E606" t="str">
            <v>KB Sprzed. bezpośrednia</v>
          </cell>
          <cell r="H606">
            <v>73</v>
          </cell>
          <cell r="J606">
            <v>2714.71</v>
          </cell>
          <cell r="K606">
            <v>361.33999999999901</v>
          </cell>
          <cell r="L606">
            <v>1349.63</v>
          </cell>
          <cell r="M606">
            <v>0</v>
          </cell>
          <cell r="N606">
            <v>1710.97</v>
          </cell>
          <cell r="O606">
            <v>55459.8</v>
          </cell>
          <cell r="Q606">
            <v>0</v>
          </cell>
          <cell r="R606">
            <v>55459.8</v>
          </cell>
          <cell r="S606">
            <v>11125.69</v>
          </cell>
          <cell r="T606">
            <v>115.18</v>
          </cell>
          <cell r="U606">
            <v>55574.98</v>
          </cell>
        </row>
        <row r="607">
          <cell r="A607" t="str">
            <v>PLN   Złoty</v>
          </cell>
          <cell r="E607" t="str">
            <v>KB Sprzed. bezpośrednia</v>
          </cell>
          <cell r="H607">
            <v>73</v>
          </cell>
          <cell r="J607">
            <v>2821.9299999999898</v>
          </cell>
          <cell r="K607">
            <v>361.33999999999901</v>
          </cell>
          <cell r="L607">
            <v>5927.71</v>
          </cell>
          <cell r="M607">
            <v>0</v>
          </cell>
          <cell r="N607">
            <v>6289.05</v>
          </cell>
          <cell r="O607">
            <v>60145.099999999897</v>
          </cell>
          <cell r="Q607">
            <v>0</v>
          </cell>
          <cell r="R607">
            <v>60145.099999999897</v>
          </cell>
          <cell r="S607">
            <v>9069.8999999999905</v>
          </cell>
          <cell r="T607">
            <v>115.18</v>
          </cell>
          <cell r="U607">
            <v>60260.279999999897</v>
          </cell>
        </row>
        <row r="608">
          <cell r="A608" t="str">
            <v>PLN   Złoty</v>
          </cell>
          <cell r="E608" t="str">
            <v>KB Sprzed. bezpośrednia</v>
          </cell>
          <cell r="H608">
            <v>72</v>
          </cell>
          <cell r="J608">
            <v>2652.5999999999899</v>
          </cell>
          <cell r="K608">
            <v>356.38999999999902</v>
          </cell>
          <cell r="L608">
            <v>0</v>
          </cell>
          <cell r="M608">
            <v>0</v>
          </cell>
          <cell r="N608">
            <v>356.38999999999902</v>
          </cell>
          <cell r="O608">
            <v>53344.01</v>
          </cell>
          <cell r="Q608">
            <v>0</v>
          </cell>
          <cell r="R608">
            <v>53344.01</v>
          </cell>
          <cell r="S608">
            <v>11717.35</v>
          </cell>
          <cell r="T608">
            <v>113.61</v>
          </cell>
          <cell r="U608">
            <v>53457.62</v>
          </cell>
        </row>
        <row r="609">
          <cell r="A609" t="str">
            <v>PLN   Złoty</v>
          </cell>
          <cell r="E609" t="str">
            <v>KB Sprzed. bezpośrednia</v>
          </cell>
          <cell r="H609">
            <v>77.040000000000006</v>
          </cell>
          <cell r="J609">
            <v>2744.6999999999898</v>
          </cell>
          <cell r="K609">
            <v>381.33999999999901</v>
          </cell>
          <cell r="L609">
            <v>0</v>
          </cell>
          <cell r="M609">
            <v>0</v>
          </cell>
          <cell r="N609">
            <v>381.33999999999901</v>
          </cell>
          <cell r="O609">
            <v>55217.889999999898</v>
          </cell>
          <cell r="Q609">
            <v>0</v>
          </cell>
          <cell r="R609">
            <v>55217.889999999898</v>
          </cell>
          <cell r="S609">
            <v>12102.74</v>
          </cell>
          <cell r="T609">
            <v>117.58</v>
          </cell>
          <cell r="U609">
            <v>55335.47</v>
          </cell>
        </row>
        <row r="610">
          <cell r="A610" t="str">
            <v>PLN   Złoty</v>
          </cell>
          <cell r="E610" t="str">
            <v>KB Sprzed. bezpośrednia</v>
          </cell>
          <cell r="H610">
            <v>24</v>
          </cell>
          <cell r="J610">
            <v>884.16999999999905</v>
          </cell>
          <cell r="K610">
            <v>118.8</v>
          </cell>
          <cell r="L610">
            <v>0</v>
          </cell>
          <cell r="M610">
            <v>0</v>
          </cell>
          <cell r="N610">
            <v>118.8</v>
          </cell>
          <cell r="O610">
            <v>17781.310000000001</v>
          </cell>
          <cell r="Q610">
            <v>0</v>
          </cell>
          <cell r="R610">
            <v>17781.310000000001</v>
          </cell>
          <cell r="S610">
            <v>3905.8099999999899</v>
          </cell>
          <cell r="T610">
            <v>37.869999999999898</v>
          </cell>
          <cell r="U610">
            <v>17819.18</v>
          </cell>
        </row>
        <row r="611">
          <cell r="A611" t="str">
            <v>PLN   Złoty</v>
          </cell>
          <cell r="E611" t="str">
            <v>KB Sprzed. bezpośrednia</v>
          </cell>
          <cell r="H611">
            <v>48</v>
          </cell>
          <cell r="J611">
            <v>1768.43</v>
          </cell>
          <cell r="K611">
            <v>237.59</v>
          </cell>
          <cell r="L611">
            <v>0</v>
          </cell>
          <cell r="M611">
            <v>0</v>
          </cell>
          <cell r="N611">
            <v>237.59</v>
          </cell>
          <cell r="O611">
            <v>36356.839999999902</v>
          </cell>
          <cell r="Q611">
            <v>0</v>
          </cell>
          <cell r="R611">
            <v>36356.839999999902</v>
          </cell>
          <cell r="S611">
            <v>7017.3999999999896</v>
          </cell>
          <cell r="T611">
            <v>77.53</v>
          </cell>
          <cell r="U611">
            <v>36434.370000000003</v>
          </cell>
        </row>
        <row r="612">
          <cell r="A612" t="str">
            <v>PLN   Złoty</v>
          </cell>
          <cell r="E612" t="str">
            <v>KB Sprzed. bezpośrednia</v>
          </cell>
          <cell r="H612">
            <v>25</v>
          </cell>
          <cell r="J612">
            <v>952.99</v>
          </cell>
          <cell r="K612">
            <v>123.739999999999</v>
          </cell>
          <cell r="L612">
            <v>1094.0799999999899</v>
          </cell>
          <cell r="M612">
            <v>0</v>
          </cell>
          <cell r="N612">
            <v>1217.8199999999899</v>
          </cell>
          <cell r="O612">
            <v>19648.25</v>
          </cell>
          <cell r="Q612">
            <v>0</v>
          </cell>
          <cell r="R612">
            <v>19648.25</v>
          </cell>
          <cell r="S612">
            <v>3726.75</v>
          </cell>
          <cell r="T612">
            <v>39.439999999999898</v>
          </cell>
          <cell r="U612">
            <v>19687.6899999999</v>
          </cell>
        </row>
        <row r="613">
          <cell r="A613" t="str">
            <v>PLN   Złoty</v>
          </cell>
          <cell r="E613" t="str">
            <v>KB Sprzed. bezpośrednia</v>
          </cell>
          <cell r="H613">
            <v>1199.42</v>
          </cell>
          <cell r="J613">
            <v>41565.93</v>
          </cell>
          <cell r="K613">
            <v>5937.0799999999899</v>
          </cell>
          <cell r="L613">
            <v>0</v>
          </cell>
          <cell r="M613">
            <v>0</v>
          </cell>
          <cell r="N613">
            <v>5937.0799999999899</v>
          </cell>
          <cell r="O613">
            <v>858510.25</v>
          </cell>
          <cell r="Q613">
            <v>0</v>
          </cell>
          <cell r="R613">
            <v>858510.25</v>
          </cell>
          <cell r="S613">
            <v>160996.75</v>
          </cell>
          <cell r="T613">
            <v>1830.45</v>
          </cell>
          <cell r="U613">
            <v>860340.69999999902</v>
          </cell>
        </row>
        <row r="614">
          <cell r="A614" t="str">
            <v>PLN   Złoty</v>
          </cell>
          <cell r="E614" t="str">
            <v>KB Sprzed. bezpośrednia</v>
          </cell>
          <cell r="H614">
            <v>700</v>
          </cell>
          <cell r="J614">
            <v>27968.619999999901</v>
          </cell>
          <cell r="K614">
            <v>3464.98</v>
          </cell>
          <cell r="L614">
            <v>0</v>
          </cell>
          <cell r="M614">
            <v>0</v>
          </cell>
          <cell r="N614">
            <v>3464.98</v>
          </cell>
          <cell r="O614">
            <v>532383.03</v>
          </cell>
          <cell r="Q614">
            <v>0</v>
          </cell>
          <cell r="R614">
            <v>532383.03</v>
          </cell>
          <cell r="S614">
            <v>153616.97</v>
          </cell>
          <cell r="T614">
            <v>1130.6400000000001</v>
          </cell>
          <cell r="U614">
            <v>533513.67000000004</v>
          </cell>
        </row>
        <row r="615">
          <cell r="A615" t="str">
            <v>PLN   Złoty</v>
          </cell>
          <cell r="E615" t="str">
            <v>KB Sprzed. bezpośrednia</v>
          </cell>
          <cell r="H615">
            <v>34.200000000000003</v>
          </cell>
          <cell r="J615">
            <v>1366.5</v>
          </cell>
          <cell r="K615">
            <v>169.289999999999</v>
          </cell>
          <cell r="L615">
            <v>0</v>
          </cell>
          <cell r="M615">
            <v>0</v>
          </cell>
          <cell r="N615">
            <v>169.289999999999</v>
          </cell>
          <cell r="O615">
            <v>27165.549999999901</v>
          </cell>
          <cell r="Q615">
            <v>0</v>
          </cell>
          <cell r="R615">
            <v>27165.549999999901</v>
          </cell>
          <cell r="S615">
            <v>6350.4499999999898</v>
          </cell>
          <cell r="T615">
            <v>57.85</v>
          </cell>
          <cell r="U615">
            <v>27223.4</v>
          </cell>
        </row>
        <row r="616">
          <cell r="A616" t="str">
            <v>PLN   Złoty</v>
          </cell>
          <cell r="E616" t="str">
            <v>KB Sprzed. bezpośrednia</v>
          </cell>
          <cell r="H616">
            <v>139</v>
          </cell>
          <cell r="J616">
            <v>5164.67</v>
          </cell>
          <cell r="K616">
            <v>688.04999999999905</v>
          </cell>
          <cell r="L616">
            <v>1166.8800000000001</v>
          </cell>
          <cell r="M616">
            <v>0</v>
          </cell>
          <cell r="N616">
            <v>1854.93</v>
          </cell>
          <cell r="O616">
            <v>104194.149999999</v>
          </cell>
          <cell r="Q616">
            <v>0</v>
          </cell>
          <cell r="R616">
            <v>104194.149999999</v>
          </cell>
          <cell r="S616">
            <v>22482.98</v>
          </cell>
          <cell r="T616">
            <v>219.319999999999</v>
          </cell>
          <cell r="U616">
            <v>104413.47</v>
          </cell>
        </row>
        <row r="617">
          <cell r="A617" t="str">
            <v>PLN   Złoty</v>
          </cell>
          <cell r="E617" t="str">
            <v>KB Sprzed. bezpośrednia</v>
          </cell>
          <cell r="H617">
            <v>5</v>
          </cell>
          <cell r="J617">
            <v>184.21</v>
          </cell>
          <cell r="K617">
            <v>24.75</v>
          </cell>
          <cell r="L617">
            <v>0</v>
          </cell>
          <cell r="M617">
            <v>0</v>
          </cell>
          <cell r="N617">
            <v>24.75</v>
          </cell>
          <cell r="O617">
            <v>3787.17</v>
          </cell>
          <cell r="Q617">
            <v>0</v>
          </cell>
          <cell r="R617">
            <v>3787.17</v>
          </cell>
          <cell r="S617">
            <v>730.98</v>
          </cell>
          <cell r="T617">
            <v>8.08</v>
          </cell>
          <cell r="U617">
            <v>3795.25</v>
          </cell>
        </row>
        <row r="618">
          <cell r="A618" t="str">
            <v>PLN   Złoty</v>
          </cell>
          <cell r="E618" t="str">
            <v>KB Sprzed. bezpośrednia</v>
          </cell>
          <cell r="H618">
            <v>900.41999999999905</v>
          </cell>
          <cell r="J618">
            <v>30286.3499999999</v>
          </cell>
          <cell r="K618">
            <v>4457.05</v>
          </cell>
          <cell r="L618">
            <v>0</v>
          </cell>
          <cell r="M618">
            <v>0</v>
          </cell>
          <cell r="N618">
            <v>4457.05</v>
          </cell>
          <cell r="O618">
            <v>643576.92000000004</v>
          </cell>
          <cell r="Q618">
            <v>0</v>
          </cell>
          <cell r="R618">
            <v>643576.92000000004</v>
          </cell>
          <cell r="S618">
            <v>99269.58</v>
          </cell>
          <cell r="T618">
            <v>1374.14</v>
          </cell>
          <cell r="U618">
            <v>644951.06000000006</v>
          </cell>
        </row>
        <row r="619">
          <cell r="A619" t="str">
            <v>PLN   Złoty</v>
          </cell>
          <cell r="E619" t="str">
            <v>KB Sprzed. bezpośrednia</v>
          </cell>
          <cell r="H619">
            <v>24</v>
          </cell>
          <cell r="J619">
            <v>934.48</v>
          </cell>
          <cell r="K619">
            <v>118.8</v>
          </cell>
          <cell r="L619">
            <v>838.32</v>
          </cell>
          <cell r="M619">
            <v>0</v>
          </cell>
          <cell r="N619">
            <v>957.12</v>
          </cell>
          <cell r="O619">
            <v>19067.0099999999</v>
          </cell>
          <cell r="Q619">
            <v>0</v>
          </cell>
          <cell r="R619">
            <v>19067.0099999999</v>
          </cell>
          <cell r="S619">
            <v>3852.9899999999898</v>
          </cell>
          <cell r="T619">
            <v>38.759999999999899</v>
          </cell>
          <cell r="U619">
            <v>19105.77</v>
          </cell>
        </row>
        <row r="620">
          <cell r="A620" t="str">
            <v>PLN   Złoty</v>
          </cell>
          <cell r="E620" t="str">
            <v>KB Sprzed. bezpośrednia</v>
          </cell>
          <cell r="H620">
            <v>144</v>
          </cell>
          <cell r="J620">
            <v>5510.5</v>
          </cell>
          <cell r="K620">
            <v>712.78999999999905</v>
          </cell>
          <cell r="L620">
            <v>12505.44</v>
          </cell>
          <cell r="M620">
            <v>0</v>
          </cell>
          <cell r="N620">
            <v>13218.23</v>
          </cell>
          <cell r="O620">
            <v>119398.77</v>
          </cell>
          <cell r="Q620">
            <v>0</v>
          </cell>
          <cell r="R620">
            <v>119398.77</v>
          </cell>
          <cell r="S620">
            <v>15759.629999999899</v>
          </cell>
          <cell r="T620">
            <v>227.22</v>
          </cell>
          <cell r="U620">
            <v>119625.99</v>
          </cell>
        </row>
        <row r="621">
          <cell r="A621" t="str">
            <v>PLN   Złoty</v>
          </cell>
          <cell r="E621" t="str">
            <v>KB Sprzed. bezpośrednia</v>
          </cell>
          <cell r="H621">
            <v>72</v>
          </cell>
          <cell r="J621">
            <v>2713.6799999999898</v>
          </cell>
          <cell r="K621">
            <v>356.38999999999902</v>
          </cell>
          <cell r="L621">
            <v>6123.6</v>
          </cell>
          <cell r="M621">
            <v>0</v>
          </cell>
          <cell r="N621">
            <v>6479.9899999999898</v>
          </cell>
          <cell r="O621">
            <v>60719.9</v>
          </cell>
          <cell r="Q621">
            <v>0</v>
          </cell>
          <cell r="R621">
            <v>60719.9</v>
          </cell>
          <cell r="S621">
            <v>5839.7799999999897</v>
          </cell>
          <cell r="T621">
            <v>116.29</v>
          </cell>
          <cell r="U621">
            <v>60836.19</v>
          </cell>
        </row>
        <row r="622">
          <cell r="A622" t="str">
            <v>PLN   Złoty</v>
          </cell>
          <cell r="E622" t="str">
            <v>KB Sprzed. bezpośrednia</v>
          </cell>
          <cell r="H622">
            <v>24</v>
          </cell>
          <cell r="J622">
            <v>934.48</v>
          </cell>
          <cell r="K622">
            <v>118.8</v>
          </cell>
          <cell r="L622">
            <v>1779.1199999999899</v>
          </cell>
          <cell r="M622">
            <v>0</v>
          </cell>
          <cell r="N622">
            <v>1897.92</v>
          </cell>
          <cell r="O622">
            <v>19610.740000000002</v>
          </cell>
          <cell r="Q622">
            <v>0</v>
          </cell>
          <cell r="R622">
            <v>19610.740000000002</v>
          </cell>
          <cell r="S622">
            <v>3309.26</v>
          </cell>
          <cell r="T622">
            <v>37.869999999999898</v>
          </cell>
          <cell r="U622">
            <v>19648.61</v>
          </cell>
        </row>
        <row r="623">
          <cell r="A623" t="str">
            <v>PLN   Złoty</v>
          </cell>
          <cell r="E623" t="str">
            <v>KB Sprzed. bezpośrednia</v>
          </cell>
          <cell r="H623">
            <v>144</v>
          </cell>
          <cell r="J623">
            <v>5562.67</v>
          </cell>
          <cell r="K623">
            <v>712.78999999999905</v>
          </cell>
          <cell r="L623">
            <v>6401.04</v>
          </cell>
          <cell r="M623">
            <v>0</v>
          </cell>
          <cell r="N623">
            <v>7113.8299999999899</v>
          </cell>
          <cell r="O623">
            <v>113346.539999999</v>
          </cell>
          <cell r="Q623">
            <v>0</v>
          </cell>
          <cell r="R623">
            <v>113346.539999999</v>
          </cell>
          <cell r="S623">
            <v>23093.459999999901</v>
          </cell>
          <cell r="T623">
            <v>227.22</v>
          </cell>
          <cell r="U623">
            <v>113573.75999999901</v>
          </cell>
        </row>
        <row r="624">
          <cell r="A624" t="str">
            <v>PLN   Złoty</v>
          </cell>
          <cell r="E624" t="str">
            <v>KB Sprzed. bezpośrednia</v>
          </cell>
          <cell r="H624">
            <v>24</v>
          </cell>
          <cell r="J624">
            <v>934.48</v>
          </cell>
          <cell r="K624">
            <v>118.8</v>
          </cell>
          <cell r="L624">
            <v>1200.96</v>
          </cell>
          <cell r="M624">
            <v>0</v>
          </cell>
          <cell r="N624">
            <v>1319.76</v>
          </cell>
          <cell r="O624">
            <v>18642.0099999999</v>
          </cell>
          <cell r="Q624">
            <v>0</v>
          </cell>
          <cell r="R624">
            <v>18642.0099999999</v>
          </cell>
          <cell r="S624">
            <v>4277.9899999999898</v>
          </cell>
          <cell r="T624">
            <v>36.99</v>
          </cell>
          <cell r="U624">
            <v>18679</v>
          </cell>
        </row>
        <row r="625">
          <cell r="A625" t="str">
            <v>PLN   Złoty</v>
          </cell>
          <cell r="E625" t="str">
            <v>KB Sprzed. bezpośrednia</v>
          </cell>
          <cell r="H625">
            <v>48</v>
          </cell>
          <cell r="J625">
            <v>1805.3199999999899</v>
          </cell>
          <cell r="K625">
            <v>237.59</v>
          </cell>
          <cell r="L625">
            <v>3180</v>
          </cell>
          <cell r="M625">
            <v>0</v>
          </cell>
          <cell r="N625">
            <v>3417.59</v>
          </cell>
          <cell r="O625">
            <v>38779.589999999902</v>
          </cell>
          <cell r="Q625">
            <v>0</v>
          </cell>
          <cell r="R625">
            <v>38779.589999999902</v>
          </cell>
          <cell r="S625">
            <v>5500.4099999999899</v>
          </cell>
          <cell r="T625">
            <v>75.739999999999895</v>
          </cell>
          <cell r="U625">
            <v>38855.33</v>
          </cell>
        </row>
        <row r="626">
          <cell r="A626" t="str">
            <v>PLN   Złoty</v>
          </cell>
          <cell r="E626" t="str">
            <v>KB Sprzed. bezpośrednia</v>
          </cell>
          <cell r="H626">
            <v>24</v>
          </cell>
          <cell r="J626">
            <v>884.16999999999905</v>
          </cell>
          <cell r="K626">
            <v>118.8</v>
          </cell>
          <cell r="L626">
            <v>0</v>
          </cell>
          <cell r="M626">
            <v>0</v>
          </cell>
          <cell r="N626">
            <v>118.8</v>
          </cell>
          <cell r="O626">
            <v>18178.38</v>
          </cell>
          <cell r="Q626">
            <v>0</v>
          </cell>
          <cell r="R626">
            <v>18178.38</v>
          </cell>
          <cell r="S626">
            <v>3508.7399999999898</v>
          </cell>
          <cell r="T626">
            <v>38.759999999999899</v>
          </cell>
          <cell r="U626">
            <v>18217.139999999901</v>
          </cell>
        </row>
        <row r="627">
          <cell r="A627" t="str">
            <v>PLN   Złoty</v>
          </cell>
          <cell r="E627" t="str">
            <v>KB Sprzed. bezpośrednia</v>
          </cell>
          <cell r="H627">
            <v>120</v>
          </cell>
          <cell r="J627">
            <v>4659.26</v>
          </cell>
          <cell r="K627">
            <v>594</v>
          </cell>
          <cell r="L627">
            <v>9858</v>
          </cell>
          <cell r="M627">
            <v>0</v>
          </cell>
          <cell r="N627">
            <v>10452</v>
          </cell>
          <cell r="O627">
            <v>99002.96</v>
          </cell>
          <cell r="Q627">
            <v>0</v>
          </cell>
          <cell r="R627">
            <v>99002.96</v>
          </cell>
          <cell r="S627">
            <v>15276.4</v>
          </cell>
          <cell r="T627">
            <v>189.349999999999</v>
          </cell>
          <cell r="U627">
            <v>99192.309999999896</v>
          </cell>
        </row>
        <row r="628">
          <cell r="A628" t="str">
            <v>PLN   Złoty</v>
          </cell>
          <cell r="E628" t="str">
            <v>KB Sprzed. bezpośrednia</v>
          </cell>
          <cell r="H628">
            <v>630</v>
          </cell>
          <cell r="J628">
            <v>23727.58</v>
          </cell>
          <cell r="K628">
            <v>3118.4699999999898</v>
          </cell>
          <cell r="L628">
            <v>26626.4199999999</v>
          </cell>
          <cell r="M628">
            <v>0</v>
          </cell>
          <cell r="N628">
            <v>29744.889999999901</v>
          </cell>
          <cell r="O628">
            <v>493903.88</v>
          </cell>
          <cell r="Q628">
            <v>0</v>
          </cell>
          <cell r="R628">
            <v>493903.88</v>
          </cell>
          <cell r="S628">
            <v>88073.8</v>
          </cell>
          <cell r="T628">
            <v>994.05999999999904</v>
          </cell>
          <cell r="U628">
            <v>494897.94</v>
          </cell>
        </row>
        <row r="629">
          <cell r="A629" t="str">
            <v>PLN   Złoty</v>
          </cell>
          <cell r="E629" t="str">
            <v>KB Sprzed. bezpośrednia</v>
          </cell>
          <cell r="H629">
            <v>264</v>
          </cell>
          <cell r="J629">
            <v>9786.2000000000007</v>
          </cell>
          <cell r="K629">
            <v>1306.79</v>
          </cell>
          <cell r="L629">
            <v>4998.2399999999898</v>
          </cell>
          <cell r="M629">
            <v>0</v>
          </cell>
          <cell r="N629">
            <v>6305.0299999999897</v>
          </cell>
          <cell r="O629">
            <v>205020.739999999</v>
          </cell>
          <cell r="Q629">
            <v>0</v>
          </cell>
          <cell r="R629">
            <v>205020.739999999</v>
          </cell>
          <cell r="S629">
            <v>35009.5</v>
          </cell>
          <cell r="T629">
            <v>426.41</v>
          </cell>
          <cell r="U629">
            <v>205447.149999999</v>
          </cell>
        </row>
        <row r="630">
          <cell r="A630" t="str">
            <v>PLN   Złoty</v>
          </cell>
          <cell r="E630" t="str">
            <v>KB Sprzed. bezpośrednia</v>
          </cell>
          <cell r="H630">
            <v>24</v>
          </cell>
          <cell r="J630">
            <v>927.95</v>
          </cell>
          <cell r="K630">
            <v>118.8</v>
          </cell>
          <cell r="L630">
            <v>1090.5599999999899</v>
          </cell>
          <cell r="M630">
            <v>0</v>
          </cell>
          <cell r="N630">
            <v>1209.3599999999899</v>
          </cell>
          <cell r="O630">
            <v>18915.650000000001</v>
          </cell>
          <cell r="Q630">
            <v>0</v>
          </cell>
          <cell r="R630">
            <v>18915.650000000001</v>
          </cell>
          <cell r="S630">
            <v>3844.03</v>
          </cell>
          <cell r="T630">
            <v>37.869999999999898</v>
          </cell>
          <cell r="U630">
            <v>18953.52</v>
          </cell>
        </row>
        <row r="631">
          <cell r="A631" t="str">
            <v>PLN   Złoty</v>
          </cell>
          <cell r="E631" t="str">
            <v>KB Sprzed. bezpośrednia</v>
          </cell>
          <cell r="H631">
            <v>72</v>
          </cell>
          <cell r="J631">
            <v>2783.79</v>
          </cell>
          <cell r="K631">
            <v>356.38999999999902</v>
          </cell>
          <cell r="L631">
            <v>3744.96</v>
          </cell>
          <cell r="M631">
            <v>0</v>
          </cell>
          <cell r="N631">
            <v>4101.3500000000004</v>
          </cell>
          <cell r="O631">
            <v>58411.37</v>
          </cell>
          <cell r="Q631">
            <v>0</v>
          </cell>
          <cell r="R631">
            <v>58411.37</v>
          </cell>
          <cell r="S631">
            <v>9867.67</v>
          </cell>
          <cell r="T631">
            <v>116.29</v>
          </cell>
          <cell r="U631">
            <v>58527.66</v>
          </cell>
        </row>
        <row r="632">
          <cell r="A632" t="str">
            <v>PLN   Złoty</v>
          </cell>
          <cell r="E632" t="str">
            <v>KB Sprzed. bezpośrednia</v>
          </cell>
          <cell r="H632">
            <v>25</v>
          </cell>
          <cell r="J632">
            <v>946.33</v>
          </cell>
          <cell r="K632">
            <v>123.739999999999</v>
          </cell>
          <cell r="L632">
            <v>1685.8099999999899</v>
          </cell>
          <cell r="M632">
            <v>0</v>
          </cell>
          <cell r="N632">
            <v>1809.55</v>
          </cell>
          <cell r="O632">
            <v>20233.32</v>
          </cell>
          <cell r="Q632">
            <v>0</v>
          </cell>
          <cell r="R632">
            <v>20233.32</v>
          </cell>
          <cell r="S632">
            <v>2977.9299999999898</v>
          </cell>
          <cell r="T632">
            <v>39.439999999999898</v>
          </cell>
          <cell r="U632">
            <v>20272.7599999999</v>
          </cell>
        </row>
        <row r="633">
          <cell r="A633" t="str">
            <v>PLN   Złoty</v>
          </cell>
          <cell r="E633" t="str">
            <v>KB Sprzed. bezpośrednia</v>
          </cell>
          <cell r="H633">
            <v>48</v>
          </cell>
          <cell r="J633">
            <v>1780.8699999999899</v>
          </cell>
          <cell r="K633">
            <v>237.59</v>
          </cell>
          <cell r="L633">
            <v>0</v>
          </cell>
          <cell r="M633">
            <v>0</v>
          </cell>
          <cell r="N633">
            <v>237.59</v>
          </cell>
          <cell r="O633">
            <v>35575.139999999898</v>
          </cell>
          <cell r="Q633">
            <v>0</v>
          </cell>
          <cell r="R633">
            <v>35575.139999999898</v>
          </cell>
          <cell r="S633">
            <v>8104.8599999999897</v>
          </cell>
          <cell r="T633">
            <v>75.739999999999895</v>
          </cell>
          <cell r="U633">
            <v>35650.879999999903</v>
          </cell>
        </row>
        <row r="634">
          <cell r="A634" t="str">
            <v>PLN   Złoty</v>
          </cell>
          <cell r="E634" t="str">
            <v>KB Sprzed. bezpośrednia</v>
          </cell>
          <cell r="H634">
            <v>351</v>
          </cell>
          <cell r="J634">
            <v>13293.959999999901</v>
          </cell>
          <cell r="K634">
            <v>1737.43</v>
          </cell>
          <cell r="L634">
            <v>15106.65</v>
          </cell>
          <cell r="M634">
            <v>0</v>
          </cell>
          <cell r="N634">
            <v>16844.080000000002</v>
          </cell>
          <cell r="O634">
            <v>275521.27</v>
          </cell>
          <cell r="Q634">
            <v>0</v>
          </cell>
          <cell r="R634">
            <v>275521.27</v>
          </cell>
          <cell r="S634">
            <v>50545.639999999898</v>
          </cell>
          <cell r="T634">
            <v>553.84</v>
          </cell>
          <cell r="U634">
            <v>276075.109999999</v>
          </cell>
        </row>
        <row r="635">
          <cell r="A635" t="str">
            <v>PLN   Złoty</v>
          </cell>
          <cell r="E635" t="str">
            <v>KB Sprzed. bezpośrednia</v>
          </cell>
          <cell r="H635">
            <v>24</v>
          </cell>
          <cell r="J635">
            <v>934.48</v>
          </cell>
          <cell r="K635">
            <v>118.8</v>
          </cell>
          <cell r="L635">
            <v>1300.8</v>
          </cell>
          <cell r="M635">
            <v>0</v>
          </cell>
          <cell r="N635">
            <v>1419.5999999999899</v>
          </cell>
          <cell r="O635">
            <v>19132.4199999999</v>
          </cell>
          <cell r="Q635">
            <v>0</v>
          </cell>
          <cell r="R635">
            <v>19132.4199999999</v>
          </cell>
          <cell r="S635">
            <v>3787.5799999999899</v>
          </cell>
          <cell r="T635">
            <v>37.869999999999898</v>
          </cell>
          <cell r="U635">
            <v>19170.29</v>
          </cell>
        </row>
        <row r="636">
          <cell r="A636" t="str">
            <v>PLN   Złoty</v>
          </cell>
          <cell r="E636" t="str">
            <v>KB Sprzed. bezpośrednia</v>
          </cell>
          <cell r="H636">
            <v>63.5</v>
          </cell>
          <cell r="J636">
            <v>2351.92</v>
          </cell>
          <cell r="K636">
            <v>314.31999999999903</v>
          </cell>
          <cell r="L636">
            <v>0</v>
          </cell>
          <cell r="M636">
            <v>0</v>
          </cell>
          <cell r="N636">
            <v>314.31999999999903</v>
          </cell>
          <cell r="O636">
            <v>47058.93</v>
          </cell>
          <cell r="Q636">
            <v>0</v>
          </cell>
          <cell r="R636">
            <v>47058.93</v>
          </cell>
          <cell r="S636">
            <v>10627.34</v>
          </cell>
          <cell r="T636">
            <v>100.19</v>
          </cell>
          <cell r="U636">
            <v>47159.12</v>
          </cell>
        </row>
        <row r="637">
          <cell r="A637" t="str">
            <v>PLN   Złoty</v>
          </cell>
          <cell r="E637" t="str">
            <v>KB Sprzed. bezpośrednia</v>
          </cell>
          <cell r="H637">
            <v>972</v>
          </cell>
          <cell r="J637">
            <v>36740.94</v>
          </cell>
          <cell r="K637">
            <v>4811.3699999999899</v>
          </cell>
          <cell r="L637">
            <v>26005.84</v>
          </cell>
          <cell r="M637">
            <v>0</v>
          </cell>
          <cell r="N637">
            <v>30817.209999999901</v>
          </cell>
          <cell r="O637">
            <v>747080.88</v>
          </cell>
          <cell r="Q637">
            <v>0</v>
          </cell>
          <cell r="R637">
            <v>747080.88</v>
          </cell>
          <cell r="S637">
            <v>154081.16</v>
          </cell>
          <cell r="T637">
            <v>1533.69</v>
          </cell>
          <cell r="U637">
            <v>748614.56999999902</v>
          </cell>
        </row>
        <row r="638">
          <cell r="A638" t="str">
            <v>PLN   Złoty</v>
          </cell>
          <cell r="E638" t="str">
            <v>KB Sprzed. bezpośrednia</v>
          </cell>
          <cell r="H638">
            <v>432</v>
          </cell>
          <cell r="J638">
            <v>15824.45</v>
          </cell>
          <cell r="K638">
            <v>2138.3899999999899</v>
          </cell>
          <cell r="L638">
            <v>13095.36</v>
          </cell>
          <cell r="M638">
            <v>0</v>
          </cell>
          <cell r="N638">
            <v>15233.75</v>
          </cell>
          <cell r="O638">
            <v>340215.58</v>
          </cell>
          <cell r="Q638">
            <v>0</v>
          </cell>
          <cell r="R638">
            <v>340215.58</v>
          </cell>
          <cell r="S638">
            <v>47916.5</v>
          </cell>
          <cell r="T638">
            <v>697.76999999999896</v>
          </cell>
          <cell r="U638">
            <v>340913.34999999899</v>
          </cell>
        </row>
        <row r="639">
          <cell r="A639" t="str">
            <v>PLN   Złoty</v>
          </cell>
          <cell r="E639" t="str">
            <v>KB Sprzed. bezpośrednia</v>
          </cell>
          <cell r="H639">
            <v>508</v>
          </cell>
          <cell r="J639">
            <v>19297.75</v>
          </cell>
          <cell r="K639">
            <v>2514.5799999999899</v>
          </cell>
          <cell r="L639">
            <v>26493.959999999901</v>
          </cell>
          <cell r="M639">
            <v>0</v>
          </cell>
          <cell r="N639">
            <v>29008.54</v>
          </cell>
          <cell r="O639">
            <v>403447.81</v>
          </cell>
          <cell r="Q639">
            <v>0</v>
          </cell>
          <cell r="R639">
            <v>403447.81</v>
          </cell>
          <cell r="S639">
            <v>69877.389999999898</v>
          </cell>
          <cell r="T639">
            <v>801.55999999999904</v>
          </cell>
          <cell r="U639">
            <v>404249.37</v>
          </cell>
        </row>
        <row r="640">
          <cell r="A640" t="str">
            <v>PLN   Złoty</v>
          </cell>
          <cell r="E640" t="str">
            <v>KB Sprzed. bezpośrednia</v>
          </cell>
          <cell r="H640">
            <v>371</v>
          </cell>
          <cell r="J640">
            <v>13711.98</v>
          </cell>
          <cell r="K640">
            <v>1836.44</v>
          </cell>
          <cell r="L640">
            <v>856.32</v>
          </cell>
          <cell r="M640">
            <v>0</v>
          </cell>
          <cell r="N640">
            <v>2692.76</v>
          </cell>
          <cell r="O640">
            <v>275769.90999999898</v>
          </cell>
          <cell r="Q640">
            <v>0</v>
          </cell>
          <cell r="R640">
            <v>275769.90999999898</v>
          </cell>
          <cell r="S640">
            <v>60549.379999999903</v>
          </cell>
          <cell r="T640">
            <v>585.38</v>
          </cell>
          <cell r="U640">
            <v>276355.28999999899</v>
          </cell>
        </row>
        <row r="641">
          <cell r="A641" t="str">
            <v>PLN   Złoty</v>
          </cell>
          <cell r="E641" t="str">
            <v>KB Sprzed. bezpośrednia</v>
          </cell>
          <cell r="H641">
            <v>190.5</v>
          </cell>
          <cell r="J641">
            <v>7018.3199999999897</v>
          </cell>
          <cell r="K641">
            <v>942.96</v>
          </cell>
          <cell r="L641">
            <v>0</v>
          </cell>
          <cell r="M641">
            <v>0</v>
          </cell>
          <cell r="N641">
            <v>942.96</v>
          </cell>
          <cell r="O641">
            <v>144291.09</v>
          </cell>
          <cell r="Q641">
            <v>0</v>
          </cell>
          <cell r="R641">
            <v>144291.09</v>
          </cell>
          <cell r="S641">
            <v>27850.43</v>
          </cell>
          <cell r="T641">
            <v>307.69999999999902</v>
          </cell>
          <cell r="U641">
            <v>144598.79</v>
          </cell>
        </row>
        <row r="642">
          <cell r="A642" t="str">
            <v>PLN   Złoty</v>
          </cell>
          <cell r="E642" t="str">
            <v>KB Sprzed. bezpośrednia</v>
          </cell>
          <cell r="H642">
            <v>24</v>
          </cell>
          <cell r="J642">
            <v>927.95</v>
          </cell>
          <cell r="K642">
            <v>118.8</v>
          </cell>
          <cell r="L642">
            <v>1300.8</v>
          </cell>
          <cell r="M642">
            <v>0</v>
          </cell>
          <cell r="N642">
            <v>1419.5999999999899</v>
          </cell>
          <cell r="O642">
            <v>19125.889999999901</v>
          </cell>
          <cell r="Q642">
            <v>0</v>
          </cell>
          <cell r="R642">
            <v>19125.889999999901</v>
          </cell>
          <cell r="S642">
            <v>3633.79</v>
          </cell>
          <cell r="T642">
            <v>37.869999999999898</v>
          </cell>
          <cell r="U642">
            <v>19163.7599999999</v>
          </cell>
        </row>
        <row r="643">
          <cell r="A643" t="str">
            <v>PLN   Złoty</v>
          </cell>
          <cell r="E643" t="str">
            <v>KB Sprzed. bezpośrednia</v>
          </cell>
          <cell r="H643">
            <v>75</v>
          </cell>
          <cell r="J643">
            <v>2839.03</v>
          </cell>
          <cell r="K643">
            <v>371.24</v>
          </cell>
          <cell r="L643">
            <v>4712.34</v>
          </cell>
          <cell r="M643">
            <v>0</v>
          </cell>
          <cell r="N643">
            <v>5083.5799999999899</v>
          </cell>
          <cell r="O643">
            <v>60354.919999999896</v>
          </cell>
          <cell r="Q643">
            <v>0</v>
          </cell>
          <cell r="R643">
            <v>60354.919999999896</v>
          </cell>
          <cell r="S643">
            <v>9279.3299999999908</v>
          </cell>
          <cell r="T643">
            <v>118.34</v>
          </cell>
          <cell r="U643">
            <v>60473.26</v>
          </cell>
        </row>
        <row r="644">
          <cell r="A644" t="str">
            <v>PLN   Złoty</v>
          </cell>
          <cell r="E644" t="str">
            <v>KB Sprzed. bezpośrednia</v>
          </cell>
          <cell r="H644">
            <v>24</v>
          </cell>
          <cell r="J644">
            <v>787.02999999999895</v>
          </cell>
          <cell r="K644">
            <v>118.8</v>
          </cell>
          <cell r="L644">
            <v>0</v>
          </cell>
          <cell r="M644">
            <v>0</v>
          </cell>
          <cell r="N644">
            <v>118.8</v>
          </cell>
          <cell r="O644">
            <v>17684.1699999999</v>
          </cell>
          <cell r="Q644">
            <v>0</v>
          </cell>
          <cell r="R644">
            <v>17684.1699999999</v>
          </cell>
          <cell r="S644">
            <v>1619.75</v>
          </cell>
          <cell r="T644">
            <v>37.869999999999898</v>
          </cell>
          <cell r="U644">
            <v>17722.04</v>
          </cell>
        </row>
        <row r="645">
          <cell r="A645" t="str">
            <v>PLN   Złoty</v>
          </cell>
          <cell r="E645" t="str">
            <v>KB Sprzed. bezpośrednia</v>
          </cell>
          <cell r="H645">
            <v>48</v>
          </cell>
          <cell r="J645">
            <v>1855.8399999999899</v>
          </cell>
          <cell r="K645">
            <v>237.59</v>
          </cell>
          <cell r="L645">
            <v>5550.96</v>
          </cell>
          <cell r="M645">
            <v>0</v>
          </cell>
          <cell r="N645">
            <v>5788.55</v>
          </cell>
          <cell r="O645">
            <v>41201.07</v>
          </cell>
          <cell r="Q645">
            <v>0</v>
          </cell>
          <cell r="R645">
            <v>41201.07</v>
          </cell>
          <cell r="S645">
            <v>4318.29</v>
          </cell>
          <cell r="T645">
            <v>75.739999999999895</v>
          </cell>
          <cell r="U645">
            <v>41276.809999999903</v>
          </cell>
        </row>
        <row r="646">
          <cell r="A646" t="str">
            <v>PLN   Złoty</v>
          </cell>
          <cell r="E646" t="str">
            <v>KB Sprzed. bezpośrednia</v>
          </cell>
          <cell r="H646">
            <v>50</v>
          </cell>
          <cell r="J646">
            <v>1906.01</v>
          </cell>
          <cell r="K646">
            <v>247.5</v>
          </cell>
          <cell r="L646">
            <v>3288.3</v>
          </cell>
          <cell r="M646">
            <v>0</v>
          </cell>
          <cell r="N646">
            <v>3535.8</v>
          </cell>
          <cell r="O646">
            <v>40396.69</v>
          </cell>
          <cell r="Q646">
            <v>0</v>
          </cell>
          <cell r="R646">
            <v>40396.69</v>
          </cell>
          <cell r="S646">
            <v>6353.31</v>
          </cell>
          <cell r="T646">
            <v>78.89</v>
          </cell>
          <cell r="U646">
            <v>40475.58</v>
          </cell>
        </row>
        <row r="647">
          <cell r="A647" t="str">
            <v>PLN   Złoty</v>
          </cell>
          <cell r="E647" t="str">
            <v>KB Sprzed. bezpośrednia</v>
          </cell>
          <cell r="H647">
            <v>97</v>
          </cell>
          <cell r="J647">
            <v>3730.11</v>
          </cell>
          <cell r="K647">
            <v>480.14999999999901</v>
          </cell>
          <cell r="L647">
            <v>6254.7399999999898</v>
          </cell>
          <cell r="M647">
            <v>0</v>
          </cell>
          <cell r="N647">
            <v>6734.89</v>
          </cell>
          <cell r="O647">
            <v>78277.460000000006</v>
          </cell>
          <cell r="Q647">
            <v>0</v>
          </cell>
          <cell r="R647">
            <v>78277.460000000006</v>
          </cell>
          <cell r="S647">
            <v>13212.83</v>
          </cell>
          <cell r="T647">
            <v>153.05000000000001</v>
          </cell>
          <cell r="U647">
            <v>78430.509999999893</v>
          </cell>
        </row>
        <row r="648">
          <cell r="A648" t="str">
            <v>PLN   Złoty</v>
          </cell>
          <cell r="E648" t="str">
            <v>KB Sprzed. bezpośrednia</v>
          </cell>
          <cell r="H648">
            <v>24</v>
          </cell>
          <cell r="J648">
            <v>864.75</v>
          </cell>
          <cell r="K648">
            <v>118.8</v>
          </cell>
          <cell r="L648">
            <v>1815.8399999999899</v>
          </cell>
          <cell r="M648">
            <v>0</v>
          </cell>
          <cell r="N648">
            <v>1934.64</v>
          </cell>
          <cell r="O648">
            <v>19974.799999999901</v>
          </cell>
          <cell r="Q648">
            <v>0</v>
          </cell>
          <cell r="R648">
            <v>19974.799999999901</v>
          </cell>
          <cell r="S648">
            <v>1235.68</v>
          </cell>
          <cell r="T648">
            <v>38.759999999999899</v>
          </cell>
          <cell r="U648">
            <v>20013.560000000001</v>
          </cell>
        </row>
        <row r="649">
          <cell r="A649" t="str">
            <v>PLN   Złoty</v>
          </cell>
          <cell r="E649" t="str">
            <v>KB Sprzed. bezpośrednia</v>
          </cell>
          <cell r="H649">
            <v>24</v>
          </cell>
          <cell r="J649">
            <v>890.38999999999896</v>
          </cell>
          <cell r="K649">
            <v>118.8</v>
          </cell>
          <cell r="L649">
            <v>0</v>
          </cell>
          <cell r="M649">
            <v>0</v>
          </cell>
          <cell r="N649">
            <v>118.8</v>
          </cell>
          <cell r="O649">
            <v>17787.529999999901</v>
          </cell>
          <cell r="Q649">
            <v>0</v>
          </cell>
          <cell r="R649">
            <v>17787.529999999901</v>
          </cell>
          <cell r="S649">
            <v>4052.4699999999898</v>
          </cell>
          <cell r="T649">
            <v>37.869999999999898</v>
          </cell>
          <cell r="U649">
            <v>17825.400000000001</v>
          </cell>
        </row>
        <row r="650">
          <cell r="A650" t="str">
            <v>PLN   Złoty</v>
          </cell>
          <cell r="E650" t="str">
            <v>KB Sprzed. bezpośrednia</v>
          </cell>
          <cell r="H650">
            <v>24</v>
          </cell>
          <cell r="J650">
            <v>821.07</v>
          </cell>
          <cell r="K650">
            <v>118.8</v>
          </cell>
          <cell r="L650">
            <v>0</v>
          </cell>
          <cell r="M650">
            <v>0</v>
          </cell>
          <cell r="N650">
            <v>118.8</v>
          </cell>
          <cell r="O650">
            <v>18115.279999999901</v>
          </cell>
          <cell r="Q650">
            <v>0</v>
          </cell>
          <cell r="R650">
            <v>18115.279999999901</v>
          </cell>
          <cell r="S650">
            <v>2022.88</v>
          </cell>
          <cell r="T650">
            <v>38.759999999999899</v>
          </cell>
          <cell r="U650">
            <v>18154.04</v>
          </cell>
        </row>
        <row r="651">
          <cell r="A651" t="str">
            <v>PLN   Złoty</v>
          </cell>
          <cell r="E651" t="str">
            <v>KB Sprzed. bezpośrednia</v>
          </cell>
          <cell r="H651">
            <v>24</v>
          </cell>
          <cell r="J651">
            <v>934.48</v>
          </cell>
          <cell r="K651">
            <v>118.8</v>
          </cell>
          <cell r="L651">
            <v>1742.4</v>
          </cell>
          <cell r="M651">
            <v>0</v>
          </cell>
          <cell r="N651">
            <v>1861.2</v>
          </cell>
          <cell r="O651">
            <v>19574.02</v>
          </cell>
          <cell r="Q651">
            <v>0</v>
          </cell>
          <cell r="R651">
            <v>19574.02</v>
          </cell>
          <cell r="S651">
            <v>3345.98</v>
          </cell>
          <cell r="T651">
            <v>37.869999999999898</v>
          </cell>
          <cell r="U651">
            <v>19611.889999999901</v>
          </cell>
        </row>
        <row r="652">
          <cell r="A652" t="str">
            <v>PLN   Złoty</v>
          </cell>
          <cell r="E652" t="str">
            <v>KB Sprzed. bezpośrednia</v>
          </cell>
          <cell r="H652">
            <v>49</v>
          </cell>
          <cell r="J652">
            <v>1887.49</v>
          </cell>
          <cell r="K652">
            <v>242.55</v>
          </cell>
          <cell r="L652">
            <v>3928.25</v>
          </cell>
          <cell r="M652">
            <v>0</v>
          </cell>
          <cell r="N652">
            <v>4170.8</v>
          </cell>
          <cell r="O652">
            <v>40314.07</v>
          </cell>
          <cell r="Q652">
            <v>0</v>
          </cell>
          <cell r="R652">
            <v>40314.07</v>
          </cell>
          <cell r="S652">
            <v>5980.93</v>
          </cell>
          <cell r="T652">
            <v>77.319999999999894</v>
          </cell>
          <cell r="U652">
            <v>40391.389999999898</v>
          </cell>
        </row>
        <row r="653">
          <cell r="A653" t="str">
            <v>PLN   Złoty</v>
          </cell>
          <cell r="E653" t="str">
            <v>KB Sprzed. bezpośrednia</v>
          </cell>
          <cell r="H653">
            <v>49</v>
          </cell>
          <cell r="J653">
            <v>1887.49</v>
          </cell>
          <cell r="K653">
            <v>242.55</v>
          </cell>
          <cell r="L653">
            <v>2185.7399999999898</v>
          </cell>
          <cell r="M653">
            <v>0</v>
          </cell>
          <cell r="N653">
            <v>2428.29</v>
          </cell>
          <cell r="O653">
            <v>38571.559999999903</v>
          </cell>
          <cell r="Q653">
            <v>0</v>
          </cell>
          <cell r="R653">
            <v>38571.559999999903</v>
          </cell>
          <cell r="S653">
            <v>7723.4399999999896</v>
          </cell>
          <cell r="T653">
            <v>77.319999999999894</v>
          </cell>
          <cell r="U653">
            <v>38648.879999999903</v>
          </cell>
        </row>
        <row r="654">
          <cell r="A654" t="str">
            <v>PLN   Złoty</v>
          </cell>
          <cell r="E654" t="str">
            <v>KB Sprzed. bezpośrednia</v>
          </cell>
          <cell r="H654">
            <v>24</v>
          </cell>
          <cell r="J654">
            <v>934.48</v>
          </cell>
          <cell r="K654">
            <v>118.8</v>
          </cell>
          <cell r="L654">
            <v>1779.1199999999899</v>
          </cell>
          <cell r="M654">
            <v>0</v>
          </cell>
          <cell r="N654">
            <v>1897.92</v>
          </cell>
          <cell r="O654">
            <v>19610.740000000002</v>
          </cell>
          <cell r="Q654">
            <v>0</v>
          </cell>
          <cell r="R654">
            <v>19610.740000000002</v>
          </cell>
          <cell r="S654">
            <v>3309.26</v>
          </cell>
          <cell r="T654">
            <v>37.869999999999898</v>
          </cell>
          <cell r="U654">
            <v>19648.61</v>
          </cell>
        </row>
        <row r="655">
          <cell r="A655" t="str">
            <v>PLN   Złoty</v>
          </cell>
          <cell r="E655" t="str">
            <v>KB Sprzed. bezpośrednia</v>
          </cell>
          <cell r="H655">
            <v>24</v>
          </cell>
          <cell r="J655">
            <v>884.16999999999905</v>
          </cell>
          <cell r="K655">
            <v>118.8</v>
          </cell>
          <cell r="L655">
            <v>0</v>
          </cell>
          <cell r="M655">
            <v>0</v>
          </cell>
          <cell r="N655">
            <v>118.8</v>
          </cell>
          <cell r="O655">
            <v>17781.310000000001</v>
          </cell>
          <cell r="Q655">
            <v>0</v>
          </cell>
          <cell r="R655">
            <v>17781.310000000001</v>
          </cell>
          <cell r="S655">
            <v>3905.8099999999899</v>
          </cell>
          <cell r="T655">
            <v>37.869999999999898</v>
          </cell>
          <cell r="U655">
            <v>17819.18</v>
          </cell>
        </row>
        <row r="656">
          <cell r="A656" t="str">
            <v>PLN   Złoty</v>
          </cell>
          <cell r="E656" t="str">
            <v>KB Sprzed. bezpośrednia</v>
          </cell>
          <cell r="H656">
            <v>24</v>
          </cell>
          <cell r="J656">
            <v>890.38999999999896</v>
          </cell>
          <cell r="K656">
            <v>118.8</v>
          </cell>
          <cell r="L656">
            <v>0</v>
          </cell>
          <cell r="M656">
            <v>0</v>
          </cell>
          <cell r="N656">
            <v>118.8</v>
          </cell>
          <cell r="O656">
            <v>17787.529999999901</v>
          </cell>
          <cell r="Q656">
            <v>0</v>
          </cell>
          <cell r="R656">
            <v>17787.529999999901</v>
          </cell>
          <cell r="S656">
            <v>4052.4699999999898</v>
          </cell>
          <cell r="T656">
            <v>37.869999999999898</v>
          </cell>
          <cell r="U656">
            <v>17825.400000000001</v>
          </cell>
        </row>
        <row r="657">
          <cell r="A657" t="str">
            <v>PLN   Złoty</v>
          </cell>
          <cell r="E657" t="str">
            <v>KB Sprzed. bezpośrednia</v>
          </cell>
          <cell r="H657">
            <v>96</v>
          </cell>
          <cell r="J657">
            <v>3624.25</v>
          </cell>
          <cell r="K657">
            <v>475.19999999999902</v>
          </cell>
          <cell r="L657">
            <v>2413.44</v>
          </cell>
          <cell r="M657">
            <v>0</v>
          </cell>
          <cell r="N657">
            <v>2888.6399999999899</v>
          </cell>
          <cell r="O657">
            <v>73626.25</v>
          </cell>
          <cell r="Q657">
            <v>0</v>
          </cell>
          <cell r="R657">
            <v>73626.25</v>
          </cell>
          <cell r="S657">
            <v>15267.35</v>
          </cell>
          <cell r="T657">
            <v>151.47</v>
          </cell>
          <cell r="U657">
            <v>73777.72</v>
          </cell>
        </row>
        <row r="658">
          <cell r="A658" t="str">
            <v>PLN   Złoty</v>
          </cell>
          <cell r="E658" t="str">
            <v>KB Sprzed. bezpośrednia</v>
          </cell>
          <cell r="H658">
            <v>350</v>
          </cell>
          <cell r="J658">
            <v>12906.99</v>
          </cell>
          <cell r="K658">
            <v>1732.48</v>
          </cell>
          <cell r="L658">
            <v>0</v>
          </cell>
          <cell r="M658">
            <v>0</v>
          </cell>
          <cell r="N658">
            <v>1732.48</v>
          </cell>
          <cell r="O658">
            <v>259323.59</v>
          </cell>
          <cell r="Q658">
            <v>0</v>
          </cell>
          <cell r="R658">
            <v>259323.59</v>
          </cell>
          <cell r="S658">
            <v>57252.669999999896</v>
          </cell>
          <cell r="T658">
            <v>552.25</v>
          </cell>
          <cell r="U658">
            <v>259875.84</v>
          </cell>
        </row>
        <row r="659">
          <cell r="A659" t="str">
            <v>PLN   Złoty</v>
          </cell>
          <cell r="E659" t="str">
            <v>KB Sprzed. bezpośrednia</v>
          </cell>
          <cell r="H659">
            <v>24</v>
          </cell>
          <cell r="J659">
            <v>884.16999999999905</v>
          </cell>
          <cell r="K659">
            <v>118.8</v>
          </cell>
          <cell r="L659">
            <v>0</v>
          </cell>
          <cell r="M659">
            <v>0</v>
          </cell>
          <cell r="N659">
            <v>118.8</v>
          </cell>
          <cell r="O659">
            <v>18178.38</v>
          </cell>
          <cell r="Q659">
            <v>0</v>
          </cell>
          <cell r="R659">
            <v>18178.38</v>
          </cell>
          <cell r="S659">
            <v>3508.7399999999898</v>
          </cell>
          <cell r="T659">
            <v>38.759999999999899</v>
          </cell>
          <cell r="U659">
            <v>18217.139999999901</v>
          </cell>
        </row>
        <row r="660">
          <cell r="A660" t="str">
            <v>PLN   Złoty</v>
          </cell>
          <cell r="E660" t="str">
            <v>KB Sprzed. bezpośrednia</v>
          </cell>
          <cell r="H660">
            <v>73</v>
          </cell>
          <cell r="J660">
            <v>2648.9699999999898</v>
          </cell>
          <cell r="K660">
            <v>361.33999999999901</v>
          </cell>
          <cell r="L660">
            <v>1496.78</v>
          </cell>
          <cell r="M660">
            <v>0</v>
          </cell>
          <cell r="N660">
            <v>1858.1199999999899</v>
          </cell>
          <cell r="O660">
            <v>55541.209999999897</v>
          </cell>
          <cell r="Q660">
            <v>0</v>
          </cell>
          <cell r="R660">
            <v>55541.209999999897</v>
          </cell>
          <cell r="S660">
            <v>9430.7800000000007</v>
          </cell>
          <cell r="T660">
            <v>115.18</v>
          </cell>
          <cell r="U660">
            <v>55656.389999999898</v>
          </cell>
        </row>
        <row r="661">
          <cell r="A661" t="str">
            <v>PLN   Złoty</v>
          </cell>
          <cell r="E661" t="str">
            <v>KB Sprzed. bezpośrednia</v>
          </cell>
          <cell r="H661">
            <v>71.239999999999895</v>
          </cell>
          <cell r="J661">
            <v>2538.0599999999899</v>
          </cell>
          <cell r="K661">
            <v>352.63</v>
          </cell>
          <cell r="L661">
            <v>0</v>
          </cell>
          <cell r="M661">
            <v>0</v>
          </cell>
          <cell r="N661">
            <v>352.63</v>
          </cell>
          <cell r="O661">
            <v>51060.769999999902</v>
          </cell>
          <cell r="Q661">
            <v>0</v>
          </cell>
          <cell r="R661">
            <v>51060.769999999902</v>
          </cell>
          <cell r="S661">
            <v>11191.6</v>
          </cell>
          <cell r="T661">
            <v>108.72</v>
          </cell>
          <cell r="U661">
            <v>51169.489999999903</v>
          </cell>
        </row>
        <row r="662">
          <cell r="A662" t="str">
            <v>PLN   Złoty</v>
          </cell>
          <cell r="E662" t="str">
            <v>KB Sprzed. bezpośrednia</v>
          </cell>
          <cell r="H662">
            <v>564</v>
          </cell>
          <cell r="J662">
            <v>20998.4399999999</v>
          </cell>
          <cell r="K662">
            <v>2791.79</v>
          </cell>
          <cell r="L662">
            <v>4328.1599999999899</v>
          </cell>
          <cell r="M662">
            <v>0</v>
          </cell>
          <cell r="N662">
            <v>7119.9499999999898</v>
          </cell>
          <cell r="O662">
            <v>422409.38</v>
          </cell>
          <cell r="Q662">
            <v>0</v>
          </cell>
          <cell r="R662">
            <v>422409.38</v>
          </cell>
          <cell r="S662">
            <v>92628.1</v>
          </cell>
          <cell r="T662">
            <v>889.91999999999905</v>
          </cell>
          <cell r="U662">
            <v>423299.299999999</v>
          </cell>
        </row>
        <row r="663">
          <cell r="A663" t="str">
            <v>PLN   Złoty</v>
          </cell>
          <cell r="E663" t="str">
            <v>KB Sprzed. bezpośrednia</v>
          </cell>
          <cell r="H663">
            <v>144</v>
          </cell>
          <cell r="J663">
            <v>5305.22</v>
          </cell>
          <cell r="K663">
            <v>712.78999999999905</v>
          </cell>
          <cell r="L663">
            <v>0</v>
          </cell>
          <cell r="M663">
            <v>0</v>
          </cell>
          <cell r="N663">
            <v>712.78999999999905</v>
          </cell>
          <cell r="O663">
            <v>109070.47</v>
          </cell>
          <cell r="Q663">
            <v>0</v>
          </cell>
          <cell r="R663">
            <v>109070.47</v>
          </cell>
          <cell r="S663">
            <v>21052.25</v>
          </cell>
          <cell r="T663">
            <v>232.59</v>
          </cell>
          <cell r="U663">
            <v>109303.06</v>
          </cell>
        </row>
        <row r="664">
          <cell r="A664" t="str">
            <v>PLN   Złoty</v>
          </cell>
          <cell r="E664" t="str">
            <v>KB Sprzed. bezpośrednia</v>
          </cell>
          <cell r="H664">
            <v>24</v>
          </cell>
          <cell r="J664">
            <v>884.16999999999905</v>
          </cell>
          <cell r="K664">
            <v>118.8</v>
          </cell>
          <cell r="L664">
            <v>0</v>
          </cell>
          <cell r="M664">
            <v>0</v>
          </cell>
          <cell r="N664">
            <v>118.8</v>
          </cell>
          <cell r="O664">
            <v>17781.310000000001</v>
          </cell>
          <cell r="Q664">
            <v>0</v>
          </cell>
          <cell r="R664">
            <v>17781.310000000001</v>
          </cell>
          <cell r="S664">
            <v>3905.8099999999899</v>
          </cell>
          <cell r="T664">
            <v>37.869999999999898</v>
          </cell>
          <cell r="U664">
            <v>17819.18</v>
          </cell>
        </row>
        <row r="665">
          <cell r="A665" t="str">
            <v>PLN   Złoty</v>
          </cell>
          <cell r="E665" t="str">
            <v>KB Sprzed. bezpośrednia</v>
          </cell>
          <cell r="H665">
            <v>48</v>
          </cell>
          <cell r="J665">
            <v>1780.8699999999899</v>
          </cell>
          <cell r="K665">
            <v>237.59</v>
          </cell>
          <cell r="L665">
            <v>0</v>
          </cell>
          <cell r="M665">
            <v>0</v>
          </cell>
          <cell r="N665">
            <v>237.59</v>
          </cell>
          <cell r="O665">
            <v>35575.139999999898</v>
          </cell>
          <cell r="Q665">
            <v>0</v>
          </cell>
          <cell r="R665">
            <v>35575.139999999898</v>
          </cell>
          <cell r="S665">
            <v>8104.8599999999897</v>
          </cell>
          <cell r="T665">
            <v>75.739999999999895</v>
          </cell>
          <cell r="U665">
            <v>35650.879999999903</v>
          </cell>
        </row>
        <row r="666">
          <cell r="A666" t="str">
            <v>PLN   Złoty</v>
          </cell>
          <cell r="E666" t="str">
            <v>KB Sprzed. bezpośrednia</v>
          </cell>
          <cell r="H666">
            <v>24</v>
          </cell>
          <cell r="J666">
            <v>890.38999999999896</v>
          </cell>
          <cell r="K666">
            <v>118.8</v>
          </cell>
          <cell r="L666">
            <v>0</v>
          </cell>
          <cell r="M666">
            <v>0</v>
          </cell>
          <cell r="N666">
            <v>118.8</v>
          </cell>
          <cell r="O666">
            <v>18184.5999999999</v>
          </cell>
          <cell r="Q666">
            <v>0</v>
          </cell>
          <cell r="R666">
            <v>18184.5999999999</v>
          </cell>
          <cell r="S666">
            <v>3655.4</v>
          </cell>
          <cell r="T666">
            <v>38.759999999999899</v>
          </cell>
          <cell r="U666">
            <v>18223.36</v>
          </cell>
        </row>
        <row r="667">
          <cell r="A667" t="str">
            <v>PLN   Złoty</v>
          </cell>
          <cell r="E667" t="str">
            <v>KB Sprzed. bezpośrednia</v>
          </cell>
          <cell r="H667">
            <v>75</v>
          </cell>
          <cell r="J667">
            <v>2839.03</v>
          </cell>
          <cell r="K667">
            <v>371.24</v>
          </cell>
          <cell r="L667">
            <v>3784.1999999999898</v>
          </cell>
          <cell r="M667">
            <v>0</v>
          </cell>
          <cell r="N667">
            <v>4155.4399999999896</v>
          </cell>
          <cell r="O667">
            <v>59426.779999999897</v>
          </cell>
          <cell r="Q667">
            <v>0</v>
          </cell>
          <cell r="R667">
            <v>59426.779999999897</v>
          </cell>
          <cell r="S667">
            <v>10207.469999999899</v>
          </cell>
          <cell r="T667">
            <v>118.34</v>
          </cell>
          <cell r="U667">
            <v>59545.120000000003</v>
          </cell>
        </row>
        <row r="668">
          <cell r="A668" t="str">
            <v>PLN   Złoty</v>
          </cell>
          <cell r="E668" t="str">
            <v>KB Sprzed. bezpośrednia</v>
          </cell>
          <cell r="H668">
            <v>48</v>
          </cell>
          <cell r="J668">
            <v>1768.43</v>
          </cell>
          <cell r="K668">
            <v>237.59</v>
          </cell>
          <cell r="L668">
            <v>0</v>
          </cell>
          <cell r="M668">
            <v>0</v>
          </cell>
          <cell r="N668">
            <v>237.59</v>
          </cell>
          <cell r="O668">
            <v>35562.699999999903</v>
          </cell>
          <cell r="Q668">
            <v>0</v>
          </cell>
          <cell r="R668">
            <v>35562.699999999903</v>
          </cell>
          <cell r="S668">
            <v>7811.54</v>
          </cell>
          <cell r="T668">
            <v>75.739999999999895</v>
          </cell>
          <cell r="U668">
            <v>35638.44</v>
          </cell>
        </row>
        <row r="669">
          <cell r="A669" t="str">
            <v>PLN   Złoty</v>
          </cell>
          <cell r="E669" t="str">
            <v>KB Sprzed. bezpośrednia</v>
          </cell>
          <cell r="H669">
            <v>48</v>
          </cell>
          <cell r="J669">
            <v>1685.75</v>
          </cell>
          <cell r="K669">
            <v>237.59</v>
          </cell>
          <cell r="L669">
            <v>0</v>
          </cell>
          <cell r="M669">
            <v>0</v>
          </cell>
          <cell r="N669">
            <v>237.59</v>
          </cell>
          <cell r="O669">
            <v>35486.529999999897</v>
          </cell>
          <cell r="Q669">
            <v>0</v>
          </cell>
          <cell r="R669">
            <v>35486.529999999897</v>
          </cell>
          <cell r="S669">
            <v>5862.1099999999897</v>
          </cell>
          <cell r="T669">
            <v>75.75</v>
          </cell>
          <cell r="U669">
            <v>35562.279999999897</v>
          </cell>
        </row>
        <row r="670">
          <cell r="A670" t="str">
            <v>PLN   Złoty</v>
          </cell>
          <cell r="E670" t="str">
            <v>KB Sprzed. bezpośrednia</v>
          </cell>
          <cell r="H670">
            <v>201.18</v>
          </cell>
          <cell r="J670">
            <v>7167.46</v>
          </cell>
          <cell r="K670">
            <v>995.83</v>
          </cell>
          <cell r="L670">
            <v>0</v>
          </cell>
          <cell r="M670">
            <v>0</v>
          </cell>
          <cell r="N670">
            <v>995.83</v>
          </cell>
          <cell r="O670">
            <v>144194.39000000001</v>
          </cell>
          <cell r="Q670">
            <v>0</v>
          </cell>
          <cell r="R670">
            <v>144194.39000000001</v>
          </cell>
          <cell r="S670">
            <v>31604.75</v>
          </cell>
          <cell r="T670">
            <v>307.01999999999902</v>
          </cell>
          <cell r="U670">
            <v>144501.41</v>
          </cell>
        </row>
        <row r="671">
          <cell r="A671" t="str">
            <v>PLN   Złoty</v>
          </cell>
          <cell r="E671" t="str">
            <v>KB Sprzed. bezpośrednia</v>
          </cell>
          <cell r="H671">
            <v>329</v>
          </cell>
          <cell r="J671">
            <v>12255.18</v>
          </cell>
          <cell r="K671">
            <v>1628.54</v>
          </cell>
          <cell r="L671">
            <v>4491.4899999999898</v>
          </cell>
          <cell r="M671">
            <v>0</v>
          </cell>
          <cell r="N671">
            <v>6120.0299999999897</v>
          </cell>
          <cell r="O671">
            <v>248378.28</v>
          </cell>
          <cell r="Q671">
            <v>0</v>
          </cell>
          <cell r="R671">
            <v>248378.28</v>
          </cell>
          <cell r="S671">
            <v>52209.41</v>
          </cell>
          <cell r="T671">
            <v>519.13</v>
          </cell>
          <cell r="U671">
            <v>248897.41</v>
          </cell>
        </row>
        <row r="672">
          <cell r="A672" t="str">
            <v>PLN   Złoty</v>
          </cell>
          <cell r="E672" t="str">
            <v>KB Sprzed. bezpośrednia</v>
          </cell>
          <cell r="H672">
            <v>297</v>
          </cell>
          <cell r="J672">
            <v>10983.87</v>
          </cell>
          <cell r="K672">
            <v>1470.14</v>
          </cell>
          <cell r="L672">
            <v>819.57</v>
          </cell>
          <cell r="M672">
            <v>0</v>
          </cell>
          <cell r="N672">
            <v>2289.71</v>
          </cell>
          <cell r="O672">
            <v>225819.26</v>
          </cell>
          <cell r="Q672">
            <v>0</v>
          </cell>
          <cell r="R672">
            <v>225819.26</v>
          </cell>
          <cell r="S672">
            <v>43585.949999999903</v>
          </cell>
          <cell r="T672">
            <v>479.72</v>
          </cell>
          <cell r="U672">
            <v>226298.98</v>
          </cell>
        </row>
        <row r="673">
          <cell r="A673" t="str">
            <v>PLN   Złoty</v>
          </cell>
          <cell r="E673" t="str">
            <v>KB Sprzed. bezpośrednia</v>
          </cell>
          <cell r="H673">
            <v>48</v>
          </cell>
          <cell r="J673">
            <v>1868.95</v>
          </cell>
          <cell r="K673">
            <v>237.59</v>
          </cell>
          <cell r="L673">
            <v>2349.5999999999899</v>
          </cell>
          <cell r="M673">
            <v>0</v>
          </cell>
          <cell r="N673">
            <v>2587.19</v>
          </cell>
          <cell r="O673">
            <v>38012.82</v>
          </cell>
          <cell r="Q673">
            <v>0</v>
          </cell>
          <cell r="R673">
            <v>38012.82</v>
          </cell>
          <cell r="S673">
            <v>7827.18</v>
          </cell>
          <cell r="T673">
            <v>75.739999999999895</v>
          </cell>
          <cell r="U673">
            <v>38088.559999999903</v>
          </cell>
        </row>
        <row r="674">
          <cell r="A674" t="str">
            <v>PLN   Złoty</v>
          </cell>
          <cell r="E674" t="str">
            <v>KB Sprzed. bezpośrednia</v>
          </cell>
          <cell r="H674">
            <v>48</v>
          </cell>
          <cell r="J674">
            <v>1855.8399999999899</v>
          </cell>
          <cell r="K674">
            <v>237.59</v>
          </cell>
          <cell r="L674">
            <v>3274.5599999999899</v>
          </cell>
          <cell r="M674">
            <v>0</v>
          </cell>
          <cell r="N674">
            <v>3512.15</v>
          </cell>
          <cell r="O674">
            <v>38924.669999999896</v>
          </cell>
          <cell r="Q674">
            <v>0</v>
          </cell>
          <cell r="R674">
            <v>38924.669999999896</v>
          </cell>
          <cell r="S674">
            <v>6594.6899999999896</v>
          </cell>
          <cell r="T674">
            <v>75.739999999999895</v>
          </cell>
          <cell r="U674">
            <v>39000.410000000003</v>
          </cell>
        </row>
        <row r="675">
          <cell r="A675" t="str">
            <v>PLN   Złoty</v>
          </cell>
          <cell r="E675" t="str">
            <v>KB Sprzed. bezpośrednia</v>
          </cell>
          <cell r="H675">
            <v>96</v>
          </cell>
          <cell r="J675">
            <v>3536.77</v>
          </cell>
          <cell r="K675">
            <v>475.19999999999902</v>
          </cell>
          <cell r="L675">
            <v>0</v>
          </cell>
          <cell r="M675">
            <v>0</v>
          </cell>
          <cell r="N675">
            <v>475.19999999999902</v>
          </cell>
          <cell r="O675">
            <v>71125.33</v>
          </cell>
          <cell r="Q675">
            <v>0</v>
          </cell>
          <cell r="R675">
            <v>71125.33</v>
          </cell>
          <cell r="S675">
            <v>15623.15</v>
          </cell>
          <cell r="T675">
            <v>151.47</v>
          </cell>
          <cell r="U675">
            <v>71276.800000000003</v>
          </cell>
        </row>
        <row r="676">
          <cell r="A676" t="str">
            <v>PLN   Złoty</v>
          </cell>
          <cell r="E676" t="str">
            <v>KB Sprzed. bezpośrednia</v>
          </cell>
          <cell r="H676">
            <v>145</v>
          </cell>
          <cell r="J676">
            <v>5555.27</v>
          </cell>
          <cell r="K676">
            <v>717.75</v>
          </cell>
          <cell r="L676">
            <v>6387.8299999999899</v>
          </cell>
          <cell r="M676">
            <v>0</v>
          </cell>
          <cell r="N676">
            <v>7105.5799999999899</v>
          </cell>
          <cell r="O676">
            <v>114029.99</v>
          </cell>
          <cell r="Q676">
            <v>0</v>
          </cell>
          <cell r="R676">
            <v>114029.99</v>
          </cell>
          <cell r="S676">
            <v>22227.74</v>
          </cell>
          <cell r="T676">
            <v>228.789999999999</v>
          </cell>
          <cell r="U676">
            <v>114258.78</v>
          </cell>
        </row>
        <row r="677">
          <cell r="A677" t="str">
            <v>PLN   Złoty</v>
          </cell>
          <cell r="E677" t="str">
            <v>KB Sprzed. bezpośrednia</v>
          </cell>
          <cell r="H677">
            <v>48</v>
          </cell>
          <cell r="J677">
            <v>1755.0599999999899</v>
          </cell>
          <cell r="K677">
            <v>237.59</v>
          </cell>
          <cell r="L677">
            <v>1300.8</v>
          </cell>
          <cell r="M677">
            <v>0</v>
          </cell>
          <cell r="N677">
            <v>1538.39</v>
          </cell>
          <cell r="O677">
            <v>37644.269999999902</v>
          </cell>
          <cell r="Q677">
            <v>0</v>
          </cell>
          <cell r="R677">
            <v>37644.269999999902</v>
          </cell>
          <cell r="S677">
            <v>5402.85</v>
          </cell>
          <cell r="T677">
            <v>77.53</v>
          </cell>
          <cell r="U677">
            <v>37721.800000000003</v>
          </cell>
        </row>
        <row r="678">
          <cell r="A678" t="str">
            <v>PLN   Złoty</v>
          </cell>
          <cell r="E678" t="str">
            <v>KB Sprzed. bezpośrednia</v>
          </cell>
          <cell r="H678">
            <v>24</v>
          </cell>
          <cell r="J678">
            <v>884.16999999999905</v>
          </cell>
          <cell r="K678">
            <v>118.8</v>
          </cell>
          <cell r="L678">
            <v>0</v>
          </cell>
          <cell r="M678">
            <v>0</v>
          </cell>
          <cell r="N678">
            <v>118.8</v>
          </cell>
          <cell r="O678">
            <v>17781.310000000001</v>
          </cell>
          <cell r="Q678">
            <v>0</v>
          </cell>
          <cell r="R678">
            <v>17781.310000000001</v>
          </cell>
          <cell r="S678">
            <v>3905.8099999999899</v>
          </cell>
          <cell r="T678">
            <v>37.869999999999898</v>
          </cell>
          <cell r="U678">
            <v>17819.18</v>
          </cell>
        </row>
        <row r="679">
          <cell r="A679" t="str">
            <v>PLN   Złoty</v>
          </cell>
          <cell r="E679" t="str">
            <v>KB Sprzed. bezpośrednia</v>
          </cell>
          <cell r="H679">
            <v>680</v>
          </cell>
          <cell r="J679">
            <v>25734.45</v>
          </cell>
          <cell r="K679">
            <v>3365.9699999999898</v>
          </cell>
          <cell r="L679">
            <v>36977.480000000003</v>
          </cell>
          <cell r="M679">
            <v>0</v>
          </cell>
          <cell r="N679">
            <v>40343.449999999903</v>
          </cell>
          <cell r="O679">
            <v>541464.18000000005</v>
          </cell>
          <cell r="Q679">
            <v>0</v>
          </cell>
          <cell r="R679">
            <v>541464.18000000005</v>
          </cell>
          <cell r="S679">
            <v>89737.66</v>
          </cell>
          <cell r="T679">
            <v>1072.96</v>
          </cell>
          <cell r="U679">
            <v>542537.14</v>
          </cell>
        </row>
        <row r="680">
          <cell r="A680" t="str">
            <v>PLN   Złoty</v>
          </cell>
          <cell r="E680" t="str">
            <v>KB Sprzed. bezpośrednia</v>
          </cell>
          <cell r="H680">
            <v>24</v>
          </cell>
          <cell r="J680">
            <v>927.95</v>
          </cell>
          <cell r="K680">
            <v>118.8</v>
          </cell>
          <cell r="L680">
            <v>1684.5599999999899</v>
          </cell>
          <cell r="M680">
            <v>0</v>
          </cell>
          <cell r="N680">
            <v>1803.3599999999899</v>
          </cell>
          <cell r="O680">
            <v>19906.72</v>
          </cell>
          <cell r="Q680">
            <v>0</v>
          </cell>
          <cell r="R680">
            <v>19906.72</v>
          </cell>
          <cell r="S680">
            <v>2852.96</v>
          </cell>
          <cell r="T680">
            <v>38.759999999999899</v>
          </cell>
          <cell r="U680">
            <v>19945.48</v>
          </cell>
        </row>
        <row r="681">
          <cell r="A681" t="str">
            <v>PLN   Złoty</v>
          </cell>
          <cell r="E681" t="str">
            <v>KB Sprzed. bezpośrednia</v>
          </cell>
          <cell r="H681">
            <v>192</v>
          </cell>
          <cell r="J681">
            <v>7671.4099999999899</v>
          </cell>
          <cell r="K681">
            <v>950.39999999999895</v>
          </cell>
          <cell r="L681">
            <v>0</v>
          </cell>
          <cell r="M681">
            <v>0</v>
          </cell>
          <cell r="N681">
            <v>950.39999999999895</v>
          </cell>
          <cell r="O681">
            <v>142848.53</v>
          </cell>
          <cell r="Q681">
            <v>0</v>
          </cell>
          <cell r="R681">
            <v>142848.53</v>
          </cell>
          <cell r="S681">
            <v>45311.47</v>
          </cell>
          <cell r="T681">
            <v>302.95999999999901</v>
          </cell>
          <cell r="U681">
            <v>143151.489999999</v>
          </cell>
        </row>
        <row r="682">
          <cell r="A682" t="str">
            <v>PLN   Złoty</v>
          </cell>
          <cell r="E682" t="str">
            <v>KB Sprzed. bezpośrednia</v>
          </cell>
          <cell r="H682">
            <v>144</v>
          </cell>
          <cell r="J682">
            <v>5510.5</v>
          </cell>
          <cell r="K682">
            <v>712.78999999999905</v>
          </cell>
          <cell r="L682">
            <v>8248.7999999999902</v>
          </cell>
          <cell r="M682">
            <v>0</v>
          </cell>
          <cell r="N682">
            <v>8961.59</v>
          </cell>
          <cell r="O682">
            <v>115142.13</v>
          </cell>
          <cell r="Q682">
            <v>0</v>
          </cell>
          <cell r="R682">
            <v>115142.13</v>
          </cell>
          <cell r="S682">
            <v>20016.27</v>
          </cell>
          <cell r="T682">
            <v>227.22</v>
          </cell>
          <cell r="U682">
            <v>115369.35</v>
          </cell>
        </row>
        <row r="683">
          <cell r="A683" t="str">
            <v>PLN   Złoty</v>
          </cell>
          <cell r="E683" t="str">
            <v>KB Sprzed. bezpośrednia</v>
          </cell>
          <cell r="H683">
            <v>72</v>
          </cell>
          <cell r="J683">
            <v>2652.5999999999899</v>
          </cell>
          <cell r="K683">
            <v>356.38999999999902</v>
          </cell>
          <cell r="L683">
            <v>0</v>
          </cell>
          <cell r="M683">
            <v>0</v>
          </cell>
          <cell r="N683">
            <v>356.38999999999902</v>
          </cell>
          <cell r="O683">
            <v>53344.01</v>
          </cell>
          <cell r="Q683">
            <v>0</v>
          </cell>
          <cell r="R683">
            <v>53344.01</v>
          </cell>
          <cell r="S683">
            <v>11717.35</v>
          </cell>
          <cell r="T683">
            <v>113.61</v>
          </cell>
          <cell r="U683">
            <v>53457.62</v>
          </cell>
        </row>
        <row r="684">
          <cell r="A684" t="str">
            <v>PLN   Złoty</v>
          </cell>
          <cell r="E684" t="str">
            <v>KB Sprzed. bezpośrednia</v>
          </cell>
          <cell r="H684">
            <v>48</v>
          </cell>
          <cell r="J684">
            <v>1774.66</v>
          </cell>
          <cell r="K684">
            <v>237.59</v>
          </cell>
          <cell r="L684">
            <v>0</v>
          </cell>
          <cell r="M684">
            <v>0</v>
          </cell>
          <cell r="N684">
            <v>237.59</v>
          </cell>
          <cell r="O684">
            <v>35568.93</v>
          </cell>
          <cell r="Q684">
            <v>0</v>
          </cell>
          <cell r="R684">
            <v>35568.93</v>
          </cell>
          <cell r="S684">
            <v>7958.1899999999896</v>
          </cell>
          <cell r="T684">
            <v>75.739999999999895</v>
          </cell>
          <cell r="U684">
            <v>35644.669999999896</v>
          </cell>
        </row>
        <row r="685">
          <cell r="A685" t="str">
            <v>PLN   Złoty</v>
          </cell>
          <cell r="E685" t="str">
            <v>KB Sprzed. bezpośrednia</v>
          </cell>
          <cell r="H685">
            <v>294</v>
          </cell>
          <cell r="J685">
            <v>11392.52</v>
          </cell>
          <cell r="K685">
            <v>1455.29</v>
          </cell>
          <cell r="L685">
            <v>14475.18</v>
          </cell>
          <cell r="M685">
            <v>0</v>
          </cell>
          <cell r="N685">
            <v>15930.469999999899</v>
          </cell>
          <cell r="O685">
            <v>232857.649999999</v>
          </cell>
          <cell r="Q685">
            <v>0</v>
          </cell>
          <cell r="R685">
            <v>232857.649999999</v>
          </cell>
          <cell r="S685">
            <v>46572.349999999897</v>
          </cell>
          <cell r="T685">
            <v>463.88999999999902</v>
          </cell>
          <cell r="U685">
            <v>233321.54</v>
          </cell>
        </row>
        <row r="686">
          <cell r="A686" t="str">
            <v>PLN   Złoty</v>
          </cell>
          <cell r="E686" t="str">
            <v>KB Sprzed. bezpośrednia</v>
          </cell>
          <cell r="H686">
            <v>358.5</v>
          </cell>
          <cell r="J686">
            <v>13522.209999999901</v>
          </cell>
          <cell r="K686">
            <v>1774.5599999999899</v>
          </cell>
          <cell r="L686">
            <v>14989.879999999899</v>
          </cell>
          <cell r="M686">
            <v>0</v>
          </cell>
          <cell r="N686">
            <v>16764.4399999999</v>
          </cell>
          <cell r="O686">
            <v>286844.33</v>
          </cell>
          <cell r="Q686">
            <v>0</v>
          </cell>
          <cell r="R686">
            <v>286844.33</v>
          </cell>
          <cell r="S686">
            <v>44820.669999999896</v>
          </cell>
          <cell r="T686">
            <v>579.04999999999905</v>
          </cell>
          <cell r="U686">
            <v>287423.38</v>
          </cell>
        </row>
        <row r="687">
          <cell r="A687" t="str">
            <v>PLN   Złoty</v>
          </cell>
          <cell r="E687" t="str">
            <v>KB Sprzed. bezpośrednia</v>
          </cell>
          <cell r="H687">
            <v>72</v>
          </cell>
          <cell r="J687">
            <v>2759.3499999999899</v>
          </cell>
          <cell r="K687">
            <v>356.38999999999902</v>
          </cell>
          <cell r="L687">
            <v>3037.92</v>
          </cell>
          <cell r="M687">
            <v>0</v>
          </cell>
          <cell r="N687">
            <v>3394.3099999999899</v>
          </cell>
          <cell r="O687">
            <v>56488.68</v>
          </cell>
          <cell r="Q687">
            <v>0</v>
          </cell>
          <cell r="R687">
            <v>56488.68</v>
          </cell>
          <cell r="S687">
            <v>11191.32</v>
          </cell>
          <cell r="T687">
            <v>113.61</v>
          </cell>
          <cell r="U687">
            <v>56602.29</v>
          </cell>
        </row>
        <row r="688">
          <cell r="A688" t="str">
            <v>PLN   Złoty</v>
          </cell>
          <cell r="E688" t="str">
            <v>KB Sprzed. bezpośrednia</v>
          </cell>
          <cell r="H688">
            <v>25</v>
          </cell>
          <cell r="J688">
            <v>946.33</v>
          </cell>
          <cell r="K688">
            <v>123.739999999999</v>
          </cell>
          <cell r="L688">
            <v>924.40999999999894</v>
          </cell>
          <cell r="M688">
            <v>0</v>
          </cell>
          <cell r="N688">
            <v>1048.1500000000001</v>
          </cell>
          <cell r="O688">
            <v>19471.9199999999</v>
          </cell>
          <cell r="Q688">
            <v>0</v>
          </cell>
          <cell r="R688">
            <v>19471.9199999999</v>
          </cell>
          <cell r="S688">
            <v>3739.3299999999899</v>
          </cell>
          <cell r="T688">
            <v>39.439999999999898</v>
          </cell>
          <cell r="U688">
            <v>19511.36</v>
          </cell>
        </row>
        <row r="689">
          <cell r="A689" t="str">
            <v>PLN   Złoty</v>
          </cell>
          <cell r="E689" t="str">
            <v>KB Sprzed. bezpośrednia</v>
          </cell>
          <cell r="H689">
            <v>24</v>
          </cell>
          <cell r="J689">
            <v>927.95</v>
          </cell>
          <cell r="K689">
            <v>118.8</v>
          </cell>
          <cell r="L689">
            <v>1992.72</v>
          </cell>
          <cell r="M689">
            <v>0</v>
          </cell>
          <cell r="N689">
            <v>2111.52</v>
          </cell>
          <cell r="O689">
            <v>19817.810000000001</v>
          </cell>
          <cell r="Q689">
            <v>0</v>
          </cell>
          <cell r="R689">
            <v>19817.810000000001</v>
          </cell>
          <cell r="S689">
            <v>2941.8699999999899</v>
          </cell>
          <cell r="T689">
            <v>37.869999999999898</v>
          </cell>
          <cell r="U689">
            <v>19855.68</v>
          </cell>
        </row>
        <row r="690">
          <cell r="A690" t="str">
            <v>PLN   Złoty</v>
          </cell>
          <cell r="E690" t="str">
            <v>KB Sprzed. bezpośrednia</v>
          </cell>
          <cell r="H690">
            <v>24</v>
          </cell>
          <cell r="J690">
            <v>927.95</v>
          </cell>
          <cell r="K690">
            <v>118.8</v>
          </cell>
          <cell r="L690">
            <v>1971.1199999999899</v>
          </cell>
          <cell r="M690">
            <v>0</v>
          </cell>
          <cell r="N690">
            <v>2089.92</v>
          </cell>
          <cell r="O690">
            <v>20193.279999999901</v>
          </cell>
          <cell r="Q690">
            <v>0</v>
          </cell>
          <cell r="R690">
            <v>20193.279999999901</v>
          </cell>
          <cell r="S690">
            <v>2566.4</v>
          </cell>
          <cell r="T690">
            <v>38.759999999999899</v>
          </cell>
          <cell r="U690">
            <v>20232.04</v>
          </cell>
        </row>
        <row r="691">
          <cell r="A691" t="str">
            <v>PLN   Złoty</v>
          </cell>
          <cell r="E691" t="str">
            <v>KB Sprzed. bezpośrednia</v>
          </cell>
          <cell r="H691">
            <v>24</v>
          </cell>
          <cell r="J691">
            <v>927.95</v>
          </cell>
          <cell r="K691">
            <v>118.8</v>
          </cell>
          <cell r="L691">
            <v>1109.04</v>
          </cell>
          <cell r="M691">
            <v>0</v>
          </cell>
          <cell r="N691">
            <v>1227.8399999999899</v>
          </cell>
          <cell r="O691">
            <v>19331.2</v>
          </cell>
          <cell r="Q691">
            <v>0</v>
          </cell>
          <cell r="R691">
            <v>19331.2</v>
          </cell>
          <cell r="S691">
            <v>3428.48</v>
          </cell>
          <cell r="T691">
            <v>38.759999999999899</v>
          </cell>
          <cell r="U691">
            <v>19369.959999999901</v>
          </cell>
        </row>
        <row r="692">
          <cell r="A692" t="str">
            <v>PLN   Złoty</v>
          </cell>
          <cell r="E692" t="str">
            <v>KC Centra dystrybucji</v>
          </cell>
          <cell r="H692">
            <v>22.1999999999999</v>
          </cell>
          <cell r="J692">
            <v>900.78999999999905</v>
          </cell>
          <cell r="K692">
            <v>299.05</v>
          </cell>
          <cell r="L692">
            <v>0</v>
          </cell>
          <cell r="M692">
            <v>0</v>
          </cell>
          <cell r="N692">
            <v>299.05</v>
          </cell>
          <cell r="O692">
            <v>18457.34</v>
          </cell>
          <cell r="Q692">
            <v>0</v>
          </cell>
          <cell r="R692">
            <v>18457.34</v>
          </cell>
          <cell r="S692">
            <v>3636.46</v>
          </cell>
          <cell r="T692">
            <v>5.25</v>
          </cell>
          <cell r="U692">
            <v>18462.59</v>
          </cell>
        </row>
        <row r="693">
          <cell r="A693" t="str">
            <v>PLN   Złoty</v>
          </cell>
          <cell r="E693" t="str">
            <v>KC Centra dystrybucji</v>
          </cell>
          <cell r="H693">
            <v>30.5</v>
          </cell>
          <cell r="J693">
            <v>1243.49</v>
          </cell>
          <cell r="K693">
            <v>410.87</v>
          </cell>
          <cell r="L693">
            <v>0</v>
          </cell>
          <cell r="M693">
            <v>0</v>
          </cell>
          <cell r="N693">
            <v>410.87</v>
          </cell>
          <cell r="O693">
            <v>25363.99</v>
          </cell>
          <cell r="Q693">
            <v>0</v>
          </cell>
          <cell r="R693">
            <v>25363.99</v>
          </cell>
          <cell r="S693">
            <v>5136.01</v>
          </cell>
          <cell r="T693">
            <v>7.2</v>
          </cell>
          <cell r="U693">
            <v>25371.1899999999</v>
          </cell>
        </row>
        <row r="694">
          <cell r="A694" t="str">
            <v>PLN   Złoty</v>
          </cell>
          <cell r="E694" t="str">
            <v>KC Centra dystrybucji</v>
          </cell>
          <cell r="H694">
            <v>17.5</v>
          </cell>
          <cell r="J694">
            <v>713.46</v>
          </cell>
          <cell r="K694">
            <v>235.75</v>
          </cell>
          <cell r="L694">
            <v>0</v>
          </cell>
          <cell r="M694">
            <v>0</v>
          </cell>
          <cell r="N694">
            <v>235.75</v>
          </cell>
          <cell r="O694">
            <v>14484.07</v>
          </cell>
          <cell r="Q694">
            <v>0</v>
          </cell>
          <cell r="R694">
            <v>14484.07</v>
          </cell>
          <cell r="S694">
            <v>3015.9299999999898</v>
          </cell>
          <cell r="T694">
            <v>4.1100000000000003</v>
          </cell>
          <cell r="U694">
            <v>14488.18</v>
          </cell>
        </row>
        <row r="695">
          <cell r="A695" t="str">
            <v>PLN   Złoty</v>
          </cell>
          <cell r="E695" t="str">
            <v>KC Centra dystrybucji</v>
          </cell>
          <cell r="H695">
            <v>16</v>
          </cell>
          <cell r="J695">
            <v>643.87</v>
          </cell>
          <cell r="K695">
            <v>215.53</v>
          </cell>
          <cell r="L695">
            <v>0</v>
          </cell>
          <cell r="M695">
            <v>0</v>
          </cell>
          <cell r="N695">
            <v>215.53</v>
          </cell>
          <cell r="O695">
            <v>13297.24</v>
          </cell>
          <cell r="Q695">
            <v>0</v>
          </cell>
          <cell r="R695">
            <v>13297.24</v>
          </cell>
          <cell r="S695">
            <v>2494.7600000000002</v>
          </cell>
          <cell r="T695">
            <v>3.77999999999999</v>
          </cell>
          <cell r="U695">
            <v>13301.02</v>
          </cell>
        </row>
        <row r="696">
          <cell r="A696" t="str">
            <v>PLN   Złoty</v>
          </cell>
          <cell r="E696" t="str">
            <v>KC Centra dystrybucji</v>
          </cell>
          <cell r="H696">
            <v>303</v>
          </cell>
          <cell r="J696">
            <v>12203.08</v>
          </cell>
          <cell r="K696">
            <v>4081.71</v>
          </cell>
          <cell r="L696">
            <v>0</v>
          </cell>
          <cell r="M696">
            <v>0</v>
          </cell>
          <cell r="N696">
            <v>4081.71</v>
          </cell>
          <cell r="O696">
            <v>230544.69</v>
          </cell>
          <cell r="Q696">
            <v>0</v>
          </cell>
          <cell r="R696">
            <v>230544.69</v>
          </cell>
          <cell r="S696">
            <v>68765.309999999896</v>
          </cell>
          <cell r="T696">
            <v>65.099999999999895</v>
          </cell>
          <cell r="U696">
            <v>230609.79</v>
          </cell>
        </row>
        <row r="697">
          <cell r="A697" t="str">
            <v>PLN   Złoty</v>
          </cell>
          <cell r="E697" t="str">
            <v>KC Centra dystrybucji</v>
          </cell>
          <cell r="H697">
            <v>48</v>
          </cell>
          <cell r="J697">
            <v>1943.3099999999899</v>
          </cell>
          <cell r="K697">
            <v>646.61</v>
          </cell>
          <cell r="L697">
            <v>0</v>
          </cell>
          <cell r="M697">
            <v>0</v>
          </cell>
          <cell r="N697">
            <v>646.61</v>
          </cell>
          <cell r="O697">
            <v>39714.099999999897</v>
          </cell>
          <cell r="Q697">
            <v>0</v>
          </cell>
          <cell r="R697">
            <v>39714.099999999897</v>
          </cell>
          <cell r="S697">
            <v>7949.8999999999896</v>
          </cell>
          <cell r="T697">
            <v>11.27</v>
          </cell>
          <cell r="U697">
            <v>39725.370000000003</v>
          </cell>
        </row>
        <row r="698">
          <cell r="A698" t="str">
            <v>PLN   Złoty</v>
          </cell>
          <cell r="E698" t="str">
            <v>KC Centra dystrybucji</v>
          </cell>
          <cell r="H698">
            <v>48</v>
          </cell>
          <cell r="J698">
            <v>1951.1199999999899</v>
          </cell>
          <cell r="K698">
            <v>646.61</v>
          </cell>
          <cell r="L698">
            <v>0</v>
          </cell>
          <cell r="M698">
            <v>0</v>
          </cell>
          <cell r="N698">
            <v>646.61</v>
          </cell>
          <cell r="O698">
            <v>39911.25</v>
          </cell>
          <cell r="Q698">
            <v>0</v>
          </cell>
          <cell r="R698">
            <v>39911.25</v>
          </cell>
          <cell r="S698">
            <v>7944.75</v>
          </cell>
          <cell r="T698">
            <v>11.33</v>
          </cell>
          <cell r="U698">
            <v>39922.58</v>
          </cell>
        </row>
        <row r="699">
          <cell r="A699" t="str">
            <v>PLN   Złoty</v>
          </cell>
          <cell r="E699" t="str">
            <v>KC Centra dystrybucji</v>
          </cell>
          <cell r="H699">
            <v>120</v>
          </cell>
          <cell r="J699">
            <v>4830.1000000000004</v>
          </cell>
          <cell r="K699">
            <v>1616.54</v>
          </cell>
          <cell r="L699">
            <v>0</v>
          </cell>
          <cell r="M699">
            <v>0</v>
          </cell>
          <cell r="N699">
            <v>1616.54</v>
          </cell>
          <cell r="O699">
            <v>91895.69</v>
          </cell>
          <cell r="Q699">
            <v>0</v>
          </cell>
          <cell r="R699">
            <v>91895.69</v>
          </cell>
          <cell r="S699">
            <v>26574.31</v>
          </cell>
          <cell r="T699">
            <v>25.96</v>
          </cell>
          <cell r="U699">
            <v>91921.649999999907</v>
          </cell>
        </row>
        <row r="700">
          <cell r="A700" t="str">
            <v>PLN   Złoty</v>
          </cell>
          <cell r="E700" t="str">
            <v>KC Centra dystrybucji</v>
          </cell>
          <cell r="H700">
            <v>24</v>
          </cell>
          <cell r="J700">
            <v>965.75999999999897</v>
          </cell>
          <cell r="K700">
            <v>323.3</v>
          </cell>
          <cell r="L700">
            <v>0</v>
          </cell>
          <cell r="M700">
            <v>0</v>
          </cell>
          <cell r="N700">
            <v>323.3</v>
          </cell>
          <cell r="O700">
            <v>19945.82</v>
          </cell>
          <cell r="Q700">
            <v>0</v>
          </cell>
          <cell r="R700">
            <v>19945.82</v>
          </cell>
          <cell r="S700">
            <v>3742.1799999999898</v>
          </cell>
          <cell r="T700">
            <v>5.6699999999999902</v>
          </cell>
          <cell r="U700">
            <v>19951.490000000002</v>
          </cell>
        </row>
        <row r="701">
          <cell r="A701" t="str">
            <v>PLN   Złoty</v>
          </cell>
          <cell r="E701" t="str">
            <v>KC Centra dystrybucji</v>
          </cell>
          <cell r="H701">
            <v>593</v>
          </cell>
          <cell r="J701">
            <v>23957.779999999901</v>
          </cell>
          <cell r="K701">
            <v>7988.29</v>
          </cell>
          <cell r="L701">
            <v>0</v>
          </cell>
          <cell r="M701">
            <v>0</v>
          </cell>
          <cell r="N701">
            <v>7988.29</v>
          </cell>
          <cell r="O701">
            <v>483915.62</v>
          </cell>
          <cell r="Q701">
            <v>0</v>
          </cell>
          <cell r="R701">
            <v>483915.62</v>
          </cell>
          <cell r="S701">
            <v>103709.38</v>
          </cell>
          <cell r="T701">
            <v>137.319999999999</v>
          </cell>
          <cell r="U701">
            <v>484052.94</v>
          </cell>
        </row>
        <row r="702">
          <cell r="A702" t="str">
            <v>PLN   Złoty</v>
          </cell>
          <cell r="E702" t="str">
            <v>KC Centra dystrybucji</v>
          </cell>
          <cell r="H702">
            <v>59</v>
          </cell>
          <cell r="J702">
            <v>2378.36</v>
          </cell>
          <cell r="K702">
            <v>794.79999999999905</v>
          </cell>
          <cell r="L702">
            <v>0</v>
          </cell>
          <cell r="M702">
            <v>0</v>
          </cell>
          <cell r="N702">
            <v>794.79999999999905</v>
          </cell>
          <cell r="O702">
            <v>49037.699999999903</v>
          </cell>
          <cell r="Q702">
            <v>0</v>
          </cell>
          <cell r="R702">
            <v>49037.699999999903</v>
          </cell>
          <cell r="S702">
            <v>9297.2999999999902</v>
          </cell>
          <cell r="T702">
            <v>13.93</v>
          </cell>
          <cell r="U702">
            <v>49051.629999999903</v>
          </cell>
        </row>
        <row r="703">
          <cell r="A703" t="str">
            <v>PLN   Złoty</v>
          </cell>
          <cell r="E703" t="str">
            <v>KC Centra dystrybucji</v>
          </cell>
          <cell r="H703">
            <v>25</v>
          </cell>
          <cell r="J703">
            <v>1006.03</v>
          </cell>
          <cell r="K703">
            <v>336.76999999999902</v>
          </cell>
          <cell r="L703">
            <v>0</v>
          </cell>
          <cell r="M703">
            <v>0</v>
          </cell>
          <cell r="N703">
            <v>336.76999999999902</v>
          </cell>
          <cell r="O703">
            <v>20678.310000000001</v>
          </cell>
          <cell r="Q703">
            <v>0</v>
          </cell>
          <cell r="R703">
            <v>20678.310000000001</v>
          </cell>
          <cell r="S703">
            <v>3996.69</v>
          </cell>
          <cell r="T703">
            <v>5.8799999999999901</v>
          </cell>
          <cell r="U703">
            <v>20684.1899999999</v>
          </cell>
        </row>
        <row r="704">
          <cell r="A704" t="str">
            <v>PLN   Złoty</v>
          </cell>
          <cell r="E704" t="str">
            <v>KC Centra dystrybucji</v>
          </cell>
          <cell r="H704">
            <v>44</v>
          </cell>
          <cell r="J704">
            <v>1792.21</v>
          </cell>
          <cell r="K704">
            <v>592.73</v>
          </cell>
          <cell r="L704">
            <v>0</v>
          </cell>
          <cell r="M704">
            <v>0</v>
          </cell>
          <cell r="N704">
            <v>592.73</v>
          </cell>
          <cell r="O704">
            <v>33305.870000000003</v>
          </cell>
          <cell r="Q704">
            <v>0</v>
          </cell>
          <cell r="R704">
            <v>33305.870000000003</v>
          </cell>
          <cell r="S704">
            <v>10652.129999999899</v>
          </cell>
          <cell r="T704">
            <v>9.4</v>
          </cell>
          <cell r="U704">
            <v>33315.269999999902</v>
          </cell>
        </row>
        <row r="705">
          <cell r="A705" t="str">
            <v>PLN   Złoty</v>
          </cell>
          <cell r="E705" t="str">
            <v>KC Centra dystrybucji</v>
          </cell>
          <cell r="H705">
            <v>27</v>
          </cell>
          <cell r="J705">
            <v>1091.6300000000001</v>
          </cell>
          <cell r="K705">
            <v>363.72</v>
          </cell>
          <cell r="L705">
            <v>0</v>
          </cell>
          <cell r="M705">
            <v>0</v>
          </cell>
          <cell r="N705">
            <v>363.72</v>
          </cell>
          <cell r="O705">
            <v>22444.209999999901</v>
          </cell>
          <cell r="Q705">
            <v>0</v>
          </cell>
          <cell r="R705">
            <v>22444.209999999901</v>
          </cell>
          <cell r="S705">
            <v>4330.79</v>
          </cell>
          <cell r="T705">
            <v>6.3799999999999901</v>
          </cell>
          <cell r="U705">
            <v>22450.59</v>
          </cell>
        </row>
        <row r="706">
          <cell r="A706" t="str">
            <v>PLN   Złoty</v>
          </cell>
          <cell r="E706" t="str">
            <v>KC Centra dystrybucji</v>
          </cell>
          <cell r="H706">
            <v>10</v>
          </cell>
          <cell r="J706">
            <v>407.70999999999901</v>
          </cell>
          <cell r="K706">
            <v>134.71</v>
          </cell>
          <cell r="L706">
            <v>0</v>
          </cell>
          <cell r="M706">
            <v>0</v>
          </cell>
          <cell r="N706">
            <v>134.71</v>
          </cell>
          <cell r="O706">
            <v>8316.0699999999906</v>
          </cell>
          <cell r="Q706">
            <v>0</v>
          </cell>
          <cell r="R706">
            <v>8316.0699999999906</v>
          </cell>
          <cell r="S706">
            <v>1683.93</v>
          </cell>
          <cell r="T706">
            <v>2.3599999999999901</v>
          </cell>
          <cell r="U706">
            <v>8318.43</v>
          </cell>
        </row>
        <row r="707">
          <cell r="A707" t="str">
            <v>PLN   Złoty</v>
          </cell>
          <cell r="E707" t="str">
            <v>KC Centra dystrybucji</v>
          </cell>
          <cell r="H707">
            <v>25</v>
          </cell>
          <cell r="J707">
            <v>1012.16</v>
          </cell>
          <cell r="K707">
            <v>336.76999999999902</v>
          </cell>
          <cell r="L707">
            <v>0</v>
          </cell>
          <cell r="M707">
            <v>0</v>
          </cell>
          <cell r="N707">
            <v>336.76999999999902</v>
          </cell>
          <cell r="O707">
            <v>20684.4399999999</v>
          </cell>
          <cell r="Q707">
            <v>0</v>
          </cell>
          <cell r="R707">
            <v>20684.4399999999</v>
          </cell>
          <cell r="S707">
            <v>4140.5600000000004</v>
          </cell>
          <cell r="T707">
            <v>5.8799999999999901</v>
          </cell>
          <cell r="U707">
            <v>20690.32</v>
          </cell>
        </row>
        <row r="708">
          <cell r="A708" t="str">
            <v>PLN   Złoty</v>
          </cell>
          <cell r="E708" t="str">
            <v>KC Centra dystrybucji</v>
          </cell>
          <cell r="H708">
            <v>16</v>
          </cell>
          <cell r="J708">
            <v>647.02999999999895</v>
          </cell>
          <cell r="K708">
            <v>215.53</v>
          </cell>
          <cell r="L708">
            <v>0</v>
          </cell>
          <cell r="M708">
            <v>0</v>
          </cell>
          <cell r="N708">
            <v>215.53</v>
          </cell>
          <cell r="O708">
            <v>13739.99</v>
          </cell>
          <cell r="Q708">
            <v>0</v>
          </cell>
          <cell r="R708">
            <v>13739.99</v>
          </cell>
          <cell r="S708">
            <v>2130.0100000000002</v>
          </cell>
          <cell r="T708">
            <v>3.91</v>
          </cell>
          <cell r="U708">
            <v>13743.9</v>
          </cell>
        </row>
        <row r="709">
          <cell r="A709" t="str">
            <v>PLN   Złoty</v>
          </cell>
          <cell r="E709" t="str">
            <v>KC Centra dystrybucji</v>
          </cell>
          <cell r="H709">
            <v>26</v>
          </cell>
          <cell r="J709">
            <v>1051.8</v>
          </cell>
          <cell r="K709">
            <v>350.25</v>
          </cell>
          <cell r="L709">
            <v>0</v>
          </cell>
          <cell r="M709">
            <v>0</v>
          </cell>
          <cell r="N709">
            <v>350.25</v>
          </cell>
          <cell r="O709">
            <v>22384.049999999901</v>
          </cell>
          <cell r="Q709">
            <v>0</v>
          </cell>
          <cell r="R709">
            <v>22384.049999999901</v>
          </cell>
          <cell r="S709">
            <v>3412.9499999999898</v>
          </cell>
          <cell r="T709">
            <v>6.3799999999999901</v>
          </cell>
          <cell r="U709">
            <v>22390.43</v>
          </cell>
        </row>
        <row r="710">
          <cell r="A710" t="str">
            <v>PLN   Złoty</v>
          </cell>
          <cell r="E710" t="str">
            <v>KC Centra dystrybucji</v>
          </cell>
          <cell r="H710">
            <v>21</v>
          </cell>
          <cell r="J710">
            <v>850.19</v>
          </cell>
          <cell r="K710">
            <v>282.88999999999902</v>
          </cell>
          <cell r="L710">
            <v>0</v>
          </cell>
          <cell r="M710">
            <v>0</v>
          </cell>
          <cell r="N710">
            <v>282.88999999999902</v>
          </cell>
          <cell r="O710">
            <v>15890.799999999899</v>
          </cell>
          <cell r="Q710">
            <v>0</v>
          </cell>
          <cell r="R710">
            <v>15890.799999999899</v>
          </cell>
          <cell r="S710">
            <v>4962.1999999999898</v>
          </cell>
          <cell r="T710">
            <v>4.4800000000000004</v>
          </cell>
          <cell r="U710">
            <v>15895.28</v>
          </cell>
        </row>
        <row r="711">
          <cell r="A711" t="str">
            <v>PLN   Złoty</v>
          </cell>
          <cell r="E711" t="str">
            <v>KC Centra dystrybucji</v>
          </cell>
          <cell r="H711">
            <v>19</v>
          </cell>
          <cell r="J711">
            <v>774.69</v>
          </cell>
          <cell r="K711">
            <v>255.94999999999899</v>
          </cell>
          <cell r="L711">
            <v>0</v>
          </cell>
          <cell r="M711">
            <v>0</v>
          </cell>
          <cell r="N711">
            <v>255.94999999999899</v>
          </cell>
          <cell r="O711">
            <v>14382.86</v>
          </cell>
          <cell r="Q711">
            <v>0</v>
          </cell>
          <cell r="R711">
            <v>14382.86</v>
          </cell>
          <cell r="S711">
            <v>4617.1400000000003</v>
          </cell>
          <cell r="T711">
            <v>4.0599999999999898</v>
          </cell>
          <cell r="U711">
            <v>14386.92</v>
          </cell>
        </row>
        <row r="712">
          <cell r="A712" t="str">
            <v>PLN   Złoty</v>
          </cell>
          <cell r="E712" t="str">
            <v>KC Centra dystrybucji</v>
          </cell>
          <cell r="H712">
            <v>100</v>
          </cell>
          <cell r="J712">
            <v>4035.0599999999899</v>
          </cell>
          <cell r="K712">
            <v>1347.1099999999899</v>
          </cell>
          <cell r="L712">
            <v>0</v>
          </cell>
          <cell r="M712">
            <v>0</v>
          </cell>
          <cell r="N712">
            <v>1347.1099999999899</v>
          </cell>
          <cell r="O712">
            <v>75657.009999999893</v>
          </cell>
          <cell r="Q712">
            <v>0</v>
          </cell>
          <cell r="R712">
            <v>75657.009999999893</v>
          </cell>
          <cell r="S712">
            <v>23312.99</v>
          </cell>
          <cell r="T712">
            <v>21.35</v>
          </cell>
          <cell r="U712">
            <v>75678.36</v>
          </cell>
        </row>
        <row r="713">
          <cell r="A713" t="str">
            <v>PLN   Złoty</v>
          </cell>
          <cell r="E713" t="str">
            <v>KC Centra dystrybucji</v>
          </cell>
          <cell r="H713">
            <v>27</v>
          </cell>
          <cell r="J713">
            <v>1093.0999999999899</v>
          </cell>
          <cell r="K713">
            <v>363.72</v>
          </cell>
          <cell r="L713">
            <v>0</v>
          </cell>
          <cell r="M713">
            <v>0</v>
          </cell>
          <cell r="N713">
            <v>363.72</v>
          </cell>
          <cell r="O713">
            <v>21758.209999999901</v>
          </cell>
          <cell r="Q713">
            <v>0</v>
          </cell>
          <cell r="R713">
            <v>21758.209999999901</v>
          </cell>
          <cell r="S713">
            <v>5052.79</v>
          </cell>
          <cell r="T713">
            <v>6.1699999999999902</v>
          </cell>
          <cell r="U713">
            <v>21764.38</v>
          </cell>
        </row>
        <row r="714">
          <cell r="A714" t="str">
            <v>PLN   Złoty</v>
          </cell>
          <cell r="E714" t="str">
            <v>KC Centra dystrybucji</v>
          </cell>
          <cell r="H714">
            <v>48</v>
          </cell>
          <cell r="J714">
            <v>1995.53</v>
          </cell>
          <cell r="K714">
            <v>646.61</v>
          </cell>
          <cell r="L714">
            <v>3509.76</v>
          </cell>
          <cell r="M714">
            <v>0</v>
          </cell>
          <cell r="N714">
            <v>4156.3699999999899</v>
          </cell>
          <cell r="O714">
            <v>40271.239999999903</v>
          </cell>
          <cell r="Q714">
            <v>0</v>
          </cell>
          <cell r="R714">
            <v>40271.239999999903</v>
          </cell>
          <cell r="S714">
            <v>8674.36</v>
          </cell>
          <cell r="T714">
            <v>10.3599999999999</v>
          </cell>
          <cell r="U714">
            <v>40281.599999999897</v>
          </cell>
        </row>
        <row r="715">
          <cell r="A715" t="str">
            <v>PLN   Złoty</v>
          </cell>
          <cell r="E715" t="str">
            <v>KC Centra dystrybucji</v>
          </cell>
          <cell r="H715">
            <v>480</v>
          </cell>
          <cell r="J715">
            <v>19583.59</v>
          </cell>
          <cell r="K715">
            <v>6466.0799999999899</v>
          </cell>
          <cell r="L715">
            <v>8055.6</v>
          </cell>
          <cell r="M715">
            <v>0</v>
          </cell>
          <cell r="N715">
            <v>14521.68</v>
          </cell>
          <cell r="O715">
            <v>394830.13</v>
          </cell>
          <cell r="Q715">
            <v>0</v>
          </cell>
          <cell r="R715">
            <v>394830.13</v>
          </cell>
          <cell r="S715">
            <v>85505.869999999893</v>
          </cell>
          <cell r="T715">
            <v>109.599999999999</v>
          </cell>
          <cell r="U715">
            <v>394939.72999999899</v>
          </cell>
        </row>
        <row r="716">
          <cell r="A716" t="str">
            <v>PLN   Złoty</v>
          </cell>
          <cell r="E716" t="str">
            <v>KC Centra dystrybucji</v>
          </cell>
          <cell r="H716">
            <v>405</v>
          </cell>
          <cell r="J716">
            <v>16418.0999999999</v>
          </cell>
          <cell r="K716">
            <v>5455.76</v>
          </cell>
          <cell r="L716">
            <v>0</v>
          </cell>
          <cell r="M716">
            <v>0</v>
          </cell>
          <cell r="N716">
            <v>5455.76</v>
          </cell>
          <cell r="O716">
            <v>335770.739999999</v>
          </cell>
          <cell r="Q716">
            <v>0</v>
          </cell>
          <cell r="R716">
            <v>335770.739999999</v>
          </cell>
          <cell r="S716">
            <v>66923.259999999893</v>
          </cell>
          <cell r="T716">
            <v>95.379999999999896</v>
          </cell>
          <cell r="U716">
            <v>335866.12</v>
          </cell>
        </row>
        <row r="717">
          <cell r="A717" t="str">
            <v>PLN   Złoty</v>
          </cell>
          <cell r="E717" t="str">
            <v>KC Centra dystrybucji</v>
          </cell>
          <cell r="H717">
            <v>32</v>
          </cell>
          <cell r="J717">
            <v>1295.8499999999899</v>
          </cell>
          <cell r="K717">
            <v>431.06</v>
          </cell>
          <cell r="L717">
            <v>0</v>
          </cell>
          <cell r="M717">
            <v>0</v>
          </cell>
          <cell r="N717">
            <v>431.06</v>
          </cell>
          <cell r="O717">
            <v>26711.4199999999</v>
          </cell>
          <cell r="Q717">
            <v>0</v>
          </cell>
          <cell r="R717">
            <v>26711.4199999999</v>
          </cell>
          <cell r="S717">
            <v>5071.5799999999899</v>
          </cell>
          <cell r="T717">
            <v>7.5899999999999901</v>
          </cell>
          <cell r="U717">
            <v>26719.0099999999</v>
          </cell>
        </row>
        <row r="718">
          <cell r="A718" t="str">
            <v>PLN   Złoty</v>
          </cell>
          <cell r="E718" t="str">
            <v>KC Centra dystrybucji</v>
          </cell>
          <cell r="H718">
            <v>191</v>
          </cell>
          <cell r="J718">
            <v>7716.9499999999898</v>
          </cell>
          <cell r="K718">
            <v>2572.96</v>
          </cell>
          <cell r="L718">
            <v>0</v>
          </cell>
          <cell r="M718">
            <v>0</v>
          </cell>
          <cell r="N718">
            <v>2572.96</v>
          </cell>
          <cell r="O718">
            <v>158766.649999999</v>
          </cell>
          <cell r="Q718">
            <v>0</v>
          </cell>
          <cell r="R718">
            <v>158766.649999999</v>
          </cell>
          <cell r="S718">
            <v>30509.3499999999</v>
          </cell>
          <cell r="T718">
            <v>45.1099999999999</v>
          </cell>
          <cell r="U718">
            <v>158811.76</v>
          </cell>
        </row>
        <row r="719">
          <cell r="A719" t="str">
            <v>PLN   Złoty</v>
          </cell>
          <cell r="E719" t="str">
            <v>KC Centra dystrybucji</v>
          </cell>
          <cell r="H719">
            <v>2</v>
          </cell>
          <cell r="J719">
            <v>80.45</v>
          </cell>
          <cell r="K719">
            <v>26.9499999999999</v>
          </cell>
          <cell r="L719">
            <v>0</v>
          </cell>
          <cell r="M719">
            <v>0</v>
          </cell>
          <cell r="N719">
            <v>26.9499999999999</v>
          </cell>
          <cell r="O719">
            <v>1654.24</v>
          </cell>
          <cell r="Q719">
            <v>0</v>
          </cell>
          <cell r="R719">
            <v>1654.24</v>
          </cell>
          <cell r="S719">
            <v>319.75999999999902</v>
          </cell>
          <cell r="T719">
            <v>0.46999999999999897</v>
          </cell>
          <cell r="U719">
            <v>1654.71</v>
          </cell>
        </row>
        <row r="720">
          <cell r="A720" t="str">
            <v>PLN   Złoty</v>
          </cell>
          <cell r="E720" t="str">
            <v>KC Centra dystrybucji</v>
          </cell>
          <cell r="H720">
            <v>105</v>
          </cell>
          <cell r="J720">
            <v>4238.0799999999899</v>
          </cell>
          <cell r="K720">
            <v>1414.46</v>
          </cell>
          <cell r="L720">
            <v>0</v>
          </cell>
          <cell r="M720">
            <v>0</v>
          </cell>
          <cell r="N720">
            <v>1414.46</v>
          </cell>
          <cell r="O720">
            <v>87275.88</v>
          </cell>
          <cell r="Q720">
            <v>0</v>
          </cell>
          <cell r="R720">
            <v>87275.88</v>
          </cell>
          <cell r="S720">
            <v>16674.119999999901</v>
          </cell>
          <cell r="T720">
            <v>24.8</v>
          </cell>
          <cell r="U720">
            <v>87300.679999999906</v>
          </cell>
        </row>
        <row r="721">
          <cell r="A721" t="str">
            <v>PLN   Złoty</v>
          </cell>
          <cell r="E721" t="str">
            <v>KC Centra dystrybucji</v>
          </cell>
          <cell r="H721">
            <v>24</v>
          </cell>
          <cell r="J721">
            <v>1001.83</v>
          </cell>
          <cell r="K721">
            <v>323.3</v>
          </cell>
          <cell r="L721">
            <v>1944</v>
          </cell>
          <cell r="M721">
            <v>0</v>
          </cell>
          <cell r="N721">
            <v>2267.3000000000002</v>
          </cell>
          <cell r="O721">
            <v>20328.799999999901</v>
          </cell>
          <cell r="Q721">
            <v>0</v>
          </cell>
          <cell r="R721">
            <v>20328.799999999901</v>
          </cell>
          <cell r="S721">
            <v>4242.88</v>
          </cell>
          <cell r="T721">
            <v>5.19</v>
          </cell>
          <cell r="U721">
            <v>20333.990000000002</v>
          </cell>
        </row>
        <row r="722">
          <cell r="A722" t="str">
            <v>PLN   Złoty</v>
          </cell>
          <cell r="E722" t="str">
            <v>KC Centra dystrybucji</v>
          </cell>
          <cell r="H722">
            <v>12</v>
          </cell>
          <cell r="J722">
            <v>485.76999999999902</v>
          </cell>
          <cell r="K722">
            <v>161.65</v>
          </cell>
          <cell r="L722">
            <v>0</v>
          </cell>
          <cell r="M722">
            <v>0</v>
          </cell>
          <cell r="N722">
            <v>161.65</v>
          </cell>
          <cell r="O722">
            <v>9975.7999999999902</v>
          </cell>
          <cell r="Q722">
            <v>0</v>
          </cell>
          <cell r="R722">
            <v>9975.7999999999902</v>
          </cell>
          <cell r="S722">
            <v>1940.2</v>
          </cell>
          <cell r="T722">
            <v>2.8399999999999901</v>
          </cell>
          <cell r="U722">
            <v>9978.6399999999903</v>
          </cell>
        </row>
        <row r="723">
          <cell r="A723" t="str">
            <v>PLN   Złoty</v>
          </cell>
          <cell r="E723" t="str">
            <v>KC Centra dystrybucji</v>
          </cell>
          <cell r="H723">
            <v>20</v>
          </cell>
          <cell r="J723">
            <v>809.97</v>
          </cell>
          <cell r="K723">
            <v>269.42</v>
          </cell>
          <cell r="L723">
            <v>0</v>
          </cell>
          <cell r="M723">
            <v>0</v>
          </cell>
          <cell r="N723">
            <v>269.42</v>
          </cell>
          <cell r="O723">
            <v>16626.6899999999</v>
          </cell>
          <cell r="Q723">
            <v>0</v>
          </cell>
          <cell r="R723">
            <v>16626.6899999999</v>
          </cell>
          <cell r="S723">
            <v>3241.3099999999899</v>
          </cell>
          <cell r="T723">
            <v>4.71999999999999</v>
          </cell>
          <cell r="U723">
            <v>16631.41</v>
          </cell>
        </row>
        <row r="724">
          <cell r="A724" t="str">
            <v>PLN   Złoty</v>
          </cell>
          <cell r="E724" t="str">
            <v>KC Centra dystrybucji</v>
          </cell>
          <cell r="H724">
            <v>0</v>
          </cell>
          <cell r="J724">
            <v>0</v>
          </cell>
          <cell r="K724">
            <v>0</v>
          </cell>
          <cell r="L724">
            <v>51050.01</v>
          </cell>
          <cell r="M724">
            <v>0</v>
          </cell>
          <cell r="N724">
            <v>51050.01</v>
          </cell>
          <cell r="O724">
            <v>51050.01</v>
          </cell>
          <cell r="Q724">
            <v>0</v>
          </cell>
          <cell r="R724">
            <v>51050.01</v>
          </cell>
          <cell r="S724">
            <v>-51050.01</v>
          </cell>
          <cell r="T724">
            <v>0</v>
          </cell>
          <cell r="U724">
            <v>51050.01</v>
          </cell>
        </row>
        <row r="725">
          <cell r="A725" t="str">
            <v>PLN   Złoty</v>
          </cell>
          <cell r="E725" t="str">
            <v>KC Centra dystrybucji</v>
          </cell>
          <cell r="H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-466.73</v>
          </cell>
          <cell r="Q725">
            <v>0</v>
          </cell>
          <cell r="R725">
            <v>-466.73</v>
          </cell>
          <cell r="S725">
            <v>466.73</v>
          </cell>
          <cell r="T725">
            <v>-0.149999999999999</v>
          </cell>
          <cell r="U725">
            <v>-466.88</v>
          </cell>
        </row>
        <row r="726">
          <cell r="A726" t="str">
            <v>PLN   Złoty</v>
          </cell>
          <cell r="E726" t="str">
            <v>KC Centra dystrybucji</v>
          </cell>
          <cell r="H726">
            <v>105.5</v>
          </cell>
          <cell r="J726">
            <v>4286.59</v>
          </cell>
          <cell r="K726">
            <v>1421.19</v>
          </cell>
          <cell r="L726">
            <v>0</v>
          </cell>
          <cell r="M726">
            <v>0</v>
          </cell>
          <cell r="N726">
            <v>1421.19</v>
          </cell>
          <cell r="O726">
            <v>88537.96</v>
          </cell>
          <cell r="Q726">
            <v>0</v>
          </cell>
          <cell r="R726">
            <v>88537.96</v>
          </cell>
          <cell r="S726">
            <v>16602.04</v>
          </cell>
          <cell r="T726">
            <v>25.17</v>
          </cell>
          <cell r="U726">
            <v>88563.13</v>
          </cell>
        </row>
        <row r="727">
          <cell r="A727" t="str">
            <v>PLN   Złoty</v>
          </cell>
          <cell r="E727" t="str">
            <v>KC Centra dystrybucji</v>
          </cell>
          <cell r="H727">
            <v>62.5</v>
          </cell>
          <cell r="J727">
            <v>2543.8699999999899</v>
          </cell>
          <cell r="K727">
            <v>841.94</v>
          </cell>
          <cell r="L727">
            <v>0</v>
          </cell>
          <cell r="M727">
            <v>0</v>
          </cell>
          <cell r="N727">
            <v>841.94</v>
          </cell>
          <cell r="O727">
            <v>51971.129999999903</v>
          </cell>
          <cell r="Q727">
            <v>0</v>
          </cell>
          <cell r="R727">
            <v>51971.129999999903</v>
          </cell>
          <cell r="S727">
            <v>10423.870000000001</v>
          </cell>
          <cell r="T727">
            <v>14.76</v>
          </cell>
          <cell r="U727">
            <v>51985.889999999898</v>
          </cell>
        </row>
        <row r="728">
          <cell r="A728" t="str">
            <v>PLN   Złoty</v>
          </cell>
          <cell r="E728" t="str">
            <v>KC Centra dystrybucji</v>
          </cell>
          <cell r="H728">
            <v>92.5</v>
          </cell>
          <cell r="J728">
            <v>3745.34</v>
          </cell>
          <cell r="K728">
            <v>1246.0699999999899</v>
          </cell>
          <cell r="L728">
            <v>0</v>
          </cell>
          <cell r="M728">
            <v>0</v>
          </cell>
          <cell r="N728">
            <v>1246.0699999999899</v>
          </cell>
          <cell r="O728">
            <v>78477.460000000006</v>
          </cell>
          <cell r="Q728">
            <v>0</v>
          </cell>
          <cell r="R728">
            <v>78477.460000000006</v>
          </cell>
          <cell r="S728">
            <v>13385.04</v>
          </cell>
          <cell r="T728">
            <v>22.329999999999899</v>
          </cell>
          <cell r="U728">
            <v>78499.789999999906</v>
          </cell>
        </row>
        <row r="729">
          <cell r="A729" t="str">
            <v>PLN   Złoty</v>
          </cell>
          <cell r="E729" t="str">
            <v>KC Centra dystrybucji</v>
          </cell>
          <cell r="H729">
            <v>24</v>
          </cell>
          <cell r="J729">
            <v>978.53999999999905</v>
          </cell>
          <cell r="K729">
            <v>323.3</v>
          </cell>
          <cell r="L729">
            <v>0</v>
          </cell>
          <cell r="M729">
            <v>0</v>
          </cell>
          <cell r="N729">
            <v>323.3</v>
          </cell>
          <cell r="O729">
            <v>19958.5999999999</v>
          </cell>
          <cell r="Q729">
            <v>0</v>
          </cell>
          <cell r="R729">
            <v>19958.5999999999</v>
          </cell>
          <cell r="S729">
            <v>4041.4</v>
          </cell>
          <cell r="T729">
            <v>5.6699999999999902</v>
          </cell>
          <cell r="U729">
            <v>19964.27</v>
          </cell>
        </row>
        <row r="730">
          <cell r="A730" t="str">
            <v>PLN   Złoty</v>
          </cell>
          <cell r="E730" t="str">
            <v>KC Centra dystrybucji</v>
          </cell>
          <cell r="H730">
            <v>10</v>
          </cell>
          <cell r="J730">
            <v>406.48</v>
          </cell>
          <cell r="K730">
            <v>134.71</v>
          </cell>
          <cell r="L730">
            <v>0</v>
          </cell>
          <cell r="M730">
            <v>0</v>
          </cell>
          <cell r="N730">
            <v>134.71</v>
          </cell>
          <cell r="O730">
            <v>7568.67</v>
          </cell>
          <cell r="Q730">
            <v>0</v>
          </cell>
          <cell r="R730">
            <v>7568.67</v>
          </cell>
          <cell r="S730">
            <v>2401.3299999999899</v>
          </cell>
          <cell r="T730">
            <v>2.1299999999999901</v>
          </cell>
          <cell r="U730">
            <v>7570.8</v>
          </cell>
        </row>
        <row r="731">
          <cell r="A731" t="str">
            <v>PLN   Złoty</v>
          </cell>
          <cell r="E731" t="str">
            <v>KC Centra dystrybucji</v>
          </cell>
          <cell r="H731">
            <v>12</v>
          </cell>
          <cell r="J731">
            <v>485.76999999999902</v>
          </cell>
          <cell r="K731">
            <v>161.65</v>
          </cell>
          <cell r="L731">
            <v>0</v>
          </cell>
          <cell r="M731">
            <v>0</v>
          </cell>
          <cell r="N731">
            <v>161.65</v>
          </cell>
          <cell r="O731">
            <v>9080.3999999999905</v>
          </cell>
          <cell r="Q731">
            <v>0</v>
          </cell>
          <cell r="R731">
            <v>9080.3999999999905</v>
          </cell>
          <cell r="S731">
            <v>2835.5999999999899</v>
          </cell>
          <cell r="T731">
            <v>2.5699999999999901</v>
          </cell>
          <cell r="U731">
            <v>9082.9699999999903</v>
          </cell>
        </row>
        <row r="732">
          <cell r="A732" t="str">
            <v>PLN   Złoty</v>
          </cell>
          <cell r="E732" t="str">
            <v>KC Centra dystrybucji</v>
          </cell>
          <cell r="H732">
            <v>24</v>
          </cell>
          <cell r="J732">
            <v>1004.79</v>
          </cell>
          <cell r="K732">
            <v>323.3</v>
          </cell>
          <cell r="L732">
            <v>1316.64</v>
          </cell>
          <cell r="M732">
            <v>0</v>
          </cell>
          <cell r="N732">
            <v>1639.94</v>
          </cell>
          <cell r="O732">
            <v>19704.400000000001</v>
          </cell>
          <cell r="Q732">
            <v>0</v>
          </cell>
          <cell r="R732">
            <v>19704.400000000001</v>
          </cell>
          <cell r="S732">
            <v>4941.4399999999896</v>
          </cell>
          <cell r="T732">
            <v>5.19</v>
          </cell>
          <cell r="U732">
            <v>19709.59</v>
          </cell>
        </row>
        <row r="733">
          <cell r="A733" t="str">
            <v>PLN   Złoty</v>
          </cell>
          <cell r="E733" t="str">
            <v>KC Centra dystrybucji</v>
          </cell>
          <cell r="H733">
            <v>10</v>
          </cell>
          <cell r="J733">
            <v>404.87</v>
          </cell>
          <cell r="K733">
            <v>134.71</v>
          </cell>
          <cell r="L733">
            <v>0</v>
          </cell>
          <cell r="M733">
            <v>0</v>
          </cell>
          <cell r="N733">
            <v>134.71</v>
          </cell>
          <cell r="O733">
            <v>8587.9699999999903</v>
          </cell>
          <cell r="Q733">
            <v>0</v>
          </cell>
          <cell r="R733">
            <v>8587.9699999999903</v>
          </cell>
          <cell r="S733">
            <v>1342.03</v>
          </cell>
          <cell r="T733">
            <v>2.4399999999999902</v>
          </cell>
          <cell r="U733">
            <v>8590.4099999999908</v>
          </cell>
        </row>
        <row r="734">
          <cell r="A734" t="str">
            <v>PLN   Złoty</v>
          </cell>
          <cell r="E734" t="str">
            <v>KC Centra dystrybucji</v>
          </cell>
          <cell r="H734">
            <v>146</v>
          </cell>
          <cell r="J734">
            <v>5894.01</v>
          </cell>
          <cell r="K734">
            <v>1966.77</v>
          </cell>
          <cell r="L734">
            <v>0</v>
          </cell>
          <cell r="M734">
            <v>0</v>
          </cell>
          <cell r="N734">
            <v>1966.77</v>
          </cell>
          <cell r="O734">
            <v>110462.039999999</v>
          </cell>
          <cell r="Q734">
            <v>0</v>
          </cell>
          <cell r="R734">
            <v>110462.039999999</v>
          </cell>
          <cell r="S734">
            <v>34101.959999999897</v>
          </cell>
          <cell r="T734">
            <v>31.17</v>
          </cell>
          <cell r="U734">
            <v>110493.21</v>
          </cell>
        </row>
        <row r="735">
          <cell r="A735" t="str">
            <v>PLN   Złoty</v>
          </cell>
          <cell r="E735" t="str">
            <v>KC Centra dystrybucji</v>
          </cell>
          <cell r="H735">
            <v>15</v>
          </cell>
          <cell r="J735">
            <v>605.45000000000005</v>
          </cell>
          <cell r="K735">
            <v>202.08</v>
          </cell>
          <cell r="L735">
            <v>0</v>
          </cell>
          <cell r="M735">
            <v>0</v>
          </cell>
          <cell r="N735">
            <v>202.08</v>
          </cell>
          <cell r="O735">
            <v>12468.01</v>
          </cell>
          <cell r="Q735">
            <v>0</v>
          </cell>
          <cell r="R735">
            <v>12468.01</v>
          </cell>
          <cell r="S735">
            <v>2381.9899999999898</v>
          </cell>
          <cell r="T735">
            <v>3.54</v>
          </cell>
          <cell r="U735">
            <v>12471.549999999899</v>
          </cell>
        </row>
        <row r="736">
          <cell r="A736" t="str">
            <v>PLN   Złoty</v>
          </cell>
          <cell r="E736" t="str">
            <v>KC Centra dystrybucji</v>
          </cell>
          <cell r="H736">
            <v>103</v>
          </cell>
          <cell r="J736">
            <v>4207.13</v>
          </cell>
          <cell r="K736">
            <v>1387.51</v>
          </cell>
          <cell r="L736">
            <v>1614.72</v>
          </cell>
          <cell r="M736">
            <v>0</v>
          </cell>
          <cell r="N736">
            <v>3002.23</v>
          </cell>
          <cell r="O736">
            <v>88318.46</v>
          </cell>
          <cell r="Q736">
            <v>0</v>
          </cell>
          <cell r="R736">
            <v>88318.46</v>
          </cell>
          <cell r="S736">
            <v>14872.02</v>
          </cell>
          <cell r="T736">
            <v>24.64</v>
          </cell>
          <cell r="U736">
            <v>88343.1</v>
          </cell>
        </row>
        <row r="737">
          <cell r="A737" t="str">
            <v>PLN   Złoty</v>
          </cell>
          <cell r="E737" t="str">
            <v>KC Centra dystrybucji</v>
          </cell>
          <cell r="H737">
            <v>24</v>
          </cell>
          <cell r="J737">
            <v>1001.83</v>
          </cell>
          <cell r="K737">
            <v>323.3</v>
          </cell>
          <cell r="L737">
            <v>1614.72</v>
          </cell>
          <cell r="M737">
            <v>0</v>
          </cell>
          <cell r="N737">
            <v>1938.02</v>
          </cell>
          <cell r="O737">
            <v>19999.54</v>
          </cell>
          <cell r="Q737">
            <v>0</v>
          </cell>
          <cell r="R737">
            <v>19999.54</v>
          </cell>
          <cell r="S737">
            <v>4572.1400000000003</v>
          </cell>
          <cell r="T737">
            <v>5.19</v>
          </cell>
          <cell r="U737">
            <v>20004.73</v>
          </cell>
        </row>
        <row r="738">
          <cell r="A738" t="str">
            <v>PLN   Złoty</v>
          </cell>
          <cell r="E738" t="str">
            <v>KC Centra dystrybucji</v>
          </cell>
          <cell r="H738">
            <v>216</v>
          </cell>
          <cell r="J738">
            <v>8781.5400000000009</v>
          </cell>
          <cell r="K738">
            <v>2909.7399999999898</v>
          </cell>
          <cell r="L738">
            <v>0</v>
          </cell>
          <cell r="M738">
            <v>0</v>
          </cell>
          <cell r="N738">
            <v>2909.7399999999898</v>
          </cell>
          <cell r="O738">
            <v>179602.13</v>
          </cell>
          <cell r="Q738">
            <v>0</v>
          </cell>
          <cell r="R738">
            <v>179602.13</v>
          </cell>
          <cell r="S738">
            <v>35785.870000000003</v>
          </cell>
          <cell r="T738">
            <v>51.009999999999899</v>
          </cell>
          <cell r="U738">
            <v>179653.14</v>
          </cell>
        </row>
        <row r="739">
          <cell r="A739" t="str">
            <v>PLN   Złoty</v>
          </cell>
          <cell r="E739" t="str">
            <v>KC Centra dystrybucji</v>
          </cell>
          <cell r="H739">
            <v>78</v>
          </cell>
          <cell r="J739">
            <v>3164.7199999999898</v>
          </cell>
          <cell r="K739">
            <v>1050.75</v>
          </cell>
          <cell r="L739">
            <v>0</v>
          </cell>
          <cell r="M739">
            <v>0</v>
          </cell>
          <cell r="N739">
            <v>1050.75</v>
          </cell>
          <cell r="O739">
            <v>64542.26</v>
          </cell>
          <cell r="Q739">
            <v>0</v>
          </cell>
          <cell r="R739">
            <v>64542.26</v>
          </cell>
          <cell r="S739">
            <v>13079.74</v>
          </cell>
          <cell r="T739">
            <v>18.32</v>
          </cell>
          <cell r="U739">
            <v>64560.58</v>
          </cell>
        </row>
        <row r="740">
          <cell r="A740" t="str">
            <v>PLN   Złoty</v>
          </cell>
          <cell r="E740" t="str">
            <v>KC Centra dystrybucji</v>
          </cell>
          <cell r="H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Q740">
            <v>0</v>
          </cell>
          <cell r="R740">
            <v>0</v>
          </cell>
          <cell r="S740">
            <v>-241.19999999999899</v>
          </cell>
          <cell r="T740">
            <v>0</v>
          </cell>
          <cell r="U740">
            <v>0</v>
          </cell>
        </row>
        <row r="741">
          <cell r="A741" t="str">
            <v>PLN   Złoty</v>
          </cell>
          <cell r="E741" t="str">
            <v>KC Centra dystrybucji</v>
          </cell>
          <cell r="H741">
            <v>80.799999999999898</v>
          </cell>
          <cell r="J741">
            <v>3297.2399999999898</v>
          </cell>
          <cell r="K741">
            <v>1586.21</v>
          </cell>
          <cell r="L741">
            <v>0</v>
          </cell>
          <cell r="M741">
            <v>0</v>
          </cell>
          <cell r="N741">
            <v>1586.21</v>
          </cell>
          <cell r="O741">
            <v>69927.72</v>
          </cell>
          <cell r="Q741">
            <v>0</v>
          </cell>
          <cell r="R741">
            <v>69927.72</v>
          </cell>
          <cell r="S741">
            <v>10945.879999999899</v>
          </cell>
          <cell r="T741">
            <v>19.760000000000002</v>
          </cell>
          <cell r="U741">
            <v>69947.479999999894</v>
          </cell>
        </row>
        <row r="742">
          <cell r="A742" t="str">
            <v>PLN   Złoty</v>
          </cell>
          <cell r="E742" t="str">
            <v>KC Centra dystrybucji</v>
          </cell>
          <cell r="H742">
            <v>15</v>
          </cell>
          <cell r="J742">
            <v>612.75</v>
          </cell>
          <cell r="K742">
            <v>294.47000000000003</v>
          </cell>
          <cell r="L742">
            <v>0</v>
          </cell>
          <cell r="M742">
            <v>0</v>
          </cell>
          <cell r="N742">
            <v>294.47000000000003</v>
          </cell>
          <cell r="O742">
            <v>12932.42</v>
          </cell>
          <cell r="Q742">
            <v>0</v>
          </cell>
          <cell r="R742">
            <v>12932.42</v>
          </cell>
          <cell r="S742">
            <v>2097.2800000000002</v>
          </cell>
          <cell r="T742">
            <v>3.6499999999999901</v>
          </cell>
          <cell r="U742">
            <v>12936.07</v>
          </cell>
        </row>
        <row r="743">
          <cell r="A743" t="str">
            <v>PLN   Złoty</v>
          </cell>
          <cell r="E743" t="str">
            <v>KC Centra dystrybucji</v>
          </cell>
          <cell r="H743">
            <v>122</v>
          </cell>
          <cell r="J743">
            <v>4980.6999999999898</v>
          </cell>
          <cell r="K743">
            <v>2395.0300000000002</v>
          </cell>
          <cell r="L743">
            <v>0</v>
          </cell>
          <cell r="M743">
            <v>0</v>
          </cell>
          <cell r="N743">
            <v>2395.0300000000002</v>
          </cell>
          <cell r="O743">
            <v>105586.14</v>
          </cell>
          <cell r="Q743">
            <v>0</v>
          </cell>
          <cell r="R743">
            <v>105586.14</v>
          </cell>
          <cell r="S743">
            <v>16577.7599999999</v>
          </cell>
          <cell r="T743">
            <v>29.85</v>
          </cell>
          <cell r="U743">
            <v>105615.99</v>
          </cell>
        </row>
        <row r="744">
          <cell r="A744" t="str">
            <v>PLN   Złoty</v>
          </cell>
          <cell r="E744" t="str">
            <v>KC Centra dystrybucji</v>
          </cell>
          <cell r="H744">
            <v>22</v>
          </cell>
          <cell r="J744">
            <v>889.67999999999904</v>
          </cell>
          <cell r="K744">
            <v>431.88999999999902</v>
          </cell>
          <cell r="L744">
            <v>0</v>
          </cell>
          <cell r="M744">
            <v>0</v>
          </cell>
          <cell r="N744">
            <v>431.88999999999902</v>
          </cell>
          <cell r="O744">
            <v>19031.639999999901</v>
          </cell>
          <cell r="Q744">
            <v>0</v>
          </cell>
          <cell r="R744">
            <v>19031.639999999901</v>
          </cell>
          <cell r="S744">
            <v>2791.04</v>
          </cell>
          <cell r="T744">
            <v>5.3799999999999901</v>
          </cell>
          <cell r="U744">
            <v>19037.02</v>
          </cell>
        </row>
        <row r="745">
          <cell r="A745" t="str">
            <v>PLN   Złoty</v>
          </cell>
          <cell r="E745" t="str">
            <v>KC Centra dystrybucji</v>
          </cell>
          <cell r="H745">
            <v>24</v>
          </cell>
          <cell r="J745">
            <v>980.44</v>
          </cell>
          <cell r="K745">
            <v>471.14999999999901</v>
          </cell>
          <cell r="L745">
            <v>0</v>
          </cell>
          <cell r="M745">
            <v>0</v>
          </cell>
          <cell r="N745">
            <v>471.14999999999901</v>
          </cell>
          <cell r="O745">
            <v>20771.6699999999</v>
          </cell>
          <cell r="Q745">
            <v>0</v>
          </cell>
          <cell r="R745">
            <v>20771.6699999999</v>
          </cell>
          <cell r="S745">
            <v>3276.09</v>
          </cell>
          <cell r="T745">
            <v>5.87</v>
          </cell>
          <cell r="U745">
            <v>20777.54</v>
          </cell>
        </row>
        <row r="746">
          <cell r="A746" t="str">
            <v>PLN   Złoty</v>
          </cell>
          <cell r="E746" t="str">
            <v>KC Centra dystrybucji</v>
          </cell>
          <cell r="H746">
            <v>24</v>
          </cell>
          <cell r="J746">
            <v>970.58</v>
          </cell>
          <cell r="K746">
            <v>471.14999999999901</v>
          </cell>
          <cell r="L746">
            <v>0</v>
          </cell>
          <cell r="M746">
            <v>0</v>
          </cell>
          <cell r="N746">
            <v>471.14999999999901</v>
          </cell>
          <cell r="O746">
            <v>20682.049999999901</v>
          </cell>
          <cell r="Q746">
            <v>0</v>
          </cell>
          <cell r="R746">
            <v>20682.049999999901</v>
          </cell>
          <cell r="S746">
            <v>3124.51</v>
          </cell>
          <cell r="T746">
            <v>5.8399999999999901</v>
          </cell>
          <cell r="U746">
            <v>20687.889999999901</v>
          </cell>
        </row>
        <row r="747">
          <cell r="A747" t="str">
            <v>PLN   Złoty</v>
          </cell>
          <cell r="E747" t="str">
            <v>KC Centra dystrybucji</v>
          </cell>
          <cell r="H747">
            <v>1315.5</v>
          </cell>
          <cell r="J747">
            <v>53419.65</v>
          </cell>
          <cell r="K747">
            <v>25824.99</v>
          </cell>
          <cell r="L747">
            <v>0</v>
          </cell>
          <cell r="M747">
            <v>0</v>
          </cell>
          <cell r="N747">
            <v>25824.99</v>
          </cell>
          <cell r="O747">
            <v>1049632.23</v>
          </cell>
          <cell r="Q747">
            <v>0</v>
          </cell>
          <cell r="R747">
            <v>1049632.23</v>
          </cell>
          <cell r="S747">
            <v>260616.62</v>
          </cell>
          <cell r="T747">
            <v>294.83999999999901</v>
          </cell>
          <cell r="U747">
            <v>1049927.07</v>
          </cell>
        </row>
        <row r="748">
          <cell r="A748" t="str">
            <v>PLN   Złoty</v>
          </cell>
          <cell r="E748" t="str">
            <v>KC Centra dystrybucji</v>
          </cell>
          <cell r="H748">
            <v>72</v>
          </cell>
          <cell r="J748">
            <v>2941.3</v>
          </cell>
          <cell r="K748">
            <v>1413.45</v>
          </cell>
          <cell r="L748">
            <v>0</v>
          </cell>
          <cell r="M748">
            <v>0</v>
          </cell>
          <cell r="N748">
            <v>1413.45</v>
          </cell>
          <cell r="O748">
            <v>62314.989999999903</v>
          </cell>
          <cell r="Q748">
            <v>0</v>
          </cell>
          <cell r="R748">
            <v>62314.989999999903</v>
          </cell>
          <cell r="S748">
            <v>9828.0499999999902</v>
          </cell>
          <cell r="T748">
            <v>17.6099999999999</v>
          </cell>
          <cell r="U748">
            <v>62332.599999999897</v>
          </cell>
        </row>
        <row r="749">
          <cell r="A749" t="str">
            <v>PLN   Złoty</v>
          </cell>
          <cell r="E749" t="str">
            <v>KC Centra dystrybucji</v>
          </cell>
          <cell r="H749">
            <v>156</v>
          </cell>
          <cell r="J749">
            <v>6328.14</v>
          </cell>
          <cell r="K749">
            <v>3062.4899999999898</v>
          </cell>
          <cell r="L749">
            <v>0</v>
          </cell>
          <cell r="M749">
            <v>0</v>
          </cell>
          <cell r="N749">
            <v>3062.4899999999898</v>
          </cell>
          <cell r="O749">
            <v>124312.02</v>
          </cell>
          <cell r="Q749">
            <v>0</v>
          </cell>
          <cell r="R749">
            <v>124312.02</v>
          </cell>
          <cell r="S749">
            <v>30900.18</v>
          </cell>
          <cell r="T749">
            <v>34.909999999999897</v>
          </cell>
          <cell r="U749">
            <v>124346.929999999</v>
          </cell>
        </row>
        <row r="750">
          <cell r="A750" t="str">
            <v>PLN   Złoty</v>
          </cell>
          <cell r="E750" t="str">
            <v>KC Centra dystrybucji</v>
          </cell>
          <cell r="H750">
            <v>24</v>
          </cell>
          <cell r="J750">
            <v>973.61</v>
          </cell>
          <cell r="K750">
            <v>471.14999999999901</v>
          </cell>
          <cell r="L750">
            <v>0</v>
          </cell>
          <cell r="M750">
            <v>0</v>
          </cell>
          <cell r="N750">
            <v>471.14999999999901</v>
          </cell>
          <cell r="O750">
            <v>20764.84</v>
          </cell>
          <cell r="Q750">
            <v>0</v>
          </cell>
          <cell r="R750">
            <v>20764.84</v>
          </cell>
          <cell r="S750">
            <v>3113.96</v>
          </cell>
          <cell r="T750">
            <v>5.87</v>
          </cell>
          <cell r="U750">
            <v>20770.709999999901</v>
          </cell>
        </row>
        <row r="751">
          <cell r="A751" t="str">
            <v>PLN   Złoty</v>
          </cell>
          <cell r="E751" t="str">
            <v>KC Centra dystrybucji</v>
          </cell>
          <cell r="H751">
            <v>631</v>
          </cell>
          <cell r="J751">
            <v>25603.0999999999</v>
          </cell>
          <cell r="K751">
            <v>12387.35</v>
          </cell>
          <cell r="L751">
            <v>0</v>
          </cell>
          <cell r="M751">
            <v>0</v>
          </cell>
          <cell r="N751">
            <v>12387.35</v>
          </cell>
          <cell r="O751">
            <v>537577.43000000005</v>
          </cell>
          <cell r="Q751">
            <v>0</v>
          </cell>
          <cell r="R751">
            <v>537577.43000000005</v>
          </cell>
          <cell r="S751">
            <v>90402.559999999896</v>
          </cell>
          <cell r="T751">
            <v>151.78</v>
          </cell>
          <cell r="U751">
            <v>537729.20999999903</v>
          </cell>
        </row>
        <row r="752">
          <cell r="A752" t="str">
            <v>PLN   Złoty</v>
          </cell>
          <cell r="E752" t="str">
            <v>KC Centra dystrybucji</v>
          </cell>
          <cell r="H752">
            <v>49</v>
          </cell>
          <cell r="J752">
            <v>1988.54</v>
          </cell>
          <cell r="K752">
            <v>961.94</v>
          </cell>
          <cell r="L752">
            <v>0</v>
          </cell>
          <cell r="M752">
            <v>0</v>
          </cell>
          <cell r="N752">
            <v>961.94</v>
          </cell>
          <cell r="O752">
            <v>42395.639999999898</v>
          </cell>
          <cell r="Q752">
            <v>0</v>
          </cell>
          <cell r="R752">
            <v>42395.639999999898</v>
          </cell>
          <cell r="S752">
            <v>6378.05</v>
          </cell>
          <cell r="T752">
            <v>11.99</v>
          </cell>
          <cell r="U752">
            <v>42407.629999999903</v>
          </cell>
        </row>
        <row r="753">
          <cell r="A753" t="str">
            <v>PLN   Złoty</v>
          </cell>
          <cell r="E753" t="str">
            <v>KC Centra dystrybucji</v>
          </cell>
          <cell r="H753">
            <v>6</v>
          </cell>
          <cell r="J753">
            <v>244.12</v>
          </cell>
          <cell r="K753">
            <v>117.79</v>
          </cell>
          <cell r="L753">
            <v>0</v>
          </cell>
          <cell r="M753">
            <v>0</v>
          </cell>
          <cell r="N753">
            <v>117.79</v>
          </cell>
          <cell r="O753">
            <v>5171.9899999999898</v>
          </cell>
          <cell r="Q753">
            <v>0</v>
          </cell>
          <cell r="R753">
            <v>5171.9899999999898</v>
          </cell>
          <cell r="S753">
            <v>815.83</v>
          </cell>
          <cell r="T753">
            <v>1.46</v>
          </cell>
          <cell r="U753">
            <v>5173.4499999999898</v>
          </cell>
        </row>
        <row r="754">
          <cell r="A754" t="str">
            <v>PLN   Złoty</v>
          </cell>
          <cell r="E754" t="str">
            <v>KC Centra dystrybucji</v>
          </cell>
          <cell r="H754">
            <v>38</v>
          </cell>
          <cell r="J754">
            <v>1551.78</v>
          </cell>
          <cell r="K754">
            <v>745.99</v>
          </cell>
          <cell r="L754">
            <v>0</v>
          </cell>
          <cell r="M754">
            <v>0</v>
          </cell>
          <cell r="N754">
            <v>745.99</v>
          </cell>
          <cell r="O754">
            <v>30291.4399999999</v>
          </cell>
          <cell r="Q754">
            <v>0</v>
          </cell>
          <cell r="R754">
            <v>30291.4399999999</v>
          </cell>
          <cell r="S754">
            <v>7769.96</v>
          </cell>
          <cell r="T754">
            <v>8.5099999999999891</v>
          </cell>
          <cell r="U754">
            <v>30299.95</v>
          </cell>
        </row>
        <row r="755">
          <cell r="A755" t="str">
            <v>PLN   Złoty</v>
          </cell>
          <cell r="E755" t="str">
            <v>KC Centra dystrybucji</v>
          </cell>
          <cell r="H755">
            <v>25</v>
          </cell>
          <cell r="J755">
            <v>1017.1799999999899</v>
          </cell>
          <cell r="K755">
            <v>490.77999999999901</v>
          </cell>
          <cell r="L755">
            <v>0</v>
          </cell>
          <cell r="M755">
            <v>0</v>
          </cell>
          <cell r="N755">
            <v>490.77999999999901</v>
          </cell>
          <cell r="O755">
            <v>21633.040000000001</v>
          </cell>
          <cell r="Q755">
            <v>0</v>
          </cell>
          <cell r="R755">
            <v>21633.040000000001</v>
          </cell>
          <cell r="S755">
            <v>3316.0599999999899</v>
          </cell>
          <cell r="T755">
            <v>6.12</v>
          </cell>
          <cell r="U755">
            <v>21639.16</v>
          </cell>
        </row>
        <row r="756">
          <cell r="A756" t="str">
            <v>PLN   Złoty</v>
          </cell>
          <cell r="E756" t="str">
            <v>KC Centra dystrybucji</v>
          </cell>
          <cell r="H756">
            <v>50</v>
          </cell>
          <cell r="J756">
            <v>2035.43</v>
          </cell>
          <cell r="K756">
            <v>981.55999999999904</v>
          </cell>
          <cell r="L756">
            <v>0</v>
          </cell>
          <cell r="M756">
            <v>0</v>
          </cell>
          <cell r="N756">
            <v>981.55999999999904</v>
          </cell>
          <cell r="O756">
            <v>43267.15</v>
          </cell>
          <cell r="Q756">
            <v>0</v>
          </cell>
          <cell r="R756">
            <v>43267.15</v>
          </cell>
          <cell r="S756">
            <v>6656.1</v>
          </cell>
          <cell r="T756">
            <v>12.22</v>
          </cell>
          <cell r="U756">
            <v>43279.37</v>
          </cell>
        </row>
        <row r="757">
          <cell r="A757" t="str">
            <v>PLN   Złoty</v>
          </cell>
          <cell r="E757" t="str">
            <v>KC Centra dystrybucji</v>
          </cell>
          <cell r="H757">
            <v>24</v>
          </cell>
          <cell r="J757">
            <v>976.50999999999897</v>
          </cell>
          <cell r="K757">
            <v>942.29999999999905</v>
          </cell>
          <cell r="L757">
            <v>0</v>
          </cell>
          <cell r="M757">
            <v>0</v>
          </cell>
          <cell r="N757">
            <v>942.29999999999905</v>
          </cell>
          <cell r="O757">
            <v>39840.69</v>
          </cell>
          <cell r="Q757">
            <v>0</v>
          </cell>
          <cell r="R757">
            <v>39840.69</v>
          </cell>
          <cell r="S757">
            <v>-15889.41</v>
          </cell>
          <cell r="T757">
            <v>11.5299999999999</v>
          </cell>
          <cell r="U757">
            <v>39852.22</v>
          </cell>
        </row>
        <row r="758">
          <cell r="A758" t="str">
            <v>PLN   Złoty</v>
          </cell>
          <cell r="E758" t="str">
            <v>KC Centra dystrybucji</v>
          </cell>
          <cell r="H758">
            <v>36.5</v>
          </cell>
          <cell r="J758">
            <v>1482.55</v>
          </cell>
          <cell r="K758">
            <v>716.53999999999905</v>
          </cell>
          <cell r="L758">
            <v>0</v>
          </cell>
          <cell r="M758">
            <v>0</v>
          </cell>
          <cell r="N758">
            <v>716.53999999999905</v>
          </cell>
          <cell r="O758">
            <v>32712.02</v>
          </cell>
          <cell r="Q758">
            <v>0</v>
          </cell>
          <cell r="R758">
            <v>32712.02</v>
          </cell>
          <cell r="S758">
            <v>3651.23</v>
          </cell>
          <cell r="T758">
            <v>9.2799999999999905</v>
          </cell>
          <cell r="U758">
            <v>32721.299999999901</v>
          </cell>
        </row>
        <row r="759">
          <cell r="A759" t="str">
            <v>PLN   Złoty</v>
          </cell>
          <cell r="E759" t="str">
            <v>KC Centra dystrybucji</v>
          </cell>
          <cell r="H759">
            <v>10</v>
          </cell>
          <cell r="J759">
            <v>405.69</v>
          </cell>
          <cell r="K759">
            <v>196.3</v>
          </cell>
          <cell r="L759">
            <v>0</v>
          </cell>
          <cell r="M759">
            <v>0</v>
          </cell>
          <cell r="N759">
            <v>196.3</v>
          </cell>
          <cell r="O759">
            <v>8781.09</v>
          </cell>
          <cell r="Q759">
            <v>0</v>
          </cell>
          <cell r="R759">
            <v>8781.09</v>
          </cell>
          <cell r="S759">
            <v>1168.4100000000001</v>
          </cell>
          <cell r="T759">
            <v>2.48</v>
          </cell>
          <cell r="U759">
            <v>8783.5699999999906</v>
          </cell>
        </row>
        <row r="760">
          <cell r="A760" t="str">
            <v>PLN   Złoty</v>
          </cell>
          <cell r="E760" t="str">
            <v>KC Centra dystrybucji</v>
          </cell>
          <cell r="H760">
            <v>14</v>
          </cell>
          <cell r="J760">
            <v>569.6</v>
          </cell>
          <cell r="K760">
            <v>274.85000000000002</v>
          </cell>
          <cell r="L760">
            <v>0</v>
          </cell>
          <cell r="M760">
            <v>0</v>
          </cell>
          <cell r="N760">
            <v>274.85000000000002</v>
          </cell>
          <cell r="O760">
            <v>11157.91</v>
          </cell>
          <cell r="Q760">
            <v>0</v>
          </cell>
          <cell r="R760">
            <v>11157.91</v>
          </cell>
          <cell r="S760">
            <v>2813.67</v>
          </cell>
          <cell r="T760">
            <v>3.14</v>
          </cell>
          <cell r="U760">
            <v>11161.049999999899</v>
          </cell>
        </row>
        <row r="761">
          <cell r="A761" t="str">
            <v>PLN   Złoty</v>
          </cell>
          <cell r="E761" t="str">
            <v>KC Centra dystrybucji</v>
          </cell>
          <cell r="H761">
            <v>43</v>
          </cell>
          <cell r="J761">
            <v>1761.94</v>
          </cell>
          <cell r="K761">
            <v>844.13999999999896</v>
          </cell>
          <cell r="L761">
            <v>0</v>
          </cell>
          <cell r="M761">
            <v>0</v>
          </cell>
          <cell r="N761">
            <v>844.13999999999896</v>
          </cell>
          <cell r="O761">
            <v>34283.129999999903</v>
          </cell>
          <cell r="Q761">
            <v>0</v>
          </cell>
          <cell r="R761">
            <v>34283.129999999903</v>
          </cell>
          <cell r="S761">
            <v>8931.8700000000008</v>
          </cell>
          <cell r="T761">
            <v>9.6199999999999903</v>
          </cell>
          <cell r="U761">
            <v>34292.75</v>
          </cell>
        </row>
        <row r="762">
          <cell r="A762" t="str">
            <v>PLN   Złoty</v>
          </cell>
          <cell r="E762" t="str">
            <v>KC Centra dystrybucji</v>
          </cell>
          <cell r="H762">
            <v>151</v>
          </cell>
          <cell r="J762">
            <v>6130.0299999999897</v>
          </cell>
          <cell r="K762">
            <v>2964.32</v>
          </cell>
          <cell r="L762">
            <v>0</v>
          </cell>
          <cell r="M762">
            <v>0</v>
          </cell>
          <cell r="N762">
            <v>2964.32</v>
          </cell>
          <cell r="O762">
            <v>122417.56</v>
          </cell>
          <cell r="Q762">
            <v>0</v>
          </cell>
          <cell r="R762">
            <v>122417.56</v>
          </cell>
          <cell r="S762">
            <v>27937.24</v>
          </cell>
          <cell r="T762">
            <v>34.450000000000003</v>
          </cell>
          <cell r="U762">
            <v>122452.00999999901</v>
          </cell>
        </row>
        <row r="763">
          <cell r="A763" t="str">
            <v>PLN   Złoty</v>
          </cell>
          <cell r="E763" t="str">
            <v>KC Centra dystrybucji</v>
          </cell>
          <cell r="H763">
            <v>29</v>
          </cell>
          <cell r="J763">
            <v>1179.95</v>
          </cell>
          <cell r="K763">
            <v>569.30999999999904</v>
          </cell>
          <cell r="L763">
            <v>0</v>
          </cell>
          <cell r="M763">
            <v>0</v>
          </cell>
          <cell r="N763">
            <v>569.30999999999904</v>
          </cell>
          <cell r="O763">
            <v>25992.41</v>
          </cell>
          <cell r="Q763">
            <v>0</v>
          </cell>
          <cell r="R763">
            <v>25992.41</v>
          </cell>
          <cell r="S763">
            <v>2948.59</v>
          </cell>
          <cell r="T763">
            <v>7.37</v>
          </cell>
          <cell r="U763">
            <v>25999.779999999901</v>
          </cell>
        </row>
        <row r="764">
          <cell r="A764" t="str">
            <v>PLN   Złoty</v>
          </cell>
          <cell r="E764" t="str">
            <v>KC Centra dystrybucji</v>
          </cell>
          <cell r="H764">
            <v>120</v>
          </cell>
          <cell r="J764">
            <v>4990.3599999999897</v>
          </cell>
          <cell r="K764">
            <v>2355.77</v>
          </cell>
          <cell r="L764">
            <v>5754</v>
          </cell>
          <cell r="M764">
            <v>0</v>
          </cell>
          <cell r="N764">
            <v>8109.77</v>
          </cell>
          <cell r="O764">
            <v>104190.03</v>
          </cell>
          <cell r="Q764">
            <v>0</v>
          </cell>
          <cell r="R764">
            <v>104190.03</v>
          </cell>
          <cell r="S764">
            <v>18209.97</v>
          </cell>
          <cell r="T764">
            <v>27.68</v>
          </cell>
          <cell r="U764">
            <v>104217.71</v>
          </cell>
        </row>
        <row r="765">
          <cell r="A765" t="str">
            <v>PLN   Złoty</v>
          </cell>
          <cell r="E765" t="str">
            <v>KC Centra dystrybucji</v>
          </cell>
          <cell r="H765">
            <v>443.14999999999901</v>
          </cell>
          <cell r="J765">
            <v>18044.9199999999</v>
          </cell>
          <cell r="K765">
            <v>8699.6</v>
          </cell>
          <cell r="L765">
            <v>0</v>
          </cell>
          <cell r="M765">
            <v>0</v>
          </cell>
          <cell r="N765">
            <v>8699.6</v>
          </cell>
          <cell r="O765">
            <v>380728.08</v>
          </cell>
          <cell r="Q765">
            <v>0</v>
          </cell>
          <cell r="R765">
            <v>380728.08</v>
          </cell>
          <cell r="S765">
            <v>61867.87</v>
          </cell>
          <cell r="T765">
            <v>107.55</v>
          </cell>
          <cell r="U765">
            <v>380835.63</v>
          </cell>
        </row>
        <row r="766">
          <cell r="A766" t="str">
            <v>PLN   Złoty</v>
          </cell>
          <cell r="E766" t="str">
            <v>KC Centra dystrybucji</v>
          </cell>
          <cell r="H766">
            <v>11</v>
          </cell>
          <cell r="J766">
            <v>449.42</v>
          </cell>
          <cell r="K766">
            <v>215.94</v>
          </cell>
          <cell r="L766">
            <v>0</v>
          </cell>
          <cell r="M766">
            <v>0</v>
          </cell>
          <cell r="N766">
            <v>215.94</v>
          </cell>
          <cell r="O766">
            <v>9532.5300000000007</v>
          </cell>
          <cell r="Q766">
            <v>0</v>
          </cell>
          <cell r="R766">
            <v>9532.5300000000007</v>
          </cell>
          <cell r="S766">
            <v>1489.3299999999899</v>
          </cell>
          <cell r="T766">
            <v>2.6899999999999902</v>
          </cell>
          <cell r="U766">
            <v>9535.2199999999903</v>
          </cell>
        </row>
        <row r="767">
          <cell r="A767" t="str">
            <v>PLN   Złoty</v>
          </cell>
          <cell r="E767" t="str">
            <v>KC Centra dystrybucji</v>
          </cell>
          <cell r="H767">
            <v>127</v>
          </cell>
          <cell r="J767">
            <v>5159.3199999999897</v>
          </cell>
          <cell r="K767">
            <v>2493.1599999999899</v>
          </cell>
          <cell r="L767">
            <v>0</v>
          </cell>
          <cell r="M767">
            <v>0</v>
          </cell>
          <cell r="N767">
            <v>2493.1599999999899</v>
          </cell>
          <cell r="O767">
            <v>109887.89</v>
          </cell>
          <cell r="Q767">
            <v>0</v>
          </cell>
          <cell r="R767">
            <v>109887.89</v>
          </cell>
          <cell r="S767">
            <v>16657.619999999901</v>
          </cell>
          <cell r="T767">
            <v>31.059999999999899</v>
          </cell>
          <cell r="U767">
            <v>109918.95</v>
          </cell>
        </row>
        <row r="768">
          <cell r="A768" t="str">
            <v>PLN   Złoty</v>
          </cell>
          <cell r="E768" t="str">
            <v>KC Centra dystrybucji</v>
          </cell>
          <cell r="H768">
            <v>37</v>
          </cell>
          <cell r="J768">
            <v>1502.5</v>
          </cell>
          <cell r="K768">
            <v>726.36</v>
          </cell>
          <cell r="L768">
            <v>0</v>
          </cell>
          <cell r="M768">
            <v>0</v>
          </cell>
          <cell r="N768">
            <v>726.36</v>
          </cell>
          <cell r="O768">
            <v>32085.79</v>
          </cell>
          <cell r="Q768">
            <v>0</v>
          </cell>
          <cell r="R768">
            <v>32085.79</v>
          </cell>
          <cell r="S768">
            <v>4766.4899999999898</v>
          </cell>
          <cell r="T768">
            <v>9.07</v>
          </cell>
          <cell r="U768">
            <v>32094.86</v>
          </cell>
        </row>
        <row r="769">
          <cell r="A769" t="str">
            <v>PLN   Złoty</v>
          </cell>
          <cell r="E769" t="str">
            <v>KC Centra dystrybucji</v>
          </cell>
          <cell r="H769">
            <v>47</v>
          </cell>
          <cell r="J769">
            <v>1903.43</v>
          </cell>
          <cell r="K769">
            <v>922.66999999999905</v>
          </cell>
          <cell r="L769">
            <v>0</v>
          </cell>
          <cell r="M769">
            <v>0</v>
          </cell>
          <cell r="N769">
            <v>922.66999999999905</v>
          </cell>
          <cell r="O769">
            <v>40661.25</v>
          </cell>
          <cell r="Q769">
            <v>0</v>
          </cell>
          <cell r="R769">
            <v>40661.25</v>
          </cell>
          <cell r="S769">
            <v>6025.8999999999896</v>
          </cell>
          <cell r="T769">
            <v>11.5</v>
          </cell>
          <cell r="U769">
            <v>40672.75</v>
          </cell>
        </row>
        <row r="770">
          <cell r="A770" t="str">
            <v>PLN   Złoty</v>
          </cell>
          <cell r="E770" t="str">
            <v>KC Centra dystrybucji</v>
          </cell>
          <cell r="H770">
            <v>12</v>
          </cell>
          <cell r="J770">
            <v>488.25999999999902</v>
          </cell>
          <cell r="K770">
            <v>235.58</v>
          </cell>
          <cell r="L770">
            <v>0</v>
          </cell>
          <cell r="M770">
            <v>0</v>
          </cell>
          <cell r="N770">
            <v>235.58</v>
          </cell>
          <cell r="O770">
            <v>10383.879999999899</v>
          </cell>
          <cell r="Q770">
            <v>0</v>
          </cell>
          <cell r="R770">
            <v>10383.879999999899</v>
          </cell>
          <cell r="S770">
            <v>1591.76</v>
          </cell>
          <cell r="T770">
            <v>2.9399999999999902</v>
          </cell>
          <cell r="U770">
            <v>10386.82</v>
          </cell>
        </row>
        <row r="771">
          <cell r="A771" t="str">
            <v>PLN   Złoty</v>
          </cell>
          <cell r="E771" t="str">
            <v>KC Centra dystrybucji</v>
          </cell>
          <cell r="H771">
            <v>13</v>
          </cell>
          <cell r="J771">
            <v>528.91999999999905</v>
          </cell>
          <cell r="K771">
            <v>255.19999999999899</v>
          </cell>
          <cell r="L771">
            <v>0</v>
          </cell>
          <cell r="M771">
            <v>0</v>
          </cell>
          <cell r="N771">
            <v>255.19999999999899</v>
          </cell>
          <cell r="O771">
            <v>11249.16</v>
          </cell>
          <cell r="Q771">
            <v>0</v>
          </cell>
          <cell r="R771">
            <v>11249.16</v>
          </cell>
          <cell r="S771">
            <v>1724.3199999999899</v>
          </cell>
          <cell r="T771">
            <v>3.18</v>
          </cell>
          <cell r="U771">
            <v>11252.34</v>
          </cell>
        </row>
        <row r="772">
          <cell r="A772" t="str">
            <v>PLN   Złoty</v>
          </cell>
          <cell r="E772" t="str">
            <v>KC Centra dystrybucji</v>
          </cell>
          <cell r="H772">
            <v>48</v>
          </cell>
          <cell r="J772">
            <v>1959.14</v>
          </cell>
          <cell r="K772">
            <v>942.29999999999905</v>
          </cell>
          <cell r="L772">
            <v>0</v>
          </cell>
          <cell r="M772">
            <v>0</v>
          </cell>
          <cell r="N772">
            <v>942.29999999999905</v>
          </cell>
          <cell r="O772">
            <v>41382.080000000002</v>
          </cell>
          <cell r="Q772">
            <v>0</v>
          </cell>
          <cell r="R772">
            <v>41382.080000000002</v>
          </cell>
          <cell r="S772">
            <v>6671.1599999999899</v>
          </cell>
          <cell r="T772">
            <v>11.69</v>
          </cell>
          <cell r="U772">
            <v>41393.769999999902</v>
          </cell>
        </row>
        <row r="773">
          <cell r="A773" t="str">
            <v>PLN   Złoty</v>
          </cell>
          <cell r="E773" t="str">
            <v>KC Centra dystrybucji</v>
          </cell>
          <cell r="H773">
            <v>24</v>
          </cell>
          <cell r="J773">
            <v>983.42999999999904</v>
          </cell>
          <cell r="K773">
            <v>471.14999999999901</v>
          </cell>
          <cell r="L773">
            <v>0</v>
          </cell>
          <cell r="M773">
            <v>0</v>
          </cell>
          <cell r="N773">
            <v>471.14999999999901</v>
          </cell>
          <cell r="O773">
            <v>19134.79</v>
          </cell>
          <cell r="Q773">
            <v>0</v>
          </cell>
          <cell r="R773">
            <v>19134.79</v>
          </cell>
          <cell r="S773">
            <v>4985.21</v>
          </cell>
          <cell r="T773">
            <v>5.37</v>
          </cell>
          <cell r="U773">
            <v>19140.16</v>
          </cell>
        </row>
        <row r="774">
          <cell r="A774" t="str">
            <v>PLN   Złoty</v>
          </cell>
          <cell r="E774" t="str">
            <v>KC Centra dystrybucji</v>
          </cell>
          <cell r="H774">
            <v>0</v>
          </cell>
          <cell r="J774">
            <v>0</v>
          </cell>
          <cell r="K774">
            <v>0</v>
          </cell>
          <cell r="L774">
            <v>201664.739999999</v>
          </cell>
          <cell r="M774">
            <v>0</v>
          </cell>
          <cell r="N774">
            <v>201664.739999999</v>
          </cell>
          <cell r="O774">
            <v>201664.739999999</v>
          </cell>
          <cell r="Q774">
            <v>0</v>
          </cell>
          <cell r="R774">
            <v>201664.739999999</v>
          </cell>
          <cell r="S774">
            <v>-201664.739999999</v>
          </cell>
          <cell r="T774">
            <v>0</v>
          </cell>
          <cell r="U774">
            <v>201664.739999999</v>
          </cell>
        </row>
        <row r="775">
          <cell r="A775" t="str">
            <v>PLN   Złoty</v>
          </cell>
          <cell r="E775" t="str">
            <v>KC Centra dystrybucji</v>
          </cell>
          <cell r="H775">
            <v>250</v>
          </cell>
          <cell r="J775">
            <v>10194.469999999899</v>
          </cell>
          <cell r="K775">
            <v>4907.84</v>
          </cell>
          <cell r="L775">
            <v>0</v>
          </cell>
          <cell r="M775">
            <v>0</v>
          </cell>
          <cell r="N775">
            <v>4907.84</v>
          </cell>
          <cell r="O775">
            <v>224165.69</v>
          </cell>
          <cell r="Q775">
            <v>0</v>
          </cell>
          <cell r="R775">
            <v>224165.69</v>
          </cell>
          <cell r="S775">
            <v>25878.31</v>
          </cell>
          <cell r="T775">
            <v>63.53</v>
          </cell>
          <cell r="U775">
            <v>224229.22</v>
          </cell>
        </row>
        <row r="776">
          <cell r="A776" t="str">
            <v>PLN   Złoty</v>
          </cell>
          <cell r="E776" t="str">
            <v>KC Centra dystrybucji</v>
          </cell>
          <cell r="H776">
            <v>48</v>
          </cell>
          <cell r="J776">
            <v>1946.3099999999899</v>
          </cell>
          <cell r="K776">
            <v>942.29999999999905</v>
          </cell>
          <cell r="L776">
            <v>0</v>
          </cell>
          <cell r="M776">
            <v>0</v>
          </cell>
          <cell r="N776">
            <v>942.29999999999905</v>
          </cell>
          <cell r="O776">
            <v>40736.44</v>
          </cell>
          <cell r="Q776">
            <v>0</v>
          </cell>
          <cell r="R776">
            <v>40736.44</v>
          </cell>
          <cell r="S776">
            <v>7001</v>
          </cell>
          <cell r="T776">
            <v>11.5</v>
          </cell>
          <cell r="U776">
            <v>40747.94</v>
          </cell>
        </row>
        <row r="777">
          <cell r="A777" t="str">
            <v>PLN   Złoty</v>
          </cell>
          <cell r="E777" t="str">
            <v>KC Centra dystrybucji</v>
          </cell>
          <cell r="H777">
            <v>25</v>
          </cell>
          <cell r="J777">
            <v>1017.1799999999899</v>
          </cell>
          <cell r="K777">
            <v>490.77999999999901</v>
          </cell>
          <cell r="L777">
            <v>0</v>
          </cell>
          <cell r="M777">
            <v>0</v>
          </cell>
          <cell r="N777">
            <v>490.77999999999901</v>
          </cell>
          <cell r="O777">
            <v>21633.040000000001</v>
          </cell>
          <cell r="Q777">
            <v>0</v>
          </cell>
          <cell r="R777">
            <v>21633.040000000001</v>
          </cell>
          <cell r="S777">
            <v>3315.96</v>
          </cell>
          <cell r="T777">
            <v>6.12</v>
          </cell>
          <cell r="U777">
            <v>21639.16</v>
          </cell>
        </row>
        <row r="778">
          <cell r="A778" t="str">
            <v>PLN   Złoty</v>
          </cell>
          <cell r="E778" t="str">
            <v>KC Centra dystrybucji</v>
          </cell>
          <cell r="H778">
            <v>50</v>
          </cell>
          <cell r="J778">
            <v>2040.72</v>
          </cell>
          <cell r="K778">
            <v>981.55999999999904</v>
          </cell>
          <cell r="L778">
            <v>0</v>
          </cell>
          <cell r="M778">
            <v>0</v>
          </cell>
          <cell r="N778">
            <v>981.55999999999904</v>
          </cell>
          <cell r="O778">
            <v>43272.44</v>
          </cell>
          <cell r="Q778">
            <v>0</v>
          </cell>
          <cell r="R778">
            <v>43272.44</v>
          </cell>
          <cell r="S778">
            <v>6781.51</v>
          </cell>
          <cell r="T778">
            <v>12.22</v>
          </cell>
          <cell r="U778">
            <v>43284.66</v>
          </cell>
        </row>
        <row r="779">
          <cell r="A779" t="str">
            <v>PLN   Złoty</v>
          </cell>
          <cell r="E779" t="str">
            <v>KC Centra dystrybucji</v>
          </cell>
          <cell r="H779">
            <v>52</v>
          </cell>
          <cell r="J779">
            <v>2120.27</v>
          </cell>
          <cell r="K779">
            <v>1020.83</v>
          </cell>
          <cell r="L779">
            <v>0</v>
          </cell>
          <cell r="M779">
            <v>0</v>
          </cell>
          <cell r="N779">
            <v>1020.83</v>
          </cell>
          <cell r="O779">
            <v>45527.709999999897</v>
          </cell>
          <cell r="Q779">
            <v>0</v>
          </cell>
          <cell r="R779">
            <v>45527.709999999897</v>
          </cell>
          <cell r="S779">
            <v>6476.81</v>
          </cell>
          <cell r="T779">
            <v>12.88</v>
          </cell>
          <cell r="U779">
            <v>45540.589999999902</v>
          </cell>
        </row>
        <row r="780">
          <cell r="A780" t="str">
            <v>PLN   Złoty</v>
          </cell>
          <cell r="E780" t="str">
            <v>KC Centra dystrybucji</v>
          </cell>
          <cell r="H780">
            <v>20</v>
          </cell>
          <cell r="J780">
            <v>818.22</v>
          </cell>
          <cell r="K780">
            <v>392.63</v>
          </cell>
          <cell r="L780">
            <v>0</v>
          </cell>
          <cell r="M780">
            <v>0</v>
          </cell>
          <cell r="N780">
            <v>392.63</v>
          </cell>
          <cell r="O780">
            <v>17244.45</v>
          </cell>
          <cell r="Q780">
            <v>0</v>
          </cell>
          <cell r="R780">
            <v>17244.45</v>
          </cell>
          <cell r="S780">
            <v>2825.4</v>
          </cell>
          <cell r="T780">
            <v>4.87</v>
          </cell>
          <cell r="U780">
            <v>17249.32</v>
          </cell>
        </row>
        <row r="781">
          <cell r="A781" t="str">
            <v>PLN   Złoty</v>
          </cell>
          <cell r="E781" t="str">
            <v>KC Centra dystrybucji</v>
          </cell>
          <cell r="H781">
            <v>51</v>
          </cell>
          <cell r="J781">
            <v>2071.8499999999899</v>
          </cell>
          <cell r="K781">
            <v>1001.19</v>
          </cell>
          <cell r="L781">
            <v>0</v>
          </cell>
          <cell r="M781">
            <v>0</v>
          </cell>
          <cell r="N781">
            <v>1001.19</v>
          </cell>
          <cell r="O781">
            <v>44128.209999999897</v>
          </cell>
          <cell r="Q781">
            <v>0</v>
          </cell>
          <cell r="R781">
            <v>44128.209999999897</v>
          </cell>
          <cell r="S781">
            <v>6689.4899999999898</v>
          </cell>
          <cell r="T781">
            <v>12.47</v>
          </cell>
          <cell r="U781">
            <v>44140.68</v>
          </cell>
        </row>
        <row r="782">
          <cell r="A782" t="str">
            <v>PLN   Złoty</v>
          </cell>
          <cell r="E782" t="str">
            <v>KC Centra dystrybucji</v>
          </cell>
          <cell r="H782">
            <v>60</v>
          </cell>
          <cell r="J782">
            <v>2443.9299999999898</v>
          </cell>
          <cell r="K782">
            <v>1177.8800000000001</v>
          </cell>
          <cell r="L782">
            <v>0</v>
          </cell>
          <cell r="M782">
            <v>0</v>
          </cell>
          <cell r="N782">
            <v>1177.8800000000001</v>
          </cell>
          <cell r="O782">
            <v>47822.349999999897</v>
          </cell>
          <cell r="Q782">
            <v>0</v>
          </cell>
          <cell r="R782">
            <v>47822.349999999897</v>
          </cell>
          <cell r="S782">
            <v>12120.799999999899</v>
          </cell>
          <cell r="T782">
            <v>13.43</v>
          </cell>
          <cell r="U782">
            <v>47835.779999999897</v>
          </cell>
        </row>
        <row r="783">
          <cell r="A783" t="str">
            <v>PLN   Złoty</v>
          </cell>
          <cell r="E783" t="str">
            <v>KC Centra dystrybucji</v>
          </cell>
          <cell r="H783">
            <v>6</v>
          </cell>
          <cell r="J783">
            <v>244.12</v>
          </cell>
          <cell r="K783">
            <v>117.79</v>
          </cell>
          <cell r="L783">
            <v>0</v>
          </cell>
          <cell r="M783">
            <v>0</v>
          </cell>
          <cell r="N783">
            <v>117.79</v>
          </cell>
          <cell r="O783">
            <v>4781.96</v>
          </cell>
          <cell r="Q783">
            <v>0</v>
          </cell>
          <cell r="R783">
            <v>4781.96</v>
          </cell>
          <cell r="S783">
            <v>1205.8599999999899</v>
          </cell>
          <cell r="T783">
            <v>1.34</v>
          </cell>
          <cell r="U783">
            <v>4783.3</v>
          </cell>
        </row>
        <row r="784">
          <cell r="A784" t="str">
            <v>PLN   Złoty</v>
          </cell>
          <cell r="E784" t="str">
            <v>KC Centra dystrybucji</v>
          </cell>
          <cell r="H784">
            <v>48</v>
          </cell>
          <cell r="J784">
            <v>2013.3499999999899</v>
          </cell>
          <cell r="K784">
            <v>942.29999999999905</v>
          </cell>
          <cell r="L784">
            <v>2677.44</v>
          </cell>
          <cell r="M784">
            <v>0</v>
          </cell>
          <cell r="N784">
            <v>3619.7399999999898</v>
          </cell>
          <cell r="O784">
            <v>42069.05</v>
          </cell>
          <cell r="Q784">
            <v>0</v>
          </cell>
          <cell r="R784">
            <v>42069.05</v>
          </cell>
          <cell r="S784">
            <v>7312.8699999999899</v>
          </cell>
          <cell r="T784">
            <v>11.08</v>
          </cell>
          <cell r="U784">
            <v>42080.129999999903</v>
          </cell>
        </row>
        <row r="785">
          <cell r="A785" t="str">
            <v>PLN   Złoty</v>
          </cell>
          <cell r="E785" t="str">
            <v>KC Centra dystrybucji</v>
          </cell>
          <cell r="H785">
            <v>50</v>
          </cell>
          <cell r="J785">
            <v>2028.24</v>
          </cell>
          <cell r="K785">
            <v>981.55999999999904</v>
          </cell>
          <cell r="L785">
            <v>0</v>
          </cell>
          <cell r="M785">
            <v>0</v>
          </cell>
          <cell r="N785">
            <v>981.55999999999904</v>
          </cell>
          <cell r="O785">
            <v>44808.339999999902</v>
          </cell>
          <cell r="Q785">
            <v>0</v>
          </cell>
          <cell r="R785">
            <v>44808.339999999902</v>
          </cell>
          <cell r="S785">
            <v>4938.9099999999899</v>
          </cell>
          <cell r="T785">
            <v>12.71</v>
          </cell>
          <cell r="U785">
            <v>44821.05</v>
          </cell>
        </row>
        <row r="786">
          <cell r="A786" t="str">
            <v>PLN   Złoty</v>
          </cell>
          <cell r="E786" t="str">
            <v>KC Centra dystrybucji</v>
          </cell>
          <cell r="H786">
            <v>24</v>
          </cell>
          <cell r="J786">
            <v>1012.73</v>
          </cell>
          <cell r="K786">
            <v>471.14999999999901</v>
          </cell>
          <cell r="L786">
            <v>1210.5599999999899</v>
          </cell>
          <cell r="M786">
            <v>0</v>
          </cell>
          <cell r="N786">
            <v>1681.71</v>
          </cell>
          <cell r="O786">
            <v>20912.4199999999</v>
          </cell>
          <cell r="Q786">
            <v>0</v>
          </cell>
          <cell r="R786">
            <v>20912.4199999999</v>
          </cell>
          <cell r="S786">
            <v>3927.5799999999899</v>
          </cell>
          <cell r="T786">
            <v>5.53</v>
          </cell>
          <cell r="U786">
            <v>20917.95</v>
          </cell>
        </row>
        <row r="787">
          <cell r="A787" t="str">
            <v>PLN   Złoty</v>
          </cell>
          <cell r="E787" t="str">
            <v>KC Centra dystrybucji</v>
          </cell>
          <cell r="H787">
            <v>12</v>
          </cell>
          <cell r="J787">
            <v>490.23</v>
          </cell>
          <cell r="K787">
            <v>235.58</v>
          </cell>
          <cell r="L787">
            <v>0</v>
          </cell>
          <cell r="M787">
            <v>0</v>
          </cell>
          <cell r="N787">
            <v>235.58</v>
          </cell>
          <cell r="O787">
            <v>10540.74</v>
          </cell>
          <cell r="Q787">
            <v>0</v>
          </cell>
          <cell r="R787">
            <v>10540.74</v>
          </cell>
          <cell r="S787">
            <v>1483.14</v>
          </cell>
          <cell r="T787">
            <v>2.99</v>
          </cell>
          <cell r="U787">
            <v>10543.73</v>
          </cell>
        </row>
        <row r="788">
          <cell r="A788" t="str">
            <v>PLN   Złoty</v>
          </cell>
          <cell r="E788" t="str">
            <v>KC Centra dystrybucji</v>
          </cell>
          <cell r="H788">
            <v>146</v>
          </cell>
          <cell r="J788">
            <v>5933.54</v>
          </cell>
          <cell r="K788">
            <v>2866.1799999999898</v>
          </cell>
          <cell r="L788">
            <v>0</v>
          </cell>
          <cell r="M788">
            <v>0</v>
          </cell>
          <cell r="N788">
            <v>2866.1799999999898</v>
          </cell>
          <cell r="O788">
            <v>116354.34</v>
          </cell>
          <cell r="Q788">
            <v>0</v>
          </cell>
          <cell r="R788">
            <v>116354.34</v>
          </cell>
          <cell r="S788">
            <v>29180.240000000002</v>
          </cell>
          <cell r="T788">
            <v>32.68</v>
          </cell>
          <cell r="U788">
            <v>116387.02</v>
          </cell>
        </row>
        <row r="789">
          <cell r="A789" t="str">
            <v>PLN   Złoty</v>
          </cell>
          <cell r="E789" t="str">
            <v>KC Centra dystrybucji</v>
          </cell>
          <cell r="H789">
            <v>35</v>
          </cell>
          <cell r="J789">
            <v>1419.8</v>
          </cell>
          <cell r="K789">
            <v>687.1</v>
          </cell>
          <cell r="L789">
            <v>0</v>
          </cell>
          <cell r="M789">
            <v>0</v>
          </cell>
          <cell r="N789">
            <v>687.1</v>
          </cell>
          <cell r="O789">
            <v>30282.0099999999</v>
          </cell>
          <cell r="Q789">
            <v>0</v>
          </cell>
          <cell r="R789">
            <v>30282.0099999999</v>
          </cell>
          <cell r="S789">
            <v>4541.2399999999898</v>
          </cell>
          <cell r="T789">
            <v>8.56</v>
          </cell>
          <cell r="U789">
            <v>30290.57</v>
          </cell>
        </row>
        <row r="790">
          <cell r="A790" t="str">
            <v>PLN   Złoty</v>
          </cell>
          <cell r="E790" t="str">
            <v>KC Centra dystrybucji</v>
          </cell>
          <cell r="H790">
            <v>160</v>
          </cell>
          <cell r="J790">
            <v>6652.25</v>
          </cell>
          <cell r="K790">
            <v>3141.02</v>
          </cell>
          <cell r="L790">
            <v>6342.2399999999898</v>
          </cell>
          <cell r="M790">
            <v>0</v>
          </cell>
          <cell r="N790">
            <v>9483.26</v>
          </cell>
          <cell r="O790">
            <v>143873.85</v>
          </cell>
          <cell r="Q790">
            <v>0</v>
          </cell>
          <cell r="R790">
            <v>143873.85</v>
          </cell>
          <cell r="S790">
            <v>19287.580000000002</v>
          </cell>
          <cell r="T790">
            <v>38.81</v>
          </cell>
          <cell r="U790">
            <v>143912.66</v>
          </cell>
        </row>
        <row r="791">
          <cell r="A791" t="str">
            <v>PLN   Złoty</v>
          </cell>
          <cell r="E791" t="str">
            <v>KC Centra dystrybucji</v>
          </cell>
          <cell r="H791">
            <v>56</v>
          </cell>
          <cell r="J791">
            <v>2289.1799999999898</v>
          </cell>
          <cell r="K791">
            <v>1099.3499999999899</v>
          </cell>
          <cell r="L791">
            <v>0</v>
          </cell>
          <cell r="M791">
            <v>0</v>
          </cell>
          <cell r="N791">
            <v>1099.3499999999899</v>
          </cell>
          <cell r="O791">
            <v>48468.709999999897</v>
          </cell>
          <cell r="Q791">
            <v>0</v>
          </cell>
          <cell r="R791">
            <v>48468.709999999897</v>
          </cell>
          <cell r="S791">
            <v>7678.85</v>
          </cell>
          <cell r="T791">
            <v>13.6999999999999</v>
          </cell>
          <cell r="U791">
            <v>48482.41</v>
          </cell>
        </row>
        <row r="792">
          <cell r="A792" t="str">
            <v>PLN   Złoty</v>
          </cell>
          <cell r="E792" t="str">
            <v>KC Centra dystrybucji</v>
          </cell>
          <cell r="H792">
            <v>15</v>
          </cell>
          <cell r="J792">
            <v>612.75</v>
          </cell>
          <cell r="K792">
            <v>294.47000000000003</v>
          </cell>
          <cell r="L792">
            <v>0</v>
          </cell>
          <cell r="M792">
            <v>0</v>
          </cell>
          <cell r="N792">
            <v>294.47000000000003</v>
          </cell>
          <cell r="O792">
            <v>12932.42</v>
          </cell>
          <cell r="Q792">
            <v>0</v>
          </cell>
          <cell r="R792">
            <v>12932.42</v>
          </cell>
          <cell r="S792">
            <v>2097.2800000000002</v>
          </cell>
          <cell r="T792">
            <v>3.6499999999999901</v>
          </cell>
          <cell r="U792">
            <v>12936.07</v>
          </cell>
        </row>
        <row r="793">
          <cell r="A793" t="str">
            <v>PLN   Złoty</v>
          </cell>
          <cell r="E793" t="str">
            <v>KC Centra dystrybucji</v>
          </cell>
          <cell r="H793">
            <v>25</v>
          </cell>
          <cell r="J793">
            <v>1024.3900000000001</v>
          </cell>
          <cell r="K793">
            <v>490.77999999999901</v>
          </cell>
          <cell r="L793">
            <v>0</v>
          </cell>
          <cell r="M793">
            <v>0</v>
          </cell>
          <cell r="N793">
            <v>490.77999999999901</v>
          </cell>
          <cell r="O793">
            <v>21640.25</v>
          </cell>
          <cell r="Q793">
            <v>0</v>
          </cell>
          <cell r="R793">
            <v>21640.25</v>
          </cell>
          <cell r="S793">
            <v>3484.75</v>
          </cell>
          <cell r="T793">
            <v>6.12</v>
          </cell>
          <cell r="U793">
            <v>21646.369999999901</v>
          </cell>
        </row>
        <row r="794">
          <cell r="A794" t="str">
            <v>PLN   Złoty</v>
          </cell>
          <cell r="E794" t="str">
            <v>KC Centra dystrybucji</v>
          </cell>
          <cell r="H794">
            <v>228</v>
          </cell>
          <cell r="J794">
            <v>7755.26</v>
          </cell>
          <cell r="K794">
            <v>5207.7700000000004</v>
          </cell>
          <cell r="L794">
            <v>0</v>
          </cell>
          <cell r="M794">
            <v>0</v>
          </cell>
          <cell r="N794">
            <v>5207.7700000000004</v>
          </cell>
          <cell r="O794">
            <v>154759.37</v>
          </cell>
          <cell r="Q794">
            <v>0</v>
          </cell>
          <cell r="R794">
            <v>154759.37</v>
          </cell>
          <cell r="S794">
            <v>35457.11</v>
          </cell>
          <cell r="T794">
            <v>43.079999999999899</v>
          </cell>
          <cell r="U794">
            <v>154802.45000000001</v>
          </cell>
        </row>
        <row r="795">
          <cell r="A795" t="str">
            <v>PLN   Złoty</v>
          </cell>
          <cell r="E795" t="str">
            <v>KC Centra dystrybucji</v>
          </cell>
          <cell r="H795">
            <v>72</v>
          </cell>
          <cell r="J795">
            <v>2433.9899999999898</v>
          </cell>
          <cell r="K795">
            <v>1644.55</v>
          </cell>
          <cell r="L795">
            <v>0</v>
          </cell>
          <cell r="M795">
            <v>0</v>
          </cell>
          <cell r="N795">
            <v>1644.55</v>
          </cell>
          <cell r="O795">
            <v>49642.779999999897</v>
          </cell>
          <cell r="Q795">
            <v>0</v>
          </cell>
          <cell r="R795">
            <v>49642.779999999897</v>
          </cell>
          <cell r="S795">
            <v>10056.139999999899</v>
          </cell>
          <cell r="T795">
            <v>13.83</v>
          </cell>
          <cell r="U795">
            <v>49656.61</v>
          </cell>
        </row>
        <row r="796">
          <cell r="A796" t="str">
            <v>PLN   Złoty</v>
          </cell>
          <cell r="E796" t="str">
            <v>KC Centra dystrybucji</v>
          </cell>
          <cell r="H796">
            <v>12</v>
          </cell>
          <cell r="J796">
            <v>405.69</v>
          </cell>
          <cell r="K796">
            <v>274.08999999999901</v>
          </cell>
          <cell r="L796">
            <v>0</v>
          </cell>
          <cell r="M796">
            <v>0</v>
          </cell>
          <cell r="N796">
            <v>274.08999999999901</v>
          </cell>
          <cell r="O796">
            <v>8990.1200000000008</v>
          </cell>
          <cell r="Q796">
            <v>0</v>
          </cell>
          <cell r="R796">
            <v>8990.1200000000008</v>
          </cell>
          <cell r="S796">
            <v>959.79999999999905</v>
          </cell>
          <cell r="T796">
            <v>2.52</v>
          </cell>
          <cell r="U796">
            <v>8992.6399999999903</v>
          </cell>
        </row>
        <row r="797">
          <cell r="A797" t="str">
            <v>PLN   Złoty</v>
          </cell>
          <cell r="E797" t="str">
            <v>KC Centra dystrybucji</v>
          </cell>
          <cell r="H797">
            <v>208</v>
          </cell>
          <cell r="J797">
            <v>7010.4099999999899</v>
          </cell>
          <cell r="K797">
            <v>4750.9499999999898</v>
          </cell>
          <cell r="L797">
            <v>0</v>
          </cell>
          <cell r="M797">
            <v>0</v>
          </cell>
          <cell r="N797">
            <v>4750.9499999999898</v>
          </cell>
          <cell r="O797">
            <v>149218.299999999</v>
          </cell>
          <cell r="Q797">
            <v>0</v>
          </cell>
          <cell r="R797">
            <v>149218.299999999</v>
          </cell>
          <cell r="S797">
            <v>22727.7599999999</v>
          </cell>
          <cell r="T797">
            <v>41.77</v>
          </cell>
          <cell r="U797">
            <v>149260.07</v>
          </cell>
        </row>
        <row r="798">
          <cell r="A798" t="str">
            <v>PLN   Złoty</v>
          </cell>
          <cell r="E798" t="str">
            <v>KC Centra dystrybucji</v>
          </cell>
          <cell r="H798">
            <v>41</v>
          </cell>
          <cell r="J798">
            <v>1381.8299999999899</v>
          </cell>
          <cell r="K798">
            <v>936.48</v>
          </cell>
          <cell r="L798">
            <v>0</v>
          </cell>
          <cell r="M798">
            <v>0</v>
          </cell>
          <cell r="N798">
            <v>936.48</v>
          </cell>
          <cell r="O798">
            <v>30711.959999999901</v>
          </cell>
          <cell r="Q798">
            <v>0</v>
          </cell>
          <cell r="R798">
            <v>30711.959999999901</v>
          </cell>
          <cell r="S798">
            <v>3180.69</v>
          </cell>
          <cell r="T798">
            <v>8.6300000000000008</v>
          </cell>
          <cell r="U798">
            <v>30720.59</v>
          </cell>
        </row>
        <row r="799">
          <cell r="A799" t="str">
            <v>PLN   Złoty</v>
          </cell>
          <cell r="E799" t="str">
            <v>KC Centra dystrybucji</v>
          </cell>
          <cell r="H799">
            <v>24</v>
          </cell>
          <cell r="J799">
            <v>811.34</v>
          </cell>
          <cell r="K799">
            <v>548.17999999999904</v>
          </cell>
          <cell r="L799">
            <v>0</v>
          </cell>
          <cell r="M799">
            <v>0</v>
          </cell>
          <cell r="N799">
            <v>548.17999999999904</v>
          </cell>
          <cell r="O799">
            <v>18037.23</v>
          </cell>
          <cell r="Q799">
            <v>0</v>
          </cell>
          <cell r="R799">
            <v>18037.23</v>
          </cell>
          <cell r="S799">
            <v>1862.6099999999899</v>
          </cell>
          <cell r="T799">
            <v>5.07</v>
          </cell>
          <cell r="U799">
            <v>18042.299999999901</v>
          </cell>
        </row>
        <row r="800">
          <cell r="A800" t="str">
            <v>PLN   Złoty</v>
          </cell>
          <cell r="E800" t="str">
            <v>KC Centra dystrybucji</v>
          </cell>
          <cell r="H800">
            <v>48</v>
          </cell>
          <cell r="J800">
            <v>1626.76</v>
          </cell>
          <cell r="K800">
            <v>1096.3699999999899</v>
          </cell>
          <cell r="L800">
            <v>0</v>
          </cell>
          <cell r="M800">
            <v>0</v>
          </cell>
          <cell r="N800">
            <v>1096.3699999999899</v>
          </cell>
          <cell r="O800">
            <v>32575</v>
          </cell>
          <cell r="Q800">
            <v>0</v>
          </cell>
          <cell r="R800">
            <v>32575</v>
          </cell>
          <cell r="S800">
            <v>7324.64</v>
          </cell>
          <cell r="T800">
            <v>9.07</v>
          </cell>
          <cell r="U800">
            <v>32584.07</v>
          </cell>
        </row>
        <row r="801">
          <cell r="A801" t="str">
            <v>PLN   Złoty</v>
          </cell>
          <cell r="E801" t="str">
            <v>KC Centra dystrybucji</v>
          </cell>
          <cell r="H801">
            <v>23</v>
          </cell>
          <cell r="J801">
            <v>776.22</v>
          </cell>
          <cell r="K801">
            <v>525.35</v>
          </cell>
          <cell r="L801">
            <v>0</v>
          </cell>
          <cell r="M801">
            <v>0</v>
          </cell>
          <cell r="N801">
            <v>525.35</v>
          </cell>
          <cell r="O801">
            <v>17284.38</v>
          </cell>
          <cell r="Q801">
            <v>0</v>
          </cell>
          <cell r="R801">
            <v>17284.38</v>
          </cell>
          <cell r="S801">
            <v>1753.67</v>
          </cell>
          <cell r="T801">
            <v>4.8499999999999899</v>
          </cell>
          <cell r="U801">
            <v>17289.23</v>
          </cell>
        </row>
        <row r="802">
          <cell r="A802" t="str">
            <v>PLN   Złoty</v>
          </cell>
          <cell r="E802" t="str">
            <v>KC Centra dystrybucji</v>
          </cell>
          <cell r="H802">
            <v>25</v>
          </cell>
          <cell r="J802">
            <v>848.52999999999895</v>
          </cell>
          <cell r="K802">
            <v>571.01999999999896</v>
          </cell>
          <cell r="L802">
            <v>0</v>
          </cell>
          <cell r="M802">
            <v>0</v>
          </cell>
          <cell r="N802">
            <v>571.01999999999896</v>
          </cell>
          <cell r="O802">
            <v>18792.16</v>
          </cell>
          <cell r="Q802">
            <v>0</v>
          </cell>
          <cell r="R802">
            <v>18792.16</v>
          </cell>
          <cell r="S802">
            <v>2020.0899999999899</v>
          </cell>
          <cell r="T802">
            <v>5.2699999999999898</v>
          </cell>
          <cell r="U802">
            <v>18797.43</v>
          </cell>
        </row>
        <row r="803">
          <cell r="A803" t="str">
            <v>PLN   Złoty</v>
          </cell>
          <cell r="E803" t="str">
            <v>KC Centra dystrybucji</v>
          </cell>
          <cell r="H803">
            <v>24</v>
          </cell>
          <cell r="J803">
            <v>846.38999999999896</v>
          </cell>
          <cell r="K803">
            <v>548.17999999999904</v>
          </cell>
          <cell r="L803">
            <v>1567.68</v>
          </cell>
          <cell r="M803">
            <v>0</v>
          </cell>
          <cell r="N803">
            <v>2115.86</v>
          </cell>
          <cell r="O803">
            <v>18186.57</v>
          </cell>
          <cell r="Q803">
            <v>0</v>
          </cell>
          <cell r="R803">
            <v>18186.57</v>
          </cell>
          <cell r="S803">
            <v>2573.4299999999898</v>
          </cell>
          <cell r="T803">
            <v>4.62</v>
          </cell>
          <cell r="U803">
            <v>18191.1899999999</v>
          </cell>
        </row>
        <row r="804">
          <cell r="A804" t="str">
            <v>PLN   Złoty</v>
          </cell>
          <cell r="E804" t="str">
            <v>KC Centra dystrybucji</v>
          </cell>
          <cell r="H804">
            <v>48</v>
          </cell>
          <cell r="J804">
            <v>1630.38</v>
          </cell>
          <cell r="K804">
            <v>1096.3800000000001</v>
          </cell>
          <cell r="L804">
            <v>0</v>
          </cell>
          <cell r="M804">
            <v>0</v>
          </cell>
          <cell r="N804">
            <v>1096.3800000000001</v>
          </cell>
          <cell r="O804">
            <v>34872.410000000003</v>
          </cell>
          <cell r="Q804">
            <v>0</v>
          </cell>
          <cell r="R804">
            <v>34872.410000000003</v>
          </cell>
          <cell r="S804">
            <v>5116.5600000000004</v>
          </cell>
          <cell r="T804">
            <v>9.7599999999999891</v>
          </cell>
          <cell r="U804">
            <v>34882.169999999896</v>
          </cell>
        </row>
        <row r="805">
          <cell r="A805" t="str">
            <v>PLN   Złoty</v>
          </cell>
          <cell r="E805" t="str">
            <v>KC Centra dystrybucji</v>
          </cell>
          <cell r="H805">
            <v>24.5</v>
          </cell>
          <cell r="J805">
            <v>827.38</v>
          </cell>
          <cell r="K805">
            <v>559.6</v>
          </cell>
          <cell r="L805">
            <v>0</v>
          </cell>
          <cell r="M805">
            <v>0</v>
          </cell>
          <cell r="N805">
            <v>559.6</v>
          </cell>
          <cell r="O805">
            <v>18353.93</v>
          </cell>
          <cell r="Q805">
            <v>0</v>
          </cell>
          <cell r="R805">
            <v>18353.93</v>
          </cell>
          <cell r="S805">
            <v>1940.41</v>
          </cell>
          <cell r="T805">
            <v>5.15</v>
          </cell>
          <cell r="U805">
            <v>18359.080000000002</v>
          </cell>
        </row>
        <row r="806">
          <cell r="A806" t="str">
            <v>PLN   Złoty</v>
          </cell>
          <cell r="E806" t="str">
            <v>KC Centra dystrybucji</v>
          </cell>
          <cell r="H806">
            <v>51</v>
          </cell>
          <cell r="J806">
            <v>1724.0899999999899</v>
          </cell>
          <cell r="K806">
            <v>1164.8900000000001</v>
          </cell>
          <cell r="L806">
            <v>0</v>
          </cell>
          <cell r="M806">
            <v>0</v>
          </cell>
          <cell r="N806">
            <v>1164.8900000000001</v>
          </cell>
          <cell r="O806">
            <v>34606.589999999902</v>
          </cell>
          <cell r="Q806">
            <v>0</v>
          </cell>
          <cell r="R806">
            <v>34606.589999999902</v>
          </cell>
          <cell r="S806">
            <v>7680.52</v>
          </cell>
          <cell r="T806">
            <v>9.64</v>
          </cell>
          <cell r="U806">
            <v>34616.230000000003</v>
          </cell>
        </row>
        <row r="807">
          <cell r="A807" t="str">
            <v>PLN   Złoty</v>
          </cell>
          <cell r="E807" t="str">
            <v>KC Centra dystrybucji</v>
          </cell>
          <cell r="H807">
            <v>74</v>
          </cell>
          <cell r="J807">
            <v>2499.8099999999899</v>
          </cell>
          <cell r="K807">
            <v>1690.24</v>
          </cell>
          <cell r="L807">
            <v>0</v>
          </cell>
          <cell r="M807">
            <v>0</v>
          </cell>
          <cell r="N807">
            <v>1690.24</v>
          </cell>
          <cell r="O807">
            <v>50867.05</v>
          </cell>
          <cell r="Q807">
            <v>0</v>
          </cell>
          <cell r="R807">
            <v>50867.05</v>
          </cell>
          <cell r="S807">
            <v>10447.370000000001</v>
          </cell>
          <cell r="T807">
            <v>14.18</v>
          </cell>
          <cell r="U807">
            <v>50881.23</v>
          </cell>
        </row>
        <row r="808">
          <cell r="A808" t="str">
            <v>PLN   Złoty</v>
          </cell>
          <cell r="E808" t="str">
            <v>KC Centra dystrybucji</v>
          </cell>
          <cell r="H808">
            <v>206</v>
          </cell>
          <cell r="J808">
            <v>6957.29</v>
          </cell>
          <cell r="K808">
            <v>4705.26</v>
          </cell>
          <cell r="L808">
            <v>0</v>
          </cell>
          <cell r="M808">
            <v>0</v>
          </cell>
          <cell r="N808">
            <v>4705.26</v>
          </cell>
          <cell r="O808">
            <v>145861.47</v>
          </cell>
          <cell r="Q808">
            <v>0</v>
          </cell>
          <cell r="R808">
            <v>145861.47</v>
          </cell>
          <cell r="S808">
            <v>24783.8499999999</v>
          </cell>
          <cell r="T808">
            <v>40.770000000000003</v>
          </cell>
          <cell r="U808">
            <v>145902.239999999</v>
          </cell>
        </row>
        <row r="809">
          <cell r="A809" t="str">
            <v>PLN   Złoty</v>
          </cell>
          <cell r="E809" t="str">
            <v>KC Centra dystrybucji</v>
          </cell>
          <cell r="H809">
            <v>32</v>
          </cell>
          <cell r="J809">
            <v>1117.8900000000001</v>
          </cell>
          <cell r="K809">
            <v>730.90999999999894</v>
          </cell>
          <cell r="L809">
            <v>925.91999999999905</v>
          </cell>
          <cell r="M809">
            <v>0</v>
          </cell>
          <cell r="N809">
            <v>1656.8299999999899</v>
          </cell>
          <cell r="O809">
            <v>23533.75</v>
          </cell>
          <cell r="Q809">
            <v>0</v>
          </cell>
          <cell r="R809">
            <v>23533.75</v>
          </cell>
          <cell r="S809">
            <v>3886.25</v>
          </cell>
          <cell r="T809">
            <v>6.2999999999999901</v>
          </cell>
          <cell r="U809">
            <v>23540.049999999901</v>
          </cell>
        </row>
        <row r="810">
          <cell r="A810" t="str">
            <v>PLN   Złoty</v>
          </cell>
          <cell r="E810" t="str">
            <v>KC Centra dystrybucji</v>
          </cell>
          <cell r="H810">
            <v>41</v>
          </cell>
          <cell r="J810">
            <v>1380.64</v>
          </cell>
          <cell r="K810">
            <v>936.48</v>
          </cell>
          <cell r="L810">
            <v>0</v>
          </cell>
          <cell r="M810">
            <v>0</v>
          </cell>
          <cell r="N810">
            <v>936.48</v>
          </cell>
          <cell r="O810">
            <v>29650.619999999901</v>
          </cell>
          <cell r="Q810">
            <v>0</v>
          </cell>
          <cell r="R810">
            <v>29650.619999999901</v>
          </cell>
          <cell r="S810">
            <v>4209.54</v>
          </cell>
          <cell r="T810">
            <v>8.2899999999999903</v>
          </cell>
          <cell r="U810">
            <v>29658.91</v>
          </cell>
        </row>
        <row r="811">
          <cell r="A811" t="str">
            <v>PLN   Złoty</v>
          </cell>
          <cell r="E811" t="str">
            <v>KC Centra dystrybucji</v>
          </cell>
          <cell r="H811">
            <v>37</v>
          </cell>
          <cell r="J811">
            <v>1254.5</v>
          </cell>
          <cell r="K811">
            <v>845.12</v>
          </cell>
          <cell r="L811">
            <v>0</v>
          </cell>
          <cell r="M811">
            <v>0</v>
          </cell>
          <cell r="N811">
            <v>845.12</v>
          </cell>
          <cell r="O811">
            <v>27811.08</v>
          </cell>
          <cell r="Q811">
            <v>0</v>
          </cell>
          <cell r="R811">
            <v>27811.08</v>
          </cell>
          <cell r="S811">
            <v>2958.67</v>
          </cell>
          <cell r="T811">
            <v>7.82</v>
          </cell>
          <cell r="U811">
            <v>27818.9</v>
          </cell>
        </row>
        <row r="812">
          <cell r="A812" t="str">
            <v>PLN   Złoty</v>
          </cell>
          <cell r="E812" t="str">
            <v>KC Centra dystrybucji</v>
          </cell>
          <cell r="H812">
            <v>14</v>
          </cell>
          <cell r="J812">
            <v>476.58999999999901</v>
          </cell>
          <cell r="K812">
            <v>319.76999999999902</v>
          </cell>
          <cell r="L812">
            <v>0</v>
          </cell>
          <cell r="M812">
            <v>0</v>
          </cell>
          <cell r="N812">
            <v>319.76999999999902</v>
          </cell>
          <cell r="O812">
            <v>9503.1499999999905</v>
          </cell>
          <cell r="Q812">
            <v>0</v>
          </cell>
          <cell r="R812">
            <v>9503.1499999999905</v>
          </cell>
          <cell r="S812">
            <v>2186.8499999999899</v>
          </cell>
          <cell r="T812">
            <v>2.6499999999999901</v>
          </cell>
          <cell r="U812">
            <v>9505.7999999999902</v>
          </cell>
        </row>
        <row r="813">
          <cell r="A813" t="str">
            <v>PLN   Złoty</v>
          </cell>
          <cell r="E813" t="str">
            <v>KC Centra dystrybucji</v>
          </cell>
          <cell r="H813">
            <v>0</v>
          </cell>
          <cell r="J813">
            <v>0</v>
          </cell>
          <cell r="K813">
            <v>0</v>
          </cell>
          <cell r="L813">
            <v>34977.419999999896</v>
          </cell>
          <cell r="M813">
            <v>0</v>
          </cell>
          <cell r="N813">
            <v>34977.419999999896</v>
          </cell>
          <cell r="O813">
            <v>34977.419999999896</v>
          </cell>
          <cell r="Q813">
            <v>0</v>
          </cell>
          <cell r="R813">
            <v>34977.419999999896</v>
          </cell>
          <cell r="S813">
            <v>-34977.419999999896</v>
          </cell>
          <cell r="T813">
            <v>0</v>
          </cell>
          <cell r="U813">
            <v>34977.419999999896</v>
          </cell>
        </row>
        <row r="814">
          <cell r="A814" t="str">
            <v>PLN   Złoty</v>
          </cell>
          <cell r="E814" t="str">
            <v>KC Centra dystrybucji</v>
          </cell>
          <cell r="H814">
            <v>124</v>
          </cell>
          <cell r="J814">
            <v>4408.1999999999898</v>
          </cell>
          <cell r="K814">
            <v>2832.29</v>
          </cell>
          <cell r="L814">
            <v>0</v>
          </cell>
          <cell r="M814">
            <v>0</v>
          </cell>
          <cell r="N814">
            <v>2832.29</v>
          </cell>
          <cell r="O814">
            <v>92663.25</v>
          </cell>
          <cell r="Q814">
            <v>0</v>
          </cell>
          <cell r="R814">
            <v>92663.25</v>
          </cell>
          <cell r="S814">
            <v>15459.51</v>
          </cell>
          <cell r="T814">
            <v>25.96</v>
          </cell>
          <cell r="U814">
            <v>92689.21</v>
          </cell>
        </row>
        <row r="815">
          <cell r="A815" t="str">
            <v>PLN   Złoty</v>
          </cell>
          <cell r="E815" t="str">
            <v>KC Centra dystrybucji</v>
          </cell>
          <cell r="H815">
            <v>416</v>
          </cell>
          <cell r="J815">
            <v>14413.51</v>
          </cell>
          <cell r="K815">
            <v>9501.8799999999901</v>
          </cell>
          <cell r="L815">
            <v>0</v>
          </cell>
          <cell r="M815">
            <v>0</v>
          </cell>
          <cell r="N815">
            <v>9501.8799999999901</v>
          </cell>
          <cell r="O815">
            <v>299439.90000000002</v>
          </cell>
          <cell r="Q815">
            <v>0</v>
          </cell>
          <cell r="R815">
            <v>299439.90000000002</v>
          </cell>
          <cell r="S815">
            <v>54086.099999999897</v>
          </cell>
          <cell r="T815">
            <v>83.709999999999894</v>
          </cell>
          <cell r="U815">
            <v>299523.609999999</v>
          </cell>
        </row>
        <row r="816">
          <cell r="A816" t="str">
            <v>PLN   Złoty</v>
          </cell>
          <cell r="E816" t="str">
            <v>KC Centra dystrybucji</v>
          </cell>
          <cell r="H816">
            <v>25</v>
          </cell>
          <cell r="J816">
            <v>845.13999999999896</v>
          </cell>
          <cell r="K816">
            <v>571.01999999999896</v>
          </cell>
          <cell r="L816">
            <v>0</v>
          </cell>
          <cell r="M816">
            <v>0</v>
          </cell>
          <cell r="N816">
            <v>571.01999999999896</v>
          </cell>
          <cell r="O816">
            <v>18602.4199999999</v>
          </cell>
          <cell r="Q816">
            <v>0</v>
          </cell>
          <cell r="R816">
            <v>18602.4199999999</v>
          </cell>
          <cell r="S816">
            <v>2126.3299999999899</v>
          </cell>
          <cell r="T816">
            <v>5.23</v>
          </cell>
          <cell r="U816">
            <v>18607.650000000001</v>
          </cell>
        </row>
        <row r="817">
          <cell r="A817" t="str">
            <v>PLN   Złoty</v>
          </cell>
          <cell r="E817" t="str">
            <v>KC Centra dystrybucji</v>
          </cell>
          <cell r="H817">
            <v>10</v>
          </cell>
          <cell r="J817">
            <v>339.41</v>
          </cell>
          <cell r="K817">
            <v>228.41</v>
          </cell>
          <cell r="L817">
            <v>0</v>
          </cell>
          <cell r="M817">
            <v>0</v>
          </cell>
          <cell r="N817">
            <v>228.41</v>
          </cell>
          <cell r="O817">
            <v>7516.8699999999899</v>
          </cell>
          <cell r="Q817">
            <v>0</v>
          </cell>
          <cell r="R817">
            <v>7516.8699999999899</v>
          </cell>
          <cell r="S817">
            <v>808.13</v>
          </cell>
          <cell r="T817">
            <v>2.1099999999999901</v>
          </cell>
          <cell r="U817">
            <v>7518.9799999999896</v>
          </cell>
        </row>
        <row r="818">
          <cell r="A818" t="str">
            <v>PLN   Złoty</v>
          </cell>
          <cell r="E818" t="str">
            <v>KC Centra dystrybucji</v>
          </cell>
          <cell r="H818">
            <v>24</v>
          </cell>
          <cell r="J818">
            <v>811.34</v>
          </cell>
          <cell r="K818">
            <v>548.17999999999904</v>
          </cell>
          <cell r="L818">
            <v>0</v>
          </cell>
          <cell r="M818">
            <v>0</v>
          </cell>
          <cell r="N818">
            <v>548.17999999999904</v>
          </cell>
          <cell r="O818">
            <v>18037.23</v>
          </cell>
          <cell r="Q818">
            <v>0</v>
          </cell>
          <cell r="R818">
            <v>18037.23</v>
          </cell>
          <cell r="S818">
            <v>1862.6099999999899</v>
          </cell>
          <cell r="T818">
            <v>5.07</v>
          </cell>
          <cell r="U818">
            <v>18042.299999999901</v>
          </cell>
        </row>
        <row r="819">
          <cell r="A819" t="str">
            <v>PLN   Złoty</v>
          </cell>
          <cell r="E819" t="str">
            <v>KC Centra dystrybucji</v>
          </cell>
          <cell r="H819">
            <v>6</v>
          </cell>
          <cell r="J819">
            <v>202.84</v>
          </cell>
          <cell r="K819">
            <v>137.05000000000001</v>
          </cell>
          <cell r="L819">
            <v>0</v>
          </cell>
          <cell r="M819">
            <v>0</v>
          </cell>
          <cell r="N819">
            <v>137.05000000000001</v>
          </cell>
          <cell r="O819">
            <v>4071.3699999999899</v>
          </cell>
          <cell r="Q819">
            <v>0</v>
          </cell>
          <cell r="R819">
            <v>4071.3699999999899</v>
          </cell>
          <cell r="S819">
            <v>903.59</v>
          </cell>
          <cell r="T819">
            <v>1.1399999999999899</v>
          </cell>
          <cell r="U819">
            <v>4072.51</v>
          </cell>
        </row>
        <row r="820">
          <cell r="A820" t="str">
            <v>PLN   Złoty</v>
          </cell>
          <cell r="E820" t="str">
            <v>KC Centra dystrybucji</v>
          </cell>
          <cell r="H820">
            <v>13</v>
          </cell>
          <cell r="J820">
            <v>436.88999999999902</v>
          </cell>
          <cell r="K820">
            <v>296.94</v>
          </cell>
          <cell r="L820">
            <v>0</v>
          </cell>
          <cell r="M820">
            <v>0</v>
          </cell>
          <cell r="N820">
            <v>296.94</v>
          </cell>
          <cell r="O820">
            <v>9670.69</v>
          </cell>
          <cell r="Q820">
            <v>0</v>
          </cell>
          <cell r="R820">
            <v>9670.69</v>
          </cell>
          <cell r="S820">
            <v>1043.1300000000001</v>
          </cell>
          <cell r="T820">
            <v>2.72</v>
          </cell>
          <cell r="U820">
            <v>9673.4099999999908</v>
          </cell>
        </row>
        <row r="821">
          <cell r="A821" t="str">
            <v>PLN   Złoty</v>
          </cell>
          <cell r="E821" t="str">
            <v>KC Centra dystrybucji</v>
          </cell>
          <cell r="H821">
            <v>13</v>
          </cell>
          <cell r="J821">
            <v>436.88999999999902</v>
          </cell>
          <cell r="K821">
            <v>296.94</v>
          </cell>
          <cell r="L821">
            <v>0</v>
          </cell>
          <cell r="M821">
            <v>0</v>
          </cell>
          <cell r="N821">
            <v>296.94</v>
          </cell>
          <cell r="O821">
            <v>9736.70999999999</v>
          </cell>
          <cell r="Q821">
            <v>0</v>
          </cell>
          <cell r="R821">
            <v>9736.70999999999</v>
          </cell>
          <cell r="S821">
            <v>977.11</v>
          </cell>
          <cell r="T821">
            <v>2.74</v>
          </cell>
          <cell r="U821">
            <v>9739.4500000000007</v>
          </cell>
        </row>
        <row r="822">
          <cell r="A822" t="str">
            <v>PLN   Złoty</v>
          </cell>
          <cell r="E822" t="str">
            <v>KC Centra dystrybucji</v>
          </cell>
          <cell r="H822">
            <v>34</v>
          </cell>
          <cell r="J822">
            <v>1149.3900000000001</v>
          </cell>
          <cell r="K822">
            <v>776.59</v>
          </cell>
          <cell r="L822">
            <v>0</v>
          </cell>
          <cell r="M822">
            <v>0</v>
          </cell>
          <cell r="N822">
            <v>776.59</v>
          </cell>
          <cell r="O822">
            <v>25299.299999999901</v>
          </cell>
          <cell r="Q822">
            <v>0</v>
          </cell>
          <cell r="R822">
            <v>25299.299999999901</v>
          </cell>
          <cell r="S822">
            <v>2891.8</v>
          </cell>
          <cell r="T822">
            <v>7.0999999999999899</v>
          </cell>
          <cell r="U822">
            <v>25306.400000000001</v>
          </cell>
        </row>
        <row r="823">
          <cell r="A823" t="str">
            <v>PLN   Złoty</v>
          </cell>
          <cell r="E823" t="str">
            <v>KC Centra dystrybucji</v>
          </cell>
          <cell r="H823">
            <v>100</v>
          </cell>
          <cell r="J823">
            <v>3370.71</v>
          </cell>
          <cell r="K823">
            <v>2284.11</v>
          </cell>
          <cell r="L823">
            <v>0</v>
          </cell>
          <cell r="M823">
            <v>0</v>
          </cell>
          <cell r="N823">
            <v>2284.11</v>
          </cell>
          <cell r="O823">
            <v>67846.199999999895</v>
          </cell>
          <cell r="Q823">
            <v>0</v>
          </cell>
          <cell r="R823">
            <v>67846.199999999895</v>
          </cell>
          <cell r="S823">
            <v>14828.799999999899</v>
          </cell>
          <cell r="T823">
            <v>18.89</v>
          </cell>
          <cell r="U823">
            <v>67865.089999999895</v>
          </cell>
        </row>
        <row r="824">
          <cell r="A824" t="str">
            <v>PLN   Złoty</v>
          </cell>
          <cell r="E824" t="str">
            <v>KC Centra dystrybucji</v>
          </cell>
          <cell r="H824">
            <v>25</v>
          </cell>
          <cell r="J824">
            <v>848.52999999999895</v>
          </cell>
          <cell r="K824">
            <v>571.01999999999896</v>
          </cell>
          <cell r="L824">
            <v>0</v>
          </cell>
          <cell r="M824">
            <v>0</v>
          </cell>
          <cell r="N824">
            <v>571.01999999999896</v>
          </cell>
          <cell r="O824">
            <v>18792.16</v>
          </cell>
          <cell r="Q824">
            <v>0</v>
          </cell>
          <cell r="R824">
            <v>18792.16</v>
          </cell>
          <cell r="S824">
            <v>2020.0899999999899</v>
          </cell>
          <cell r="T824">
            <v>5.2699999999999898</v>
          </cell>
          <cell r="U824">
            <v>18797.43</v>
          </cell>
        </row>
        <row r="825">
          <cell r="A825" t="str">
            <v>PLN   Złoty</v>
          </cell>
          <cell r="E825" t="str">
            <v>KC Centra dystrybucji</v>
          </cell>
          <cell r="H825">
            <v>40</v>
          </cell>
          <cell r="J825">
            <v>1357.29</v>
          </cell>
          <cell r="K825">
            <v>913.64999999999895</v>
          </cell>
          <cell r="L825">
            <v>0</v>
          </cell>
          <cell r="M825">
            <v>0</v>
          </cell>
          <cell r="N825">
            <v>913.64999999999895</v>
          </cell>
          <cell r="O825">
            <v>29768.959999999901</v>
          </cell>
          <cell r="Q825">
            <v>0</v>
          </cell>
          <cell r="R825">
            <v>29768.959999999901</v>
          </cell>
          <cell r="S825">
            <v>3522.4899999999898</v>
          </cell>
          <cell r="T825">
            <v>8.3499999999999908</v>
          </cell>
          <cell r="U825">
            <v>29777.31</v>
          </cell>
        </row>
        <row r="826">
          <cell r="A826" t="str">
            <v>PLN   Złoty</v>
          </cell>
          <cell r="E826" t="str">
            <v>KC Centra dystrybucji</v>
          </cell>
          <cell r="H826">
            <v>27</v>
          </cell>
          <cell r="J826">
            <v>916.11</v>
          </cell>
          <cell r="K826">
            <v>616.71</v>
          </cell>
          <cell r="L826">
            <v>0</v>
          </cell>
          <cell r="M826">
            <v>0</v>
          </cell>
          <cell r="N826">
            <v>616.71</v>
          </cell>
          <cell r="O826">
            <v>20295.22</v>
          </cell>
          <cell r="Q826">
            <v>0</v>
          </cell>
          <cell r="R826">
            <v>20295.22</v>
          </cell>
          <cell r="S826">
            <v>2174.63</v>
          </cell>
          <cell r="T826">
            <v>5.7</v>
          </cell>
          <cell r="U826">
            <v>20300.9199999999</v>
          </cell>
        </row>
        <row r="827">
          <cell r="A827" t="str">
            <v>PLN   Złoty</v>
          </cell>
          <cell r="E827" t="str">
            <v>KC Centra dystrybucji</v>
          </cell>
          <cell r="H827">
            <v>10</v>
          </cell>
          <cell r="J827">
            <v>338.38999999999902</v>
          </cell>
          <cell r="K827">
            <v>228.41</v>
          </cell>
          <cell r="L827">
            <v>0</v>
          </cell>
          <cell r="M827">
            <v>0</v>
          </cell>
          <cell r="N827">
            <v>228.41</v>
          </cell>
          <cell r="O827">
            <v>7485.1899999999896</v>
          </cell>
          <cell r="Q827">
            <v>0</v>
          </cell>
          <cell r="R827">
            <v>7485.1899999999896</v>
          </cell>
          <cell r="S827">
            <v>814.71</v>
          </cell>
          <cell r="T827">
            <v>2.1</v>
          </cell>
          <cell r="U827">
            <v>7487.29</v>
          </cell>
        </row>
        <row r="828">
          <cell r="A828" t="str">
            <v>PLN   Złoty</v>
          </cell>
          <cell r="E828" t="str">
            <v>KC Centra dystrybucji</v>
          </cell>
          <cell r="H828">
            <v>48</v>
          </cell>
          <cell r="J828">
            <v>1741.77</v>
          </cell>
          <cell r="K828">
            <v>326.57999999999902</v>
          </cell>
          <cell r="L828">
            <v>1724.64</v>
          </cell>
          <cell r="M828">
            <v>0</v>
          </cell>
          <cell r="N828">
            <v>2051.2199999999898</v>
          </cell>
          <cell r="O828">
            <v>35841.65</v>
          </cell>
          <cell r="Q828">
            <v>0</v>
          </cell>
          <cell r="R828">
            <v>35841.65</v>
          </cell>
          <cell r="S828">
            <v>6878.35</v>
          </cell>
          <cell r="T828">
            <v>9.74</v>
          </cell>
          <cell r="U828">
            <v>35851.389999999898</v>
          </cell>
        </row>
        <row r="829">
          <cell r="A829" t="str">
            <v>PLN   Złoty</v>
          </cell>
          <cell r="E829" t="str">
            <v>KC Centra dystrybucji</v>
          </cell>
          <cell r="H829">
            <v>72</v>
          </cell>
          <cell r="J829">
            <v>2631.75</v>
          </cell>
          <cell r="K829">
            <v>489.86</v>
          </cell>
          <cell r="L829">
            <v>3260.1599999999899</v>
          </cell>
          <cell r="M829">
            <v>0</v>
          </cell>
          <cell r="N829">
            <v>3750.02</v>
          </cell>
          <cell r="O829">
            <v>54454.76</v>
          </cell>
          <cell r="Q829">
            <v>0</v>
          </cell>
          <cell r="R829">
            <v>54454.76</v>
          </cell>
          <cell r="S829">
            <v>10095.639999999899</v>
          </cell>
          <cell r="T829">
            <v>14.6099999999999</v>
          </cell>
          <cell r="U829">
            <v>54469.37</v>
          </cell>
        </row>
        <row r="830">
          <cell r="A830" t="str">
            <v>PLN   Złoty</v>
          </cell>
          <cell r="E830" t="str">
            <v>KC Centra dystrybucji</v>
          </cell>
          <cell r="H830">
            <v>22</v>
          </cell>
          <cell r="J830">
            <v>753.41999999999905</v>
          </cell>
          <cell r="K830">
            <v>349.82999999999902</v>
          </cell>
          <cell r="L830">
            <v>0</v>
          </cell>
          <cell r="M830">
            <v>0</v>
          </cell>
          <cell r="N830">
            <v>349.82999999999902</v>
          </cell>
          <cell r="O830">
            <v>15922.78</v>
          </cell>
          <cell r="Q830">
            <v>0</v>
          </cell>
          <cell r="R830">
            <v>15922.78</v>
          </cell>
          <cell r="S830">
            <v>2557.2199999999898</v>
          </cell>
          <cell r="T830">
            <v>4.50999999999999</v>
          </cell>
          <cell r="U830">
            <v>15927.29</v>
          </cell>
        </row>
        <row r="831">
          <cell r="A831" t="str">
            <v>PLN   Złoty</v>
          </cell>
          <cell r="E831" t="str">
            <v>KC Centra dystrybucji</v>
          </cell>
          <cell r="H831">
            <v>46</v>
          </cell>
          <cell r="J831">
            <v>1570.8599999999899</v>
          </cell>
          <cell r="K831">
            <v>731.45</v>
          </cell>
          <cell r="L831">
            <v>0</v>
          </cell>
          <cell r="M831">
            <v>0</v>
          </cell>
          <cell r="N831">
            <v>731.45</v>
          </cell>
          <cell r="O831">
            <v>33288.599999999897</v>
          </cell>
          <cell r="Q831">
            <v>0</v>
          </cell>
          <cell r="R831">
            <v>33288.599999999897</v>
          </cell>
          <cell r="S831">
            <v>5240.5200000000004</v>
          </cell>
          <cell r="T831">
            <v>9.41</v>
          </cell>
          <cell r="U831">
            <v>33298.01</v>
          </cell>
        </row>
        <row r="832">
          <cell r="A832" t="str">
            <v>PLN   Złoty</v>
          </cell>
          <cell r="E832" t="str">
            <v>KC Centra dystrybucji</v>
          </cell>
          <cell r="H832">
            <v>81</v>
          </cell>
          <cell r="J832">
            <v>2742.8899999999899</v>
          </cell>
          <cell r="K832">
            <v>1287.97</v>
          </cell>
          <cell r="L832">
            <v>0</v>
          </cell>
          <cell r="M832">
            <v>0</v>
          </cell>
          <cell r="N832">
            <v>1287.97</v>
          </cell>
          <cell r="O832">
            <v>58593.669999999896</v>
          </cell>
          <cell r="Q832">
            <v>0</v>
          </cell>
          <cell r="R832">
            <v>58593.669999999896</v>
          </cell>
          <cell r="S832">
            <v>8682.77</v>
          </cell>
          <cell r="T832">
            <v>16.579999999999899</v>
          </cell>
          <cell r="U832">
            <v>58610.25</v>
          </cell>
        </row>
        <row r="833">
          <cell r="A833" t="str">
            <v>PLN   Złoty</v>
          </cell>
          <cell r="E833" t="str">
            <v>KC Centra dystrybucji</v>
          </cell>
          <cell r="H833">
            <v>15</v>
          </cell>
          <cell r="J833">
            <v>507.04</v>
          </cell>
          <cell r="K833">
            <v>238.52</v>
          </cell>
          <cell r="L833">
            <v>0</v>
          </cell>
          <cell r="M833">
            <v>0</v>
          </cell>
          <cell r="N833">
            <v>238.52</v>
          </cell>
          <cell r="O833">
            <v>10901.389999999899</v>
          </cell>
          <cell r="Q833">
            <v>0</v>
          </cell>
          <cell r="R833">
            <v>10901.389999999899</v>
          </cell>
          <cell r="S833">
            <v>1534.8099999999899</v>
          </cell>
          <cell r="T833">
            <v>3.0899999999999901</v>
          </cell>
          <cell r="U833">
            <v>10904.48</v>
          </cell>
        </row>
        <row r="834">
          <cell r="A834" t="str">
            <v>PLN   Złoty</v>
          </cell>
          <cell r="E834" t="str">
            <v>KC Centra dystrybucji</v>
          </cell>
          <cell r="H834">
            <v>43.5</v>
          </cell>
          <cell r="J834">
            <v>1479.3399999999899</v>
          </cell>
          <cell r="K834">
            <v>691.69</v>
          </cell>
          <cell r="L834">
            <v>0</v>
          </cell>
          <cell r="M834">
            <v>0</v>
          </cell>
          <cell r="N834">
            <v>691.69</v>
          </cell>
          <cell r="O834">
            <v>28903.84</v>
          </cell>
          <cell r="Q834">
            <v>0</v>
          </cell>
          <cell r="R834">
            <v>28903.84</v>
          </cell>
          <cell r="S834">
            <v>7380.38</v>
          </cell>
          <cell r="T834">
            <v>8.1099999999999905</v>
          </cell>
          <cell r="U834">
            <v>28911.95</v>
          </cell>
        </row>
        <row r="835">
          <cell r="A835" t="str">
            <v>PLN   Złoty</v>
          </cell>
          <cell r="E835" t="str">
            <v>KC Centra dystrybucji</v>
          </cell>
          <cell r="H835">
            <v>48</v>
          </cell>
          <cell r="J835">
            <v>1643.8499999999899</v>
          </cell>
          <cell r="K835">
            <v>763.25</v>
          </cell>
          <cell r="L835">
            <v>0</v>
          </cell>
          <cell r="M835">
            <v>0</v>
          </cell>
          <cell r="N835">
            <v>763.25</v>
          </cell>
          <cell r="O835">
            <v>34740.620000000003</v>
          </cell>
          <cell r="Q835">
            <v>0</v>
          </cell>
          <cell r="R835">
            <v>34740.620000000003</v>
          </cell>
          <cell r="S835">
            <v>5579.38</v>
          </cell>
          <cell r="T835">
            <v>9.82</v>
          </cell>
          <cell r="U835">
            <v>34750.44</v>
          </cell>
        </row>
        <row r="836">
          <cell r="A836" t="str">
            <v>PLN   Złoty</v>
          </cell>
          <cell r="E836" t="str">
            <v>KC Centra dystrybucji</v>
          </cell>
          <cell r="H836">
            <v>46</v>
          </cell>
          <cell r="J836">
            <v>1561.26</v>
          </cell>
          <cell r="K836">
            <v>731.45</v>
          </cell>
          <cell r="L836">
            <v>0</v>
          </cell>
          <cell r="M836">
            <v>0</v>
          </cell>
          <cell r="N836">
            <v>731.45</v>
          </cell>
          <cell r="O836">
            <v>33278.989999999903</v>
          </cell>
          <cell r="Q836">
            <v>0</v>
          </cell>
          <cell r="R836">
            <v>33278.989999999903</v>
          </cell>
          <cell r="S836">
            <v>5014.93</v>
          </cell>
          <cell r="T836">
            <v>9.41</v>
          </cell>
          <cell r="U836">
            <v>33288.400000000001</v>
          </cell>
        </row>
        <row r="837">
          <cell r="A837" t="str">
            <v>PLN   Złoty</v>
          </cell>
          <cell r="E837" t="str">
            <v>KC Centra dystrybucji</v>
          </cell>
          <cell r="H837">
            <v>189</v>
          </cell>
          <cell r="J837">
            <v>6415.1</v>
          </cell>
          <cell r="K837">
            <v>3005.29</v>
          </cell>
          <cell r="L837">
            <v>0</v>
          </cell>
          <cell r="M837">
            <v>0</v>
          </cell>
          <cell r="N837">
            <v>3005.29</v>
          </cell>
          <cell r="O837">
            <v>132949.769999999</v>
          </cell>
          <cell r="Q837">
            <v>0</v>
          </cell>
          <cell r="R837">
            <v>132949.769999999</v>
          </cell>
          <cell r="S837">
            <v>24394.83</v>
          </cell>
          <cell r="T837">
            <v>37.53</v>
          </cell>
          <cell r="U837">
            <v>132987.299999999</v>
          </cell>
        </row>
        <row r="838">
          <cell r="A838" t="str">
            <v>PLN   Złoty</v>
          </cell>
          <cell r="E838" t="str">
            <v>KC Centra dystrybucji</v>
          </cell>
          <cell r="H838">
            <v>8</v>
          </cell>
          <cell r="J838">
            <v>271.22000000000003</v>
          </cell>
          <cell r="K838">
            <v>127.209999999999</v>
          </cell>
          <cell r="L838">
            <v>0</v>
          </cell>
          <cell r="M838">
            <v>0</v>
          </cell>
          <cell r="N838">
            <v>127.209999999999</v>
          </cell>
          <cell r="O838">
            <v>5814.8699999999899</v>
          </cell>
          <cell r="Q838">
            <v>0</v>
          </cell>
          <cell r="R838">
            <v>5814.8699999999899</v>
          </cell>
          <cell r="S838">
            <v>837.92999999999904</v>
          </cell>
          <cell r="T838">
            <v>1.6499999999999899</v>
          </cell>
          <cell r="U838">
            <v>5816.52</v>
          </cell>
        </row>
        <row r="839">
          <cell r="A839" t="str">
            <v>PLN   Złoty</v>
          </cell>
          <cell r="E839" t="str">
            <v>KC Centra dystrybucji</v>
          </cell>
          <cell r="H839">
            <v>39</v>
          </cell>
          <cell r="J839">
            <v>1320.94</v>
          </cell>
          <cell r="K839">
            <v>620.13999999999896</v>
          </cell>
          <cell r="L839">
            <v>0</v>
          </cell>
          <cell r="M839">
            <v>0</v>
          </cell>
          <cell r="N839">
            <v>620.13999999999896</v>
          </cell>
          <cell r="O839">
            <v>28212.06</v>
          </cell>
          <cell r="Q839">
            <v>0</v>
          </cell>
          <cell r="R839">
            <v>28212.06</v>
          </cell>
          <cell r="S839">
            <v>4187.5799999999899</v>
          </cell>
          <cell r="T839">
            <v>7.99</v>
          </cell>
          <cell r="U839">
            <v>28220.049999999901</v>
          </cell>
        </row>
        <row r="840">
          <cell r="A840" t="str">
            <v>PLN   Złoty</v>
          </cell>
          <cell r="E840" t="str">
            <v>KC Centra dystrybucji</v>
          </cell>
          <cell r="H840">
            <v>82</v>
          </cell>
          <cell r="J840">
            <v>2794.51</v>
          </cell>
          <cell r="K840">
            <v>1303.8900000000001</v>
          </cell>
          <cell r="L840">
            <v>0</v>
          </cell>
          <cell r="M840">
            <v>0</v>
          </cell>
          <cell r="N840">
            <v>1303.8900000000001</v>
          </cell>
          <cell r="O840">
            <v>54491.29</v>
          </cell>
          <cell r="Q840">
            <v>0</v>
          </cell>
          <cell r="R840">
            <v>54491.29</v>
          </cell>
          <cell r="S840">
            <v>14051.03</v>
          </cell>
          <cell r="T840">
            <v>15.31</v>
          </cell>
          <cell r="U840">
            <v>54506.599999999897</v>
          </cell>
        </row>
        <row r="841">
          <cell r="A841" t="str">
            <v>PLN   Złoty</v>
          </cell>
          <cell r="E841" t="str">
            <v>KC Centra dystrybucji</v>
          </cell>
          <cell r="H841">
            <v>67</v>
          </cell>
          <cell r="J841">
            <v>2274.11</v>
          </cell>
          <cell r="K841">
            <v>1065.3699999999899</v>
          </cell>
          <cell r="L841">
            <v>0</v>
          </cell>
          <cell r="M841">
            <v>0</v>
          </cell>
          <cell r="N841">
            <v>1065.3699999999899</v>
          </cell>
          <cell r="O841">
            <v>48471.68</v>
          </cell>
          <cell r="Q841">
            <v>0</v>
          </cell>
          <cell r="R841">
            <v>48471.68</v>
          </cell>
          <cell r="S841">
            <v>7306</v>
          </cell>
          <cell r="T841">
            <v>13.6999999999999</v>
          </cell>
          <cell r="U841">
            <v>48485.379999999903</v>
          </cell>
        </row>
        <row r="842">
          <cell r="A842" t="str">
            <v>PLN   Złoty</v>
          </cell>
          <cell r="E842" t="str">
            <v>KC Centra dystrybucji</v>
          </cell>
          <cell r="H842">
            <v>51</v>
          </cell>
          <cell r="J842">
            <v>1742.52</v>
          </cell>
          <cell r="K842">
            <v>810.95</v>
          </cell>
          <cell r="L842">
            <v>0</v>
          </cell>
          <cell r="M842">
            <v>0</v>
          </cell>
          <cell r="N842">
            <v>810.95</v>
          </cell>
          <cell r="O842">
            <v>36687.69</v>
          </cell>
          <cell r="Q842">
            <v>0</v>
          </cell>
          <cell r="R842">
            <v>36687.69</v>
          </cell>
          <cell r="S842">
            <v>6051.51</v>
          </cell>
          <cell r="T842">
            <v>10.38</v>
          </cell>
          <cell r="U842">
            <v>36698.07</v>
          </cell>
        </row>
        <row r="843">
          <cell r="A843" t="str">
            <v>PLN   Złoty</v>
          </cell>
          <cell r="E843" t="str">
            <v>KC Centra dystrybucji</v>
          </cell>
          <cell r="H843">
            <v>113.5</v>
          </cell>
          <cell r="J843">
            <v>3844.48</v>
          </cell>
          <cell r="K843">
            <v>1804.76</v>
          </cell>
          <cell r="L843">
            <v>0</v>
          </cell>
          <cell r="M843">
            <v>0</v>
          </cell>
          <cell r="N843">
            <v>1804.76</v>
          </cell>
          <cell r="O843">
            <v>75400.38</v>
          </cell>
          <cell r="Q843">
            <v>0</v>
          </cell>
          <cell r="R843">
            <v>75400.38</v>
          </cell>
          <cell r="S843">
            <v>18894.240000000002</v>
          </cell>
          <cell r="T843">
            <v>21.19</v>
          </cell>
          <cell r="U843">
            <v>75421.570000000007</v>
          </cell>
        </row>
        <row r="844">
          <cell r="A844" t="str">
            <v>PLN   Złoty</v>
          </cell>
          <cell r="E844" t="str">
            <v>KC Centra dystrybucji</v>
          </cell>
          <cell r="H844">
            <v>25</v>
          </cell>
          <cell r="J844">
            <v>850.19</v>
          </cell>
          <cell r="K844">
            <v>397.51999999999902</v>
          </cell>
          <cell r="L844">
            <v>0</v>
          </cell>
          <cell r="M844">
            <v>0</v>
          </cell>
          <cell r="N844">
            <v>397.51999999999902</v>
          </cell>
          <cell r="O844">
            <v>18174.09</v>
          </cell>
          <cell r="Q844">
            <v>0</v>
          </cell>
          <cell r="R844">
            <v>18174.09</v>
          </cell>
          <cell r="S844">
            <v>2678.9099999999899</v>
          </cell>
          <cell r="T844">
            <v>5.15</v>
          </cell>
          <cell r="U844">
            <v>18179.240000000002</v>
          </cell>
        </row>
        <row r="845">
          <cell r="A845" t="str">
            <v>PLN   Złoty</v>
          </cell>
          <cell r="E845" t="str">
            <v>KC Centra dystrybucji</v>
          </cell>
          <cell r="H845">
            <v>195</v>
          </cell>
          <cell r="J845">
            <v>6638.96</v>
          </cell>
          <cell r="K845">
            <v>3100.69</v>
          </cell>
          <cell r="L845">
            <v>0</v>
          </cell>
          <cell r="M845">
            <v>0</v>
          </cell>
          <cell r="N845">
            <v>3100.69</v>
          </cell>
          <cell r="O845">
            <v>139782.70000000001</v>
          </cell>
          <cell r="Q845">
            <v>0</v>
          </cell>
          <cell r="R845">
            <v>139782.70000000001</v>
          </cell>
          <cell r="S845">
            <v>23052.98</v>
          </cell>
          <cell r="T845">
            <v>39.520000000000003</v>
          </cell>
          <cell r="U845">
            <v>139822.22</v>
          </cell>
        </row>
        <row r="846">
          <cell r="A846" t="str">
            <v>PLN   Złoty</v>
          </cell>
          <cell r="E846" t="str">
            <v>KC Centra dystrybucji</v>
          </cell>
          <cell r="H846">
            <v>8</v>
          </cell>
          <cell r="J846">
            <v>272.36</v>
          </cell>
          <cell r="K846">
            <v>127.209999999999</v>
          </cell>
          <cell r="L846">
            <v>0</v>
          </cell>
          <cell r="M846">
            <v>0</v>
          </cell>
          <cell r="N846">
            <v>127.209999999999</v>
          </cell>
          <cell r="O846">
            <v>5859.7299999999896</v>
          </cell>
          <cell r="Q846">
            <v>0</v>
          </cell>
          <cell r="R846">
            <v>5859.7299999999896</v>
          </cell>
          <cell r="S846">
            <v>819.95</v>
          </cell>
          <cell r="T846">
            <v>1.6499999999999899</v>
          </cell>
          <cell r="U846">
            <v>5861.38</v>
          </cell>
        </row>
        <row r="847">
          <cell r="A847" t="str">
            <v>PLN   Złoty</v>
          </cell>
          <cell r="E847" t="str">
            <v>KC Centra dystrybucji</v>
          </cell>
          <cell r="H847">
            <v>118</v>
          </cell>
          <cell r="J847">
            <v>3999.3</v>
          </cell>
          <cell r="K847">
            <v>1876.3099999999899</v>
          </cell>
          <cell r="L847">
            <v>0</v>
          </cell>
          <cell r="M847">
            <v>0</v>
          </cell>
          <cell r="N847">
            <v>1876.3099999999899</v>
          </cell>
          <cell r="O847">
            <v>85362.1</v>
          </cell>
          <cell r="Q847">
            <v>0</v>
          </cell>
          <cell r="R847">
            <v>85362.1</v>
          </cell>
          <cell r="S847">
            <v>12731.42</v>
          </cell>
          <cell r="T847">
            <v>24.149999999999899</v>
          </cell>
          <cell r="U847">
            <v>85386.25</v>
          </cell>
        </row>
        <row r="848">
          <cell r="A848" t="str">
            <v>PLN   Złoty</v>
          </cell>
          <cell r="E848" t="str">
            <v>KC Centra dystrybucji</v>
          </cell>
          <cell r="H848">
            <v>25</v>
          </cell>
          <cell r="J848">
            <v>845.04999999999905</v>
          </cell>
          <cell r="K848">
            <v>397.51999999999902</v>
          </cell>
          <cell r="L848">
            <v>0</v>
          </cell>
          <cell r="M848">
            <v>0</v>
          </cell>
          <cell r="N848">
            <v>397.51999999999902</v>
          </cell>
          <cell r="O848">
            <v>18168.959999999901</v>
          </cell>
          <cell r="Q848">
            <v>0</v>
          </cell>
          <cell r="R848">
            <v>18168.959999999901</v>
          </cell>
          <cell r="S848">
            <v>2558.04</v>
          </cell>
          <cell r="T848">
            <v>5.15</v>
          </cell>
          <cell r="U848">
            <v>18174.11</v>
          </cell>
        </row>
        <row r="849">
          <cell r="A849" t="str">
            <v>PLN   Złoty</v>
          </cell>
          <cell r="E849" t="str">
            <v>KC Centra dystrybucji</v>
          </cell>
          <cell r="H849">
            <v>12</v>
          </cell>
          <cell r="J849">
            <v>410.94</v>
          </cell>
          <cell r="K849">
            <v>190.81</v>
          </cell>
          <cell r="L849">
            <v>0</v>
          </cell>
          <cell r="M849">
            <v>0</v>
          </cell>
          <cell r="N849">
            <v>190.81</v>
          </cell>
          <cell r="O849">
            <v>8685.1299999999901</v>
          </cell>
          <cell r="Q849">
            <v>0</v>
          </cell>
          <cell r="R849">
            <v>8685.1299999999901</v>
          </cell>
          <cell r="S849">
            <v>1394.8699999999899</v>
          </cell>
          <cell r="T849">
            <v>2.4500000000000002</v>
          </cell>
          <cell r="U849">
            <v>8687.5799999999908</v>
          </cell>
        </row>
        <row r="850">
          <cell r="A850" t="str">
            <v>PLN   Złoty</v>
          </cell>
          <cell r="E850" t="str">
            <v>KC Centra dystrybucji</v>
          </cell>
          <cell r="H850">
            <v>120</v>
          </cell>
          <cell r="J850">
            <v>4239.5299999999897</v>
          </cell>
          <cell r="K850">
            <v>1908.1199999999899</v>
          </cell>
          <cell r="L850">
            <v>0</v>
          </cell>
          <cell r="M850">
            <v>0</v>
          </cell>
          <cell r="N850">
            <v>1908.1199999999899</v>
          </cell>
          <cell r="O850">
            <v>88485.009999999893</v>
          </cell>
          <cell r="Q850">
            <v>0</v>
          </cell>
          <cell r="R850">
            <v>88485.009999999893</v>
          </cell>
          <cell r="S850">
            <v>15500.69</v>
          </cell>
          <cell r="T850">
            <v>25.02</v>
          </cell>
          <cell r="U850">
            <v>88510.029999999897</v>
          </cell>
        </row>
        <row r="851">
          <cell r="A851" t="str">
            <v>PLN   Złoty</v>
          </cell>
          <cell r="E851" t="str">
            <v>KC Centra dystrybucji</v>
          </cell>
          <cell r="H851">
            <v>98</v>
          </cell>
          <cell r="J851">
            <v>3447.75</v>
          </cell>
          <cell r="K851">
            <v>1558.3</v>
          </cell>
          <cell r="L851">
            <v>0</v>
          </cell>
          <cell r="M851">
            <v>0</v>
          </cell>
          <cell r="N851">
            <v>1558.3</v>
          </cell>
          <cell r="O851">
            <v>71893.05</v>
          </cell>
          <cell r="Q851">
            <v>0</v>
          </cell>
          <cell r="R851">
            <v>71893.05</v>
          </cell>
          <cell r="S851">
            <v>12671.49</v>
          </cell>
          <cell r="T851">
            <v>20.32</v>
          </cell>
          <cell r="U851">
            <v>71913.369999999893</v>
          </cell>
        </row>
        <row r="852">
          <cell r="A852" t="str">
            <v>PLN   Złoty</v>
          </cell>
          <cell r="E852" t="str">
            <v>KC Centra dystrybucji</v>
          </cell>
          <cell r="H852">
            <v>38</v>
          </cell>
          <cell r="J852">
            <v>1285.9100000000001</v>
          </cell>
          <cell r="K852">
            <v>604.24</v>
          </cell>
          <cell r="L852">
            <v>0</v>
          </cell>
          <cell r="M852">
            <v>0</v>
          </cell>
          <cell r="N852">
            <v>604.24</v>
          </cell>
          <cell r="O852">
            <v>27963.65</v>
          </cell>
          <cell r="Q852">
            <v>0</v>
          </cell>
          <cell r="R852">
            <v>27963.65</v>
          </cell>
          <cell r="S852">
            <v>3576.67</v>
          </cell>
          <cell r="T852">
            <v>7.9199999999999902</v>
          </cell>
          <cell r="U852">
            <v>27971.57</v>
          </cell>
        </row>
        <row r="853">
          <cell r="A853" t="str">
            <v>PLN   Złoty</v>
          </cell>
          <cell r="E853" t="str">
            <v>KC Centra dystrybucji</v>
          </cell>
          <cell r="H853">
            <v>60</v>
          </cell>
          <cell r="J853">
            <v>2034.28</v>
          </cell>
          <cell r="K853">
            <v>954.05999999999904</v>
          </cell>
          <cell r="L853">
            <v>0</v>
          </cell>
          <cell r="M853">
            <v>0</v>
          </cell>
          <cell r="N853">
            <v>954.05999999999904</v>
          </cell>
          <cell r="O853">
            <v>43939.55</v>
          </cell>
          <cell r="Q853">
            <v>0</v>
          </cell>
          <cell r="R853">
            <v>43939.55</v>
          </cell>
          <cell r="S853">
            <v>5956.4499999999898</v>
          </cell>
          <cell r="T853">
            <v>12.44</v>
          </cell>
          <cell r="U853">
            <v>43951.989999999903</v>
          </cell>
        </row>
        <row r="854">
          <cell r="A854" t="str">
            <v>PLN   Złoty</v>
          </cell>
          <cell r="E854" t="str">
            <v>KC Centra dystrybucji</v>
          </cell>
          <cell r="H854">
            <v>28.5</v>
          </cell>
          <cell r="J854">
            <v>971.82</v>
          </cell>
          <cell r="K854">
            <v>453.18</v>
          </cell>
          <cell r="L854">
            <v>0</v>
          </cell>
          <cell r="M854">
            <v>0</v>
          </cell>
          <cell r="N854">
            <v>453.18</v>
          </cell>
          <cell r="O854">
            <v>20623.029999999901</v>
          </cell>
          <cell r="Q854">
            <v>0</v>
          </cell>
          <cell r="R854">
            <v>20623.029999999901</v>
          </cell>
          <cell r="S854">
            <v>3213.65</v>
          </cell>
          <cell r="T854">
            <v>5.83</v>
          </cell>
          <cell r="U854">
            <v>20628.86</v>
          </cell>
        </row>
        <row r="855">
          <cell r="A855" t="str">
            <v>PLN   Złoty</v>
          </cell>
          <cell r="E855" t="str">
            <v>KC Centra dystrybucji</v>
          </cell>
          <cell r="H855">
            <v>25</v>
          </cell>
          <cell r="J855">
            <v>850.19</v>
          </cell>
          <cell r="K855">
            <v>397.51999999999902</v>
          </cell>
          <cell r="L855">
            <v>0</v>
          </cell>
          <cell r="M855">
            <v>0</v>
          </cell>
          <cell r="N855">
            <v>397.51999999999902</v>
          </cell>
          <cell r="O855">
            <v>18401.330000000002</v>
          </cell>
          <cell r="Q855">
            <v>0</v>
          </cell>
          <cell r="R855">
            <v>18401.330000000002</v>
          </cell>
          <cell r="S855">
            <v>2451.67</v>
          </cell>
          <cell r="T855">
            <v>5.21</v>
          </cell>
          <cell r="U855">
            <v>18406.54</v>
          </cell>
        </row>
        <row r="856">
          <cell r="A856" t="str">
            <v>PLN   Złoty</v>
          </cell>
          <cell r="E856" t="str">
            <v>KC Centra dystrybucji</v>
          </cell>
          <cell r="H856">
            <v>25</v>
          </cell>
          <cell r="J856">
            <v>847.58</v>
          </cell>
          <cell r="K856">
            <v>397.51999999999902</v>
          </cell>
          <cell r="L856">
            <v>0</v>
          </cell>
          <cell r="M856">
            <v>0</v>
          </cell>
          <cell r="N856">
            <v>397.51999999999902</v>
          </cell>
          <cell r="O856">
            <v>18171.490000000002</v>
          </cell>
          <cell r="Q856">
            <v>0</v>
          </cell>
          <cell r="R856">
            <v>18171.490000000002</v>
          </cell>
          <cell r="S856">
            <v>2618.5100000000002</v>
          </cell>
          <cell r="T856">
            <v>5.15</v>
          </cell>
          <cell r="U856">
            <v>18176.639999999901</v>
          </cell>
        </row>
        <row r="857">
          <cell r="A857" t="str">
            <v>PLN   Złoty</v>
          </cell>
          <cell r="E857" t="str">
            <v>KC Centra dystrybucji</v>
          </cell>
          <cell r="H857">
            <v>54</v>
          </cell>
          <cell r="J857">
            <v>1839.89</v>
          </cell>
          <cell r="K857">
            <v>858.65999999999894</v>
          </cell>
          <cell r="L857">
            <v>0</v>
          </cell>
          <cell r="M857">
            <v>0</v>
          </cell>
          <cell r="N857">
            <v>858.65999999999894</v>
          </cell>
          <cell r="O857">
            <v>35884.120000000003</v>
          </cell>
          <cell r="Q857">
            <v>0</v>
          </cell>
          <cell r="R857">
            <v>35884.120000000003</v>
          </cell>
          <cell r="S857">
            <v>9242</v>
          </cell>
          <cell r="T857">
            <v>10.09</v>
          </cell>
          <cell r="U857">
            <v>35894.209999999897</v>
          </cell>
        </row>
        <row r="858">
          <cell r="A858" t="str">
            <v>PLN   Złoty</v>
          </cell>
          <cell r="E858" t="str">
            <v>KC Centra dystrybucji</v>
          </cell>
          <cell r="H858">
            <v>8</v>
          </cell>
          <cell r="J858">
            <v>271.22000000000003</v>
          </cell>
          <cell r="K858">
            <v>127.209999999999</v>
          </cell>
          <cell r="L858">
            <v>0</v>
          </cell>
          <cell r="M858">
            <v>0</v>
          </cell>
          <cell r="N858">
            <v>127.209999999999</v>
          </cell>
          <cell r="O858">
            <v>5887.59</v>
          </cell>
          <cell r="Q858">
            <v>0</v>
          </cell>
          <cell r="R858">
            <v>5887.59</v>
          </cell>
          <cell r="S858">
            <v>765.21</v>
          </cell>
          <cell r="T858">
            <v>1.6699999999999899</v>
          </cell>
          <cell r="U858">
            <v>5889.26</v>
          </cell>
        </row>
        <row r="859">
          <cell r="A859" t="str">
            <v>PLN   Złoty</v>
          </cell>
          <cell r="E859" t="str">
            <v>KC Centra dystrybucji</v>
          </cell>
          <cell r="H859">
            <v>3</v>
          </cell>
          <cell r="J859">
            <v>101.989999999999</v>
          </cell>
          <cell r="K859">
            <v>47.7</v>
          </cell>
          <cell r="L859">
            <v>0</v>
          </cell>
          <cell r="M859">
            <v>0</v>
          </cell>
          <cell r="N859">
            <v>47.7</v>
          </cell>
          <cell r="O859">
            <v>2208.1199999999899</v>
          </cell>
          <cell r="Q859">
            <v>0</v>
          </cell>
          <cell r="R859">
            <v>2208.1199999999899</v>
          </cell>
          <cell r="S859">
            <v>294.24</v>
          </cell>
          <cell r="T859">
            <v>0.63</v>
          </cell>
          <cell r="U859">
            <v>2208.75</v>
          </cell>
        </row>
        <row r="860">
          <cell r="A860" t="str">
            <v>PLN   Złoty</v>
          </cell>
          <cell r="E860" t="str">
            <v>KC Centra dystrybucji</v>
          </cell>
          <cell r="H860">
            <v>40</v>
          </cell>
          <cell r="J860">
            <v>1358.77</v>
          </cell>
          <cell r="K860">
            <v>636.03999999999905</v>
          </cell>
          <cell r="L860">
            <v>0</v>
          </cell>
          <cell r="M860">
            <v>0</v>
          </cell>
          <cell r="N860">
            <v>636.03999999999905</v>
          </cell>
          <cell r="O860">
            <v>26576.709999999901</v>
          </cell>
          <cell r="Q860">
            <v>0</v>
          </cell>
          <cell r="R860">
            <v>26576.709999999901</v>
          </cell>
          <cell r="S860">
            <v>6750.29</v>
          </cell>
          <cell r="T860">
            <v>7.46999999999999</v>
          </cell>
          <cell r="U860">
            <v>26584.18</v>
          </cell>
        </row>
        <row r="861">
          <cell r="A861" t="str">
            <v>PLN   Złoty</v>
          </cell>
          <cell r="E861" t="str">
            <v>KC Centra dystrybucji</v>
          </cell>
          <cell r="H861">
            <v>25</v>
          </cell>
          <cell r="J861">
            <v>847.58</v>
          </cell>
          <cell r="K861">
            <v>397.51999999999902</v>
          </cell>
          <cell r="L861">
            <v>0</v>
          </cell>
          <cell r="M861">
            <v>0</v>
          </cell>
          <cell r="N861">
            <v>397.51999999999902</v>
          </cell>
          <cell r="O861">
            <v>18085.47</v>
          </cell>
          <cell r="Q861">
            <v>0</v>
          </cell>
          <cell r="R861">
            <v>18085.47</v>
          </cell>
          <cell r="S861">
            <v>2704.53</v>
          </cell>
          <cell r="T861">
            <v>5.12</v>
          </cell>
          <cell r="U861">
            <v>18090.59</v>
          </cell>
        </row>
        <row r="862">
          <cell r="A862" t="str">
            <v>PLN   Złoty</v>
          </cell>
          <cell r="E862" t="str">
            <v>KC Centra dystrybucji</v>
          </cell>
          <cell r="H862">
            <v>53</v>
          </cell>
          <cell r="J862">
            <v>1794.18</v>
          </cell>
          <cell r="K862">
            <v>842.75</v>
          </cell>
          <cell r="L862">
            <v>0</v>
          </cell>
          <cell r="M862">
            <v>0</v>
          </cell>
          <cell r="N862">
            <v>842.75</v>
          </cell>
          <cell r="O862">
            <v>39002.599999999897</v>
          </cell>
          <cell r="Q862">
            <v>0</v>
          </cell>
          <cell r="R862">
            <v>39002.599999999897</v>
          </cell>
          <cell r="S862">
            <v>5004.1599999999899</v>
          </cell>
          <cell r="T862">
            <v>11.06</v>
          </cell>
          <cell r="U862">
            <v>39013.660000000003</v>
          </cell>
        </row>
        <row r="863">
          <cell r="A863" t="str">
            <v>PLN   Złoty</v>
          </cell>
          <cell r="E863" t="str">
            <v>KC Centra dystrybucji</v>
          </cell>
          <cell r="H863">
            <v>36</v>
          </cell>
          <cell r="J863">
            <v>1228</v>
          </cell>
          <cell r="K863">
            <v>572.44000000000005</v>
          </cell>
          <cell r="L863">
            <v>0</v>
          </cell>
          <cell r="M863">
            <v>0</v>
          </cell>
          <cell r="N863">
            <v>572.44000000000005</v>
          </cell>
          <cell r="O863">
            <v>26050.58</v>
          </cell>
          <cell r="Q863">
            <v>0</v>
          </cell>
          <cell r="R863">
            <v>26050.58</v>
          </cell>
          <cell r="S863">
            <v>4068.46</v>
          </cell>
          <cell r="T863">
            <v>7.37</v>
          </cell>
          <cell r="U863">
            <v>26057.95</v>
          </cell>
        </row>
        <row r="864">
          <cell r="A864" t="str">
            <v>PLN   Złoty</v>
          </cell>
          <cell r="E864" t="str">
            <v>KC Centra dystrybucji</v>
          </cell>
          <cell r="H864">
            <v>10</v>
          </cell>
          <cell r="J864">
            <v>277.19999999999902</v>
          </cell>
          <cell r="K864">
            <v>189.569999999999</v>
          </cell>
          <cell r="L864">
            <v>0</v>
          </cell>
          <cell r="M864">
            <v>0</v>
          </cell>
          <cell r="N864">
            <v>189.569999999999</v>
          </cell>
          <cell r="O864">
            <v>6014.75</v>
          </cell>
          <cell r="Q864">
            <v>0</v>
          </cell>
          <cell r="R864">
            <v>6014.75</v>
          </cell>
          <cell r="S864">
            <v>785.25</v>
          </cell>
          <cell r="T864">
            <v>1.68999999999999</v>
          </cell>
          <cell r="U864">
            <v>6016.4399999999896</v>
          </cell>
        </row>
        <row r="865">
          <cell r="A865" t="str">
            <v>PLN   Złoty</v>
          </cell>
          <cell r="E865" t="str">
            <v>KC Centra dystrybucji</v>
          </cell>
          <cell r="H865">
            <v>24</v>
          </cell>
          <cell r="J865">
            <v>661.38</v>
          </cell>
          <cell r="K865">
            <v>454.94</v>
          </cell>
          <cell r="L865">
            <v>0</v>
          </cell>
          <cell r="M865">
            <v>0</v>
          </cell>
          <cell r="N865">
            <v>454.94</v>
          </cell>
          <cell r="O865">
            <v>14431.459999999901</v>
          </cell>
          <cell r="Q865">
            <v>0</v>
          </cell>
          <cell r="R865">
            <v>14431.459999999901</v>
          </cell>
          <cell r="S865">
            <v>1790.6199999999899</v>
          </cell>
          <cell r="T865">
            <v>4.0499999999999901</v>
          </cell>
          <cell r="U865">
            <v>14435.51</v>
          </cell>
        </row>
        <row r="866">
          <cell r="A866" t="str">
            <v>PLN   Złoty</v>
          </cell>
          <cell r="E866" t="str">
            <v>KC Centra dystrybucji</v>
          </cell>
          <cell r="H866">
            <v>12</v>
          </cell>
          <cell r="J866">
            <v>328.36</v>
          </cell>
          <cell r="K866">
            <v>227.47</v>
          </cell>
          <cell r="L866">
            <v>0</v>
          </cell>
          <cell r="M866">
            <v>0</v>
          </cell>
          <cell r="N866">
            <v>227.47</v>
          </cell>
          <cell r="O866">
            <v>7213.3999999999896</v>
          </cell>
          <cell r="Q866">
            <v>0</v>
          </cell>
          <cell r="R866">
            <v>7213.3999999999896</v>
          </cell>
          <cell r="S866">
            <v>840.51999999999896</v>
          </cell>
          <cell r="T866">
            <v>2.02</v>
          </cell>
          <cell r="U866">
            <v>7215.42</v>
          </cell>
        </row>
        <row r="867">
          <cell r="A867" t="str">
            <v>PLN   Złoty</v>
          </cell>
          <cell r="E867" t="str">
            <v>KC Centra dystrybucji</v>
          </cell>
          <cell r="H867">
            <v>24</v>
          </cell>
          <cell r="J867">
            <v>663.39999999999895</v>
          </cell>
          <cell r="K867">
            <v>454.94</v>
          </cell>
          <cell r="L867">
            <v>0</v>
          </cell>
          <cell r="M867">
            <v>0</v>
          </cell>
          <cell r="N867">
            <v>454.94</v>
          </cell>
          <cell r="O867">
            <v>14358.95</v>
          </cell>
          <cell r="Q867">
            <v>0</v>
          </cell>
          <cell r="R867">
            <v>14358.95</v>
          </cell>
          <cell r="S867">
            <v>1912.0899999999899</v>
          </cell>
          <cell r="T867">
            <v>4.03</v>
          </cell>
          <cell r="U867">
            <v>14362.98</v>
          </cell>
        </row>
        <row r="868">
          <cell r="A868" t="str">
            <v>PLN   Złoty</v>
          </cell>
          <cell r="E868" t="str">
            <v>KC Centra dystrybucji</v>
          </cell>
          <cell r="H868">
            <v>117.5</v>
          </cell>
          <cell r="J868">
            <v>3224.9899999999898</v>
          </cell>
          <cell r="K868">
            <v>2227.34</v>
          </cell>
          <cell r="L868">
            <v>0</v>
          </cell>
          <cell r="M868">
            <v>0</v>
          </cell>
          <cell r="N868">
            <v>2227.34</v>
          </cell>
          <cell r="O868">
            <v>63926.099999999897</v>
          </cell>
          <cell r="Q868">
            <v>0</v>
          </cell>
          <cell r="R868">
            <v>63926.099999999897</v>
          </cell>
          <cell r="S868">
            <v>15174.9</v>
          </cell>
          <cell r="T868">
            <v>17.77</v>
          </cell>
          <cell r="U868">
            <v>63943.87</v>
          </cell>
        </row>
        <row r="869">
          <cell r="A869" t="str">
            <v>PLN   Złoty</v>
          </cell>
          <cell r="E869" t="str">
            <v>KC Centra dystrybucji</v>
          </cell>
          <cell r="H869">
            <v>24</v>
          </cell>
          <cell r="J869">
            <v>661.38</v>
          </cell>
          <cell r="K869">
            <v>454.94</v>
          </cell>
          <cell r="L869">
            <v>0</v>
          </cell>
          <cell r="M869">
            <v>0</v>
          </cell>
          <cell r="N869">
            <v>454.94</v>
          </cell>
          <cell r="O869">
            <v>14431.459999999901</v>
          </cell>
          <cell r="Q869">
            <v>0</v>
          </cell>
          <cell r="R869">
            <v>14431.459999999901</v>
          </cell>
          <cell r="S869">
            <v>1790.6199999999899</v>
          </cell>
          <cell r="T869">
            <v>4.0499999999999901</v>
          </cell>
          <cell r="U869">
            <v>14435.51</v>
          </cell>
        </row>
        <row r="870">
          <cell r="A870" t="str">
            <v>PLN   Złoty</v>
          </cell>
          <cell r="E870" t="str">
            <v>KC Centra dystrybucji</v>
          </cell>
          <cell r="H870">
            <v>96</v>
          </cell>
          <cell r="J870">
            <v>2642.9099999999899</v>
          </cell>
          <cell r="K870">
            <v>1819.78</v>
          </cell>
          <cell r="L870">
            <v>0</v>
          </cell>
          <cell r="M870">
            <v>0</v>
          </cell>
          <cell r="N870">
            <v>1819.78</v>
          </cell>
          <cell r="O870">
            <v>52579.9</v>
          </cell>
          <cell r="Q870">
            <v>0</v>
          </cell>
          <cell r="R870">
            <v>52579.9</v>
          </cell>
          <cell r="S870">
            <v>12243.139999999899</v>
          </cell>
          <cell r="T870">
            <v>14.6099999999999</v>
          </cell>
          <cell r="U870">
            <v>52594.51</v>
          </cell>
        </row>
        <row r="871">
          <cell r="A871" t="str">
            <v>PLN   Złoty</v>
          </cell>
          <cell r="E871" t="str">
            <v>KC Centra dystrybucji</v>
          </cell>
          <cell r="H871">
            <v>24</v>
          </cell>
          <cell r="J871">
            <v>658.76999999999896</v>
          </cell>
          <cell r="K871">
            <v>454.94</v>
          </cell>
          <cell r="L871">
            <v>0</v>
          </cell>
          <cell r="M871">
            <v>0</v>
          </cell>
          <cell r="N871">
            <v>454.94</v>
          </cell>
          <cell r="O871">
            <v>14428.85</v>
          </cell>
          <cell r="Q871">
            <v>0</v>
          </cell>
          <cell r="R871">
            <v>14428.85</v>
          </cell>
          <cell r="S871">
            <v>1727.95</v>
          </cell>
          <cell r="T871">
            <v>4.0499999999999901</v>
          </cell>
          <cell r="U871">
            <v>14432.9</v>
          </cell>
        </row>
        <row r="872">
          <cell r="A872" t="str">
            <v>PLN   Złoty</v>
          </cell>
          <cell r="E872" t="str">
            <v>KC Centra dystrybucji</v>
          </cell>
          <cell r="H872">
            <v>98</v>
          </cell>
          <cell r="J872">
            <v>2689.75</v>
          </cell>
          <cell r="K872">
            <v>1857.7</v>
          </cell>
          <cell r="L872">
            <v>0</v>
          </cell>
          <cell r="M872">
            <v>0</v>
          </cell>
          <cell r="N872">
            <v>1857.7</v>
          </cell>
          <cell r="O872">
            <v>56009.26</v>
          </cell>
          <cell r="Q872">
            <v>0</v>
          </cell>
          <cell r="R872">
            <v>56009.26</v>
          </cell>
          <cell r="S872">
            <v>9964.34</v>
          </cell>
          <cell r="T872">
            <v>15.65</v>
          </cell>
          <cell r="U872">
            <v>56024.91</v>
          </cell>
        </row>
        <row r="873">
          <cell r="A873" t="str">
            <v>PLN   Złoty</v>
          </cell>
          <cell r="E873" t="str">
            <v>KC Centra dystrybucji</v>
          </cell>
          <cell r="H873">
            <v>51</v>
          </cell>
          <cell r="J873">
            <v>1400.3599999999899</v>
          </cell>
          <cell r="K873">
            <v>966.75</v>
          </cell>
          <cell r="L873">
            <v>0</v>
          </cell>
          <cell r="M873">
            <v>0</v>
          </cell>
          <cell r="N873">
            <v>966.75</v>
          </cell>
          <cell r="O873">
            <v>30661.79</v>
          </cell>
          <cell r="Q873">
            <v>0</v>
          </cell>
          <cell r="R873">
            <v>30661.79</v>
          </cell>
          <cell r="S873">
            <v>3686.3699999999899</v>
          </cell>
          <cell r="T873">
            <v>8.5999999999999908</v>
          </cell>
          <cell r="U873">
            <v>30670.389999999901</v>
          </cell>
        </row>
        <row r="874">
          <cell r="A874" t="str">
            <v>PLN   Złoty</v>
          </cell>
          <cell r="E874" t="str">
            <v>KC Centra dystrybucji</v>
          </cell>
          <cell r="H874">
            <v>24</v>
          </cell>
          <cell r="J874">
            <v>660.73</v>
          </cell>
          <cell r="K874">
            <v>454.94</v>
          </cell>
          <cell r="L874">
            <v>0</v>
          </cell>
          <cell r="M874">
            <v>0</v>
          </cell>
          <cell r="N874">
            <v>454.94</v>
          </cell>
          <cell r="O874">
            <v>14430.809999999899</v>
          </cell>
          <cell r="Q874">
            <v>0</v>
          </cell>
          <cell r="R874">
            <v>14430.809999999899</v>
          </cell>
          <cell r="S874">
            <v>1774.95</v>
          </cell>
          <cell r="T874">
            <v>4.0499999999999901</v>
          </cell>
          <cell r="U874">
            <v>14434.86</v>
          </cell>
        </row>
        <row r="875">
          <cell r="A875" t="str">
            <v>PLN   Złoty</v>
          </cell>
          <cell r="E875" t="str">
            <v>KC Centra dystrybucji</v>
          </cell>
          <cell r="H875">
            <v>45</v>
          </cell>
          <cell r="J875">
            <v>1234.94</v>
          </cell>
          <cell r="K875">
            <v>853.03999999999905</v>
          </cell>
          <cell r="L875">
            <v>0</v>
          </cell>
          <cell r="M875">
            <v>0</v>
          </cell>
          <cell r="N875">
            <v>853.03999999999905</v>
          </cell>
          <cell r="O875">
            <v>27503.41</v>
          </cell>
          <cell r="Q875">
            <v>0</v>
          </cell>
          <cell r="R875">
            <v>27503.41</v>
          </cell>
          <cell r="S875">
            <v>2787.19</v>
          </cell>
          <cell r="T875">
            <v>7.71999999999999</v>
          </cell>
          <cell r="U875">
            <v>27511.13</v>
          </cell>
        </row>
        <row r="876">
          <cell r="A876" t="str">
            <v>PLN   Złoty</v>
          </cell>
          <cell r="E876" t="str">
            <v>KC Centra dystrybucji</v>
          </cell>
          <cell r="H876">
            <v>87</v>
          </cell>
          <cell r="J876">
            <v>2388.77</v>
          </cell>
          <cell r="K876">
            <v>1649.18</v>
          </cell>
          <cell r="L876">
            <v>0</v>
          </cell>
          <cell r="M876">
            <v>0</v>
          </cell>
          <cell r="N876">
            <v>1649.18</v>
          </cell>
          <cell r="O876">
            <v>47333.43</v>
          </cell>
          <cell r="Q876">
            <v>0</v>
          </cell>
          <cell r="R876">
            <v>47333.43</v>
          </cell>
          <cell r="S876">
            <v>11257.41</v>
          </cell>
          <cell r="T876">
            <v>13.16</v>
          </cell>
          <cell r="U876">
            <v>47346.589999999902</v>
          </cell>
        </row>
        <row r="877">
          <cell r="A877" t="str">
            <v>PLN   Złoty</v>
          </cell>
          <cell r="E877" t="str">
            <v>KC Centra dystrybucji</v>
          </cell>
          <cell r="H877">
            <v>17</v>
          </cell>
          <cell r="J877">
            <v>471.3</v>
          </cell>
          <cell r="K877">
            <v>322.25</v>
          </cell>
          <cell r="L877">
            <v>0</v>
          </cell>
          <cell r="M877">
            <v>0</v>
          </cell>
          <cell r="N877">
            <v>322.25</v>
          </cell>
          <cell r="O877">
            <v>9253.5799999999908</v>
          </cell>
          <cell r="Q877">
            <v>0</v>
          </cell>
          <cell r="R877">
            <v>9253.5799999999908</v>
          </cell>
          <cell r="S877">
            <v>2306.42</v>
          </cell>
          <cell r="T877">
            <v>2.5699999999999901</v>
          </cell>
          <cell r="U877">
            <v>9256.1499999999905</v>
          </cell>
        </row>
        <row r="878">
          <cell r="A878" t="str">
            <v>PLN   Złoty</v>
          </cell>
          <cell r="E878" t="str">
            <v>KC Centra dystrybucji</v>
          </cell>
          <cell r="H878">
            <v>38</v>
          </cell>
          <cell r="J878">
            <v>1042.1400000000001</v>
          </cell>
          <cell r="K878">
            <v>720.33</v>
          </cell>
          <cell r="L878">
            <v>0</v>
          </cell>
          <cell r="M878">
            <v>0</v>
          </cell>
          <cell r="N878">
            <v>720.33</v>
          </cell>
          <cell r="O878">
            <v>20673.139999999901</v>
          </cell>
          <cell r="Q878">
            <v>0</v>
          </cell>
          <cell r="R878">
            <v>20673.139999999901</v>
          </cell>
          <cell r="S878">
            <v>4888.0600000000004</v>
          </cell>
          <cell r="T878">
            <v>5.74</v>
          </cell>
          <cell r="U878">
            <v>20678.88</v>
          </cell>
        </row>
        <row r="879">
          <cell r="A879" t="str">
            <v>PLN   Złoty</v>
          </cell>
          <cell r="E879" t="str">
            <v>KC Centra dystrybucji</v>
          </cell>
          <cell r="H879">
            <v>72</v>
          </cell>
          <cell r="J879">
            <v>1982.17</v>
          </cell>
          <cell r="K879">
            <v>1364.8399999999899</v>
          </cell>
          <cell r="L879">
            <v>0</v>
          </cell>
          <cell r="M879">
            <v>0</v>
          </cell>
          <cell r="N879">
            <v>1364.8399999999899</v>
          </cell>
          <cell r="O879">
            <v>43068.809999999903</v>
          </cell>
          <cell r="Q879">
            <v>0</v>
          </cell>
          <cell r="R879">
            <v>43068.809999999903</v>
          </cell>
          <cell r="S879">
            <v>5548.47</v>
          </cell>
          <cell r="T879">
            <v>12.07</v>
          </cell>
          <cell r="U879">
            <v>43080.879999999903</v>
          </cell>
        </row>
        <row r="880">
          <cell r="A880" t="str">
            <v>PLN   Złoty</v>
          </cell>
          <cell r="E880" t="str">
            <v>KC Centra dystrybucji</v>
          </cell>
          <cell r="H880">
            <v>125</v>
          </cell>
          <cell r="J880">
            <v>3440.6399999999899</v>
          </cell>
          <cell r="K880">
            <v>2369.5100000000002</v>
          </cell>
          <cell r="L880">
            <v>0</v>
          </cell>
          <cell r="M880">
            <v>0</v>
          </cell>
          <cell r="N880">
            <v>2369.5100000000002</v>
          </cell>
          <cell r="O880">
            <v>73220.36</v>
          </cell>
          <cell r="Q880">
            <v>0</v>
          </cell>
          <cell r="R880">
            <v>73220.36</v>
          </cell>
          <cell r="S880">
            <v>11167.639999999899</v>
          </cell>
          <cell r="T880">
            <v>20.48</v>
          </cell>
          <cell r="U880">
            <v>73240.839999999895</v>
          </cell>
        </row>
        <row r="881">
          <cell r="A881" t="str">
            <v>PLN   Złoty</v>
          </cell>
          <cell r="E881" t="str">
            <v>KC Centra dystrybucji</v>
          </cell>
          <cell r="H881">
            <v>54</v>
          </cell>
          <cell r="J881">
            <v>1481.13</v>
          </cell>
          <cell r="K881">
            <v>1023.62</v>
          </cell>
          <cell r="L881">
            <v>0</v>
          </cell>
          <cell r="M881">
            <v>0</v>
          </cell>
          <cell r="N881">
            <v>1023.62</v>
          </cell>
          <cell r="O881">
            <v>32463.83</v>
          </cell>
          <cell r="Q881">
            <v>0</v>
          </cell>
          <cell r="R881">
            <v>32463.83</v>
          </cell>
          <cell r="S881">
            <v>3864.4899999999898</v>
          </cell>
          <cell r="T881">
            <v>9.0999999999999908</v>
          </cell>
          <cell r="U881">
            <v>32472.93</v>
          </cell>
        </row>
        <row r="882">
          <cell r="A882" t="str">
            <v>PLN   Złoty</v>
          </cell>
          <cell r="E882" t="str">
            <v>KC Centra dystrybucji</v>
          </cell>
          <cell r="H882">
            <v>103</v>
          </cell>
          <cell r="J882">
            <v>2831.21</v>
          </cell>
          <cell r="K882">
            <v>1952.48</v>
          </cell>
          <cell r="L882">
            <v>0</v>
          </cell>
          <cell r="M882">
            <v>0</v>
          </cell>
          <cell r="N882">
            <v>1952.48</v>
          </cell>
          <cell r="O882">
            <v>61927.849999999897</v>
          </cell>
          <cell r="Q882">
            <v>0</v>
          </cell>
          <cell r="R882">
            <v>61927.849999999897</v>
          </cell>
          <cell r="S882">
            <v>7515.79</v>
          </cell>
          <cell r="T882">
            <v>17.37</v>
          </cell>
          <cell r="U882">
            <v>61945.22</v>
          </cell>
        </row>
        <row r="883">
          <cell r="A883" t="str">
            <v>PLN   Złoty</v>
          </cell>
          <cell r="E883" t="str">
            <v>KC Centra dystrybucji</v>
          </cell>
          <cell r="H883">
            <v>24</v>
          </cell>
          <cell r="J883">
            <v>665.38999999999896</v>
          </cell>
          <cell r="K883">
            <v>454.94</v>
          </cell>
          <cell r="L883">
            <v>0</v>
          </cell>
          <cell r="M883">
            <v>0</v>
          </cell>
          <cell r="N883">
            <v>454.94</v>
          </cell>
          <cell r="O883">
            <v>13063.91</v>
          </cell>
          <cell r="Q883">
            <v>0</v>
          </cell>
          <cell r="R883">
            <v>13063.91</v>
          </cell>
          <cell r="S883">
            <v>3256.09</v>
          </cell>
          <cell r="T883">
            <v>3.6299999999999901</v>
          </cell>
          <cell r="U883">
            <v>13067.54</v>
          </cell>
        </row>
        <row r="884">
          <cell r="A884" t="str">
            <v>PLN   Złoty</v>
          </cell>
          <cell r="E884" t="str">
            <v>KC Centra dystrybucji</v>
          </cell>
          <cell r="H884">
            <v>110</v>
          </cell>
          <cell r="J884">
            <v>3044.6199999999899</v>
          </cell>
          <cell r="K884">
            <v>2085.1599999999899</v>
          </cell>
          <cell r="L884">
            <v>0</v>
          </cell>
          <cell r="M884">
            <v>0</v>
          </cell>
          <cell r="N884">
            <v>2085.1599999999899</v>
          </cell>
          <cell r="O884">
            <v>69366.460000000006</v>
          </cell>
          <cell r="Q884">
            <v>0</v>
          </cell>
          <cell r="R884">
            <v>69366.460000000006</v>
          </cell>
          <cell r="S884">
            <v>5311.14</v>
          </cell>
          <cell r="T884">
            <v>19.510000000000002</v>
          </cell>
          <cell r="U884">
            <v>69385.97</v>
          </cell>
        </row>
        <row r="885">
          <cell r="A885" t="str">
            <v>PLN   Złoty</v>
          </cell>
          <cell r="E885" t="str">
            <v>KC Centra dystrybucji</v>
          </cell>
          <cell r="H885">
            <v>60</v>
          </cell>
          <cell r="J885">
            <v>1658.44</v>
          </cell>
          <cell r="K885">
            <v>1137.3699999999899</v>
          </cell>
          <cell r="L885">
            <v>0</v>
          </cell>
          <cell r="M885">
            <v>0</v>
          </cell>
          <cell r="N885">
            <v>1137.3699999999899</v>
          </cell>
          <cell r="O885">
            <v>37510.949999999903</v>
          </cell>
          <cell r="Q885">
            <v>0</v>
          </cell>
          <cell r="R885">
            <v>37510.949999999903</v>
          </cell>
          <cell r="S885">
            <v>3166.65</v>
          </cell>
          <cell r="T885">
            <v>10.5399999999999</v>
          </cell>
          <cell r="U885">
            <v>37521.489999999903</v>
          </cell>
        </row>
        <row r="886">
          <cell r="A886" t="str">
            <v>PLN   Złoty</v>
          </cell>
          <cell r="E886" t="str">
            <v>KC Centra dystrybucji</v>
          </cell>
          <cell r="H886">
            <v>25</v>
          </cell>
          <cell r="J886">
            <v>687.02999999999895</v>
          </cell>
          <cell r="K886">
            <v>473.89999999999901</v>
          </cell>
          <cell r="L886">
            <v>0</v>
          </cell>
          <cell r="M886">
            <v>0</v>
          </cell>
          <cell r="N886">
            <v>473.89999999999901</v>
          </cell>
          <cell r="O886">
            <v>15760.18</v>
          </cell>
          <cell r="Q886">
            <v>0</v>
          </cell>
          <cell r="R886">
            <v>15760.18</v>
          </cell>
          <cell r="S886">
            <v>1090.22</v>
          </cell>
          <cell r="T886">
            <v>4.4299999999999899</v>
          </cell>
          <cell r="U886">
            <v>15764.61</v>
          </cell>
        </row>
        <row r="887">
          <cell r="A887" t="str">
            <v>PLN   Złoty</v>
          </cell>
          <cell r="E887" t="str">
            <v>KC Centra dystrybucji</v>
          </cell>
          <cell r="H887">
            <v>25</v>
          </cell>
          <cell r="J887">
            <v>688.24</v>
          </cell>
          <cell r="K887">
            <v>473.89999999999901</v>
          </cell>
          <cell r="L887">
            <v>0</v>
          </cell>
          <cell r="M887">
            <v>0</v>
          </cell>
          <cell r="N887">
            <v>473.89999999999901</v>
          </cell>
          <cell r="O887">
            <v>15761.379999999899</v>
          </cell>
          <cell r="Q887">
            <v>0</v>
          </cell>
          <cell r="R887">
            <v>15761.379999999899</v>
          </cell>
          <cell r="S887">
            <v>1119.6199999999899</v>
          </cell>
          <cell r="T887">
            <v>4.4299999999999899</v>
          </cell>
          <cell r="U887">
            <v>15765.809999999899</v>
          </cell>
        </row>
        <row r="888">
          <cell r="A888" t="str">
            <v>PLN   Złoty</v>
          </cell>
          <cell r="E888" t="str">
            <v>KC Centra dystrybucji</v>
          </cell>
          <cell r="H888">
            <v>12</v>
          </cell>
          <cell r="J888">
            <v>329.31999999999903</v>
          </cell>
          <cell r="K888">
            <v>227.47</v>
          </cell>
          <cell r="L888">
            <v>0</v>
          </cell>
          <cell r="M888">
            <v>0</v>
          </cell>
          <cell r="N888">
            <v>227.47</v>
          </cell>
          <cell r="O888">
            <v>7564.43</v>
          </cell>
          <cell r="Q888">
            <v>0</v>
          </cell>
          <cell r="R888">
            <v>7564.43</v>
          </cell>
          <cell r="S888">
            <v>513.97</v>
          </cell>
          <cell r="T888">
            <v>2.1299999999999901</v>
          </cell>
          <cell r="U888">
            <v>7566.56</v>
          </cell>
        </row>
        <row r="889">
          <cell r="A889" t="str">
            <v>PLN   Złoty</v>
          </cell>
          <cell r="E889" t="str">
            <v>KC Centra dystrybucji</v>
          </cell>
          <cell r="H889">
            <v>10</v>
          </cell>
          <cell r="J889">
            <v>275.27999999999901</v>
          </cell>
          <cell r="K889">
            <v>189.569999999999</v>
          </cell>
          <cell r="L889">
            <v>0</v>
          </cell>
          <cell r="M889">
            <v>0</v>
          </cell>
          <cell r="N889">
            <v>189.569999999999</v>
          </cell>
          <cell r="O889">
            <v>6304.55</v>
          </cell>
          <cell r="Q889">
            <v>0</v>
          </cell>
          <cell r="R889">
            <v>6304.55</v>
          </cell>
          <cell r="S889">
            <v>447.85</v>
          </cell>
          <cell r="T889">
            <v>1.78</v>
          </cell>
          <cell r="U889">
            <v>6306.3299999999899</v>
          </cell>
        </row>
        <row r="890">
          <cell r="A890" t="str">
            <v>PLN   Złoty</v>
          </cell>
          <cell r="E890" t="str">
            <v>KC Centra dystrybucji</v>
          </cell>
          <cell r="H890">
            <v>14</v>
          </cell>
          <cell r="J890">
            <v>383.13999999999902</v>
          </cell>
          <cell r="K890">
            <v>265.38</v>
          </cell>
          <cell r="L890">
            <v>0</v>
          </cell>
          <cell r="M890">
            <v>0</v>
          </cell>
          <cell r="N890">
            <v>265.38</v>
          </cell>
          <cell r="O890">
            <v>7615.6099999999897</v>
          </cell>
          <cell r="Q890">
            <v>0</v>
          </cell>
          <cell r="R890">
            <v>7615.6099999999897</v>
          </cell>
          <cell r="S890">
            <v>1780.63</v>
          </cell>
          <cell r="T890">
            <v>2.12</v>
          </cell>
          <cell r="U890">
            <v>7617.7299999999896</v>
          </cell>
        </row>
        <row r="891">
          <cell r="A891" t="str">
            <v>PLN   Złoty</v>
          </cell>
          <cell r="E891" t="str">
            <v>KC Centra dystrybucji</v>
          </cell>
          <cell r="H891">
            <v>12</v>
          </cell>
          <cell r="J891">
            <v>332.66</v>
          </cell>
          <cell r="K891">
            <v>227.47</v>
          </cell>
          <cell r="L891">
            <v>0</v>
          </cell>
          <cell r="M891">
            <v>0</v>
          </cell>
          <cell r="N891">
            <v>227.47</v>
          </cell>
          <cell r="O891">
            <v>7217.6999999999898</v>
          </cell>
          <cell r="Q891">
            <v>0</v>
          </cell>
          <cell r="R891">
            <v>7217.6999999999898</v>
          </cell>
          <cell r="S891">
            <v>942.29999999999905</v>
          </cell>
          <cell r="T891">
            <v>2.02</v>
          </cell>
          <cell r="U891">
            <v>7219.72</v>
          </cell>
        </row>
        <row r="892">
          <cell r="A892" t="str">
            <v>PLN   Złoty</v>
          </cell>
          <cell r="E892" t="str">
            <v>KC Centra dystrybucji</v>
          </cell>
          <cell r="H892">
            <v>24</v>
          </cell>
          <cell r="J892">
            <v>1016.38</v>
          </cell>
          <cell r="K892">
            <v>321.44</v>
          </cell>
          <cell r="L892">
            <v>0</v>
          </cell>
          <cell r="M892">
            <v>0</v>
          </cell>
          <cell r="N892">
            <v>321.44</v>
          </cell>
          <cell r="O892">
            <v>25242.93</v>
          </cell>
          <cell r="Q892">
            <v>0</v>
          </cell>
          <cell r="R892">
            <v>25242.93</v>
          </cell>
          <cell r="S892">
            <v>-313.41000000000003</v>
          </cell>
          <cell r="T892">
            <v>7.2699999999999898</v>
          </cell>
          <cell r="U892">
            <v>25250.2</v>
          </cell>
        </row>
        <row r="893">
          <cell r="A893" t="str">
            <v>PLN   Złoty</v>
          </cell>
          <cell r="E893" t="str">
            <v>KC Centra dystrybucji</v>
          </cell>
          <cell r="H893">
            <v>21.5</v>
          </cell>
          <cell r="J893">
            <v>904.08</v>
          </cell>
          <cell r="K893">
            <v>287.95999999999901</v>
          </cell>
          <cell r="L893">
            <v>0</v>
          </cell>
          <cell r="M893">
            <v>0</v>
          </cell>
          <cell r="N893">
            <v>287.95999999999901</v>
          </cell>
          <cell r="O893">
            <v>20703.72</v>
          </cell>
          <cell r="Q893">
            <v>0</v>
          </cell>
          <cell r="R893">
            <v>20703.72</v>
          </cell>
          <cell r="S893">
            <v>1471.5999999999899</v>
          </cell>
          <cell r="T893">
            <v>5.9299999999999899</v>
          </cell>
          <cell r="U893">
            <v>20709.650000000001</v>
          </cell>
        </row>
        <row r="894">
          <cell r="A894" t="str">
            <v>PLN   Złoty</v>
          </cell>
          <cell r="E894" t="str">
            <v>KC Centra dystrybucji</v>
          </cell>
          <cell r="H894">
            <v>72.5</v>
          </cell>
          <cell r="J894">
            <v>3048.7399999999898</v>
          </cell>
          <cell r="K894">
            <v>971.01999999999896</v>
          </cell>
          <cell r="L894">
            <v>0</v>
          </cell>
          <cell r="M894">
            <v>0</v>
          </cell>
          <cell r="N894">
            <v>971.01999999999896</v>
          </cell>
          <cell r="O894">
            <v>69814.949999999895</v>
          </cell>
          <cell r="Q894">
            <v>0</v>
          </cell>
          <cell r="R894">
            <v>69814.949999999895</v>
          </cell>
          <cell r="S894">
            <v>4962.2799999999897</v>
          </cell>
          <cell r="T894">
            <v>19.989999999999899</v>
          </cell>
          <cell r="U894">
            <v>69834.94</v>
          </cell>
        </row>
        <row r="895">
          <cell r="A895" t="str">
            <v>PLN   Złoty</v>
          </cell>
          <cell r="E895" t="str">
            <v>KC Centra dystrybucji</v>
          </cell>
          <cell r="H895">
            <v>0</v>
          </cell>
          <cell r="J895">
            <v>-22.46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-22.46</v>
          </cell>
          <cell r="Q895">
            <v>0</v>
          </cell>
          <cell r="R895">
            <v>-22.46</v>
          </cell>
          <cell r="S895">
            <v>-527.62</v>
          </cell>
          <cell r="T895">
            <v>0</v>
          </cell>
          <cell r="U895">
            <v>-22.46</v>
          </cell>
        </row>
        <row r="896">
          <cell r="A896" t="str">
            <v>PLN   Złoty</v>
          </cell>
          <cell r="E896" t="str">
            <v>KC Centra dystrybucji</v>
          </cell>
          <cell r="H896">
            <v>40</v>
          </cell>
          <cell r="J896">
            <v>1686.47</v>
          </cell>
          <cell r="K896">
            <v>535.74</v>
          </cell>
          <cell r="L896">
            <v>0</v>
          </cell>
          <cell r="M896">
            <v>0</v>
          </cell>
          <cell r="N896">
            <v>535.74</v>
          </cell>
          <cell r="O896">
            <v>39850.9</v>
          </cell>
          <cell r="Q896">
            <v>0</v>
          </cell>
          <cell r="R896">
            <v>39850.9</v>
          </cell>
          <cell r="S896">
            <v>1515.3</v>
          </cell>
          <cell r="T896">
            <v>11.43</v>
          </cell>
          <cell r="U896">
            <v>39862.33</v>
          </cell>
        </row>
        <row r="897">
          <cell r="A897" t="str">
            <v>PLN   Złoty</v>
          </cell>
          <cell r="E897" t="str">
            <v>KC Centra dystrybucji</v>
          </cell>
          <cell r="H897">
            <v>36</v>
          </cell>
          <cell r="J897">
            <v>1513.8399999999899</v>
          </cell>
          <cell r="K897">
            <v>482.17</v>
          </cell>
          <cell r="L897">
            <v>0</v>
          </cell>
          <cell r="M897">
            <v>0</v>
          </cell>
          <cell r="N897">
            <v>482.17</v>
          </cell>
          <cell r="O897">
            <v>37853.669999999896</v>
          </cell>
          <cell r="Q897">
            <v>0</v>
          </cell>
          <cell r="R897">
            <v>37853.669999999896</v>
          </cell>
          <cell r="S897">
            <v>-722.54999999999905</v>
          </cell>
          <cell r="T897">
            <v>10.9</v>
          </cell>
          <cell r="U897">
            <v>37864.57</v>
          </cell>
        </row>
        <row r="898">
          <cell r="A898" t="str">
            <v>PLN   Złoty</v>
          </cell>
          <cell r="E898" t="str">
            <v>KC Centra dystrybucji</v>
          </cell>
          <cell r="H898">
            <v>16</v>
          </cell>
          <cell r="J898">
            <v>672.85</v>
          </cell>
          <cell r="K898">
            <v>214.289999999999</v>
          </cell>
          <cell r="L898">
            <v>0</v>
          </cell>
          <cell r="M898">
            <v>0</v>
          </cell>
          <cell r="N898">
            <v>214.289999999999</v>
          </cell>
          <cell r="O898">
            <v>15407.459999999901</v>
          </cell>
          <cell r="Q898">
            <v>0</v>
          </cell>
          <cell r="R898">
            <v>15407.459999999901</v>
          </cell>
          <cell r="S898">
            <v>1095.26</v>
          </cell>
          <cell r="T898">
            <v>4.41</v>
          </cell>
          <cell r="U898">
            <v>15411.87</v>
          </cell>
        </row>
        <row r="899">
          <cell r="A899" t="str">
            <v>PLN   Złoty</v>
          </cell>
          <cell r="E899" t="str">
            <v>KC Centra dystrybucji</v>
          </cell>
          <cell r="H899">
            <v>28</v>
          </cell>
          <cell r="J899">
            <v>903.67999999999904</v>
          </cell>
          <cell r="K899">
            <v>345.39999999999901</v>
          </cell>
          <cell r="L899">
            <v>0</v>
          </cell>
          <cell r="M899">
            <v>0</v>
          </cell>
          <cell r="N899">
            <v>345.39999999999901</v>
          </cell>
          <cell r="O899">
            <v>18483.900000000001</v>
          </cell>
          <cell r="Q899">
            <v>0</v>
          </cell>
          <cell r="R899">
            <v>18483.900000000001</v>
          </cell>
          <cell r="S899">
            <v>3680.78</v>
          </cell>
          <cell r="T899">
            <v>5.24</v>
          </cell>
          <cell r="U899">
            <v>18489.139999999901</v>
          </cell>
        </row>
        <row r="900">
          <cell r="A900" t="str">
            <v>PLN   Złoty</v>
          </cell>
          <cell r="E900" t="str">
            <v>KC Centra dystrybucji</v>
          </cell>
          <cell r="H900">
            <v>8</v>
          </cell>
          <cell r="J900">
            <v>257.48</v>
          </cell>
          <cell r="K900">
            <v>98.689999999999898</v>
          </cell>
          <cell r="L900">
            <v>0</v>
          </cell>
          <cell r="M900">
            <v>0</v>
          </cell>
          <cell r="N900">
            <v>98.689999999999898</v>
          </cell>
          <cell r="O900">
            <v>5280.3999999999896</v>
          </cell>
          <cell r="Q900">
            <v>0</v>
          </cell>
          <cell r="R900">
            <v>5280.3999999999896</v>
          </cell>
          <cell r="S900">
            <v>1035.1199999999899</v>
          </cell>
          <cell r="T900">
            <v>1.49</v>
          </cell>
          <cell r="U900">
            <v>5281.89</v>
          </cell>
        </row>
        <row r="901">
          <cell r="A901" t="str">
            <v>PLN   Złoty</v>
          </cell>
          <cell r="E901" t="str">
            <v>KC Centra dystrybucji</v>
          </cell>
          <cell r="H901">
            <v>25</v>
          </cell>
          <cell r="J901">
            <v>803.42999999999904</v>
          </cell>
          <cell r="K901">
            <v>308.38999999999902</v>
          </cell>
          <cell r="L901">
            <v>0</v>
          </cell>
          <cell r="M901">
            <v>0</v>
          </cell>
          <cell r="N901">
            <v>308.38999999999902</v>
          </cell>
          <cell r="O901">
            <v>16415.799999999901</v>
          </cell>
          <cell r="Q901">
            <v>0</v>
          </cell>
          <cell r="R901">
            <v>16415.799999999901</v>
          </cell>
          <cell r="S901">
            <v>3291.3899999999899</v>
          </cell>
          <cell r="T901">
            <v>4.6500000000000004</v>
          </cell>
          <cell r="U901">
            <v>16420.45</v>
          </cell>
        </row>
        <row r="902">
          <cell r="A902" t="str">
            <v>PLN   Złoty</v>
          </cell>
          <cell r="E902" t="str">
            <v>KC Centra dystrybucji</v>
          </cell>
          <cell r="H902">
            <v>40</v>
          </cell>
          <cell r="J902">
            <v>1288.5899999999899</v>
          </cell>
          <cell r="K902">
            <v>493.43</v>
          </cell>
          <cell r="L902">
            <v>0</v>
          </cell>
          <cell r="M902">
            <v>0</v>
          </cell>
          <cell r="N902">
            <v>493.43</v>
          </cell>
          <cell r="O902">
            <v>26403.1899999999</v>
          </cell>
          <cell r="Q902">
            <v>0</v>
          </cell>
          <cell r="R902">
            <v>26403.1899999999</v>
          </cell>
          <cell r="S902">
            <v>5202.97</v>
          </cell>
          <cell r="T902">
            <v>7.46999999999999</v>
          </cell>
          <cell r="U902">
            <v>26410.66</v>
          </cell>
        </row>
        <row r="903">
          <cell r="A903" t="str">
            <v>PLN   Złoty</v>
          </cell>
          <cell r="E903" t="str">
            <v>KC Centra dystrybucji</v>
          </cell>
          <cell r="H903">
            <v>42</v>
          </cell>
          <cell r="J903">
            <v>1349.68</v>
          </cell>
          <cell r="K903">
            <v>518.1</v>
          </cell>
          <cell r="L903">
            <v>0</v>
          </cell>
          <cell r="M903">
            <v>0</v>
          </cell>
          <cell r="N903">
            <v>518.1</v>
          </cell>
          <cell r="O903">
            <v>27720</v>
          </cell>
          <cell r="Q903">
            <v>0</v>
          </cell>
          <cell r="R903">
            <v>27720</v>
          </cell>
          <cell r="S903">
            <v>5383.8999999999896</v>
          </cell>
          <cell r="T903">
            <v>7.86</v>
          </cell>
          <cell r="U903">
            <v>27727.86</v>
          </cell>
        </row>
        <row r="904">
          <cell r="A904" t="str">
            <v>PLN   Złoty</v>
          </cell>
          <cell r="E904" t="str">
            <v>KC Centra dystrybucji</v>
          </cell>
          <cell r="H904">
            <v>24</v>
          </cell>
          <cell r="J904">
            <v>777.88999999999896</v>
          </cell>
          <cell r="K904">
            <v>296.06</v>
          </cell>
          <cell r="L904">
            <v>0</v>
          </cell>
          <cell r="M904">
            <v>0</v>
          </cell>
          <cell r="N904">
            <v>296.06</v>
          </cell>
          <cell r="O904">
            <v>15846.65</v>
          </cell>
          <cell r="Q904">
            <v>0</v>
          </cell>
          <cell r="R904">
            <v>15846.65</v>
          </cell>
          <cell r="S904">
            <v>3233.3499999999899</v>
          </cell>
          <cell r="T904">
            <v>4.4800000000000004</v>
          </cell>
          <cell r="U904">
            <v>15851.129999999899</v>
          </cell>
        </row>
        <row r="905">
          <cell r="A905" t="str">
            <v>PLN   Złoty</v>
          </cell>
          <cell r="E905" t="str">
            <v>KC Centra dystrybucji</v>
          </cell>
          <cell r="H905">
            <v>22</v>
          </cell>
          <cell r="J905">
            <v>657.09</v>
          </cell>
          <cell r="K905">
            <v>324.33999999999901</v>
          </cell>
          <cell r="L905">
            <v>0</v>
          </cell>
          <cell r="M905">
            <v>0</v>
          </cell>
          <cell r="N905">
            <v>324.33999999999901</v>
          </cell>
          <cell r="O905">
            <v>13740.62</v>
          </cell>
          <cell r="Q905">
            <v>0</v>
          </cell>
          <cell r="R905">
            <v>13740.62</v>
          </cell>
          <cell r="S905">
            <v>2376.46</v>
          </cell>
          <cell r="T905">
            <v>3.8799999999999901</v>
          </cell>
          <cell r="U905">
            <v>13744.5</v>
          </cell>
        </row>
        <row r="906">
          <cell r="A906" t="str">
            <v>PLN   Złoty</v>
          </cell>
          <cell r="E906" t="str">
            <v>KC Centra dystrybucji</v>
          </cell>
          <cell r="H906">
            <v>200</v>
          </cell>
          <cell r="J906">
            <v>5993.2799999999897</v>
          </cell>
          <cell r="K906">
            <v>2948.4499999999898</v>
          </cell>
          <cell r="L906">
            <v>0</v>
          </cell>
          <cell r="M906">
            <v>0</v>
          </cell>
          <cell r="N906">
            <v>2948.4499999999898</v>
          </cell>
          <cell r="O906">
            <v>108978.03</v>
          </cell>
          <cell r="Q906">
            <v>0</v>
          </cell>
          <cell r="R906">
            <v>108978.03</v>
          </cell>
          <cell r="S906">
            <v>38021.97</v>
          </cell>
          <cell r="T906">
            <v>30.399999999999899</v>
          </cell>
          <cell r="U906">
            <v>109008.429999999</v>
          </cell>
        </row>
        <row r="907">
          <cell r="A907" t="str">
            <v>PLN   Złoty</v>
          </cell>
          <cell r="E907" t="str">
            <v>KC Centra dystrybucji</v>
          </cell>
          <cell r="H907">
            <v>86</v>
          </cell>
          <cell r="J907">
            <v>2551.8299999999899</v>
          </cell>
          <cell r="K907">
            <v>1267.8399999999899</v>
          </cell>
          <cell r="L907">
            <v>0</v>
          </cell>
          <cell r="M907">
            <v>0</v>
          </cell>
          <cell r="N907">
            <v>1267.8399999999899</v>
          </cell>
          <cell r="O907">
            <v>54106.459999999897</v>
          </cell>
          <cell r="Q907">
            <v>0</v>
          </cell>
          <cell r="R907">
            <v>54106.459999999897</v>
          </cell>
          <cell r="S907">
            <v>8484.76</v>
          </cell>
          <cell r="T907">
            <v>15.2799999999999</v>
          </cell>
          <cell r="U907">
            <v>54121.739999999903</v>
          </cell>
        </row>
        <row r="908">
          <cell r="A908" t="str">
            <v>PLN   Złoty</v>
          </cell>
          <cell r="E908" t="str">
            <v>KC Centra dystrybucji</v>
          </cell>
          <cell r="H908">
            <v>41</v>
          </cell>
          <cell r="J908">
            <v>1220.79</v>
          </cell>
          <cell r="K908">
            <v>604.42999999999904</v>
          </cell>
          <cell r="L908">
            <v>0</v>
          </cell>
          <cell r="M908">
            <v>0</v>
          </cell>
          <cell r="N908">
            <v>604.42999999999904</v>
          </cell>
          <cell r="O908">
            <v>22332.66</v>
          </cell>
          <cell r="Q908">
            <v>0</v>
          </cell>
          <cell r="R908">
            <v>22332.66</v>
          </cell>
          <cell r="S908">
            <v>7609.85</v>
          </cell>
          <cell r="T908">
            <v>6.23</v>
          </cell>
          <cell r="U908">
            <v>22338.889999999901</v>
          </cell>
        </row>
        <row r="909">
          <cell r="A909" t="str">
            <v>PLN   Złoty</v>
          </cell>
          <cell r="E909" t="str">
            <v>KC Centra dystrybucji</v>
          </cell>
          <cell r="H909">
            <v>24</v>
          </cell>
          <cell r="J909">
            <v>711.97</v>
          </cell>
          <cell r="K909">
            <v>353.81999999999903</v>
          </cell>
          <cell r="L909">
            <v>0</v>
          </cell>
          <cell r="M909">
            <v>0</v>
          </cell>
          <cell r="N909">
            <v>353.81999999999903</v>
          </cell>
          <cell r="O909">
            <v>14984.91</v>
          </cell>
          <cell r="Q909">
            <v>0</v>
          </cell>
          <cell r="R909">
            <v>14984.91</v>
          </cell>
          <cell r="S909">
            <v>2478.69</v>
          </cell>
          <cell r="T909">
            <v>4.2300000000000004</v>
          </cell>
          <cell r="U909">
            <v>14989.139999999899</v>
          </cell>
        </row>
        <row r="910">
          <cell r="A910" t="str">
            <v>PLN   Złoty</v>
          </cell>
          <cell r="E910" t="str">
            <v>KC Centra dystrybucji</v>
          </cell>
          <cell r="H910">
            <v>21.5</v>
          </cell>
          <cell r="J910">
            <v>637.97</v>
          </cell>
          <cell r="K910">
            <v>316.95999999999901</v>
          </cell>
          <cell r="L910">
            <v>0</v>
          </cell>
          <cell r="M910">
            <v>0</v>
          </cell>
          <cell r="N910">
            <v>316.95999999999901</v>
          </cell>
          <cell r="O910">
            <v>12289.379999999899</v>
          </cell>
          <cell r="Q910">
            <v>0</v>
          </cell>
          <cell r="R910">
            <v>12289.379999999899</v>
          </cell>
          <cell r="S910">
            <v>3356.8699999999899</v>
          </cell>
          <cell r="T910">
            <v>3.4399999999999902</v>
          </cell>
          <cell r="U910">
            <v>12292.82</v>
          </cell>
        </row>
        <row r="911">
          <cell r="A911" t="str">
            <v>PLN   Złoty</v>
          </cell>
          <cell r="E911" t="str">
            <v>KC Centra dystrybucji</v>
          </cell>
          <cell r="H911">
            <v>25</v>
          </cell>
          <cell r="J911">
            <v>739.38999999999896</v>
          </cell>
          <cell r="K911">
            <v>368.56</v>
          </cell>
          <cell r="L911">
            <v>0</v>
          </cell>
          <cell r="M911">
            <v>0</v>
          </cell>
          <cell r="N911">
            <v>368.56</v>
          </cell>
          <cell r="O911">
            <v>16247.95</v>
          </cell>
          <cell r="Q911">
            <v>0</v>
          </cell>
          <cell r="R911">
            <v>16247.95</v>
          </cell>
          <cell r="S911">
            <v>1888.05</v>
          </cell>
          <cell r="T911">
            <v>4.5999999999999899</v>
          </cell>
          <cell r="U911">
            <v>16252.549999999899</v>
          </cell>
        </row>
        <row r="912">
          <cell r="A912" t="str">
            <v>PLN   Złoty</v>
          </cell>
          <cell r="E912" t="str">
            <v>KC Centra dystrybucji</v>
          </cell>
          <cell r="H912">
            <v>60</v>
          </cell>
          <cell r="J912">
            <v>1782.2</v>
          </cell>
          <cell r="K912">
            <v>884.53999999999905</v>
          </cell>
          <cell r="L912">
            <v>0</v>
          </cell>
          <cell r="M912">
            <v>0</v>
          </cell>
          <cell r="N912">
            <v>884.53999999999905</v>
          </cell>
          <cell r="O912">
            <v>32677.63</v>
          </cell>
          <cell r="Q912">
            <v>0</v>
          </cell>
          <cell r="R912">
            <v>32677.63</v>
          </cell>
          <cell r="S912">
            <v>11034.1</v>
          </cell>
          <cell r="T912">
            <v>9.1199999999999903</v>
          </cell>
          <cell r="U912">
            <v>32686.75</v>
          </cell>
        </row>
        <row r="913">
          <cell r="A913" t="str">
            <v>PLN   Złoty</v>
          </cell>
          <cell r="E913" t="str">
            <v>KC Centra dystrybucji</v>
          </cell>
          <cell r="H913">
            <v>21</v>
          </cell>
          <cell r="J913">
            <v>629.30999999999904</v>
          </cell>
          <cell r="K913">
            <v>309.58999999999901</v>
          </cell>
          <cell r="L913">
            <v>0</v>
          </cell>
          <cell r="M913">
            <v>0</v>
          </cell>
          <cell r="N913">
            <v>309.58999999999901</v>
          </cell>
          <cell r="O913">
            <v>11442.709999999901</v>
          </cell>
          <cell r="Q913">
            <v>0</v>
          </cell>
          <cell r="R913">
            <v>11442.709999999901</v>
          </cell>
          <cell r="S913">
            <v>3992.29</v>
          </cell>
          <cell r="T913">
            <v>3.1899999999999902</v>
          </cell>
          <cell r="U913">
            <v>11445.9</v>
          </cell>
        </row>
        <row r="914">
          <cell r="A914" t="str">
            <v>PLN   Złoty</v>
          </cell>
          <cell r="E914" t="str">
            <v>KC Centra dystrybucji</v>
          </cell>
          <cell r="H914">
            <v>120</v>
          </cell>
          <cell r="J914">
            <v>3561.8499999999899</v>
          </cell>
          <cell r="K914">
            <v>1769.0699999999899</v>
          </cell>
          <cell r="L914">
            <v>0</v>
          </cell>
          <cell r="M914">
            <v>0</v>
          </cell>
          <cell r="N914">
            <v>1769.0699999999899</v>
          </cell>
          <cell r="O914">
            <v>65352.699999999903</v>
          </cell>
          <cell r="Q914">
            <v>0</v>
          </cell>
          <cell r="R914">
            <v>65352.699999999903</v>
          </cell>
          <cell r="S914">
            <v>22009.799999999901</v>
          </cell>
          <cell r="T914">
            <v>18.23</v>
          </cell>
          <cell r="U914">
            <v>65370.93</v>
          </cell>
        </row>
        <row r="915">
          <cell r="A915" t="str">
            <v>PLN   Złoty</v>
          </cell>
          <cell r="E915" t="str">
            <v>KC Centra dystrybucji</v>
          </cell>
          <cell r="H915">
            <v>77</v>
          </cell>
          <cell r="J915">
            <v>2293.73</v>
          </cell>
          <cell r="K915">
            <v>1135.1600000000001</v>
          </cell>
          <cell r="L915">
            <v>0</v>
          </cell>
          <cell r="M915">
            <v>0</v>
          </cell>
          <cell r="N915">
            <v>1135.1600000000001</v>
          </cell>
          <cell r="O915">
            <v>48180.809999999903</v>
          </cell>
          <cell r="Q915">
            <v>0</v>
          </cell>
          <cell r="R915">
            <v>48180.809999999903</v>
          </cell>
          <cell r="S915">
            <v>8078.4399999999896</v>
          </cell>
          <cell r="T915">
            <v>13.6</v>
          </cell>
          <cell r="U915">
            <v>48194.41</v>
          </cell>
        </row>
        <row r="916">
          <cell r="A916" t="str">
            <v>PLN   Złoty</v>
          </cell>
          <cell r="E916" t="str">
            <v>KC Centra dystrybucji</v>
          </cell>
          <cell r="H916">
            <v>24</v>
          </cell>
          <cell r="J916">
            <v>719.16999999999905</v>
          </cell>
          <cell r="K916">
            <v>353.81999999999903</v>
          </cell>
          <cell r="L916">
            <v>0</v>
          </cell>
          <cell r="M916">
            <v>0</v>
          </cell>
          <cell r="N916">
            <v>353.81999999999903</v>
          </cell>
          <cell r="O916">
            <v>15058.049999999899</v>
          </cell>
          <cell r="Q916">
            <v>0</v>
          </cell>
          <cell r="R916">
            <v>15058.049999999899</v>
          </cell>
          <cell r="S916">
            <v>2581.9499999999898</v>
          </cell>
          <cell r="T916">
            <v>4.25999999999999</v>
          </cell>
          <cell r="U916">
            <v>15062.309999999899</v>
          </cell>
        </row>
        <row r="917">
          <cell r="A917" t="str">
            <v>PLN   Złoty</v>
          </cell>
          <cell r="E917" t="str">
            <v>KC Centra dystrybucji</v>
          </cell>
          <cell r="H917">
            <v>51</v>
          </cell>
          <cell r="J917">
            <v>1513.0899999999899</v>
          </cell>
          <cell r="K917">
            <v>751.86</v>
          </cell>
          <cell r="L917">
            <v>0</v>
          </cell>
          <cell r="M917">
            <v>0</v>
          </cell>
          <cell r="N917">
            <v>751.86</v>
          </cell>
          <cell r="O917">
            <v>30805.91</v>
          </cell>
          <cell r="Q917">
            <v>0</v>
          </cell>
          <cell r="R917">
            <v>30805.91</v>
          </cell>
          <cell r="S917">
            <v>6306.51</v>
          </cell>
          <cell r="T917">
            <v>8.6699999999999893</v>
          </cell>
          <cell r="U917">
            <v>30814.58</v>
          </cell>
        </row>
        <row r="918">
          <cell r="A918" t="str">
            <v>PLN   Złoty</v>
          </cell>
          <cell r="E918" t="str">
            <v>KC Centra dystrybucji</v>
          </cell>
          <cell r="H918">
            <v>10</v>
          </cell>
          <cell r="J918">
            <v>299.64999999999901</v>
          </cell>
          <cell r="K918">
            <v>147.41999999999899</v>
          </cell>
          <cell r="L918">
            <v>0</v>
          </cell>
          <cell r="M918">
            <v>0</v>
          </cell>
          <cell r="N918">
            <v>147.41999999999899</v>
          </cell>
          <cell r="O918">
            <v>5448.88</v>
          </cell>
          <cell r="Q918">
            <v>0</v>
          </cell>
          <cell r="R918">
            <v>5448.88</v>
          </cell>
          <cell r="S918">
            <v>1901.1199999999899</v>
          </cell>
          <cell r="T918">
            <v>1.52</v>
          </cell>
          <cell r="U918">
            <v>5450.3999999999896</v>
          </cell>
        </row>
        <row r="919">
          <cell r="A919" t="str">
            <v>PLN   Złoty</v>
          </cell>
          <cell r="E919" t="str">
            <v>KC Centra dystrybucji</v>
          </cell>
          <cell r="H919">
            <v>0</v>
          </cell>
          <cell r="J919">
            <v>0</v>
          </cell>
          <cell r="K919">
            <v>0</v>
          </cell>
          <cell r="L919">
            <v>34977.419999999896</v>
          </cell>
          <cell r="M919">
            <v>0</v>
          </cell>
          <cell r="N919">
            <v>34977.419999999896</v>
          </cell>
          <cell r="O919">
            <v>34977.419999999896</v>
          </cell>
          <cell r="Q919">
            <v>0</v>
          </cell>
          <cell r="R919">
            <v>34977.419999999896</v>
          </cell>
          <cell r="S919">
            <v>-34977.419999999896</v>
          </cell>
          <cell r="T919">
            <v>0</v>
          </cell>
          <cell r="U919">
            <v>34977.419999999896</v>
          </cell>
        </row>
        <row r="920">
          <cell r="A920" t="str">
            <v>PLN   Złoty</v>
          </cell>
          <cell r="E920" t="str">
            <v>KC Centra dystrybucji</v>
          </cell>
          <cell r="H920">
            <v>144</v>
          </cell>
          <cell r="J920">
            <v>4304.3699999999899</v>
          </cell>
          <cell r="K920">
            <v>2122.8899999999899</v>
          </cell>
          <cell r="L920">
            <v>0</v>
          </cell>
          <cell r="M920">
            <v>0</v>
          </cell>
          <cell r="N920">
            <v>2122.8899999999899</v>
          </cell>
          <cell r="O920">
            <v>91314.759999999893</v>
          </cell>
          <cell r="Q920">
            <v>0</v>
          </cell>
          <cell r="R920">
            <v>91314.759999999893</v>
          </cell>
          <cell r="S920">
            <v>14261.24</v>
          </cell>
          <cell r="T920">
            <v>25.8</v>
          </cell>
          <cell r="U920">
            <v>91340.559999999896</v>
          </cell>
        </row>
        <row r="921">
          <cell r="A921" t="str">
            <v>PLN   Złoty</v>
          </cell>
          <cell r="E921" t="str">
            <v>KC Centra dystrybucji</v>
          </cell>
          <cell r="H921">
            <v>30</v>
          </cell>
          <cell r="J921">
            <v>899.00999999999897</v>
          </cell>
          <cell r="K921">
            <v>442.25999999999902</v>
          </cell>
          <cell r="L921">
            <v>0</v>
          </cell>
          <cell r="M921">
            <v>0</v>
          </cell>
          <cell r="N921">
            <v>442.25999999999902</v>
          </cell>
          <cell r="O921">
            <v>19509.27</v>
          </cell>
          <cell r="Q921">
            <v>0</v>
          </cell>
          <cell r="R921">
            <v>19509.27</v>
          </cell>
          <cell r="S921">
            <v>2540.73</v>
          </cell>
          <cell r="T921">
            <v>5.5199999999999898</v>
          </cell>
          <cell r="U921">
            <v>19514.79</v>
          </cell>
        </row>
        <row r="922">
          <cell r="A922" t="str">
            <v>PLN   Złoty</v>
          </cell>
          <cell r="E922" t="str">
            <v>KC Centra dystrybucji</v>
          </cell>
          <cell r="H922">
            <v>10</v>
          </cell>
          <cell r="J922">
            <v>299.64999999999901</v>
          </cell>
          <cell r="K922">
            <v>147.41999999999899</v>
          </cell>
          <cell r="L922">
            <v>0</v>
          </cell>
          <cell r="M922">
            <v>0</v>
          </cell>
          <cell r="N922">
            <v>147.41999999999899</v>
          </cell>
          <cell r="O922">
            <v>6246.6999999999898</v>
          </cell>
          <cell r="Q922">
            <v>0</v>
          </cell>
          <cell r="R922">
            <v>6246.6999999999898</v>
          </cell>
          <cell r="S922">
            <v>1103.3</v>
          </cell>
          <cell r="T922">
            <v>1.76</v>
          </cell>
          <cell r="U922">
            <v>6248.46</v>
          </cell>
        </row>
        <row r="923">
          <cell r="A923" t="str">
            <v>PLN   Złoty</v>
          </cell>
          <cell r="E923" t="str">
            <v>KC Centra dystrybucji</v>
          </cell>
          <cell r="H923">
            <v>10</v>
          </cell>
          <cell r="J923">
            <v>298.75999999999902</v>
          </cell>
          <cell r="K923">
            <v>147.41999999999899</v>
          </cell>
          <cell r="L923">
            <v>0</v>
          </cell>
          <cell r="M923">
            <v>0</v>
          </cell>
          <cell r="N923">
            <v>147.41999999999899</v>
          </cell>
          <cell r="O923">
            <v>6341.1499999999896</v>
          </cell>
          <cell r="Q923">
            <v>0</v>
          </cell>
          <cell r="R923">
            <v>6341.1499999999896</v>
          </cell>
          <cell r="S923">
            <v>986.85</v>
          </cell>
          <cell r="T923">
            <v>1.79</v>
          </cell>
          <cell r="U923">
            <v>6342.9399999999896</v>
          </cell>
        </row>
        <row r="924">
          <cell r="A924" t="str">
            <v>PLN   Złoty</v>
          </cell>
          <cell r="E924" t="str">
            <v>KC Centra dystrybucji</v>
          </cell>
          <cell r="H924">
            <v>23</v>
          </cell>
          <cell r="J924">
            <v>680.30999999999904</v>
          </cell>
          <cell r="K924">
            <v>339.07999999999902</v>
          </cell>
          <cell r="L924">
            <v>0</v>
          </cell>
          <cell r="M924">
            <v>0</v>
          </cell>
          <cell r="N924">
            <v>339.07999999999902</v>
          </cell>
          <cell r="O924">
            <v>12523.559999999899</v>
          </cell>
          <cell r="Q924">
            <v>0</v>
          </cell>
          <cell r="R924">
            <v>12523.559999999899</v>
          </cell>
          <cell r="S924">
            <v>4161.76</v>
          </cell>
          <cell r="T924">
            <v>3.49</v>
          </cell>
          <cell r="U924">
            <v>12527.049999999899</v>
          </cell>
        </row>
        <row r="925">
          <cell r="A925" t="str">
            <v>PLN   Złoty</v>
          </cell>
          <cell r="E925" t="str">
            <v>KC Centra dystrybucji</v>
          </cell>
          <cell r="H925">
            <v>24</v>
          </cell>
          <cell r="J925">
            <v>719.16999999999905</v>
          </cell>
          <cell r="K925">
            <v>353.81999999999903</v>
          </cell>
          <cell r="L925">
            <v>0</v>
          </cell>
          <cell r="M925">
            <v>0</v>
          </cell>
          <cell r="N925">
            <v>353.81999999999903</v>
          </cell>
          <cell r="O925">
            <v>14992.11</v>
          </cell>
          <cell r="Q925">
            <v>0</v>
          </cell>
          <cell r="R925">
            <v>14992.11</v>
          </cell>
          <cell r="S925">
            <v>2647.8899999999899</v>
          </cell>
          <cell r="T925">
            <v>4.2300000000000004</v>
          </cell>
          <cell r="U925">
            <v>14996.34</v>
          </cell>
        </row>
        <row r="926">
          <cell r="A926" t="str">
            <v>PLN   Złoty</v>
          </cell>
          <cell r="E926" t="str">
            <v>KC Centra dystrybucji</v>
          </cell>
          <cell r="H926">
            <v>64</v>
          </cell>
          <cell r="J926">
            <v>2694.61</v>
          </cell>
          <cell r="K926">
            <v>1215.25</v>
          </cell>
          <cell r="L926">
            <v>0</v>
          </cell>
          <cell r="M926">
            <v>0</v>
          </cell>
          <cell r="N926">
            <v>1215.25</v>
          </cell>
          <cell r="O926">
            <v>58094.129999999903</v>
          </cell>
          <cell r="Q926">
            <v>0</v>
          </cell>
          <cell r="R926">
            <v>58094.129999999903</v>
          </cell>
          <cell r="S926">
            <v>7996.8299999999899</v>
          </cell>
          <cell r="T926">
            <v>16.46</v>
          </cell>
          <cell r="U926">
            <v>58110.589999999902</v>
          </cell>
        </row>
        <row r="927">
          <cell r="A927" t="str">
            <v>PLN   Złoty</v>
          </cell>
          <cell r="E927" t="str">
            <v>KC Centra dystrybucji</v>
          </cell>
          <cell r="H927">
            <v>24</v>
          </cell>
          <cell r="J927">
            <v>1009.72</v>
          </cell>
          <cell r="K927">
            <v>455.72</v>
          </cell>
          <cell r="L927">
            <v>0</v>
          </cell>
          <cell r="M927">
            <v>0</v>
          </cell>
          <cell r="N927">
            <v>455.72</v>
          </cell>
          <cell r="O927">
            <v>21784.54</v>
          </cell>
          <cell r="Q927">
            <v>0</v>
          </cell>
          <cell r="R927">
            <v>21784.54</v>
          </cell>
          <cell r="S927">
            <v>2981.0599999999899</v>
          </cell>
          <cell r="T927">
            <v>6.1699999999999902</v>
          </cell>
          <cell r="U927">
            <v>21790.709999999901</v>
          </cell>
        </row>
        <row r="928">
          <cell r="A928" t="str">
            <v>PLN   Złoty</v>
          </cell>
          <cell r="E928" t="str">
            <v>KC Centra dystrybucji</v>
          </cell>
          <cell r="H928">
            <v>80</v>
          </cell>
          <cell r="J928">
            <v>3338.9099999999899</v>
          </cell>
          <cell r="K928">
            <v>1519.05</v>
          </cell>
          <cell r="L928">
            <v>0</v>
          </cell>
          <cell r="M928">
            <v>0</v>
          </cell>
          <cell r="N928">
            <v>1519.05</v>
          </cell>
          <cell r="O928">
            <v>67244.08</v>
          </cell>
          <cell r="Q928">
            <v>0</v>
          </cell>
          <cell r="R928">
            <v>67244.08</v>
          </cell>
          <cell r="S928">
            <v>14650.17</v>
          </cell>
          <cell r="T928">
            <v>18.9499999999999</v>
          </cell>
          <cell r="U928">
            <v>67263.029999999897</v>
          </cell>
        </row>
        <row r="929">
          <cell r="A929" t="str">
            <v>PLN   Złoty</v>
          </cell>
          <cell r="E929" t="str">
            <v>KC Centra dystrybucji</v>
          </cell>
          <cell r="H929">
            <v>184</v>
          </cell>
          <cell r="J929">
            <v>7677.59</v>
          </cell>
          <cell r="K929">
            <v>3493.8499999999899</v>
          </cell>
          <cell r="L929">
            <v>0</v>
          </cell>
          <cell r="M929">
            <v>0</v>
          </cell>
          <cell r="N929">
            <v>3493.8499999999899</v>
          </cell>
          <cell r="O929">
            <v>155661.579999999</v>
          </cell>
          <cell r="Q929">
            <v>0</v>
          </cell>
          <cell r="R929">
            <v>155661.579999999</v>
          </cell>
          <cell r="S929">
            <v>32650.82</v>
          </cell>
          <cell r="T929">
            <v>43.899999999999899</v>
          </cell>
          <cell r="U929">
            <v>155705.48000000001</v>
          </cell>
        </row>
        <row r="930">
          <cell r="A930" t="str">
            <v>PLN   Złoty</v>
          </cell>
          <cell r="E930" t="str">
            <v>KC Centra dystrybucji</v>
          </cell>
          <cell r="H930">
            <v>60</v>
          </cell>
          <cell r="J930">
            <v>2519.6599999999899</v>
          </cell>
          <cell r="K930">
            <v>1139.29</v>
          </cell>
          <cell r="L930">
            <v>0</v>
          </cell>
          <cell r="M930">
            <v>0</v>
          </cell>
          <cell r="N930">
            <v>1139.29</v>
          </cell>
          <cell r="O930">
            <v>50448.55</v>
          </cell>
          <cell r="Q930">
            <v>0</v>
          </cell>
          <cell r="R930">
            <v>50448.55</v>
          </cell>
          <cell r="S930">
            <v>11353.49</v>
          </cell>
          <cell r="T930">
            <v>14.22</v>
          </cell>
          <cell r="U930">
            <v>50462.769999999902</v>
          </cell>
        </row>
        <row r="931">
          <cell r="A931" t="str">
            <v>PLN   Złoty</v>
          </cell>
          <cell r="E931" t="str">
            <v>KC Centra dystrybucji</v>
          </cell>
          <cell r="H931">
            <v>61</v>
          </cell>
          <cell r="J931">
            <v>2543.63</v>
          </cell>
          <cell r="K931">
            <v>1158.28</v>
          </cell>
          <cell r="L931">
            <v>0</v>
          </cell>
          <cell r="M931">
            <v>0</v>
          </cell>
          <cell r="N931">
            <v>1158.28</v>
          </cell>
          <cell r="O931">
            <v>51271.33</v>
          </cell>
          <cell r="Q931">
            <v>0</v>
          </cell>
          <cell r="R931">
            <v>51271.33</v>
          </cell>
          <cell r="S931">
            <v>11117.37</v>
          </cell>
          <cell r="T931">
            <v>14.4499999999999</v>
          </cell>
          <cell r="U931">
            <v>51285.779999999897</v>
          </cell>
        </row>
        <row r="932">
          <cell r="A932" t="str">
            <v>PLN   Złoty</v>
          </cell>
          <cell r="E932" t="str">
            <v>KC Centra dystrybucji</v>
          </cell>
          <cell r="H932">
            <v>23</v>
          </cell>
          <cell r="J932">
            <v>957.90999999999894</v>
          </cell>
          <cell r="K932">
            <v>436.73</v>
          </cell>
          <cell r="L932">
            <v>0</v>
          </cell>
          <cell r="M932">
            <v>0</v>
          </cell>
          <cell r="N932">
            <v>436.73</v>
          </cell>
          <cell r="O932">
            <v>20867.11</v>
          </cell>
          <cell r="Q932">
            <v>0</v>
          </cell>
          <cell r="R932">
            <v>20867.11</v>
          </cell>
          <cell r="S932">
            <v>2628.4099999999899</v>
          </cell>
          <cell r="T932">
            <v>5.91</v>
          </cell>
          <cell r="U932">
            <v>20873.02</v>
          </cell>
        </row>
        <row r="933">
          <cell r="A933" t="str">
            <v>PLN   Złoty</v>
          </cell>
          <cell r="E933" t="str">
            <v>KC Centra dystrybucji</v>
          </cell>
          <cell r="H933">
            <v>14</v>
          </cell>
          <cell r="J933">
            <v>588.97</v>
          </cell>
          <cell r="K933">
            <v>265.82999999999902</v>
          </cell>
          <cell r="L933">
            <v>0</v>
          </cell>
          <cell r="M933">
            <v>0</v>
          </cell>
          <cell r="N933">
            <v>265.82999999999902</v>
          </cell>
          <cell r="O933">
            <v>12707.61</v>
          </cell>
          <cell r="Q933">
            <v>0</v>
          </cell>
          <cell r="R933">
            <v>12707.61</v>
          </cell>
          <cell r="S933">
            <v>1738.99</v>
          </cell>
          <cell r="T933">
            <v>3.6099999999999901</v>
          </cell>
          <cell r="U933">
            <v>12711.219999999899</v>
          </cell>
        </row>
        <row r="934">
          <cell r="A934" t="str">
            <v>PLN   Złoty</v>
          </cell>
          <cell r="E934" t="str">
            <v>KC Centra dystrybucji</v>
          </cell>
          <cell r="H934">
            <v>74</v>
          </cell>
          <cell r="J934">
            <v>3091.4</v>
          </cell>
          <cell r="K934">
            <v>1405.13</v>
          </cell>
          <cell r="L934">
            <v>0</v>
          </cell>
          <cell r="M934">
            <v>0</v>
          </cell>
          <cell r="N934">
            <v>1405.13</v>
          </cell>
          <cell r="O934">
            <v>67147.089999999895</v>
          </cell>
          <cell r="Q934">
            <v>0</v>
          </cell>
          <cell r="R934">
            <v>67147.089999999895</v>
          </cell>
          <cell r="S934">
            <v>8677.01</v>
          </cell>
          <cell r="T934">
            <v>19.0399999999999</v>
          </cell>
          <cell r="U934">
            <v>67166.13</v>
          </cell>
        </row>
        <row r="935">
          <cell r="A935" t="str">
            <v>PLN   Złoty</v>
          </cell>
          <cell r="E935" t="str">
            <v>KC Centra dystrybucji</v>
          </cell>
          <cell r="H935">
            <v>16</v>
          </cell>
          <cell r="J935">
            <v>667.64999999999895</v>
          </cell>
          <cell r="K935">
            <v>303.8</v>
          </cell>
          <cell r="L935">
            <v>0</v>
          </cell>
          <cell r="M935">
            <v>0</v>
          </cell>
          <cell r="N935">
            <v>303.8</v>
          </cell>
          <cell r="O935">
            <v>13448.68</v>
          </cell>
          <cell r="Q935">
            <v>0</v>
          </cell>
          <cell r="R935">
            <v>13448.68</v>
          </cell>
          <cell r="S935">
            <v>2927.1199999999899</v>
          </cell>
          <cell r="T935">
            <v>3.79</v>
          </cell>
          <cell r="U935">
            <v>13452.469999999899</v>
          </cell>
        </row>
        <row r="936">
          <cell r="A936" t="str">
            <v>PLN   Złoty</v>
          </cell>
          <cell r="E936" t="str">
            <v>KC Centra dystrybucji</v>
          </cell>
          <cell r="H936">
            <v>25</v>
          </cell>
          <cell r="J936">
            <v>1041.1600000000001</v>
          </cell>
          <cell r="K936">
            <v>474.69999999999902</v>
          </cell>
          <cell r="L936">
            <v>0</v>
          </cell>
          <cell r="M936">
            <v>0</v>
          </cell>
          <cell r="N936">
            <v>474.69999999999902</v>
          </cell>
          <cell r="O936">
            <v>22681.59</v>
          </cell>
          <cell r="Q936">
            <v>0</v>
          </cell>
          <cell r="R936">
            <v>22681.59</v>
          </cell>
          <cell r="S936">
            <v>2856.9099999999899</v>
          </cell>
          <cell r="T936">
            <v>6.4299999999999899</v>
          </cell>
          <cell r="U936">
            <v>22688.02</v>
          </cell>
        </row>
        <row r="937">
          <cell r="A937" t="str">
            <v>PLN   Złoty</v>
          </cell>
          <cell r="E937" t="str">
            <v>KC Centra dystrybucji</v>
          </cell>
          <cell r="H937">
            <v>24</v>
          </cell>
          <cell r="J937">
            <v>1012.73</v>
          </cell>
          <cell r="K937">
            <v>455.72</v>
          </cell>
          <cell r="L937">
            <v>0</v>
          </cell>
          <cell r="M937">
            <v>0</v>
          </cell>
          <cell r="N937">
            <v>455.72</v>
          </cell>
          <cell r="O937">
            <v>21787.549999999901</v>
          </cell>
          <cell r="Q937">
            <v>0</v>
          </cell>
          <cell r="R937">
            <v>21787.549999999901</v>
          </cell>
          <cell r="S937">
            <v>3052.4499999999898</v>
          </cell>
          <cell r="T937">
            <v>6.1699999999999902</v>
          </cell>
          <cell r="U937">
            <v>21793.72</v>
          </cell>
        </row>
        <row r="938">
          <cell r="A938" t="str">
            <v>PLN   Złoty</v>
          </cell>
          <cell r="E938" t="str">
            <v>KC Centra dystrybucji</v>
          </cell>
          <cell r="H938">
            <v>12</v>
          </cell>
          <cell r="J938">
            <v>405.69</v>
          </cell>
          <cell r="K938">
            <v>117.63</v>
          </cell>
          <cell r="L938">
            <v>0</v>
          </cell>
          <cell r="M938">
            <v>0</v>
          </cell>
          <cell r="N938">
            <v>117.63</v>
          </cell>
          <cell r="O938">
            <v>7805.59</v>
          </cell>
          <cell r="Q938">
            <v>0</v>
          </cell>
          <cell r="R938">
            <v>7805.59</v>
          </cell>
          <cell r="S938">
            <v>2144.3299999999899</v>
          </cell>
          <cell r="T938">
            <v>2.2000000000000002</v>
          </cell>
          <cell r="U938">
            <v>7807.79</v>
          </cell>
        </row>
        <row r="939">
          <cell r="A939" t="str">
            <v>PLN   Złoty</v>
          </cell>
          <cell r="E939" t="str">
            <v>KC Centra dystrybucji</v>
          </cell>
          <cell r="H939">
            <v>48</v>
          </cell>
          <cell r="J939">
            <v>1622.66</v>
          </cell>
          <cell r="K939">
            <v>470.56</v>
          </cell>
          <cell r="L939">
            <v>0</v>
          </cell>
          <cell r="M939">
            <v>0</v>
          </cell>
          <cell r="N939">
            <v>470.56</v>
          </cell>
          <cell r="O939">
            <v>31222.32</v>
          </cell>
          <cell r="Q939">
            <v>0</v>
          </cell>
          <cell r="R939">
            <v>31222.32</v>
          </cell>
          <cell r="S939">
            <v>8577.36</v>
          </cell>
          <cell r="T939">
            <v>8.8499999999999908</v>
          </cell>
          <cell r="U939">
            <v>31231.1699999999</v>
          </cell>
        </row>
        <row r="940">
          <cell r="A940" t="str">
            <v>PLN   Złoty</v>
          </cell>
          <cell r="E940" t="str">
            <v>KC Centra dystrybucji</v>
          </cell>
          <cell r="H940">
            <v>24</v>
          </cell>
          <cell r="J940">
            <v>817.04999999999905</v>
          </cell>
          <cell r="K940">
            <v>235.28</v>
          </cell>
          <cell r="L940">
            <v>0</v>
          </cell>
          <cell r="M940">
            <v>0</v>
          </cell>
          <cell r="N940">
            <v>235.28</v>
          </cell>
          <cell r="O940">
            <v>15616.87</v>
          </cell>
          <cell r="Q940">
            <v>0</v>
          </cell>
          <cell r="R940">
            <v>15616.87</v>
          </cell>
          <cell r="S940">
            <v>4423.13</v>
          </cell>
          <cell r="T940">
            <v>4.4299999999999899</v>
          </cell>
          <cell r="U940">
            <v>15621.299999999899</v>
          </cell>
        </row>
        <row r="941">
          <cell r="A941" t="str">
            <v>PLN   Złoty</v>
          </cell>
          <cell r="E941" t="str">
            <v>KC Centra dystrybucji</v>
          </cell>
          <cell r="H941">
            <v>28</v>
          </cell>
          <cell r="J941">
            <v>946.54999999999905</v>
          </cell>
          <cell r="K941">
            <v>274.48</v>
          </cell>
          <cell r="L941">
            <v>0</v>
          </cell>
          <cell r="M941">
            <v>0</v>
          </cell>
          <cell r="N941">
            <v>274.48</v>
          </cell>
          <cell r="O941">
            <v>18213</v>
          </cell>
          <cell r="Q941">
            <v>0</v>
          </cell>
          <cell r="R941">
            <v>18213</v>
          </cell>
          <cell r="S941">
            <v>5003.4799999999896</v>
          </cell>
          <cell r="T941">
            <v>5.1699999999999902</v>
          </cell>
          <cell r="U941">
            <v>18218.1699999999</v>
          </cell>
        </row>
        <row r="942">
          <cell r="A942" t="str">
            <v>PLN   Złoty</v>
          </cell>
          <cell r="E942" t="str">
            <v>KC Centra dystrybucji</v>
          </cell>
          <cell r="H942">
            <v>0</v>
          </cell>
          <cell r="J942">
            <v>0</v>
          </cell>
          <cell r="K942">
            <v>0</v>
          </cell>
          <cell r="L942">
            <v>19634.63</v>
          </cell>
          <cell r="M942">
            <v>0</v>
          </cell>
          <cell r="N942">
            <v>19634.63</v>
          </cell>
          <cell r="O942">
            <v>19634.63</v>
          </cell>
          <cell r="Q942">
            <v>0</v>
          </cell>
          <cell r="R942">
            <v>19634.63</v>
          </cell>
          <cell r="S942">
            <v>-19634.63</v>
          </cell>
          <cell r="T942">
            <v>0</v>
          </cell>
          <cell r="U942">
            <v>19634.63</v>
          </cell>
        </row>
        <row r="943">
          <cell r="A943" t="str">
            <v>PLN   Złoty</v>
          </cell>
          <cell r="E943" t="str">
            <v>KG Sprzed. gotówkowa</v>
          </cell>
          <cell r="H943">
            <v>6</v>
          </cell>
          <cell r="J943">
            <v>269.54000000000002</v>
          </cell>
          <cell r="K943">
            <v>80.819999999999894</v>
          </cell>
          <cell r="L943">
            <v>0</v>
          </cell>
          <cell r="M943">
            <v>0</v>
          </cell>
          <cell r="N943">
            <v>80.819999999999894</v>
          </cell>
          <cell r="O943">
            <v>4566.8500000000004</v>
          </cell>
          <cell r="Q943">
            <v>0</v>
          </cell>
          <cell r="R943">
            <v>4566.8500000000004</v>
          </cell>
          <cell r="S943">
            <v>2044.79</v>
          </cell>
          <cell r="T943">
            <v>1.28</v>
          </cell>
          <cell r="U943">
            <v>4568.13</v>
          </cell>
        </row>
        <row r="944">
          <cell r="A944" t="str">
            <v>PLN   Złoty</v>
          </cell>
          <cell r="E944" t="str">
            <v>KG Sprzed. gotówkowa</v>
          </cell>
          <cell r="H944">
            <v>3.2999999999999901</v>
          </cell>
          <cell r="J944">
            <v>195.47</v>
          </cell>
          <cell r="K944">
            <v>63.3599999999999</v>
          </cell>
          <cell r="L944">
            <v>0</v>
          </cell>
          <cell r="M944">
            <v>0</v>
          </cell>
          <cell r="N944">
            <v>63.3599999999999</v>
          </cell>
          <cell r="O944">
            <v>2832.2399999999898</v>
          </cell>
          <cell r="Q944">
            <v>0</v>
          </cell>
          <cell r="R944">
            <v>2832.2399999999898</v>
          </cell>
          <cell r="S944">
            <v>1960.75</v>
          </cell>
          <cell r="T944">
            <v>0.79</v>
          </cell>
          <cell r="U944">
            <v>2833.03</v>
          </cell>
        </row>
        <row r="945">
          <cell r="A945" t="str">
            <v>PLN   Złoty</v>
          </cell>
          <cell r="E945" t="str">
            <v>KG Sprzed. gotówkowa</v>
          </cell>
          <cell r="H945">
            <v>4</v>
          </cell>
          <cell r="J945">
            <v>166.27</v>
          </cell>
          <cell r="K945">
            <v>20.05</v>
          </cell>
          <cell r="L945">
            <v>0</v>
          </cell>
          <cell r="M945">
            <v>0</v>
          </cell>
          <cell r="N945">
            <v>20.05</v>
          </cell>
          <cell r="O945">
            <v>2982.71</v>
          </cell>
          <cell r="Q945">
            <v>0</v>
          </cell>
          <cell r="R945">
            <v>2982.71</v>
          </cell>
          <cell r="S945">
            <v>1094.97</v>
          </cell>
          <cell r="T945">
            <v>6.3099999999999898</v>
          </cell>
          <cell r="U945">
            <v>2989.02</v>
          </cell>
        </row>
        <row r="946">
          <cell r="A946" t="str">
            <v>PLN   Złoty</v>
          </cell>
          <cell r="E946" t="str">
            <v>Nieprzypisane</v>
          </cell>
          <cell r="H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466.73</v>
          </cell>
          <cell r="Q946">
            <v>0</v>
          </cell>
          <cell r="R946">
            <v>466.73</v>
          </cell>
          <cell r="S946">
            <v>-466.73</v>
          </cell>
          <cell r="T946">
            <v>0</v>
          </cell>
          <cell r="U946">
            <v>466.73</v>
          </cell>
        </row>
        <row r="947">
          <cell r="A947" t="str">
            <v>PLN   Złoty</v>
          </cell>
          <cell r="E947" t="str">
            <v>Nieprzypisane</v>
          </cell>
          <cell r="H947">
            <v>24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104.02</v>
          </cell>
          <cell r="Q947">
            <v>0</v>
          </cell>
          <cell r="R947">
            <v>104.02</v>
          </cell>
          <cell r="S947">
            <v>24015.98</v>
          </cell>
          <cell r="T947">
            <v>0</v>
          </cell>
          <cell r="U947">
            <v>104.02</v>
          </cell>
        </row>
        <row r="948">
          <cell r="A948" t="str">
            <v>PLN   Złoty</v>
          </cell>
          <cell r="E948" t="str">
            <v>Nieprzypisane</v>
          </cell>
          <cell r="H948">
            <v>0</v>
          </cell>
          <cell r="J948">
            <v>0</v>
          </cell>
          <cell r="K948">
            <v>8544.6</v>
          </cell>
          <cell r="L948">
            <v>0</v>
          </cell>
          <cell r="M948">
            <v>0</v>
          </cell>
          <cell r="N948">
            <v>8544.6</v>
          </cell>
          <cell r="O948">
            <v>8544.6</v>
          </cell>
          <cell r="Q948">
            <v>0</v>
          </cell>
          <cell r="R948">
            <v>8544.6</v>
          </cell>
          <cell r="S948">
            <v>-8544.6</v>
          </cell>
          <cell r="T948">
            <v>0</v>
          </cell>
          <cell r="U948">
            <v>8544.6</v>
          </cell>
        </row>
        <row r="949">
          <cell r="A949" t="str">
            <v>PLN   Złoty</v>
          </cell>
          <cell r="E949" t="str">
            <v>Nieprzypisane</v>
          </cell>
          <cell r="H949">
            <v>0</v>
          </cell>
          <cell r="J949">
            <v>0</v>
          </cell>
          <cell r="K949">
            <v>0</v>
          </cell>
          <cell r="L949">
            <v>1794.0799999999899</v>
          </cell>
          <cell r="M949">
            <v>0</v>
          </cell>
          <cell r="N949">
            <v>1794.0799999999899</v>
          </cell>
          <cell r="O949">
            <v>1794.0799999999899</v>
          </cell>
          <cell r="Q949">
            <v>0</v>
          </cell>
          <cell r="R949">
            <v>1794.0799999999899</v>
          </cell>
          <cell r="S949">
            <v>-1794.0799999999899</v>
          </cell>
          <cell r="T949">
            <v>0</v>
          </cell>
          <cell r="U949">
            <v>1794.0799999999899</v>
          </cell>
        </row>
        <row r="950">
          <cell r="A950" t="str">
            <v>PLN   Złoty</v>
          </cell>
          <cell r="E950" t="str">
            <v>Nieprzypisane</v>
          </cell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816.37</v>
          </cell>
          <cell r="Q950">
            <v>0</v>
          </cell>
          <cell r="R950">
            <v>816.37</v>
          </cell>
          <cell r="S950">
            <v>-816.37</v>
          </cell>
          <cell r="T950">
            <v>0</v>
          </cell>
          <cell r="U950">
            <v>816.37</v>
          </cell>
        </row>
        <row r="951">
          <cell r="A951" t="str">
            <v>PLN   Złoty</v>
          </cell>
          <cell r="E951" t="str">
            <v>Nieprzypisane</v>
          </cell>
          <cell r="H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251.87</v>
          </cell>
          <cell r="Q951">
            <v>0</v>
          </cell>
          <cell r="R951">
            <v>251.87</v>
          </cell>
          <cell r="S951">
            <v>-251.87</v>
          </cell>
          <cell r="T951">
            <v>0</v>
          </cell>
          <cell r="U951">
            <v>251.87</v>
          </cell>
        </row>
        <row r="952">
          <cell r="A952" t="str">
            <v>PLN   Złoty</v>
          </cell>
          <cell r="E952" t="str">
            <v>Nieprzypisane</v>
          </cell>
          <cell r="H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552.63</v>
          </cell>
          <cell r="Q952">
            <v>0</v>
          </cell>
          <cell r="R952">
            <v>552.63</v>
          </cell>
          <cell r="S952">
            <v>-552.63</v>
          </cell>
          <cell r="T952">
            <v>0</v>
          </cell>
          <cell r="U952">
            <v>552.63</v>
          </cell>
        </row>
        <row r="953">
          <cell r="A953" t="str">
            <v>PLN   Złoty</v>
          </cell>
          <cell r="E953" t="str">
            <v>Nieprzypisane</v>
          </cell>
          <cell r="H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1515.38</v>
          </cell>
          <cell r="Q953">
            <v>0</v>
          </cell>
          <cell r="R953">
            <v>1515.38</v>
          </cell>
          <cell r="S953">
            <v>-1515.38</v>
          </cell>
          <cell r="T953">
            <v>0</v>
          </cell>
          <cell r="U953">
            <v>1515.38</v>
          </cell>
        </row>
        <row r="954">
          <cell r="A954" t="str">
            <v>PLN   Złoty</v>
          </cell>
          <cell r="E954" t="str">
            <v>Nieprzypisane</v>
          </cell>
          <cell r="H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2470.8000000000002</v>
          </cell>
          <cell r="Q954">
            <v>0</v>
          </cell>
          <cell r="R954">
            <v>2470.8000000000002</v>
          </cell>
          <cell r="S954">
            <v>-2470.8000000000002</v>
          </cell>
          <cell r="T954">
            <v>0</v>
          </cell>
          <cell r="U954">
            <v>2470.8000000000002</v>
          </cell>
        </row>
        <row r="955">
          <cell r="A955" t="str">
            <v>PLN   Złoty</v>
          </cell>
          <cell r="E955" t="str">
            <v>Nieprzypisane</v>
          </cell>
          <cell r="H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84.25</v>
          </cell>
          <cell r="Q955">
            <v>0</v>
          </cell>
          <cell r="R955">
            <v>84.25</v>
          </cell>
          <cell r="S955">
            <v>-84.25</v>
          </cell>
          <cell r="T955">
            <v>0</v>
          </cell>
          <cell r="U955">
            <v>84.25</v>
          </cell>
        </row>
        <row r="956">
          <cell r="A956" t="str">
            <v>PLN   Złoty</v>
          </cell>
          <cell r="E956" t="str">
            <v>Nieprzypisane</v>
          </cell>
          <cell r="H956">
            <v>0</v>
          </cell>
          <cell r="J956">
            <v>0</v>
          </cell>
          <cell r="K956">
            <v>54.18</v>
          </cell>
          <cell r="L956">
            <v>0</v>
          </cell>
          <cell r="M956">
            <v>0</v>
          </cell>
          <cell r="N956">
            <v>54.18</v>
          </cell>
          <cell r="O956">
            <v>54.18</v>
          </cell>
          <cell r="Q956">
            <v>0</v>
          </cell>
          <cell r="R956">
            <v>54.18</v>
          </cell>
          <cell r="S956">
            <v>-54.18</v>
          </cell>
          <cell r="T956">
            <v>0</v>
          </cell>
          <cell r="U956">
            <v>54.18</v>
          </cell>
        </row>
        <row r="957">
          <cell r="A957" t="str">
            <v>PLN   Złoty</v>
          </cell>
          <cell r="E957" t="str">
            <v>Nieprzypisane</v>
          </cell>
          <cell r="H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105.47</v>
          </cell>
          <cell r="Q957">
            <v>0</v>
          </cell>
          <cell r="R957">
            <v>105.47</v>
          </cell>
          <cell r="S957">
            <v>-105.47</v>
          </cell>
          <cell r="T957">
            <v>0</v>
          </cell>
          <cell r="U957">
            <v>105.47</v>
          </cell>
        </row>
        <row r="958">
          <cell r="A958" t="str">
            <v>PLN   Złoty</v>
          </cell>
          <cell r="E958" t="str">
            <v>Nieprzypisane</v>
          </cell>
          <cell r="H958">
            <v>0</v>
          </cell>
          <cell r="J958">
            <v>0</v>
          </cell>
          <cell r="K958">
            <v>0</v>
          </cell>
          <cell r="L958">
            <v>393.6</v>
          </cell>
          <cell r="M958">
            <v>0</v>
          </cell>
          <cell r="N958">
            <v>393.6</v>
          </cell>
          <cell r="O958">
            <v>393.6</v>
          </cell>
          <cell r="Q958">
            <v>0</v>
          </cell>
          <cell r="R958">
            <v>393.6</v>
          </cell>
          <cell r="S958">
            <v>-393.6</v>
          </cell>
          <cell r="T958">
            <v>0</v>
          </cell>
          <cell r="U958">
            <v>393.6</v>
          </cell>
        </row>
        <row r="959">
          <cell r="A959" t="str">
            <v>PLN   Złoty</v>
          </cell>
          <cell r="E959" t="str">
            <v>Nieprzypisane</v>
          </cell>
          <cell r="H959">
            <v>0</v>
          </cell>
          <cell r="J959">
            <v>0</v>
          </cell>
          <cell r="K959">
            <v>580.47</v>
          </cell>
          <cell r="L959">
            <v>0</v>
          </cell>
          <cell r="M959">
            <v>0</v>
          </cell>
          <cell r="N959">
            <v>580.47</v>
          </cell>
          <cell r="O959">
            <v>580.47</v>
          </cell>
          <cell r="Q959">
            <v>0</v>
          </cell>
          <cell r="R959">
            <v>580.47</v>
          </cell>
          <cell r="S959">
            <v>-580.47</v>
          </cell>
          <cell r="T959">
            <v>0</v>
          </cell>
          <cell r="U959">
            <v>580.47</v>
          </cell>
        </row>
        <row r="960">
          <cell r="A960" t="str">
            <v>PLN   Złoty</v>
          </cell>
          <cell r="E960" t="str">
            <v>Nieprzypisane</v>
          </cell>
          <cell r="H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631.24</v>
          </cell>
          <cell r="Q960">
            <v>0</v>
          </cell>
          <cell r="R960">
            <v>631.24</v>
          </cell>
          <cell r="S960">
            <v>-631.24</v>
          </cell>
          <cell r="T960">
            <v>0</v>
          </cell>
          <cell r="U960">
            <v>631.24</v>
          </cell>
        </row>
        <row r="961">
          <cell r="A961" t="str">
            <v>PLN   Złoty</v>
          </cell>
          <cell r="E961" t="str">
            <v>Nieprzypisane</v>
          </cell>
          <cell r="H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1575.26</v>
          </cell>
          <cell r="Q961">
            <v>0</v>
          </cell>
          <cell r="R961">
            <v>1575.26</v>
          </cell>
          <cell r="S961">
            <v>-1575.26</v>
          </cell>
          <cell r="T961">
            <v>0</v>
          </cell>
          <cell r="U961">
            <v>1575.26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">
          <cell r="M2" t="str">
            <v>CGU Oxoplast</v>
          </cell>
        </row>
      </sheetData>
      <sheetData sheetId="71"/>
      <sheetData sheetId="72"/>
      <sheetData sheetId="73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UROWCE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Dane"/>
      <sheetName val="Wykaz jednostek"/>
      <sheetName val="SF"/>
      <sheetName val="N00"/>
      <sheetName val="ZZwK GK"/>
      <sheetName val="ZZwK Sp"/>
      <sheetName val="ZZwK 2"/>
      <sheetName val="WK"/>
      <sheetName val="Wybrane dane"/>
      <sheetName val="1 Należności"/>
      <sheetName val="2 Zobowiązania"/>
      <sheetName val="3 Pożyczki udzielone"/>
      <sheetName val="4 Zob finansowe"/>
      <sheetName val="5 Sprzedaż"/>
      <sheetName val="6 Zakup"/>
      <sheetName val="7 Dz finansowa"/>
      <sheetName val="8 ŚT sprzedający"/>
      <sheetName val="9 ŚT kupujący"/>
      <sheetName val="10 Wykaz AF"/>
      <sheetName val="11 Kapitał"/>
      <sheetName val="12 Warunkowe"/>
      <sheetName val="Wykaz_jednostek"/>
      <sheetName val="ZZwK_GK"/>
      <sheetName val="ZZwK_Sp"/>
      <sheetName val="ZZwK_2"/>
      <sheetName val="Wybrane_dane"/>
      <sheetName val="1_Należności"/>
      <sheetName val="2_Zobowiązania"/>
      <sheetName val="3_Pożyczki_udzielone"/>
      <sheetName val="4_Zob_finansowe"/>
      <sheetName val="5_Sprzedaż"/>
      <sheetName val="6_Zakup"/>
      <sheetName val="7_Dz_finansowa"/>
      <sheetName val="8_ŚT_sprzedający"/>
      <sheetName val="9_ŚT_kupujący"/>
      <sheetName val="10_Wykaz_AF"/>
      <sheetName val="11_Kapitał"/>
      <sheetName val="12_Warunkowe"/>
      <sheetName val="Wykaz_jednostek1"/>
      <sheetName val="ZZwK_GK1"/>
      <sheetName val="ZZwK_Sp1"/>
      <sheetName val="ZZwK_21"/>
      <sheetName val="Wybrane_dane1"/>
      <sheetName val="1_Należności1"/>
      <sheetName val="2_Zobowiązania1"/>
      <sheetName val="3_Pożyczki_udzielone1"/>
      <sheetName val="4_Zob_finansowe1"/>
      <sheetName val="5_Sprzedaż1"/>
      <sheetName val="6_Zakup1"/>
      <sheetName val="7_Dz_finansowa1"/>
      <sheetName val="8_ŚT_sprzedający1"/>
      <sheetName val="9_ŚT_kupujący1"/>
      <sheetName val="10_Wykaz_AF1"/>
      <sheetName val="11_Kapitał1"/>
      <sheetName val="12_Warunkowe1"/>
      <sheetName val="Wykaz_jednostek2"/>
      <sheetName val="ZZwK_GK2"/>
      <sheetName val="ZZwK_Sp2"/>
      <sheetName val="ZZwK_22"/>
      <sheetName val="Wybrane_dane2"/>
      <sheetName val="1_Należności2"/>
      <sheetName val="2_Zobowiązania2"/>
      <sheetName val="3_Pożyczki_udzielone2"/>
      <sheetName val="4_Zob_finansowe2"/>
      <sheetName val="5_Sprzedaż2"/>
      <sheetName val="6_Zakup2"/>
      <sheetName val="7_Dz_finansowa2"/>
      <sheetName val="8_ŚT_sprzedający2"/>
      <sheetName val="9_ŚT_kupujący2"/>
      <sheetName val="10_Wykaz_AF2"/>
      <sheetName val="11_Kapitał2"/>
      <sheetName val="12_Warunkowe2"/>
      <sheetName val="Wykaz_jednostek3"/>
      <sheetName val="ZZwK_GK3"/>
      <sheetName val="ZZwK_Sp3"/>
      <sheetName val="ZZwK_23"/>
      <sheetName val="Wybrane_dane3"/>
      <sheetName val="1_Należności3"/>
      <sheetName val="2_Zobowiązania3"/>
      <sheetName val="3_Pożyczki_udzielone3"/>
      <sheetName val="4_Zob_finansowe3"/>
      <sheetName val="5_Sprzedaż3"/>
      <sheetName val="6_Zakup3"/>
      <sheetName val="7_Dz_finansowa3"/>
      <sheetName val="8_ŚT_sprzedający3"/>
      <sheetName val="9_ŚT_kupujący3"/>
      <sheetName val="10_Wykaz_AF3"/>
      <sheetName val="11_Kapitał3"/>
      <sheetName val="12_Warunkowe3"/>
      <sheetName val="Wykaz_jednostek4"/>
      <sheetName val="ZZwK_GK4"/>
      <sheetName val="ZZwK_Sp4"/>
      <sheetName val="ZZwK_24"/>
      <sheetName val="Wybrane_dane4"/>
      <sheetName val="1_Należności4"/>
      <sheetName val="2_Zobowiązania4"/>
      <sheetName val="3_Pożyczki_udzielone4"/>
      <sheetName val="4_Zob_finansowe4"/>
      <sheetName val="5_Sprzedaż4"/>
      <sheetName val="6_Zakup4"/>
      <sheetName val="7_Dz_finansowa4"/>
      <sheetName val="8_ŚT_sprzedający4"/>
      <sheetName val="9_ŚT_kupujący4"/>
      <sheetName val="10_Wykaz_AF4"/>
      <sheetName val="11_Kapitał4"/>
      <sheetName val="12_Warunkowe4"/>
    </sheetNames>
    <sheetDataSet>
      <sheetData sheetId="0">
        <row r="46">
          <cell r="BB46" t="str">
            <v>Zakłady Azotowe w Tarnowie Mościcach S.A.</v>
          </cell>
        </row>
        <row r="55">
          <cell r="BB55" t="str">
            <v>30.09.2008</v>
          </cell>
        </row>
        <row r="64">
          <cell r="BB64" t="str">
            <v xml:space="preserve"> na dzień 30.09.2008 roku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Ilości sprzedaży Police"/>
      <sheetName val="Ceny Police"/>
      <sheetName val="CD - Ilości sprzedaż"/>
      <sheetName val="CD - Ceny "/>
      <sheetName val="CD - dostawy"/>
      <sheetName val="Ilości_ceny"/>
      <sheetName val="Przychody waluta"/>
      <sheetName val="Kursy walut"/>
      <sheetName val="Przychody PLN"/>
      <sheetName val="Ilości"/>
      <sheetName val="Przychody indeksy"/>
      <sheetName val="Ceny_Srednie_PLN"/>
      <sheetName val="Ceny średnie waluta"/>
      <sheetName val="Ilości i ceny eksport"/>
      <sheetName val="asortyment"/>
      <sheetName val="sprzed_do_stanow"/>
      <sheetName val="odpow"/>
      <sheetName val="wysylki_nawozy"/>
      <sheetName val="CD-przyjecia"/>
      <sheetName val="Ilości_sprzedaży_Police"/>
      <sheetName val="Ceny_Police"/>
      <sheetName val="CD_-_Ilości_sprzedaż"/>
      <sheetName val="CD_-_Ceny_"/>
      <sheetName val="CD_-_dostawy"/>
      <sheetName val="Przychody_waluta"/>
      <sheetName val="Kursy_walut"/>
      <sheetName val="Przychody_PLN"/>
      <sheetName val="Przychody_indeksy"/>
      <sheetName val="Ceny_średnie_waluta"/>
      <sheetName val="Ilości_i_ceny_eksport"/>
      <sheetName val="Ilości_sprzedaży_Police1"/>
      <sheetName val="Ceny_Police1"/>
      <sheetName val="CD_-_Ilości_sprzedaż1"/>
      <sheetName val="CD_-_Ceny_1"/>
      <sheetName val="CD_-_dostawy1"/>
      <sheetName val="Przychody_waluta1"/>
      <sheetName val="Kursy_walut1"/>
      <sheetName val="Przychody_PLN1"/>
      <sheetName val="Przychody_indeksy1"/>
      <sheetName val="Ceny_średnie_waluta1"/>
      <sheetName val="Ilości_i_ceny_ekspo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P-4002</v>
          </cell>
          <cell r="C6" t="str">
            <v>POLIDAP</v>
          </cell>
          <cell r="D6" t="str">
            <v>t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12200</v>
          </cell>
          <cell r="L6">
            <v>12000</v>
          </cell>
          <cell r="M6">
            <v>11400</v>
          </cell>
          <cell r="N6">
            <v>0</v>
          </cell>
          <cell r="O6">
            <v>0</v>
          </cell>
          <cell r="P6">
            <v>0</v>
          </cell>
          <cell r="Q6">
            <v>35600</v>
          </cell>
        </row>
        <row r="7">
          <cell r="A7" t="str">
            <v>P-4145</v>
          </cell>
          <cell r="C7" t="str">
            <v>POLIDAP LIGHT</v>
          </cell>
          <cell r="D7" t="str">
            <v>t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A8" t="str">
            <v>P-4118</v>
          </cell>
          <cell r="C8" t="str">
            <v>POLIFOSKA 3</v>
          </cell>
          <cell r="D8" t="str">
            <v>t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P-4117</v>
          </cell>
          <cell r="C9" t="str">
            <v>POLIFOSKA 4</v>
          </cell>
          <cell r="D9" t="str">
            <v>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6700</v>
          </cell>
          <cell r="L9">
            <v>6400</v>
          </cell>
          <cell r="M9">
            <v>5300</v>
          </cell>
          <cell r="N9">
            <v>0</v>
          </cell>
          <cell r="O9">
            <v>0</v>
          </cell>
          <cell r="P9">
            <v>0</v>
          </cell>
          <cell r="Q9">
            <v>18400</v>
          </cell>
        </row>
        <row r="10">
          <cell r="A10" t="str">
            <v>P-4115</v>
          </cell>
          <cell r="C10" t="str">
            <v>POLIFOSKA 5</v>
          </cell>
          <cell r="D10" t="str">
            <v>t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4500</v>
          </cell>
          <cell r="L10">
            <v>4200</v>
          </cell>
          <cell r="M10">
            <v>4300</v>
          </cell>
          <cell r="N10">
            <v>0</v>
          </cell>
          <cell r="O10">
            <v>0</v>
          </cell>
          <cell r="P10">
            <v>0</v>
          </cell>
          <cell r="Q10">
            <v>13000</v>
          </cell>
        </row>
        <row r="11">
          <cell r="A11" t="str">
            <v>P-4111</v>
          </cell>
          <cell r="C11" t="str">
            <v>POLIFOSKA 6</v>
          </cell>
          <cell r="D11" t="str">
            <v>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17800</v>
          </cell>
          <cell r="L11">
            <v>18000</v>
          </cell>
          <cell r="M11">
            <v>16900</v>
          </cell>
          <cell r="N11">
            <v>0</v>
          </cell>
          <cell r="O11">
            <v>0</v>
          </cell>
          <cell r="P11">
            <v>0</v>
          </cell>
          <cell r="Q11">
            <v>52700</v>
          </cell>
        </row>
        <row r="12">
          <cell r="A12" t="str">
            <v>P-4112</v>
          </cell>
          <cell r="C12" t="str">
            <v>POLIFOSKA 8</v>
          </cell>
          <cell r="D12" t="str">
            <v>t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11800</v>
          </cell>
          <cell r="L12">
            <v>10500</v>
          </cell>
          <cell r="M12">
            <v>10780</v>
          </cell>
          <cell r="N12">
            <v>0</v>
          </cell>
          <cell r="O12">
            <v>0</v>
          </cell>
          <cell r="P12">
            <v>0</v>
          </cell>
          <cell r="Q12">
            <v>33080</v>
          </cell>
        </row>
        <row r="13">
          <cell r="A13" t="str">
            <v>P-4113</v>
          </cell>
          <cell r="C13" t="str">
            <v>POLIFOSKA M</v>
          </cell>
          <cell r="D13" t="str">
            <v>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4000</v>
          </cell>
          <cell r="L13">
            <v>4900</v>
          </cell>
          <cell r="M13">
            <v>4600</v>
          </cell>
          <cell r="N13">
            <v>0</v>
          </cell>
          <cell r="O13">
            <v>0</v>
          </cell>
          <cell r="P13">
            <v>0</v>
          </cell>
          <cell r="Q13">
            <v>13500</v>
          </cell>
        </row>
        <row r="14">
          <cell r="A14" t="str">
            <v>P-4221</v>
          </cell>
          <cell r="C14" t="str">
            <v>POLIFOSKA 12</v>
          </cell>
          <cell r="D14" t="str">
            <v>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P-4256</v>
          </cell>
          <cell r="C15" t="str">
            <v>POLIFOSKA PETROPLON</v>
          </cell>
          <cell r="D15" t="str">
            <v>t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A16" t="str">
            <v>P-4220</v>
          </cell>
          <cell r="C16" t="str">
            <v>POLIMAG S</v>
          </cell>
          <cell r="D16" t="str">
            <v>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P-4271</v>
          </cell>
          <cell r="C17" t="str">
            <v>POLIFOSKA 21</v>
          </cell>
          <cell r="D17" t="str">
            <v>t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2700</v>
          </cell>
          <cell r="L17">
            <v>4500</v>
          </cell>
          <cell r="M17">
            <v>6600</v>
          </cell>
          <cell r="N17">
            <v>0</v>
          </cell>
          <cell r="O17">
            <v>0</v>
          </cell>
          <cell r="P17">
            <v>0</v>
          </cell>
          <cell r="Q17">
            <v>13800</v>
          </cell>
        </row>
        <row r="18">
          <cell r="A18" t="str">
            <v>P-7012</v>
          </cell>
          <cell r="C18" t="str">
            <v>KWAS SIARKOWY</v>
          </cell>
          <cell r="D18" t="str">
            <v>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300</v>
          </cell>
          <cell r="L18">
            <v>300</v>
          </cell>
          <cell r="M18">
            <v>300</v>
          </cell>
          <cell r="N18">
            <v>0</v>
          </cell>
          <cell r="O18">
            <v>0</v>
          </cell>
          <cell r="P18">
            <v>0</v>
          </cell>
          <cell r="Q18">
            <v>900</v>
          </cell>
        </row>
        <row r="19">
          <cell r="A19" t="str">
            <v>W-6031</v>
          </cell>
          <cell r="C19" t="str">
            <v>KWAS FOSFOROWY</v>
          </cell>
          <cell r="D19" t="str">
            <v>t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150</v>
          </cell>
          <cell r="M19">
            <v>150</v>
          </cell>
          <cell r="N19">
            <v>0</v>
          </cell>
          <cell r="O19">
            <v>0</v>
          </cell>
          <cell r="P19">
            <v>0</v>
          </cell>
          <cell r="Q19">
            <v>300</v>
          </cell>
        </row>
      </sheetData>
      <sheetData sheetId="10"/>
      <sheetData sheetId="11">
        <row r="22">
          <cell r="A22" t="str">
            <v>P-4002</v>
          </cell>
          <cell r="C22" t="str">
            <v>POLIDAP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2098.4</v>
          </cell>
          <cell r="K22">
            <v>2122.0500000000002</v>
          </cell>
          <cell r="L22">
            <v>2117.2125000000001</v>
          </cell>
          <cell r="M22">
            <v>0</v>
          </cell>
          <cell r="N22">
            <v>0</v>
          </cell>
          <cell r="O22">
            <v>0</v>
          </cell>
        </row>
        <row r="23">
          <cell r="A23" t="str">
            <v>P-4115</v>
          </cell>
          <cell r="C23" t="str">
            <v>POLIFOSKA 5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1549.36</v>
          </cell>
          <cell r="K23">
            <v>1530</v>
          </cell>
          <cell r="L23">
            <v>1530</v>
          </cell>
          <cell r="M23">
            <v>0</v>
          </cell>
          <cell r="N23">
            <v>0</v>
          </cell>
          <cell r="O23">
            <v>0</v>
          </cell>
        </row>
        <row r="24">
          <cell r="A24" t="str">
            <v>P-4111</v>
          </cell>
          <cell r="C24" t="str">
            <v>POLIFOSKA 6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1733.4</v>
          </cell>
          <cell r="K24">
            <v>1742.5</v>
          </cell>
          <cell r="L24">
            <v>1721.25</v>
          </cell>
          <cell r="M24">
            <v>0</v>
          </cell>
          <cell r="N24">
            <v>0</v>
          </cell>
          <cell r="O24">
            <v>0</v>
          </cell>
        </row>
        <row r="25">
          <cell r="A25" t="str">
            <v>P-4112</v>
          </cell>
          <cell r="C25" t="str">
            <v>POLIFOSKA 8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1784.76</v>
          </cell>
          <cell r="K25">
            <v>1763.75</v>
          </cell>
          <cell r="L25">
            <v>1772.25</v>
          </cell>
          <cell r="M25">
            <v>0</v>
          </cell>
          <cell r="N25">
            <v>0</v>
          </cell>
          <cell r="O25">
            <v>0</v>
          </cell>
        </row>
        <row r="26">
          <cell r="A26" t="str">
            <v>P-4113</v>
          </cell>
          <cell r="C26" t="str">
            <v>POLIFOSKA M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1459.48</v>
          </cell>
          <cell r="K26">
            <v>1466.25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A27" t="str">
            <v>P-4221</v>
          </cell>
          <cell r="C27" t="str">
            <v>POLIFOSKA 12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A28" t="str">
            <v>P-4226</v>
          </cell>
          <cell r="C28" t="str">
            <v>POLIMAG 311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1198.4000000000001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>P-4222</v>
          </cell>
          <cell r="C29" t="str">
            <v>POLIFOSKA 13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P-4232</v>
          </cell>
          <cell r="C30" t="str">
            <v>NPK 10-15-21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1553.64</v>
          </cell>
          <cell r="K30">
            <v>1551.25</v>
          </cell>
          <cell r="L30">
            <v>1551.25</v>
          </cell>
          <cell r="M30">
            <v>0</v>
          </cell>
          <cell r="N30">
            <v>0</v>
          </cell>
          <cell r="O30">
            <v>0</v>
          </cell>
        </row>
        <row r="31">
          <cell r="A31" t="str">
            <v>P-4145</v>
          </cell>
          <cell r="C31" t="str">
            <v>POLIDAP LIGHT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A32" t="str">
            <v>P-4148</v>
          </cell>
          <cell r="C32" t="str">
            <v>NPK 10-20-20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A33" t="str">
            <v>P-4144</v>
          </cell>
          <cell r="C33" t="str">
            <v>NPK 10-20-10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A34" t="str">
            <v>P-4273</v>
          </cell>
          <cell r="C34" t="str">
            <v>NPK10-30-10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A35" t="str">
            <v>P-4230</v>
          </cell>
          <cell r="C35" t="str">
            <v>NPK 12-24-12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  <row r="36">
          <cell r="A36" t="str">
            <v>P-4234</v>
          </cell>
          <cell r="C36" t="str">
            <v>NPK 11-15-15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A37" t="str">
            <v>P-4271</v>
          </cell>
          <cell r="C37" t="str">
            <v>POLIFOSKA 21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A38" t="str">
            <v>P-4225</v>
          </cell>
          <cell r="C38" t="str">
            <v>NPK 11-8-20-2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>P-4230</v>
          </cell>
          <cell r="C39" t="str">
            <v>NPK 12-24-12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A40" t="str">
            <v>P-4248</v>
          </cell>
          <cell r="C40" t="str">
            <v>NPK 12-12-17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A41" t="str">
            <v>P-4255</v>
          </cell>
          <cell r="C41" t="str">
            <v xml:space="preserve">NPK(S) 12-20-18-5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A42" t="str">
            <v>P-4117</v>
          </cell>
          <cell r="C42" t="str">
            <v>Polifoska 4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A43">
            <v>0</v>
          </cell>
          <cell r="C43" t="str">
            <v>rezerwa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A44">
            <v>0</v>
          </cell>
          <cell r="C44" t="str">
            <v>rezerwa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A45">
            <v>0</v>
          </cell>
          <cell r="C45" t="str">
            <v>rezerwa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A46">
            <v>0</v>
          </cell>
          <cell r="C46" t="str">
            <v>rezerwa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A47">
            <v>0</v>
          </cell>
          <cell r="C47" t="str">
            <v>rezerwa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A48">
            <v>0</v>
          </cell>
          <cell r="C48" t="str">
            <v>rezerwa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A49">
            <v>0</v>
          </cell>
          <cell r="C49" t="str">
            <v>rezerwa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rezerwa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rezerwa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A52" t="str">
            <v>W-2052</v>
          </cell>
          <cell r="C52" t="str">
            <v>rezerwa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A53">
            <v>0</v>
          </cell>
          <cell r="C53" t="str">
            <v>rezerwa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A54" t="str">
            <v>P-7012</v>
          </cell>
          <cell r="C54" t="str">
            <v>KWAS SIARKOWY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201.16</v>
          </cell>
          <cell r="K54">
            <v>199.75</v>
          </cell>
          <cell r="L54">
            <v>199.75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>W-6031</v>
          </cell>
          <cell r="C55" t="str">
            <v>KWAS FOSFOROWY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A56" t="str">
            <v>W-6041</v>
          </cell>
          <cell r="C56" t="str">
            <v>KWAS FLUOROKRZEMOWY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81.319999999999993</v>
          </cell>
          <cell r="K56">
            <v>80.75</v>
          </cell>
          <cell r="L56">
            <v>80.75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Ilości sprzedaży Police"/>
      <sheetName val="Ceny Police"/>
      <sheetName val="Frachty"/>
      <sheetName val="CD - Ilości sprzedaż"/>
      <sheetName val="CD - Ceny "/>
      <sheetName val="Wysyłki do CD"/>
      <sheetName val="przyjęcia w CD"/>
      <sheetName val="CD - dostawy"/>
      <sheetName val="Ilości_ceny"/>
      <sheetName val="sprzedaż_suma"/>
      <sheetName val="Przychody waluta"/>
      <sheetName val="Kursy walut"/>
      <sheetName val="Ilości"/>
      <sheetName val="Przychody PLN"/>
      <sheetName val="Przychody indeksy"/>
      <sheetName val="Ceny_Srednie_PLN"/>
      <sheetName val="Ceny średnie waluta"/>
      <sheetName val="Ilości i ceny eksport"/>
      <sheetName val="asortyment"/>
      <sheetName val="Arkusz1"/>
      <sheetName val="Frachty_koszty"/>
      <sheetName val="Arkusz3"/>
      <sheetName val="stawki_wywóz"/>
      <sheetName val="Ilości_sprzedaży_Police"/>
      <sheetName val="Ceny_Police"/>
      <sheetName val="CD_-_Ilości_sprzedaż"/>
      <sheetName val="CD_-_Ceny_"/>
      <sheetName val="Wysyłki_do_CD"/>
      <sheetName val="przyjęcia_w_CD"/>
      <sheetName val="CD_-_dostawy"/>
      <sheetName val="Przychody_waluta"/>
      <sheetName val="Kursy_walut"/>
      <sheetName val="Przychody_PLN"/>
      <sheetName val="Przychody_indeksy"/>
      <sheetName val="Ceny_średnie_waluta"/>
      <sheetName val="Ilości_i_ceny_eksport"/>
      <sheetName val="Ilości_sprzedaży_Police1"/>
      <sheetName val="Ceny_Police1"/>
      <sheetName val="CD_-_Ilości_sprzedaż1"/>
      <sheetName val="CD_-_Ceny_1"/>
      <sheetName val="Wysyłki_do_CD1"/>
      <sheetName val="przyjęcia_w_CD1"/>
      <sheetName val="CD_-_dostawy1"/>
      <sheetName val="Przychody_waluta1"/>
      <sheetName val="Kursy_walut1"/>
      <sheetName val="Przychody_PLN1"/>
      <sheetName val="Przychody_indeksy1"/>
      <sheetName val="Ceny_średnie_waluta1"/>
      <sheetName val="Ilości_i_ceny_ekspo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A6" t="str">
            <v>PP-065000000</v>
          </cell>
          <cell r="C6" t="str">
            <v>POLIDAP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1762.5</v>
          </cell>
          <cell r="M6">
            <v>1684.3125</v>
          </cell>
          <cell r="N6">
            <v>1682.8909090909092</v>
          </cell>
          <cell r="O6">
            <v>1679.6923076923076</v>
          </cell>
        </row>
        <row r="7">
          <cell r="A7" t="str">
            <v>PP-068310000</v>
          </cell>
          <cell r="C7" t="str">
            <v>POLIDAP LIGHT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PP-066810000</v>
          </cell>
          <cell r="C8" t="str">
            <v>POLIFOSKA 3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A9" t="str">
            <v>PP-065410000</v>
          </cell>
          <cell r="C9" t="str">
            <v>POLIFOSKA 4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1641.5</v>
          </cell>
          <cell r="M9">
            <v>1410.2727272727273</v>
          </cell>
          <cell r="N9">
            <v>1428.9411764705883</v>
          </cell>
          <cell r="O9">
            <v>1464.925</v>
          </cell>
        </row>
        <row r="10">
          <cell r="A10" t="str">
            <v>PP-065510000</v>
          </cell>
          <cell r="C10" t="str">
            <v>POLIFOSKA 5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1720.25</v>
          </cell>
          <cell r="M10">
            <v>1461.375</v>
          </cell>
          <cell r="N10">
            <v>1488.2307692307693</v>
          </cell>
          <cell r="O10">
            <v>1518.9259259259259</v>
          </cell>
        </row>
        <row r="11">
          <cell r="A11" t="str">
            <v>PP-065610000</v>
          </cell>
          <cell r="C11" t="str">
            <v>POLIFOSKA 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1892.715909090909</v>
          </cell>
          <cell r="M11">
            <v>1597.6</v>
          </cell>
          <cell r="N11">
            <v>1632.34</v>
          </cell>
          <cell r="O11">
            <v>1659.7241379310344</v>
          </cell>
        </row>
        <row r="12">
          <cell r="A12" t="str">
            <v>PP-065710000</v>
          </cell>
          <cell r="C12" t="str">
            <v>POLIFOSKA 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1913.3841463414635</v>
          </cell>
          <cell r="M12">
            <v>1623.9814814814815</v>
          </cell>
          <cell r="N12">
            <v>1651.1555555555556</v>
          </cell>
          <cell r="O12">
            <v>1684.0125</v>
          </cell>
        </row>
        <row r="13">
          <cell r="A13" t="str">
            <v>PP-065910000</v>
          </cell>
          <cell r="C13" t="str">
            <v>POLIFOSKA M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1597.3157894736842</v>
          </cell>
          <cell r="M13">
            <v>1371.2222222222222</v>
          </cell>
          <cell r="N13">
            <v>1400.8846153846155</v>
          </cell>
          <cell r="O13">
            <v>1431.12</v>
          </cell>
        </row>
        <row r="14">
          <cell r="A14" t="str">
            <v>PP-065120000</v>
          </cell>
          <cell r="C14" t="str">
            <v>POLIFOSKA 12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PP-069320000</v>
          </cell>
          <cell r="C15" t="str">
            <v>POLIFOSKA PETROPLON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A16" t="str">
            <v>PP-066720000</v>
          </cell>
          <cell r="C16" t="str">
            <v>POLIMAG S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A17" t="str">
            <v>PP-070620000</v>
          </cell>
          <cell r="C17" t="str">
            <v>POLIFOSKA 21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942.5625</v>
          </cell>
          <cell r="M17">
            <v>917.30232558139539</v>
          </cell>
          <cell r="N17">
            <v>949.67499999999995</v>
          </cell>
          <cell r="O17">
            <v>982.5625</v>
          </cell>
        </row>
        <row r="18">
          <cell r="A18" t="str">
            <v>PP-066620000</v>
          </cell>
          <cell r="C18" t="str">
            <v>POLIFOSKA PLUS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1177.71</v>
          </cell>
          <cell r="M18">
            <v>0</v>
          </cell>
          <cell r="N18">
            <v>0</v>
          </cell>
          <cell r="O18">
            <v>0</v>
          </cell>
        </row>
        <row r="19">
          <cell r="A19" t="str">
            <v>PP-081200000</v>
          </cell>
          <cell r="C19" t="str">
            <v>KWAS SIARKOWY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A20" t="str">
            <v>WG-077000000</v>
          </cell>
          <cell r="C20" t="str">
            <v>KWAS FOSFOROWY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nawozy_plan produkcji"/>
      <sheetName val="plan_produkcji_kwasy"/>
      <sheetName val="specyfikacje"/>
      <sheetName val="zuzycia"/>
      <sheetName val="zapotrzebowania"/>
      <sheetName val="koszty"/>
      <sheetName val="Arkusz2"/>
      <sheetName val="Arkusz3"/>
      <sheetName val="ceny"/>
      <sheetName val="Pakowanie"/>
      <sheetName val="Przyjęcia"/>
      <sheetName val="Wydania"/>
      <sheetName val="TKW_suma"/>
      <sheetName val="TKW"/>
      <sheetName val="sprzedaż_wewn"/>
      <sheetName val="Arkusz1"/>
      <sheetName val="nawozy_plan_produkcji"/>
      <sheetName val="nawozy_plan_produkcji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C2">
            <v>1</v>
          </cell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  <cell r="K2">
            <v>9</v>
          </cell>
          <cell r="L2">
            <v>10</v>
          </cell>
          <cell r="M2">
            <v>11</v>
          </cell>
          <cell r="N2">
            <v>12</v>
          </cell>
          <cell r="O2">
            <v>13</v>
          </cell>
          <cell r="P2">
            <v>14</v>
          </cell>
          <cell r="Q2">
            <v>15</v>
          </cell>
        </row>
        <row r="3">
          <cell r="C3" t="str">
            <v>Materiał</v>
          </cell>
          <cell r="D3" t="str">
            <v>Opis</v>
          </cell>
          <cell r="F3">
            <v>1</v>
          </cell>
          <cell r="G3">
            <v>2</v>
          </cell>
          <cell r="H3">
            <v>3</v>
          </cell>
          <cell r="I3">
            <v>4</v>
          </cell>
          <cell r="J3">
            <v>5</v>
          </cell>
          <cell r="K3">
            <v>6</v>
          </cell>
          <cell r="L3">
            <v>7</v>
          </cell>
          <cell r="M3">
            <v>8</v>
          </cell>
          <cell r="N3">
            <v>9</v>
          </cell>
          <cell r="O3">
            <v>10</v>
          </cell>
          <cell r="P3">
            <v>11</v>
          </cell>
          <cell r="Q3">
            <v>12</v>
          </cell>
        </row>
        <row r="4">
          <cell r="C4" t="str">
            <v>P-4100</v>
          </cell>
          <cell r="D4" t="str">
            <v>MAP</v>
          </cell>
          <cell r="E4" t="str">
            <v>t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2882.6</v>
          </cell>
          <cell r="M4">
            <v>13200.123888</v>
          </cell>
          <cell r="N4">
            <v>14373.300152</v>
          </cell>
          <cell r="O4">
            <v>17329.084036</v>
          </cell>
          <cell r="P4">
            <v>0</v>
          </cell>
          <cell r="Q4">
            <v>0</v>
          </cell>
        </row>
        <row r="5">
          <cell r="C5" t="str">
            <v>P-4201</v>
          </cell>
          <cell r="D5" t="str">
            <v>siarczan amonu własny</v>
          </cell>
          <cell r="E5" t="str">
            <v>t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3208.4360000000001</v>
          </cell>
          <cell r="N5">
            <v>3208.4360000000001</v>
          </cell>
          <cell r="O5">
            <v>3666.7840000000001</v>
          </cell>
          <cell r="P5">
            <v>0</v>
          </cell>
          <cell r="Q5">
            <v>0</v>
          </cell>
        </row>
        <row r="6">
          <cell r="C6" t="str">
            <v>P-4202</v>
          </cell>
          <cell r="D6" t="str">
            <v>siarczan amonu mieszany</v>
          </cell>
          <cell r="E6" t="str">
            <v>t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3171</v>
          </cell>
          <cell r="M6">
            <v>6378.0067200000003</v>
          </cell>
          <cell r="N6">
            <v>7762.274691999999</v>
          </cell>
          <cell r="O6">
            <v>9986.0489840000009</v>
          </cell>
          <cell r="P6">
            <v>0</v>
          </cell>
          <cell r="Q6">
            <v>0</v>
          </cell>
        </row>
        <row r="8">
          <cell r="C8" t="str">
            <v>P-6020</v>
          </cell>
          <cell r="D8" t="str">
            <v>kwas fosforowy 25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4924.4999999999991</v>
          </cell>
          <cell r="M8">
            <v>36883.499999999993</v>
          </cell>
          <cell r="N8">
            <v>30320.999999999996</v>
          </cell>
          <cell r="O8">
            <v>40169.999999999993</v>
          </cell>
          <cell r="P8">
            <v>0</v>
          </cell>
          <cell r="Q8">
            <v>0</v>
          </cell>
        </row>
        <row r="9">
          <cell r="C9" t="str">
            <v>P-6026</v>
          </cell>
          <cell r="D9" t="str">
            <v>kwas fosfforowy 25 odfluorowany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284.5675</v>
          </cell>
          <cell r="O9">
            <v>284.5675</v>
          </cell>
          <cell r="P9">
            <v>0</v>
          </cell>
          <cell r="Q9">
            <v>0</v>
          </cell>
        </row>
        <row r="10">
          <cell r="C10" t="str">
            <v>P-6028</v>
          </cell>
          <cell r="D10" t="str">
            <v>kw fosforowy sur odfluorowany 54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281.75</v>
          </cell>
          <cell r="O10">
            <v>281.75</v>
          </cell>
          <cell r="P10">
            <v>0</v>
          </cell>
          <cell r="Q10">
            <v>0</v>
          </cell>
        </row>
        <row r="11">
          <cell r="C11" t="str">
            <v>P-6048</v>
          </cell>
          <cell r="D11" t="str">
            <v>kwas fosforowy 48%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2753.25</v>
          </cell>
          <cell r="M11">
            <v>26028.687751999998</v>
          </cell>
          <cell r="N11">
            <v>23357.104111999994</v>
          </cell>
          <cell r="O11">
            <v>28016.694023999989</v>
          </cell>
          <cell r="P11">
            <v>0</v>
          </cell>
          <cell r="Q11">
            <v>0</v>
          </cell>
        </row>
        <row r="12">
          <cell r="C12" t="str">
            <v>P-6050</v>
          </cell>
          <cell r="D12" t="str">
            <v>kwas fosforowy 42%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4876.8629999999994</v>
          </cell>
          <cell r="M12">
            <v>36695.802503008003</v>
          </cell>
          <cell r="N12">
            <v>30492.532528447995</v>
          </cell>
          <cell r="O12">
            <v>40200.760800095988</v>
          </cell>
          <cell r="P12">
            <v>0</v>
          </cell>
          <cell r="Q12">
            <v>0</v>
          </cell>
        </row>
        <row r="13">
          <cell r="C13" t="str">
            <v>P-6060</v>
          </cell>
          <cell r="D13" t="str">
            <v>kwas fosforowy MAP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1976</v>
          </cell>
          <cell r="M13">
            <v>10260</v>
          </cell>
          <cell r="N13">
            <v>10944</v>
          </cell>
          <cell r="O13">
            <v>13148</v>
          </cell>
          <cell r="P13">
            <v>0</v>
          </cell>
          <cell r="Q13">
            <v>0</v>
          </cell>
        </row>
        <row r="14">
          <cell r="C14" t="str">
            <v>P-6030</v>
          </cell>
          <cell r="D14" t="str">
            <v>pulpa MSP30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1690.0144</v>
          </cell>
          <cell r="N14">
            <v>1548.0816</v>
          </cell>
          <cell r="O14">
            <v>1964.0144</v>
          </cell>
          <cell r="P14">
            <v>0</v>
          </cell>
          <cell r="Q14">
            <v>0</v>
          </cell>
        </row>
        <row r="15">
          <cell r="C15" t="str">
            <v>P-6031</v>
          </cell>
          <cell r="D15" t="str">
            <v>pulpa MSP36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C16" t="str">
            <v>P-6033</v>
          </cell>
          <cell r="D16" t="str">
            <v>pulpa SSP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C17" t="str">
            <v>P-6002</v>
          </cell>
          <cell r="D17" t="str">
            <v>mlewo jordan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C18" t="str">
            <v>P-6003</v>
          </cell>
          <cell r="D18" t="str">
            <v>mlewo maroko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5580.1889999999994</v>
          </cell>
          <cell r="M18">
            <v>19778.364504000001</v>
          </cell>
          <cell r="N18">
            <v>0</v>
          </cell>
          <cell r="O18">
            <v>17178.524999999998</v>
          </cell>
          <cell r="P18">
            <v>0</v>
          </cell>
          <cell r="Q18">
            <v>0</v>
          </cell>
        </row>
        <row r="19">
          <cell r="C19" t="str">
            <v>P-6004</v>
          </cell>
          <cell r="D19" t="str">
            <v>mlewo tunezja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19400.060916000006</v>
          </cell>
          <cell r="O19">
            <v>0</v>
          </cell>
          <cell r="P19">
            <v>0</v>
          </cell>
          <cell r="Q19">
            <v>0</v>
          </cell>
        </row>
        <row r="20">
          <cell r="C20" t="str">
            <v>P-6005</v>
          </cell>
          <cell r="D20" t="str">
            <v>mlewo togo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17745.845208000006</v>
          </cell>
          <cell r="O20">
            <v>12926.83236</v>
          </cell>
          <cell r="P20">
            <v>0</v>
          </cell>
          <cell r="Q20">
            <v>0</v>
          </cell>
        </row>
        <row r="21">
          <cell r="C21" t="str">
            <v>P-6006</v>
          </cell>
          <cell r="D21" t="str">
            <v>mlewo syria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2149.364</v>
          </cell>
          <cell r="M21">
            <v>12955.296803999998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C22" t="str">
            <v>P-6007</v>
          </cell>
          <cell r="D22" t="str">
            <v>mlewo izrael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 t="str">
            <v>P-6009</v>
          </cell>
          <cell r="D23" t="str">
            <v>Mlewo Algier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39229.613376000001</v>
          </cell>
          <cell r="N23">
            <v>13162.384103999999</v>
          </cell>
          <cell r="O23">
            <v>25399.847999999998</v>
          </cell>
          <cell r="P23">
            <v>0</v>
          </cell>
          <cell r="Q23">
            <v>0</v>
          </cell>
        </row>
        <row r="24">
          <cell r="C24" t="str">
            <v>P-6010</v>
          </cell>
          <cell r="D24" t="str">
            <v>mlewo egipt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982.80000000000007</v>
          </cell>
          <cell r="M24">
            <v>28466.28360000001</v>
          </cell>
          <cell r="N24">
            <v>29899.88640000001</v>
          </cell>
          <cell r="O24">
            <v>49387.060800000007</v>
          </cell>
          <cell r="P24">
            <v>0</v>
          </cell>
          <cell r="Q24">
            <v>0</v>
          </cell>
        </row>
        <row r="25">
          <cell r="C25" t="str">
            <v>P-6030</v>
          </cell>
          <cell r="D25" t="str">
            <v>Pulpa MSP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1690.0144</v>
          </cell>
          <cell r="N25">
            <v>1548.0816</v>
          </cell>
          <cell r="O25">
            <v>1964.0144</v>
          </cell>
          <cell r="P25">
            <v>0</v>
          </cell>
          <cell r="Q25">
            <v>0</v>
          </cell>
        </row>
        <row r="27">
          <cell r="C27" t="str">
            <v>P-7020</v>
          </cell>
          <cell r="D27" t="str">
            <v>Kwas  siarkowy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17630.036</v>
          </cell>
          <cell r="M27">
            <v>85284.264111999975</v>
          </cell>
          <cell r="N27">
            <v>80868.148388000031</v>
          </cell>
          <cell r="O27">
            <v>87752.688844000004</v>
          </cell>
          <cell r="P27">
            <v>0</v>
          </cell>
          <cell r="Q27">
            <v>0</v>
          </cell>
        </row>
        <row r="28">
          <cell r="C28" t="str">
            <v>P-7011</v>
          </cell>
          <cell r="D28" t="str">
            <v>Siarka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4658.4725000000008</v>
          </cell>
          <cell r="M28">
            <v>28399.343706</v>
          </cell>
          <cell r="N28">
            <v>23339.458242000001</v>
          </cell>
          <cell r="O28">
            <v>25540.922172666666</v>
          </cell>
          <cell r="P28">
            <v>0</v>
          </cell>
          <cell r="Q28">
            <v>0</v>
          </cell>
        </row>
        <row r="29">
          <cell r="C29" t="str">
            <v>P-7012</v>
          </cell>
          <cell r="D29" t="str">
            <v xml:space="preserve">Kwas siarkowy kontaktowy procesowy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C30" t="str">
            <v>P-7013</v>
          </cell>
          <cell r="D30" t="str">
            <v>kwas siarkowy procesowy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8683.4359999999997</v>
          </cell>
          <cell r="M30">
            <v>88691.864111999981</v>
          </cell>
          <cell r="N30">
            <v>75180.948388000019</v>
          </cell>
          <cell r="O30">
            <v>95619.488843999992</v>
          </cell>
          <cell r="P30">
            <v>0</v>
          </cell>
          <cell r="Q30">
            <v>0</v>
          </cell>
        </row>
        <row r="37">
          <cell r="C37" t="str">
            <v>E-1011</v>
          </cell>
          <cell r="D37" t="str">
            <v>Energia elektryczna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2097920.24315</v>
          </cell>
          <cell r="M37">
            <v>16251753.406171795</v>
          </cell>
          <cell r="N37">
            <v>13952299.331238201</v>
          </cell>
          <cell r="O37">
            <v>16678429.979480596</v>
          </cell>
          <cell r="P37">
            <v>0</v>
          </cell>
          <cell r="Q37">
            <v>0</v>
          </cell>
        </row>
        <row r="38">
          <cell r="C38" t="str">
            <v>E-1020</v>
          </cell>
          <cell r="D38" t="str">
            <v>Ciepło w parze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34197.908750000002</v>
          </cell>
          <cell r="M38">
            <v>241722.13951899999</v>
          </cell>
          <cell r="N38">
            <v>201540.005603</v>
          </cell>
          <cell r="O38">
            <v>257617.60685899996</v>
          </cell>
          <cell r="P38">
            <v>0</v>
          </cell>
          <cell r="Q38">
            <v>0</v>
          </cell>
        </row>
        <row r="39">
          <cell r="C39" t="str">
            <v>E-1023</v>
          </cell>
          <cell r="D39" t="str">
            <v>Ciepło w parze - uzysk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-45392</v>
          </cell>
          <cell r="M39">
            <v>-276821.49119999999</v>
          </cell>
          <cell r="N39">
            <v>-227543.39840000001</v>
          </cell>
          <cell r="O39">
            <v>-249002.18453333335</v>
          </cell>
          <cell r="P39">
            <v>0</v>
          </cell>
          <cell r="Q39">
            <v>0</v>
          </cell>
        </row>
        <row r="40">
          <cell r="C40" t="str">
            <v>E-1026</v>
          </cell>
          <cell r="D40" t="str">
            <v>Woda zasilająca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15075.1</v>
          </cell>
          <cell r="M40">
            <v>92240.493959999993</v>
          </cell>
          <cell r="N40">
            <v>75952.563219999996</v>
          </cell>
          <cell r="O40">
            <v>83103.223626666673</v>
          </cell>
          <cell r="P40">
            <v>0</v>
          </cell>
          <cell r="Q40">
            <v>0</v>
          </cell>
        </row>
        <row r="41">
          <cell r="C41" t="str">
            <v>SSN31</v>
          </cell>
          <cell r="D41" t="str">
            <v>straty energii elektrycznej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30243.893920137001</v>
          </cell>
          <cell r="M41">
            <v>234200.67382600787</v>
          </cell>
          <cell r="N41">
            <v>201034.63051617396</v>
          </cell>
          <cell r="O41">
            <v>240416.72611188976</v>
          </cell>
          <cell r="P41">
            <v>0</v>
          </cell>
          <cell r="Q41">
            <v>0</v>
          </cell>
        </row>
        <row r="44">
          <cell r="C44" t="str">
            <v>S-1430125026-01010</v>
          </cell>
          <cell r="D44" t="str">
            <v>SIARKA  PŁYNNA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4659.4041945000008</v>
          </cell>
          <cell r="M44">
            <v>28405.023574741201</v>
          </cell>
          <cell r="N44">
            <v>23344.126133648399</v>
          </cell>
          <cell r="O44">
            <v>25546.030357101197</v>
          </cell>
          <cell r="P44">
            <v>0</v>
          </cell>
          <cell r="Q44">
            <v>0</v>
          </cell>
        </row>
        <row r="46">
          <cell r="C46" t="str">
            <v>S-1430113013-02120</v>
          </cell>
          <cell r="D46" t="str">
            <v>FOSFORYT MAROKO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5596.9295669999992</v>
          </cell>
          <cell r="M46">
            <v>19837.699597511997</v>
          </cell>
          <cell r="N46">
            <v>0</v>
          </cell>
          <cell r="O46">
            <v>17230.060574999996</v>
          </cell>
          <cell r="P46">
            <v>0</v>
          </cell>
          <cell r="Q46">
            <v>0</v>
          </cell>
        </row>
        <row r="47">
          <cell r="C47" t="str">
            <v>S-1430113013-02410</v>
          </cell>
          <cell r="D47" t="str">
            <v>FOSFORYT SYRIA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2155.8120919999997</v>
          </cell>
          <cell r="M47">
            <v>12994.162694411996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C48" t="str">
            <v>S-1430113013-02650</v>
          </cell>
          <cell r="D48" t="str">
            <v>FOSFORYT ALGERIA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39347.302216127995</v>
          </cell>
          <cell r="N48">
            <v>13201.871256311997</v>
          </cell>
          <cell r="O48">
            <v>25476.047543999994</v>
          </cell>
          <cell r="P48">
            <v>0</v>
          </cell>
          <cell r="Q48">
            <v>0</v>
          </cell>
        </row>
        <row r="49">
          <cell r="C49" t="str">
            <v>S-1430113013-02700</v>
          </cell>
          <cell r="D49" t="str">
            <v>FOSFORYT EGIPT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987.71399999999994</v>
          </cell>
          <cell r="M49">
            <v>28608.615018000008</v>
          </cell>
          <cell r="N49">
            <v>30049.385832000007</v>
          </cell>
          <cell r="O49">
            <v>49633.996103999998</v>
          </cell>
          <cell r="P49">
            <v>0</v>
          </cell>
          <cell r="Q49">
            <v>0</v>
          </cell>
        </row>
        <row r="50">
          <cell r="C50" t="str">
            <v>S-1430113022-01050</v>
          </cell>
          <cell r="D50" t="str">
            <v>APATYT  KOLA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C51" t="str">
            <v>S-1430113013-02070</v>
          </cell>
          <cell r="D51" t="str">
            <v>FOSFORYT TUNEZJA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19458.261098748004</v>
          </cell>
          <cell r="O51">
            <v>0</v>
          </cell>
          <cell r="P51">
            <v>0</v>
          </cell>
          <cell r="Q51">
            <v>0</v>
          </cell>
        </row>
        <row r="52">
          <cell r="C52" t="str">
            <v>S-1430113013-02510</v>
          </cell>
          <cell r="D52" t="str">
            <v>FOSFORYT IZRAEL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C53" t="str">
            <v>S-1430113013-02210</v>
          </cell>
          <cell r="D53" t="str">
            <v>FOSFORYT TOGO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17799.082743624003</v>
          </cell>
          <cell r="O53">
            <v>12965.612857079999</v>
          </cell>
          <cell r="P53">
            <v>0</v>
          </cell>
          <cell r="Q53">
            <v>0</v>
          </cell>
        </row>
        <row r="55">
          <cell r="C55" t="str">
            <v>S-2415503020-02080</v>
          </cell>
          <cell r="D55" t="str">
            <v>SÓL POTASOWA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6617.39</v>
          </cell>
          <cell r="M55">
            <v>32256.603615999997</v>
          </cell>
          <cell r="N55">
            <v>25115.882664000001</v>
          </cell>
          <cell r="O55">
            <v>24436.445211999999</v>
          </cell>
          <cell r="P55">
            <v>0</v>
          </cell>
          <cell r="Q55">
            <v>0</v>
          </cell>
        </row>
        <row r="56">
          <cell r="C56" t="str">
            <v>E-0001</v>
          </cell>
          <cell r="D56" t="str">
            <v>Gaz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352870</v>
          </cell>
          <cell r="M56">
            <v>1896006.04</v>
          </cell>
          <cell r="N56">
            <v>1669015.1199999996</v>
          </cell>
          <cell r="O56">
            <v>2032624.1599999997</v>
          </cell>
          <cell r="P56">
            <v>0</v>
          </cell>
          <cell r="Q56">
            <v>0</v>
          </cell>
        </row>
        <row r="58">
          <cell r="C58" t="str">
            <v>S-1440100011-01040</v>
          </cell>
          <cell r="D58" t="str">
            <v>SÓL WARZONA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C59" t="str">
            <v>S-1450233300-01010</v>
          </cell>
          <cell r="D59" t="str">
            <v>MAGNEZYT - MIELONY R-30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454.4</v>
          </cell>
          <cell r="M59">
            <v>2379.244944</v>
          </cell>
          <cell r="N59">
            <v>2899.1811939999998</v>
          </cell>
          <cell r="O59">
            <v>3584.4949400000005</v>
          </cell>
          <cell r="P59">
            <v>0</v>
          </cell>
          <cell r="Q59">
            <v>0</v>
          </cell>
        </row>
        <row r="60">
          <cell r="C60" t="str">
            <v>S-1450233300-01030</v>
          </cell>
          <cell r="D60" t="str">
            <v>MAGNEZYT - MIELONY R-40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72.599999999999994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C61" t="str">
            <v>S-2412137319-01020</v>
          </cell>
          <cell r="D61" t="str">
            <v>MIESZANKA MIKROELEMENTÓW MM-XI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C62" t="str">
            <v>S-2413143310-04030</v>
          </cell>
          <cell r="D62" t="str">
            <v>KWAS SIARKOWY OBCY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6400</v>
          </cell>
          <cell r="M62">
            <v>20000</v>
          </cell>
          <cell r="N62">
            <v>11500</v>
          </cell>
          <cell r="O62">
            <v>25000</v>
          </cell>
          <cell r="P62">
            <v>0</v>
          </cell>
          <cell r="Q62">
            <v>0</v>
          </cell>
        </row>
        <row r="63">
          <cell r="C63" t="str">
            <v>S-2413315749-01010</v>
          </cell>
          <cell r="D63" t="str">
            <v>SIARCZAN POTASU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C64" t="str">
            <v>S-2413525019-02060</v>
          </cell>
          <cell r="D64" t="str">
            <v>CZTEROBORAN SODU PIĘCIOWODNY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C65" t="str">
            <v>S-2414411510-01090</v>
          </cell>
          <cell r="D65" t="str">
            <v>ODPIENIACZ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1374.8</v>
          </cell>
          <cell r="M65">
            <v>23845.992000000002</v>
          </cell>
          <cell r="N65">
            <v>14302.411200000004</v>
          </cell>
          <cell r="O65">
            <v>20120.654400000003</v>
          </cell>
          <cell r="P65">
            <v>0</v>
          </cell>
          <cell r="Q65">
            <v>0</v>
          </cell>
        </row>
        <row r="66">
          <cell r="C66" t="str">
            <v>S-2414411510-03300</v>
          </cell>
          <cell r="D66" t="str">
            <v>ŚRODEK DO POWLEKANIA NAWOZÓW NPK-2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23320</v>
          </cell>
          <cell r="M66">
            <v>81400.668799999999</v>
          </cell>
          <cell r="N66">
            <v>103161.30320000001</v>
          </cell>
          <cell r="O66">
            <v>102400.74559999999</v>
          </cell>
          <cell r="P66">
            <v>0</v>
          </cell>
          <cell r="Q66">
            <v>0</v>
          </cell>
        </row>
        <row r="67">
          <cell r="C67" t="str">
            <v>S-2414411510-03450</v>
          </cell>
          <cell r="D67" t="str">
            <v>OLEJ PARAFINOWY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26010</v>
          </cell>
          <cell r="M67">
            <v>173002.62400000001</v>
          </cell>
          <cell r="N67">
            <v>127250.20799999996</v>
          </cell>
          <cell r="O67">
            <v>178742.47199999995</v>
          </cell>
          <cell r="P67">
            <v>0</v>
          </cell>
          <cell r="Q67">
            <v>0</v>
          </cell>
        </row>
        <row r="68">
          <cell r="C68" t="str">
            <v>S-2415302300-01040</v>
          </cell>
          <cell r="D68" t="str">
            <v>SIARCZAN AMONU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700</v>
          </cell>
          <cell r="M68">
            <v>3450</v>
          </cell>
          <cell r="N68">
            <v>3950</v>
          </cell>
          <cell r="O68">
            <v>4450</v>
          </cell>
          <cell r="P68">
            <v>0</v>
          </cell>
          <cell r="Q68">
            <v>0</v>
          </cell>
        </row>
        <row r="69">
          <cell r="C69" t="str">
            <v>S-2416539099-02010</v>
          </cell>
          <cell r="D69" t="str">
            <v>FLOKULANT   A-100 HMW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251.52325000000002</v>
          </cell>
          <cell r="M69">
            <v>4033.7731677520001</v>
          </cell>
          <cell r="N69">
            <v>2715.6758241120006</v>
          </cell>
          <cell r="O69">
            <v>3957.5306940240002</v>
          </cell>
          <cell r="P69">
            <v>0</v>
          </cell>
          <cell r="Q69">
            <v>0</v>
          </cell>
        </row>
        <row r="70">
          <cell r="C70" t="str">
            <v>S-1412105092-01010</v>
          </cell>
          <cell r="D70" t="str">
            <v>MĄCZKA SZKLARSKA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7">
          <cell r="C77" t="str">
            <v>P-3011</v>
          </cell>
          <cell r="D77" t="str">
            <v>mocznik</v>
          </cell>
          <cell r="E77" t="str">
            <v>t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915.00768600000004</v>
          </cell>
          <cell r="O77">
            <v>1464.0131760000002</v>
          </cell>
          <cell r="P77">
            <v>0</v>
          </cell>
          <cell r="Q77">
            <v>0</v>
          </cell>
        </row>
        <row r="78">
          <cell r="C78" t="str">
            <v>P-3051</v>
          </cell>
          <cell r="D78" t="str">
            <v>amoniak gazowy</v>
          </cell>
          <cell r="E78" t="str">
            <v>t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1074.83</v>
          </cell>
          <cell r="M78">
            <v>9695.327111999999</v>
          </cell>
          <cell r="N78">
            <v>9194.1125239999965</v>
          </cell>
          <cell r="O78">
            <v>10521.686887999997</v>
          </cell>
          <cell r="P78">
            <v>0</v>
          </cell>
          <cell r="Q78">
            <v>0</v>
          </cell>
        </row>
        <row r="79">
          <cell r="C79" t="str">
            <v>P-3060</v>
          </cell>
          <cell r="D79" t="str">
            <v>amoniak ciekły</v>
          </cell>
          <cell r="E79" t="str">
            <v>t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335.40000000000003</v>
          </cell>
          <cell r="M79">
            <v>2460.189664</v>
          </cell>
          <cell r="N79">
            <v>2576.2896639999999</v>
          </cell>
          <cell r="O79">
            <v>3053.0596160000005</v>
          </cell>
          <cell r="P79">
            <v>0</v>
          </cell>
          <cell r="Q79">
            <v>0</v>
          </cell>
        </row>
        <row r="80">
          <cell r="C80" t="str">
            <v>ME15</v>
          </cell>
          <cell r="D80" t="str">
            <v>Powietrze Izopac</v>
          </cell>
          <cell r="E80" t="str">
            <v>m3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4">
          <cell r="C84" t="str">
            <v>P-5051</v>
          </cell>
          <cell r="D84" t="str">
            <v>Kwas pohydrolityczny 28%</v>
          </cell>
          <cell r="E84" t="str">
            <v>t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398.70599999999996</v>
          </cell>
          <cell r="M84">
            <v>1561.5705840000001</v>
          </cell>
          <cell r="N84">
            <v>485.55328800000018</v>
          </cell>
          <cell r="O84">
            <v>859.95</v>
          </cell>
          <cell r="P84">
            <v>0</v>
          </cell>
          <cell r="Q84">
            <v>0</v>
          </cell>
        </row>
        <row r="85">
          <cell r="C85" t="str">
            <v>P-5052</v>
          </cell>
          <cell r="D85" t="str">
            <v>Kwas pohydrolityczny do SA</v>
          </cell>
          <cell r="E85" t="str">
            <v>t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2460.8704120000002</v>
          </cell>
          <cell r="N85">
            <v>2460.8704120000002</v>
          </cell>
          <cell r="O85">
            <v>2812.4233280000003</v>
          </cell>
          <cell r="P85">
            <v>0</v>
          </cell>
          <cell r="Q85">
            <v>0</v>
          </cell>
        </row>
        <row r="109">
          <cell r="C109" t="str">
            <v>ME28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16544.928454390712</v>
          </cell>
          <cell r="M109">
            <v>111033.31274547469</v>
          </cell>
          <cell r="N109">
            <v>98630.03992603306</v>
          </cell>
          <cell r="O109">
            <v>107093.3716081707</v>
          </cell>
          <cell r="P109">
            <v>0</v>
          </cell>
          <cell r="Q109">
            <v>0</v>
          </cell>
        </row>
        <row r="110">
          <cell r="C110" t="str">
            <v>MS110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161.98938936838096</v>
          </cell>
          <cell r="M110">
            <v>709.76512456764317</v>
          </cell>
          <cell r="N110">
            <v>622.68750781807103</v>
          </cell>
          <cell r="O110">
            <v>760.1147079894356</v>
          </cell>
          <cell r="P110">
            <v>0</v>
          </cell>
          <cell r="Q110">
            <v>0</v>
          </cell>
        </row>
        <row r="111">
          <cell r="C111" t="str">
            <v>MS111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130.76414035087723</v>
          </cell>
          <cell r="M111">
            <v>797.17456016842107</v>
          </cell>
          <cell r="N111">
            <v>655.14268749473683</v>
          </cell>
          <cell r="O111">
            <v>716.9381662502924</v>
          </cell>
          <cell r="P111">
            <v>0</v>
          </cell>
          <cell r="Q111">
            <v>0</v>
          </cell>
        </row>
        <row r="112">
          <cell r="C112" t="str">
            <v>MS113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308.72000000000003</v>
          </cell>
          <cell r="M112">
            <v>1357.32584</v>
          </cell>
          <cell r="N112">
            <v>668.85</v>
          </cell>
          <cell r="O112">
            <v>1370.7928000000002</v>
          </cell>
          <cell r="P112">
            <v>0</v>
          </cell>
          <cell r="Q112">
            <v>0</v>
          </cell>
        </row>
        <row r="113">
          <cell r="C113" t="str">
            <v>MS114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154.68</v>
          </cell>
          <cell r="M113">
            <v>653.94280000000003</v>
          </cell>
          <cell r="N113">
            <v>631.94247999999982</v>
          </cell>
          <cell r="O113">
            <v>85.067840000000004</v>
          </cell>
          <cell r="P113">
            <v>0</v>
          </cell>
          <cell r="Q113">
            <v>0</v>
          </cell>
        </row>
        <row r="114">
          <cell r="C114" t="str">
            <v>MS116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44.571428571428577</v>
          </cell>
          <cell r="M114">
            <v>621</v>
          </cell>
          <cell r="N114">
            <v>661.5</v>
          </cell>
          <cell r="O114">
            <v>710</v>
          </cell>
          <cell r="P114">
            <v>0</v>
          </cell>
          <cell r="Q114">
            <v>0</v>
          </cell>
        </row>
        <row r="115">
          <cell r="C115" t="str">
            <v>MS121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148.00545454545454</v>
          </cell>
          <cell r="M115">
            <v>996.56861818181824</v>
          </cell>
          <cell r="N115">
            <v>894.44781818181809</v>
          </cell>
          <cell r="O115">
            <v>1288.0666363636365</v>
          </cell>
          <cell r="P115">
            <v>0</v>
          </cell>
          <cell r="Q115">
            <v>0</v>
          </cell>
        </row>
        <row r="116">
          <cell r="C116" t="str">
            <v>MS122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63.750300714285707</v>
          </cell>
          <cell r="M116">
            <v>733.31201238363792</v>
          </cell>
          <cell r="N116">
            <v>587.34505281514237</v>
          </cell>
          <cell r="O116">
            <v>764.16134440740007</v>
          </cell>
          <cell r="P116">
            <v>0</v>
          </cell>
          <cell r="Q116">
            <v>0</v>
          </cell>
        </row>
        <row r="117">
          <cell r="C117" t="str">
            <v>MS124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664.01338066666676</v>
          </cell>
          <cell r="N117">
            <v>344.00688000000014</v>
          </cell>
          <cell r="O117">
            <v>644</v>
          </cell>
          <cell r="P117">
            <v>0</v>
          </cell>
          <cell r="Q117">
            <v>0</v>
          </cell>
        </row>
        <row r="118">
          <cell r="C118" t="str">
            <v>MS125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76.011428571428581</v>
          </cell>
          <cell r="M118">
            <v>560.39773714285718</v>
          </cell>
          <cell r="N118">
            <v>586.74699428571444</v>
          </cell>
          <cell r="O118">
            <v>582.11142857142863</v>
          </cell>
          <cell r="P118">
            <v>0</v>
          </cell>
          <cell r="Q118">
            <v>0</v>
          </cell>
        </row>
        <row r="119">
          <cell r="C119" t="str">
            <v>MS126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29.254090402857145</v>
          </cell>
          <cell r="M119">
            <v>337.52030721400735</v>
          </cell>
          <cell r="N119">
            <v>269.58841594267545</v>
          </cell>
          <cell r="O119">
            <v>352.60264524000002</v>
          </cell>
          <cell r="P119">
            <v>0</v>
          </cell>
          <cell r="Q119">
            <v>0</v>
          </cell>
        </row>
        <row r="120">
          <cell r="C120" t="str">
            <v>MS142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240.56470588235294</v>
          </cell>
          <cell r="M120">
            <v>1182.2314297377745</v>
          </cell>
          <cell r="N120">
            <v>672.90317795489648</v>
          </cell>
          <cell r="O120">
            <v>1150.264322032383</v>
          </cell>
          <cell r="P120">
            <v>0</v>
          </cell>
          <cell r="Q120">
            <v>0</v>
          </cell>
        </row>
        <row r="121">
          <cell r="C121" t="str">
            <v>MS144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C122" t="str">
            <v>MS145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C123" t="str">
            <v>MS146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C124" t="str">
            <v>MS147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C125" t="str">
            <v>MS150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154.00492800000001</v>
          </cell>
          <cell r="N125">
            <v>154.00492800000001</v>
          </cell>
          <cell r="O125">
            <v>176.00563200000002</v>
          </cell>
          <cell r="P125">
            <v>0</v>
          </cell>
          <cell r="Q125">
            <v>0</v>
          </cell>
        </row>
        <row r="126">
          <cell r="C126" t="str">
            <v>MS152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304.22257551669315</v>
          </cell>
          <cell r="M126">
            <v>966.8728135265701</v>
          </cell>
          <cell r="N126">
            <v>1176.0848340096618</v>
          </cell>
          <cell r="O126">
            <v>1132.9545269565217</v>
          </cell>
          <cell r="P126">
            <v>0</v>
          </cell>
          <cell r="Q126">
            <v>0</v>
          </cell>
        </row>
        <row r="127">
          <cell r="C127" t="str">
            <v>MS153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C128" t="str">
            <v>MS154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69.333333333333343</v>
          </cell>
          <cell r="M128">
            <v>514.00492800000006</v>
          </cell>
          <cell r="N128">
            <v>538.00492800000006</v>
          </cell>
          <cell r="O128">
            <v>637.33896533333336</v>
          </cell>
          <cell r="P128">
            <v>0</v>
          </cell>
          <cell r="Q128">
            <v>0</v>
          </cell>
        </row>
        <row r="129">
          <cell r="C129" t="str">
            <v>MS157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C130" t="str">
            <v>N-1001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-12290.142</v>
          </cell>
          <cell r="M130">
            <v>-151542.785416</v>
          </cell>
          <cell r="N130">
            <v>-119757.94886400003</v>
          </cell>
          <cell r="O130">
            <v>-157262.21093600002</v>
          </cell>
          <cell r="P130">
            <v>0</v>
          </cell>
          <cell r="Q130">
            <v>0</v>
          </cell>
        </row>
        <row r="131">
          <cell r="C131" t="str">
            <v>P-5051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398.70599999999996</v>
          </cell>
          <cell r="M131">
            <v>1561.5705840000001</v>
          </cell>
          <cell r="N131">
            <v>485.55328800000018</v>
          </cell>
          <cell r="O131">
            <v>859.95</v>
          </cell>
          <cell r="P131">
            <v>0</v>
          </cell>
          <cell r="Q131">
            <v>0</v>
          </cell>
        </row>
        <row r="132">
          <cell r="C132" t="str">
            <v>P-5052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2460.8704120000002</v>
          </cell>
          <cell r="N132">
            <v>2460.8704120000002</v>
          </cell>
          <cell r="O132">
            <v>2812.4233280000003</v>
          </cell>
          <cell r="P132">
            <v>0</v>
          </cell>
          <cell r="Q132">
            <v>0</v>
          </cell>
        </row>
        <row r="133">
          <cell r="C133" t="str">
            <v>RB111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348.70437426900594</v>
          </cell>
          <cell r="M133">
            <v>2125.7988271157897</v>
          </cell>
          <cell r="N133">
            <v>1747.0471666526316</v>
          </cell>
          <cell r="O133">
            <v>1911.8351100007797</v>
          </cell>
          <cell r="P133">
            <v>0</v>
          </cell>
          <cell r="Q133">
            <v>0</v>
          </cell>
        </row>
        <row r="134">
          <cell r="C134" t="str">
            <v>RB122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366.13585399999999</v>
          </cell>
          <cell r="M134">
            <v>4223.6736294614238</v>
          </cell>
          <cell r="N134">
            <v>3372.2887693865073</v>
          </cell>
          <cell r="O134">
            <v>4411.6017680160003</v>
          </cell>
          <cell r="P134">
            <v>0</v>
          </cell>
          <cell r="Q134">
            <v>0</v>
          </cell>
        </row>
        <row r="135">
          <cell r="C135" t="str">
            <v>RB142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1152.705882352941</v>
          </cell>
          <cell r="M135">
            <v>5664.8589341601701</v>
          </cell>
          <cell r="N135">
            <v>3224.3277277005454</v>
          </cell>
          <cell r="O135">
            <v>5511.6832097385013</v>
          </cell>
          <cell r="P135">
            <v>0</v>
          </cell>
          <cell r="Q135">
            <v>0</v>
          </cell>
        </row>
        <row r="136">
          <cell r="C136" t="str">
            <v>RB152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2282.0529941706409</v>
          </cell>
          <cell r="M136">
            <v>7840.068314937198</v>
          </cell>
          <cell r="N136">
            <v>9362.0620956135263</v>
          </cell>
          <cell r="O136">
            <v>9256.8575524057978</v>
          </cell>
          <cell r="P136">
            <v>0</v>
          </cell>
          <cell r="Q136">
            <v>0</v>
          </cell>
        </row>
        <row r="137">
          <cell r="C137" t="str">
            <v>RB210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2514.3863150476191</v>
          </cell>
          <cell r="M137">
            <v>12187.239154546283</v>
          </cell>
          <cell r="N137">
            <v>9808.9597575965727</v>
          </cell>
          <cell r="O137">
            <v>11267.492978698287</v>
          </cell>
          <cell r="P137">
            <v>0</v>
          </cell>
          <cell r="Q137">
            <v>0</v>
          </cell>
        </row>
        <row r="138">
          <cell r="C138" t="str">
            <v>RB220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1153.4602597402597</v>
          </cell>
          <cell r="M138">
            <v>14583.050039996539</v>
          </cell>
          <cell r="N138">
            <v>7931.9828351783544</v>
          </cell>
          <cell r="O138">
            <v>11583.903220335065</v>
          </cell>
          <cell r="P138">
            <v>0</v>
          </cell>
          <cell r="Q138">
            <v>0</v>
          </cell>
        </row>
        <row r="139">
          <cell r="C139" t="str">
            <v>SPS21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25530.126650584796</v>
          </cell>
          <cell r="M139">
            <v>177506.79489034737</v>
          </cell>
          <cell r="N139">
            <v>149457.9427155579</v>
          </cell>
          <cell r="O139">
            <v>180687.12580310603</v>
          </cell>
          <cell r="P139">
            <v>0</v>
          </cell>
          <cell r="Q139">
            <v>0</v>
          </cell>
        </row>
        <row r="140">
          <cell r="C140" t="str">
            <v>SPZ21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5870.3991999999998</v>
          </cell>
          <cell r="M140">
            <v>44916.832594728032</v>
          </cell>
          <cell r="N140">
            <v>38381.028719374925</v>
          </cell>
          <cell r="O140">
            <v>49059.565146984562</v>
          </cell>
          <cell r="P140">
            <v>0</v>
          </cell>
          <cell r="Q140">
            <v>0</v>
          </cell>
        </row>
        <row r="141">
          <cell r="C141" t="str">
            <v>SPS22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3734.5</v>
          </cell>
          <cell r="M141">
            <v>27578.5</v>
          </cell>
          <cell r="N141">
            <v>22571</v>
          </cell>
          <cell r="O141">
            <v>30100</v>
          </cell>
          <cell r="P141">
            <v>0</v>
          </cell>
          <cell r="Q141">
            <v>0</v>
          </cell>
        </row>
        <row r="142">
          <cell r="C142" t="str">
            <v>SPZ22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2082.5</v>
          </cell>
          <cell r="M142">
            <v>15048.5</v>
          </cell>
          <cell r="N142">
            <v>12211</v>
          </cell>
          <cell r="O142">
            <v>16460</v>
          </cell>
          <cell r="P142">
            <v>0</v>
          </cell>
          <cell r="Q142">
            <v>0</v>
          </cell>
        </row>
        <row r="143">
          <cell r="C143" t="str">
            <v>SSN31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30243.893920137001</v>
          </cell>
          <cell r="M143">
            <v>234200.67382600787</v>
          </cell>
          <cell r="N143">
            <v>201034.63051617396</v>
          </cell>
          <cell r="O143">
            <v>240416.72611188976</v>
          </cell>
          <cell r="P143">
            <v>0</v>
          </cell>
          <cell r="Q143">
            <v>0</v>
          </cell>
        </row>
        <row r="144">
          <cell r="C144" t="str">
            <v>QMKP21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134.42142857142858</v>
          </cell>
          <cell r="M144">
            <v>761.56716000000006</v>
          </cell>
          <cell r="N144">
            <v>600.82312000000002</v>
          </cell>
          <cell r="O144">
            <v>659.79849333333334</v>
          </cell>
          <cell r="P144">
            <v>0</v>
          </cell>
          <cell r="Q144">
            <v>0</v>
          </cell>
        </row>
        <row r="145">
          <cell r="C145" t="str">
            <v>QMKP50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1377.76314316549</v>
          </cell>
          <cell r="M145">
            <v>12056.638938092283</v>
          </cell>
          <cell r="N145">
            <v>10138.117066094119</v>
          </cell>
          <cell r="O145">
            <v>13069.774788943088</v>
          </cell>
          <cell r="P145">
            <v>0</v>
          </cell>
          <cell r="Q145">
            <v>0</v>
          </cell>
        </row>
        <row r="146">
          <cell r="C146" t="str">
            <v>QMKP51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829.81863275039757</v>
          </cell>
          <cell r="M146">
            <v>3072.3521664231885</v>
          </cell>
          <cell r="N146">
            <v>3607.3882595478258</v>
          </cell>
          <cell r="O146">
            <v>3629.0469851014495</v>
          </cell>
          <cell r="P146">
            <v>0</v>
          </cell>
          <cell r="Q146">
            <v>0</v>
          </cell>
        </row>
        <row r="148">
          <cell r="C148" t="str">
            <v>QMKP21</v>
          </cell>
          <cell r="D148" t="str">
            <v>laboratorium energetyczne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134.42142857142858</v>
          </cell>
          <cell r="M148">
            <v>761.56716000000006</v>
          </cell>
          <cell r="N148">
            <v>600.82312000000002</v>
          </cell>
          <cell r="O148">
            <v>659.79849333333334</v>
          </cell>
          <cell r="P148">
            <v>0</v>
          </cell>
          <cell r="Q148">
            <v>0</v>
          </cell>
        </row>
        <row r="149">
          <cell r="C149" t="str">
            <v>QMKP50</v>
          </cell>
          <cell r="D149" t="str">
            <v>laboratorium KJF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1377.76314316549</v>
          </cell>
          <cell r="M149">
            <v>12056.638938092283</v>
          </cell>
          <cell r="N149">
            <v>10138.117066094119</v>
          </cell>
          <cell r="O149">
            <v>13069.774788943088</v>
          </cell>
          <cell r="P149">
            <v>0</v>
          </cell>
          <cell r="Q149">
            <v>0</v>
          </cell>
        </row>
        <row r="150">
          <cell r="C150" t="str">
            <v>QMKP51</v>
          </cell>
          <cell r="D150" t="str">
            <v>laboratorium KJA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829.81863275039757</v>
          </cell>
          <cell r="M150">
            <v>3072.3521664231885</v>
          </cell>
          <cell r="N150">
            <v>3607.3882595478258</v>
          </cell>
          <cell r="O150">
            <v>3629.0469851014495</v>
          </cell>
          <cell r="P150">
            <v>0</v>
          </cell>
          <cell r="Q150">
            <v>0</v>
          </cell>
        </row>
        <row r="153">
          <cell r="C153" t="str">
            <v>ME01</v>
          </cell>
          <cell r="D153" t="str">
            <v>Woda chłodnicza</v>
          </cell>
          <cell r="E153" t="str">
            <v>m3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715378.97499999998</v>
          </cell>
          <cell r="M153">
            <v>3882721.7182711991</v>
          </cell>
          <cell r="N153">
            <v>2793814.6003951998</v>
          </cell>
          <cell r="O153">
            <v>3397083.8147064</v>
          </cell>
          <cell r="P153">
            <v>0</v>
          </cell>
          <cell r="Q153">
            <v>0</v>
          </cell>
        </row>
        <row r="154">
          <cell r="C154" t="str">
            <v>ME07</v>
          </cell>
          <cell r="D154" t="str">
            <v>Woda technologiczna</v>
          </cell>
          <cell r="E154" t="str">
            <v>m3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54125.655217391293</v>
          </cell>
          <cell r="M154">
            <v>323985.95528702601</v>
          </cell>
          <cell r="N154">
            <v>286164.64789672167</v>
          </cell>
          <cell r="O154">
            <v>275342.67154299421</v>
          </cell>
          <cell r="P154">
            <v>0</v>
          </cell>
          <cell r="Q154">
            <v>0</v>
          </cell>
        </row>
        <row r="155">
          <cell r="C155" t="str">
            <v>ME13</v>
          </cell>
          <cell r="D155" t="str">
            <v>POWIETRZE TECHNOLOGICZNE</v>
          </cell>
          <cell r="E155" t="str">
            <v>m3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706414.21741599997</v>
          </cell>
          <cell r="M155">
            <v>8615492.5965029225</v>
          </cell>
          <cell r="N155">
            <v>7856538.5183529723</v>
          </cell>
          <cell r="O155">
            <v>9299577.3723240178</v>
          </cell>
          <cell r="P155">
            <v>0</v>
          </cell>
          <cell r="Q155">
            <v>0</v>
          </cell>
        </row>
        <row r="156">
          <cell r="C156" t="str">
            <v>ME14</v>
          </cell>
          <cell r="D156" t="str">
            <v>ŚCIEKI</v>
          </cell>
          <cell r="E156" t="str">
            <v>m3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132327</v>
          </cell>
          <cell r="M156">
            <v>1444857.4920000001</v>
          </cell>
          <cell r="N156">
            <v>1238543.2800000003</v>
          </cell>
          <cell r="O156">
            <v>1590144.8160000001</v>
          </cell>
          <cell r="P156">
            <v>0</v>
          </cell>
          <cell r="Q156">
            <v>0</v>
          </cell>
        </row>
        <row r="157">
          <cell r="C157" t="str">
            <v>ME17</v>
          </cell>
          <cell r="D157" t="str">
            <v>Woda TCW 2</v>
          </cell>
          <cell r="E157" t="str">
            <v>GJ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364.00000000000006</v>
          </cell>
          <cell r="M157">
            <v>5071.5000000000009</v>
          </cell>
          <cell r="N157">
            <v>5402.2500000000009</v>
          </cell>
          <cell r="O157">
            <v>5798.3333333333339</v>
          </cell>
          <cell r="P157">
            <v>0</v>
          </cell>
          <cell r="Q157">
            <v>0</v>
          </cell>
        </row>
        <row r="158">
          <cell r="C158" t="str">
            <v>ME20</v>
          </cell>
          <cell r="D158" t="str">
            <v>ŚCIEKI</v>
          </cell>
          <cell r="E158" t="str">
            <v>t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91.611000000000004</v>
          </cell>
          <cell r="M158">
            <v>1000.2859560000003</v>
          </cell>
          <cell r="N158">
            <v>857.45304000000021</v>
          </cell>
          <cell r="O158">
            <v>1100.869488</v>
          </cell>
          <cell r="P158">
            <v>0</v>
          </cell>
          <cell r="Q158">
            <v>0</v>
          </cell>
        </row>
        <row r="159">
          <cell r="C159" t="str">
            <v>ME21</v>
          </cell>
          <cell r="D159" t="str">
            <v>Ewakuacja i składowanie fosfogipsu</v>
          </cell>
          <cell r="E159" t="str">
            <v>t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13852.794</v>
          </cell>
          <cell r="M159">
            <v>155679.070844</v>
          </cell>
          <cell r="N159">
            <v>127685.69242800004</v>
          </cell>
          <cell r="O159">
            <v>166903.22427200002</v>
          </cell>
          <cell r="P159">
            <v>0</v>
          </cell>
          <cell r="Q159">
            <v>0</v>
          </cell>
        </row>
        <row r="160">
          <cell r="C160" t="str">
            <v>SPS21</v>
          </cell>
          <cell r="D160" t="str">
            <v>Straty pary stałe</v>
          </cell>
          <cell r="E160" t="str">
            <v>LE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25530.126650584796</v>
          </cell>
          <cell r="M160">
            <v>177506.79489034737</v>
          </cell>
          <cell r="N160">
            <v>149457.9427155579</v>
          </cell>
          <cell r="O160">
            <v>180687.12580310603</v>
          </cell>
          <cell r="P160">
            <v>0</v>
          </cell>
          <cell r="Q160">
            <v>0</v>
          </cell>
        </row>
        <row r="161">
          <cell r="C161" t="str">
            <v>SPZ21</v>
          </cell>
          <cell r="D161" t="str">
            <v>Straty pary zmienne</v>
          </cell>
          <cell r="E161" t="str">
            <v>GJ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5870.3991999999998</v>
          </cell>
          <cell r="M161">
            <v>44916.832594728032</v>
          </cell>
          <cell r="N161">
            <v>38381.028719374925</v>
          </cell>
          <cell r="O161">
            <v>49059.565146984562</v>
          </cell>
          <cell r="P161">
            <v>0</v>
          </cell>
          <cell r="Q161">
            <v>0</v>
          </cell>
        </row>
        <row r="175">
          <cell r="C175" t="str">
            <v>RB240</v>
          </cell>
        </row>
        <row r="176">
          <cell r="C176" t="str">
            <v>RB250</v>
          </cell>
        </row>
        <row r="177">
          <cell r="C177" t="str">
            <v>W-5114</v>
          </cell>
        </row>
        <row r="178">
          <cell r="C178" t="str">
            <v>W-5120</v>
          </cell>
        </row>
        <row r="179">
          <cell r="C179" t="str">
            <v>O-2522159050-01130</v>
          </cell>
        </row>
        <row r="186">
          <cell r="C186" t="str">
            <v>P-4111</v>
          </cell>
          <cell r="D186" t="str">
            <v>NPKS 6-20-30-7</v>
          </cell>
        </row>
        <row r="187">
          <cell r="C187" t="str">
            <v>P-4112</v>
          </cell>
          <cell r="D187" t="str">
            <v>NPKS 8-24-24-9</v>
          </cell>
        </row>
        <row r="188">
          <cell r="C188" t="str">
            <v>P-4113</v>
          </cell>
          <cell r="D188" t="str">
            <v>NPKMGS 5-16-24-4-7</v>
          </cell>
        </row>
        <row r="189">
          <cell r="C189" t="str">
            <v>P-4115</v>
          </cell>
          <cell r="D189" t="str">
            <v>NPKMGS 5-15-30-2-7</v>
          </cell>
        </row>
        <row r="190">
          <cell r="C190" t="str">
            <v>P-4117</v>
          </cell>
          <cell r="D190" t="str">
            <v>NPKMGS 4-12-32-2-9</v>
          </cell>
        </row>
      </sheetData>
      <sheetData sheetId="5" refreshError="1"/>
      <sheetData sheetId="6" refreshError="1"/>
      <sheetData sheetId="7" refreshError="1"/>
      <sheetData sheetId="8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C3">
            <v>-1</v>
          </cell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</row>
        <row r="4">
          <cell r="A4" t="str">
            <v>S-1430125026-01010</v>
          </cell>
          <cell r="B4" t="str">
            <v>SIARKA  PŁYNNA</v>
          </cell>
          <cell r="C4">
            <v>450.48947742457239</v>
          </cell>
          <cell r="D4">
            <v>450.48947742457239</v>
          </cell>
          <cell r="E4">
            <v>450.48947742457239</v>
          </cell>
          <cell r="F4">
            <v>450.48947742457239</v>
          </cell>
          <cell r="G4">
            <v>450.48947742457239</v>
          </cell>
          <cell r="H4">
            <v>450.48947742457239</v>
          </cell>
          <cell r="I4">
            <v>450.48947742457239</v>
          </cell>
          <cell r="J4">
            <v>472.73302565436342</v>
          </cell>
          <cell r="K4">
            <v>479.60627156756783</v>
          </cell>
          <cell r="L4">
            <v>483.56031577152254</v>
          </cell>
          <cell r="M4">
            <v>487.81789588143801</v>
          </cell>
          <cell r="N4">
            <v>487.81789588143801</v>
          </cell>
          <cell r="O4">
            <v>487.81789588143801</v>
          </cell>
        </row>
        <row r="5">
          <cell r="A5" t="str">
            <v>S-2415503020-02080</v>
          </cell>
          <cell r="B5" t="str">
            <v>sól potasowa</v>
          </cell>
          <cell r="C5">
            <v>1395.1070300899603</v>
          </cell>
          <cell r="D5">
            <v>1395.1070300899603</v>
          </cell>
          <cell r="E5">
            <v>1395.1070300899603</v>
          </cell>
          <cell r="F5">
            <v>1395.1070300899603</v>
          </cell>
          <cell r="G5">
            <v>1395.1070300899603</v>
          </cell>
          <cell r="H5">
            <v>1395.1070300899603</v>
          </cell>
          <cell r="I5">
            <v>1395.1070300899603</v>
          </cell>
          <cell r="J5">
            <v>1412.8131660440667</v>
          </cell>
          <cell r="K5">
            <v>1394.5042222681889</v>
          </cell>
          <cell r="L5">
            <v>1388.2446439635423</v>
          </cell>
          <cell r="M5">
            <v>1375.726197996391</v>
          </cell>
          <cell r="N5">
            <v>1375.726197996391</v>
          </cell>
          <cell r="O5">
            <v>1375.726197996391</v>
          </cell>
        </row>
        <row r="6">
          <cell r="A6" t="str">
            <v>S-1430113013-02120</v>
          </cell>
          <cell r="B6" t="str">
            <v>fosforyt Maroko</v>
          </cell>
          <cell r="C6">
            <v>594.11220995522297</v>
          </cell>
          <cell r="D6">
            <v>594.11220995522297</v>
          </cell>
          <cell r="E6">
            <v>594.11220995522297</v>
          </cell>
          <cell r="F6">
            <v>594.11220995522297</v>
          </cell>
          <cell r="G6">
            <v>594.11220995522297</v>
          </cell>
          <cell r="H6">
            <v>594.11220995522297</v>
          </cell>
          <cell r="I6">
            <v>594.11220995522297</v>
          </cell>
          <cell r="J6">
            <v>596.07241360980731</v>
          </cell>
          <cell r="K6">
            <v>597.73718487161716</v>
          </cell>
          <cell r="L6">
            <v>597.73718487161716</v>
          </cell>
          <cell r="M6">
            <v>595.27173922922827</v>
          </cell>
          <cell r="N6">
            <v>595.27173922922839</v>
          </cell>
          <cell r="O6">
            <v>595.27173922922839</v>
          </cell>
        </row>
        <row r="7">
          <cell r="A7" t="str">
            <v>S-1430113013-02410</v>
          </cell>
          <cell r="B7" t="str">
            <v>fosforyt Syria grade 4</v>
          </cell>
          <cell r="C7">
            <v>450.63208469501654</v>
          </cell>
          <cell r="D7">
            <v>450.63208469501654</v>
          </cell>
          <cell r="E7">
            <v>450.63208469501654</v>
          </cell>
          <cell r="F7">
            <v>450.63208469501654</v>
          </cell>
          <cell r="G7">
            <v>450.63208469501654</v>
          </cell>
          <cell r="H7">
            <v>450.63208469501654</v>
          </cell>
          <cell r="I7">
            <v>450.63208469501654</v>
          </cell>
          <cell r="J7">
            <v>446.84512184657314</v>
          </cell>
          <cell r="K7">
            <v>447.0358521458221</v>
          </cell>
          <cell r="L7">
            <v>447.10567392959149</v>
          </cell>
          <cell r="M7">
            <v>450.65520740862235</v>
          </cell>
          <cell r="N7">
            <v>450.65520740862246</v>
          </cell>
          <cell r="O7">
            <v>450.65520740862246</v>
          </cell>
        </row>
        <row r="8">
          <cell r="A8" t="str">
            <v>S-1430113013-02070</v>
          </cell>
          <cell r="B8" t="str">
            <v>fosforyt Tunezja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498.8</v>
          </cell>
          <cell r="M8">
            <v>498.8</v>
          </cell>
          <cell r="N8">
            <v>498.8</v>
          </cell>
          <cell r="O8">
            <v>498.8</v>
          </cell>
        </row>
        <row r="9">
          <cell r="A9" t="str">
            <v>S-1430113013-02700</v>
          </cell>
          <cell r="B9" t="str">
            <v>fosforyt Egipt</v>
          </cell>
          <cell r="C9">
            <v>570.10799664750209</v>
          </cell>
          <cell r="D9">
            <v>570.10799664750209</v>
          </cell>
          <cell r="E9">
            <v>570.10799664750209</v>
          </cell>
          <cell r="F9">
            <v>570.10799664750209</v>
          </cell>
          <cell r="G9">
            <v>570.10799664750209</v>
          </cell>
          <cell r="H9">
            <v>570.10799664750209</v>
          </cell>
          <cell r="I9">
            <v>570.10799664750209</v>
          </cell>
          <cell r="J9">
            <v>570.10799664750209</v>
          </cell>
          <cell r="K9">
            <v>584.64244443880784</v>
          </cell>
          <cell r="L9">
            <v>584.74166400035608</v>
          </cell>
          <cell r="M9">
            <v>581.20274760232564</v>
          </cell>
          <cell r="N9">
            <v>581.20274760232576</v>
          </cell>
          <cell r="O9">
            <v>581.20274760232576</v>
          </cell>
        </row>
        <row r="10">
          <cell r="A10" t="str">
            <v>S-1430113013-02210</v>
          </cell>
          <cell r="B10" t="str">
            <v>fosforyt Togo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674.24</v>
          </cell>
          <cell r="M10">
            <v>674.24</v>
          </cell>
          <cell r="N10">
            <v>674.24</v>
          </cell>
          <cell r="O10">
            <v>674.24</v>
          </cell>
        </row>
        <row r="11">
          <cell r="A11" t="str">
            <v>S-1430113013-02650</v>
          </cell>
          <cell r="B11" t="str">
            <v>fosforyt Algier</v>
          </cell>
          <cell r="C11">
            <v>534.42066666666665</v>
          </cell>
          <cell r="D11">
            <v>534.42066666666665</v>
          </cell>
          <cell r="E11">
            <v>534.42066666666665</v>
          </cell>
          <cell r="F11">
            <v>534.42066666666665</v>
          </cell>
          <cell r="G11">
            <v>534.42066666666665</v>
          </cell>
          <cell r="H11">
            <v>534.42066666666665</v>
          </cell>
          <cell r="I11">
            <v>534.42066666666665</v>
          </cell>
          <cell r="J11">
            <v>534.42066666666665</v>
          </cell>
          <cell r="K11">
            <v>517.72556503387761</v>
          </cell>
          <cell r="L11">
            <v>514.50733620391588</v>
          </cell>
          <cell r="M11">
            <v>509.00074165581196</v>
          </cell>
          <cell r="N11">
            <v>509.00074165581196</v>
          </cell>
          <cell r="O11">
            <v>509.00074165581196</v>
          </cell>
        </row>
        <row r="12">
          <cell r="A12" t="str">
            <v>S-1450233300-01010</v>
          </cell>
          <cell r="B12" t="str">
            <v>MAGNEZYT - MIELONY R-30</v>
          </cell>
          <cell r="C12">
            <v>79.805739317679638</v>
          </cell>
          <cell r="D12">
            <v>79.805739317679638</v>
          </cell>
          <cell r="E12">
            <v>79.805739317679638</v>
          </cell>
          <cell r="F12">
            <v>79.805739317679638</v>
          </cell>
          <cell r="G12">
            <v>79.805739317679638</v>
          </cell>
          <cell r="H12">
            <v>79.805739317679638</v>
          </cell>
          <cell r="I12">
            <v>79.805739317679638</v>
          </cell>
          <cell r="J12">
            <v>79.805739317679638</v>
          </cell>
          <cell r="K12">
            <v>79.956516331414505</v>
          </cell>
          <cell r="L12">
            <v>79.989132689466103</v>
          </cell>
          <cell r="M12">
            <v>79.998154337034663</v>
          </cell>
          <cell r="N12">
            <v>79.998154337034691</v>
          </cell>
          <cell r="O12">
            <v>79.998154337034691</v>
          </cell>
        </row>
        <row r="13">
          <cell r="A13" t="str">
            <v>S-1450233300-01030</v>
          </cell>
          <cell r="B13" t="str">
            <v>MAGNEZYT - MIELONY R-40</v>
          </cell>
          <cell r="C13">
            <v>257.00567122030014</v>
          </cell>
          <cell r="D13">
            <v>257.00567122030014</v>
          </cell>
          <cell r="E13">
            <v>257.00567122030014</v>
          </cell>
          <cell r="F13">
            <v>257.00567122030014</v>
          </cell>
          <cell r="G13">
            <v>257.00567122030014</v>
          </cell>
          <cell r="H13">
            <v>257.00567122030014</v>
          </cell>
          <cell r="I13">
            <v>257.00567122030014</v>
          </cell>
          <cell r="J13">
            <v>257.00567122030014</v>
          </cell>
          <cell r="K13">
            <v>257.00567122030014</v>
          </cell>
          <cell r="L13">
            <v>257.00567122030014</v>
          </cell>
          <cell r="M13">
            <v>257.00567122030014</v>
          </cell>
          <cell r="N13">
            <v>257.00567122030014</v>
          </cell>
          <cell r="O13">
            <v>257.00567122030014</v>
          </cell>
        </row>
        <row r="14">
          <cell r="A14" t="str">
            <v>S-2413143310-04030</v>
          </cell>
          <cell r="B14" t="str">
            <v>KWAS SIARKOWY OBCY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160</v>
          </cell>
          <cell r="K14">
            <v>160</v>
          </cell>
          <cell r="L14">
            <v>155.54424784675777</v>
          </cell>
          <cell r="M14">
            <v>159.00883269593666</v>
          </cell>
          <cell r="N14">
            <v>159.00883269593658</v>
          </cell>
          <cell r="O14">
            <v>159.00883269593658</v>
          </cell>
        </row>
        <row r="15">
          <cell r="A15" t="str">
            <v>S-2414411510-01090</v>
          </cell>
          <cell r="B15" t="str">
            <v>ODPIENIACZ</v>
          </cell>
          <cell r="C15">
            <v>5.7990935294471138</v>
          </cell>
          <cell r="D15">
            <v>5.7990935294471138</v>
          </cell>
          <cell r="E15">
            <v>5.7990935294471138</v>
          </cell>
          <cell r="F15">
            <v>5.7990935294471138</v>
          </cell>
          <cell r="G15">
            <v>5.7990935294471138</v>
          </cell>
          <cell r="H15">
            <v>5.7990935294471138</v>
          </cell>
          <cell r="I15">
            <v>5.7990935294471138</v>
          </cell>
          <cell r="J15">
            <v>5.7990935294471138</v>
          </cell>
          <cell r="K15">
            <v>5.7564618981918052</v>
          </cell>
          <cell r="L15">
            <v>5.7892778457625917</v>
          </cell>
          <cell r="M15">
            <v>5.8068533671342264</v>
          </cell>
          <cell r="N15">
            <v>5.8068533671342264</v>
          </cell>
          <cell r="O15">
            <v>5.8068533671342264</v>
          </cell>
        </row>
        <row r="16">
          <cell r="A16" t="str">
            <v>S-2414411510-03300</v>
          </cell>
          <cell r="B16" t="str">
            <v>ŚRODEK DO POWLEKANIA NAWOZÓW NPK-2</v>
          </cell>
          <cell r="C16">
            <v>4.4999008738580617</v>
          </cell>
          <cell r="D16">
            <v>4.4999008738580617</v>
          </cell>
          <cell r="E16">
            <v>4.4999008738580617</v>
          </cell>
          <cell r="F16">
            <v>4.4999008738580617</v>
          </cell>
          <cell r="G16">
            <v>4.4999008738580617</v>
          </cell>
          <cell r="H16">
            <v>4.4999008738580617</v>
          </cell>
          <cell r="I16">
            <v>4.4999008738580617</v>
          </cell>
          <cell r="J16">
            <v>4.4999008738580617</v>
          </cell>
          <cell r="K16">
            <v>4.5331739102192898</v>
          </cell>
          <cell r="L16">
            <v>4.5424062073220908</v>
          </cell>
          <cell r="M16">
            <v>4.5445542986806098</v>
          </cell>
          <cell r="N16">
            <v>4.5445542986806098</v>
          </cell>
          <cell r="O16">
            <v>4.5445542986806098</v>
          </cell>
        </row>
        <row r="17">
          <cell r="A17" t="str">
            <v>S-2414411510-03450</v>
          </cell>
          <cell r="B17" t="str">
            <v>olej parafinowy ANPOL</v>
          </cell>
          <cell r="C17">
            <v>4.500262436296631</v>
          </cell>
          <cell r="D17">
            <v>4.500262436296631</v>
          </cell>
          <cell r="E17">
            <v>4.500262436296631</v>
          </cell>
          <cell r="F17">
            <v>4.500262436296631</v>
          </cell>
          <cell r="G17">
            <v>4.500262436296631</v>
          </cell>
          <cell r="H17">
            <v>4.500262436296631</v>
          </cell>
          <cell r="I17">
            <v>4.500262436296631</v>
          </cell>
          <cell r="J17">
            <v>4.5000824952530945</v>
          </cell>
          <cell r="K17">
            <v>3.0149487431755371</v>
          </cell>
          <cell r="L17">
            <v>4.2355835069218948</v>
          </cell>
          <cell r="M17">
            <v>5.7842213133492981</v>
          </cell>
          <cell r="N17">
            <v>5.784221313349299</v>
          </cell>
          <cell r="O17">
            <v>5.8030449930428416</v>
          </cell>
        </row>
        <row r="18">
          <cell r="A18" t="str">
            <v>S-2416539099-02010</v>
          </cell>
          <cell r="B18" t="str">
            <v>FLOKULANT   A-100 HMW</v>
          </cell>
          <cell r="C18">
            <v>9.6554359999999999</v>
          </cell>
          <cell r="D18">
            <v>9.6554359999999999</v>
          </cell>
          <cell r="E18">
            <v>9.6554359999999999</v>
          </cell>
          <cell r="F18">
            <v>9.6554359999999999</v>
          </cell>
          <cell r="G18">
            <v>9.6554359999999999</v>
          </cell>
          <cell r="H18">
            <v>9.6554359999999999</v>
          </cell>
          <cell r="I18">
            <v>9.6554359999999999</v>
          </cell>
          <cell r="J18">
            <v>9.6554359999999999</v>
          </cell>
          <cell r="K18">
            <v>9.6554359999999981</v>
          </cell>
          <cell r="L18">
            <v>9.6554359999999999</v>
          </cell>
          <cell r="M18">
            <v>9.6554359999999981</v>
          </cell>
          <cell r="N18">
            <v>9.6554359999999981</v>
          </cell>
          <cell r="O18">
            <v>9.6554359999999981</v>
          </cell>
        </row>
        <row r="19">
          <cell r="A19" t="str">
            <v>S-2413525019-02060</v>
          </cell>
          <cell r="B19" t="str">
            <v>CZTEROBORAN SODU PIĘCIOWODNY</v>
          </cell>
          <cell r="C19">
            <v>1721.0577464788735</v>
          </cell>
          <cell r="D19">
            <v>1721.0577464788735</v>
          </cell>
          <cell r="E19">
            <v>1721.0577464788735</v>
          </cell>
          <cell r="F19">
            <v>1721.0577464788735</v>
          </cell>
          <cell r="G19">
            <v>1721.0577464788735</v>
          </cell>
          <cell r="H19">
            <v>1721.0577464788735</v>
          </cell>
          <cell r="I19">
            <v>1721.0577464788735</v>
          </cell>
          <cell r="J19">
            <v>1721.0577464788735</v>
          </cell>
          <cell r="K19">
            <v>1721.0577464788735</v>
          </cell>
          <cell r="L19">
            <v>1721.0577464788735</v>
          </cell>
          <cell r="M19">
            <v>1721.0577464788735</v>
          </cell>
          <cell r="N19">
            <v>1721.0577464788735</v>
          </cell>
          <cell r="O19">
            <v>1721.0577464788735</v>
          </cell>
        </row>
        <row r="20">
          <cell r="A20" t="str">
            <v>S-2415302300-01040</v>
          </cell>
          <cell r="B20" t="str">
            <v>SIARCZAN AMONU</v>
          </cell>
          <cell r="C20">
            <v>550</v>
          </cell>
          <cell r="D20">
            <v>550</v>
          </cell>
          <cell r="E20">
            <v>550</v>
          </cell>
          <cell r="F20">
            <v>550</v>
          </cell>
          <cell r="G20">
            <v>550</v>
          </cell>
          <cell r="H20">
            <v>550</v>
          </cell>
          <cell r="I20">
            <v>550</v>
          </cell>
          <cell r="J20">
            <v>604.01547643361243</v>
          </cell>
          <cell r="K20">
            <v>607.96181823722213</v>
          </cell>
          <cell r="L20">
            <v>633.03158963912665</v>
          </cell>
          <cell r="M20">
            <v>625.06856344074151</v>
          </cell>
          <cell r="N20">
            <v>625.06856344074129</v>
          </cell>
          <cell r="O20">
            <v>625.06856344074129</v>
          </cell>
        </row>
        <row r="21">
          <cell r="A21">
            <v>0</v>
          </cell>
          <cell r="B21">
            <v>0</v>
          </cell>
        </row>
        <row r="24">
          <cell r="A24" t="str">
            <v>E-0001</v>
          </cell>
          <cell r="B24" t="str">
            <v>Gaz</v>
          </cell>
          <cell r="H24">
            <v>1.34</v>
          </cell>
          <cell r="I24">
            <v>1.34</v>
          </cell>
          <cell r="J24">
            <v>1.34</v>
          </cell>
          <cell r="K24">
            <v>1.34</v>
          </cell>
          <cell r="L24">
            <v>1.34</v>
          </cell>
          <cell r="M24">
            <v>1.34</v>
          </cell>
          <cell r="N24">
            <v>1.34</v>
          </cell>
          <cell r="O24">
            <v>1.34</v>
          </cell>
        </row>
        <row r="26">
          <cell r="A26" t="str">
            <v>E-1011</v>
          </cell>
          <cell r="B26" t="str">
            <v>Energia elektryczna</v>
          </cell>
          <cell r="D26">
            <v>0.27109</v>
          </cell>
          <cell r="H26">
            <v>0.27109</v>
          </cell>
          <cell r="I26">
            <v>0.27962999999999999</v>
          </cell>
          <cell r="J26">
            <v>0.27867999999999998</v>
          </cell>
          <cell r="K26">
            <v>0.28344999999999998</v>
          </cell>
          <cell r="L26">
            <v>0.28055000000000002</v>
          </cell>
          <cell r="M26">
            <v>0.28104000000000001</v>
          </cell>
          <cell r="N26">
            <v>0.27109</v>
          </cell>
          <cell r="O26">
            <v>0.27109</v>
          </cell>
        </row>
        <row r="27">
          <cell r="A27" t="str">
            <v>E-1020</v>
          </cell>
          <cell r="B27" t="str">
            <v>Ciepło w parze</v>
          </cell>
          <cell r="D27">
            <v>26.19</v>
          </cell>
          <cell r="H27">
            <v>26.19</v>
          </cell>
          <cell r="I27">
            <v>27.58</v>
          </cell>
          <cell r="J27">
            <v>25.83</v>
          </cell>
          <cell r="K27">
            <v>26.96</v>
          </cell>
          <cell r="L27">
            <v>24.29</v>
          </cell>
          <cell r="M27">
            <v>25.44</v>
          </cell>
          <cell r="N27">
            <v>26.19</v>
          </cell>
          <cell r="O27">
            <v>26.19</v>
          </cell>
        </row>
        <row r="28">
          <cell r="A28" t="str">
            <v>E-1023</v>
          </cell>
          <cell r="B28" t="str">
            <v>Ciepło w parze - uzysk</v>
          </cell>
          <cell r="D28">
            <v>25.94</v>
          </cell>
          <cell r="H28">
            <v>25.94</v>
          </cell>
          <cell r="I28">
            <v>25.94</v>
          </cell>
          <cell r="J28">
            <v>25.94</v>
          </cell>
          <cell r="K28">
            <v>25.94</v>
          </cell>
          <cell r="L28">
            <v>25.94</v>
          </cell>
          <cell r="M28">
            <v>25.94</v>
          </cell>
          <cell r="N28">
            <v>25.94</v>
          </cell>
          <cell r="O28">
            <v>25.94</v>
          </cell>
        </row>
        <row r="29">
          <cell r="A29" t="str">
            <v>E-1026</v>
          </cell>
          <cell r="B29" t="str">
            <v>Woda zasilająca</v>
          </cell>
          <cell r="D29">
            <v>16.5</v>
          </cell>
          <cell r="H29">
            <v>16.5</v>
          </cell>
          <cell r="I29">
            <v>16.899999999999999</v>
          </cell>
          <cell r="J29">
            <v>16.5</v>
          </cell>
          <cell r="K29">
            <v>16.5</v>
          </cell>
          <cell r="L29">
            <v>16.5</v>
          </cell>
          <cell r="M29">
            <v>16.5</v>
          </cell>
          <cell r="N29">
            <v>16.5</v>
          </cell>
          <cell r="O29">
            <v>16.5</v>
          </cell>
        </row>
        <row r="31">
          <cell r="A31" t="str">
            <v>P-3051</v>
          </cell>
          <cell r="B31" t="str">
            <v>amoniak gazowy</v>
          </cell>
          <cell r="H31">
            <v>1483</v>
          </cell>
          <cell r="I31">
            <v>1483</v>
          </cell>
          <cell r="J31">
            <v>1505</v>
          </cell>
          <cell r="K31">
            <v>1509.64</v>
          </cell>
          <cell r="L31">
            <v>1470.38</v>
          </cell>
          <cell r="M31">
            <v>1466.71</v>
          </cell>
        </row>
        <row r="32">
          <cell r="A32" t="str">
            <v>P-3060</v>
          </cell>
          <cell r="B32" t="str">
            <v>amoniak ciekły</v>
          </cell>
          <cell r="H32">
            <v>1443</v>
          </cell>
          <cell r="I32">
            <v>1443</v>
          </cell>
          <cell r="J32">
            <v>1479</v>
          </cell>
          <cell r="K32">
            <v>1476.01</v>
          </cell>
          <cell r="L32">
            <v>1436.31</v>
          </cell>
          <cell r="M32">
            <v>1432.85</v>
          </cell>
        </row>
        <row r="33">
          <cell r="A33" t="str">
            <v>P-3011</v>
          </cell>
          <cell r="B33" t="str">
            <v>mocznik</v>
          </cell>
          <cell r="J33">
            <v>1095</v>
          </cell>
          <cell r="K33">
            <v>1098.5899999999999</v>
          </cell>
          <cell r="L33">
            <v>1045.68</v>
          </cell>
          <cell r="M33">
            <v>1040.0899999999999</v>
          </cell>
        </row>
        <row r="35">
          <cell r="A35" t="str">
            <v>P-5051</v>
          </cell>
          <cell r="B35" t="str">
            <v>Kwas pohydrolityczny 28%</v>
          </cell>
          <cell r="H35">
            <v>-225</v>
          </cell>
          <cell r="I35">
            <v>-225</v>
          </cell>
          <cell r="J35">
            <v>7.33</v>
          </cell>
          <cell r="K35">
            <v>7.33</v>
          </cell>
          <cell r="L35">
            <v>7.33</v>
          </cell>
          <cell r="M35">
            <v>7.33</v>
          </cell>
          <cell r="N35">
            <v>7.33</v>
          </cell>
          <cell r="O35">
            <v>7.33</v>
          </cell>
        </row>
        <row r="36">
          <cell r="A36" t="str">
            <v>P-5052</v>
          </cell>
          <cell r="B36" t="str">
            <v>Kwas pohydrolityczny do SA</v>
          </cell>
          <cell r="H36">
            <v>136.79</v>
          </cell>
          <cell r="I36">
            <v>136.79</v>
          </cell>
          <cell r="J36">
            <v>136.79</v>
          </cell>
          <cell r="K36">
            <v>136.79</v>
          </cell>
          <cell r="L36">
            <v>136.79</v>
          </cell>
          <cell r="M36">
            <v>136.79</v>
          </cell>
          <cell r="N36">
            <v>136.79</v>
          </cell>
          <cell r="O36">
            <v>136.79</v>
          </cell>
        </row>
        <row r="39">
          <cell r="A39" t="str">
            <v>ME01</v>
          </cell>
          <cell r="B39" t="str">
            <v>W Chł Surowa</v>
          </cell>
          <cell r="D39">
            <v>0.08</v>
          </cell>
          <cell r="E39">
            <v>0.08</v>
          </cell>
          <cell r="F39">
            <v>0.08</v>
          </cell>
          <cell r="G39">
            <v>0.08</v>
          </cell>
          <cell r="H39">
            <v>0.08</v>
          </cell>
          <cell r="I39">
            <v>0.08</v>
          </cell>
          <cell r="J39">
            <v>0.08</v>
          </cell>
          <cell r="K39">
            <v>0.08</v>
          </cell>
          <cell r="L39">
            <v>0.08</v>
          </cell>
          <cell r="M39">
            <v>0.08</v>
          </cell>
          <cell r="N39">
            <v>0.08</v>
          </cell>
          <cell r="O39">
            <v>0.08</v>
          </cell>
        </row>
        <row r="40">
          <cell r="A40" t="str">
            <v>ME02</v>
          </cell>
          <cell r="B40" t="str">
            <v>W pitna</v>
          </cell>
          <cell r="D40">
            <v>4.05</v>
          </cell>
          <cell r="E40">
            <v>4.05</v>
          </cell>
          <cell r="F40">
            <v>4.05</v>
          </cell>
          <cell r="G40">
            <v>4.05</v>
          </cell>
          <cell r="H40">
            <v>4.05</v>
          </cell>
          <cell r="I40">
            <v>4.05</v>
          </cell>
          <cell r="J40">
            <v>4.05</v>
          </cell>
          <cell r="K40">
            <v>4.05</v>
          </cell>
          <cell r="L40">
            <v>4.05</v>
          </cell>
          <cell r="M40">
            <v>4.05</v>
          </cell>
          <cell r="N40">
            <v>4.05</v>
          </cell>
          <cell r="O40">
            <v>4.05</v>
          </cell>
        </row>
        <row r="41">
          <cell r="A41" t="str">
            <v>ME16</v>
          </cell>
          <cell r="B41" t="str">
            <v>W.chł.TCW-1</v>
          </cell>
          <cell r="D41">
            <v>110</v>
          </cell>
          <cell r="E41">
            <v>110</v>
          </cell>
          <cell r="F41">
            <v>110</v>
          </cell>
          <cell r="G41">
            <v>110</v>
          </cell>
          <cell r="H41">
            <v>110</v>
          </cell>
          <cell r="I41">
            <v>110</v>
          </cell>
          <cell r="J41">
            <v>110</v>
          </cell>
          <cell r="K41">
            <v>110</v>
          </cell>
          <cell r="L41">
            <v>110</v>
          </cell>
          <cell r="M41">
            <v>110</v>
          </cell>
          <cell r="N41">
            <v>110</v>
          </cell>
          <cell r="O41">
            <v>110</v>
          </cell>
        </row>
        <row r="42">
          <cell r="A42" t="str">
            <v>ME17</v>
          </cell>
          <cell r="B42" t="str">
            <v>W.chł.TCW-2</v>
          </cell>
          <cell r="D42">
            <v>102</v>
          </cell>
          <cell r="E42">
            <v>102</v>
          </cell>
          <cell r="F42">
            <v>102</v>
          </cell>
          <cell r="G42">
            <v>102</v>
          </cell>
          <cell r="H42">
            <v>102</v>
          </cell>
          <cell r="I42">
            <v>102</v>
          </cell>
          <cell r="J42">
            <v>102</v>
          </cell>
          <cell r="K42">
            <v>102</v>
          </cell>
          <cell r="L42">
            <v>102</v>
          </cell>
          <cell r="M42">
            <v>102</v>
          </cell>
          <cell r="N42">
            <v>102</v>
          </cell>
          <cell r="O42">
            <v>102</v>
          </cell>
        </row>
        <row r="43">
          <cell r="A43" t="str">
            <v>ME07</v>
          </cell>
          <cell r="B43" t="str">
            <v>W Technolog</v>
          </cell>
          <cell r="D43">
            <v>0.75</v>
          </cell>
          <cell r="E43">
            <v>0.75</v>
          </cell>
          <cell r="F43">
            <v>0.75</v>
          </cell>
          <cell r="G43">
            <v>0.75</v>
          </cell>
          <cell r="H43">
            <v>0.75</v>
          </cell>
          <cell r="I43">
            <v>0.75</v>
          </cell>
          <cell r="J43">
            <v>0.75</v>
          </cell>
          <cell r="K43">
            <v>0.75</v>
          </cell>
          <cell r="L43">
            <v>0.75</v>
          </cell>
          <cell r="M43">
            <v>0.75</v>
          </cell>
          <cell r="N43">
            <v>0.75</v>
          </cell>
          <cell r="O43">
            <v>0.75</v>
          </cell>
        </row>
        <row r="44">
          <cell r="A44" t="str">
            <v>ME18</v>
          </cell>
          <cell r="B44" t="str">
            <v>W.chł. CCW</v>
          </cell>
          <cell r="D44">
            <v>220</v>
          </cell>
          <cell r="E44">
            <v>220</v>
          </cell>
          <cell r="F44">
            <v>220</v>
          </cell>
          <cell r="G44">
            <v>220</v>
          </cell>
          <cell r="H44">
            <v>220</v>
          </cell>
          <cell r="I44">
            <v>220</v>
          </cell>
          <cell r="J44">
            <v>220</v>
          </cell>
          <cell r="K44">
            <v>220</v>
          </cell>
          <cell r="L44">
            <v>220</v>
          </cell>
          <cell r="M44">
            <v>220</v>
          </cell>
          <cell r="N44">
            <v>220</v>
          </cell>
          <cell r="O44">
            <v>220</v>
          </cell>
        </row>
        <row r="45">
          <cell r="A45" t="str">
            <v>ME19</v>
          </cell>
          <cell r="B45" t="str">
            <v>Woda Chlorowa</v>
          </cell>
          <cell r="D45">
            <v>10.55</v>
          </cell>
          <cell r="E45">
            <v>10.55</v>
          </cell>
          <cell r="F45">
            <v>10.55</v>
          </cell>
          <cell r="G45">
            <v>10.55</v>
          </cell>
          <cell r="H45">
            <v>10.55</v>
          </cell>
          <cell r="I45">
            <v>10.55</v>
          </cell>
          <cell r="J45">
            <v>10.55</v>
          </cell>
          <cell r="K45">
            <v>10.55</v>
          </cell>
          <cell r="L45">
            <v>10.55</v>
          </cell>
          <cell r="M45">
            <v>10.55</v>
          </cell>
          <cell r="N45">
            <v>10.55</v>
          </cell>
          <cell r="O45">
            <v>10.55</v>
          </cell>
        </row>
        <row r="46">
          <cell r="A46" t="str">
            <v>ME35</v>
          </cell>
          <cell r="B46" t="str">
            <v>Ciep w wodz k.s- zak</v>
          </cell>
          <cell r="D46">
            <v>0.19</v>
          </cell>
          <cell r="E46">
            <v>0.19</v>
          </cell>
          <cell r="F46">
            <v>0.19</v>
          </cell>
          <cell r="G46">
            <v>0.19</v>
          </cell>
          <cell r="H46">
            <v>0.19</v>
          </cell>
          <cell r="I46">
            <v>0.19</v>
          </cell>
          <cell r="J46">
            <v>0.19</v>
          </cell>
          <cell r="K46">
            <v>0.19</v>
          </cell>
          <cell r="L46">
            <v>0.19</v>
          </cell>
          <cell r="M46">
            <v>0.19</v>
          </cell>
          <cell r="N46">
            <v>0.19</v>
          </cell>
          <cell r="O46">
            <v>0.19</v>
          </cell>
        </row>
        <row r="47">
          <cell r="A47" t="str">
            <v>ME36</v>
          </cell>
          <cell r="B47" t="str">
            <v>Ciep w wodz k.z- Z</v>
          </cell>
          <cell r="D47">
            <v>22.26</v>
          </cell>
          <cell r="E47">
            <v>22.26</v>
          </cell>
          <cell r="F47">
            <v>22.26</v>
          </cell>
          <cell r="G47">
            <v>22.26</v>
          </cell>
          <cell r="H47">
            <v>22.26</v>
          </cell>
          <cell r="I47">
            <v>22.26</v>
          </cell>
          <cell r="J47">
            <v>22.26</v>
          </cell>
          <cell r="K47">
            <v>22.26</v>
          </cell>
          <cell r="L47">
            <v>22.26</v>
          </cell>
          <cell r="M47">
            <v>22.26</v>
          </cell>
          <cell r="N47">
            <v>22.26</v>
          </cell>
          <cell r="O47">
            <v>22.26</v>
          </cell>
        </row>
        <row r="48">
          <cell r="A48" t="str">
            <v>ME32</v>
          </cell>
          <cell r="B48" t="str">
            <v>Ciep w wodz k.s- B</v>
          </cell>
          <cell r="D48">
            <v>6633.78</v>
          </cell>
          <cell r="E48">
            <v>6633.78</v>
          </cell>
          <cell r="F48">
            <v>6633.78</v>
          </cell>
          <cell r="G48">
            <v>6633.78</v>
          </cell>
          <cell r="H48">
            <v>6633.78</v>
          </cell>
          <cell r="I48">
            <v>6633.78</v>
          </cell>
          <cell r="J48">
            <v>6633.78</v>
          </cell>
          <cell r="K48">
            <v>6633.78</v>
          </cell>
          <cell r="L48">
            <v>6633.78</v>
          </cell>
          <cell r="M48">
            <v>6633.78</v>
          </cell>
          <cell r="N48">
            <v>6633.78</v>
          </cell>
          <cell r="O48">
            <v>6633.78</v>
          </cell>
        </row>
        <row r="49">
          <cell r="A49" t="str">
            <v>ME33</v>
          </cell>
          <cell r="B49" t="str">
            <v>Ciep w wodz k.z- B</v>
          </cell>
          <cell r="D49">
            <v>24.53</v>
          </cell>
          <cell r="E49">
            <v>24.53</v>
          </cell>
          <cell r="F49">
            <v>24.53</v>
          </cell>
          <cell r="G49">
            <v>24.53</v>
          </cell>
          <cell r="H49">
            <v>24.53</v>
          </cell>
          <cell r="I49">
            <v>24.53</v>
          </cell>
          <cell r="J49">
            <v>24.53</v>
          </cell>
          <cell r="K49">
            <v>24.53</v>
          </cell>
          <cell r="L49">
            <v>24.53</v>
          </cell>
          <cell r="M49">
            <v>24.53</v>
          </cell>
          <cell r="N49">
            <v>24.53</v>
          </cell>
          <cell r="O49">
            <v>24.53</v>
          </cell>
        </row>
        <row r="50">
          <cell r="A50" t="str">
            <v>ME34</v>
          </cell>
          <cell r="B50" t="str">
            <v>Ciep w wodz - C</v>
          </cell>
          <cell r="D50">
            <v>11.91</v>
          </cell>
          <cell r="E50">
            <v>11.91</v>
          </cell>
          <cell r="F50">
            <v>11.91</v>
          </cell>
          <cell r="G50">
            <v>11.91</v>
          </cell>
          <cell r="H50">
            <v>11.91</v>
          </cell>
          <cell r="I50">
            <v>11.91</v>
          </cell>
          <cell r="J50">
            <v>11.91</v>
          </cell>
          <cell r="K50">
            <v>11.91</v>
          </cell>
          <cell r="L50">
            <v>11.91</v>
          </cell>
          <cell r="M50">
            <v>11.91</v>
          </cell>
          <cell r="N50">
            <v>11.91</v>
          </cell>
          <cell r="O50">
            <v>11.91</v>
          </cell>
        </row>
        <row r="51">
          <cell r="A51" t="str">
            <v>ME13</v>
          </cell>
          <cell r="B51" t="str">
            <v>Sprężone powietrze</v>
          </cell>
          <cell r="D51">
            <v>0.1</v>
          </cell>
          <cell r="E51">
            <v>0.1</v>
          </cell>
          <cell r="F51">
            <v>0.1</v>
          </cell>
          <cell r="G51">
            <v>0.1</v>
          </cell>
          <cell r="H51">
            <v>0.1</v>
          </cell>
          <cell r="I51">
            <v>0.1</v>
          </cell>
          <cell r="J51">
            <v>0.1</v>
          </cell>
          <cell r="K51">
            <v>0.1</v>
          </cell>
          <cell r="L51">
            <v>0.1</v>
          </cell>
          <cell r="M51">
            <v>0.1</v>
          </cell>
          <cell r="N51">
            <v>0.1</v>
          </cell>
          <cell r="O51">
            <v>0.1</v>
          </cell>
        </row>
        <row r="52">
          <cell r="A52" t="str">
            <v>MS714</v>
          </cell>
          <cell r="B52" t="str">
            <v>Woda Zdem.DEMI-1</v>
          </cell>
          <cell r="D52">
            <v>121.27</v>
          </cell>
          <cell r="E52">
            <v>238.51</v>
          </cell>
          <cell r="F52">
            <v>155.84</v>
          </cell>
          <cell r="G52">
            <v>136.9</v>
          </cell>
          <cell r="H52">
            <v>201.94</v>
          </cell>
          <cell r="I52">
            <v>115.36</v>
          </cell>
          <cell r="J52">
            <v>157.96</v>
          </cell>
          <cell r="K52">
            <v>230.14</v>
          </cell>
          <cell r="L52">
            <v>129.88</v>
          </cell>
          <cell r="M52">
            <v>128.75</v>
          </cell>
          <cell r="N52">
            <v>191.24</v>
          </cell>
          <cell r="O52">
            <v>132.11000000000001</v>
          </cell>
        </row>
        <row r="53">
          <cell r="A53" t="str">
            <v>RB714</v>
          </cell>
          <cell r="B53" t="str">
            <v>Woda Zdemineralizow</v>
          </cell>
          <cell r="D53">
            <v>43.35</v>
          </cell>
          <cell r="E53">
            <v>39.08</v>
          </cell>
          <cell r="F53">
            <v>40.25</v>
          </cell>
          <cell r="G53">
            <v>65</v>
          </cell>
          <cell r="H53">
            <v>56.66</v>
          </cell>
          <cell r="I53">
            <v>64.75</v>
          </cell>
          <cell r="J53">
            <v>64.430000000000007</v>
          </cell>
          <cell r="K53">
            <v>58.21</v>
          </cell>
          <cell r="L53">
            <v>56.95</v>
          </cell>
          <cell r="M53">
            <v>64.75</v>
          </cell>
          <cell r="N53">
            <v>63.37</v>
          </cell>
          <cell r="O53">
            <v>61.79</v>
          </cell>
        </row>
        <row r="54">
          <cell r="A54" t="str">
            <v>MS715</v>
          </cell>
          <cell r="B54" t="str">
            <v>Woda Zdem.DEMI-2</v>
          </cell>
          <cell r="D54">
            <v>349.12</v>
          </cell>
          <cell r="E54">
            <v>438</v>
          </cell>
          <cell r="F54">
            <v>479.13</v>
          </cell>
          <cell r="G54">
            <v>376.08</v>
          </cell>
          <cell r="H54">
            <v>361.35</v>
          </cell>
          <cell r="I54">
            <v>341.56</v>
          </cell>
          <cell r="J54">
            <v>1327.27</v>
          </cell>
          <cell r="K54">
            <v>336.2</v>
          </cell>
          <cell r="L54">
            <v>320.69</v>
          </cell>
          <cell r="M54">
            <v>424.96</v>
          </cell>
          <cell r="N54">
            <v>370.62</v>
          </cell>
          <cell r="O54">
            <v>362.33</v>
          </cell>
        </row>
        <row r="55">
          <cell r="A55" t="str">
            <v>RB715</v>
          </cell>
          <cell r="B55" t="str">
            <v>Woda Zdemineralizow</v>
          </cell>
          <cell r="D55">
            <v>31.55</v>
          </cell>
          <cell r="E55">
            <v>45.6</v>
          </cell>
          <cell r="F55">
            <v>34.950000000000003</v>
          </cell>
          <cell r="G55">
            <v>41.43</v>
          </cell>
          <cell r="H55">
            <v>41.53</v>
          </cell>
          <cell r="I55">
            <v>41.46</v>
          </cell>
          <cell r="J55">
            <v>41.46</v>
          </cell>
          <cell r="K55">
            <v>44.19</v>
          </cell>
          <cell r="L55">
            <v>45.02</v>
          </cell>
          <cell r="M55">
            <v>41.46</v>
          </cell>
          <cell r="N55">
            <v>41.5</v>
          </cell>
          <cell r="O55">
            <v>41.43</v>
          </cell>
        </row>
        <row r="56">
          <cell r="A56" t="str">
            <v>MS718</v>
          </cell>
          <cell r="B56" t="str">
            <v>Woda zdekarbonizowan</v>
          </cell>
          <cell r="D56">
            <v>171.98</v>
          </cell>
          <cell r="E56">
            <v>177.68</v>
          </cell>
          <cell r="F56">
            <v>256.87</v>
          </cell>
          <cell r="G56">
            <v>178.51</v>
          </cell>
          <cell r="H56">
            <v>134.22999999999999</v>
          </cell>
          <cell r="I56">
            <v>280.73</v>
          </cell>
          <cell r="J56">
            <v>135.5</v>
          </cell>
          <cell r="K56">
            <v>119.25</v>
          </cell>
          <cell r="L56">
            <v>210.88</v>
          </cell>
          <cell r="M56">
            <v>174.2</v>
          </cell>
          <cell r="N56">
            <v>152.12</v>
          </cell>
          <cell r="O56">
            <v>219.71</v>
          </cell>
        </row>
        <row r="57">
          <cell r="A57" t="str">
            <v>RB718</v>
          </cell>
          <cell r="B57" t="str">
            <v>Woda zdekarbonizowan</v>
          </cell>
          <cell r="D57">
            <v>44.32</v>
          </cell>
          <cell r="E57">
            <v>48.5</v>
          </cell>
          <cell r="F57">
            <v>47.3</v>
          </cell>
          <cell r="G57">
            <v>50.25</v>
          </cell>
          <cell r="H57">
            <v>49.05</v>
          </cell>
          <cell r="I57">
            <v>53.2</v>
          </cell>
          <cell r="J57">
            <v>60.85</v>
          </cell>
          <cell r="K57">
            <v>81.53</v>
          </cell>
          <cell r="L57">
            <v>50.47</v>
          </cell>
          <cell r="M57">
            <v>48.19</v>
          </cell>
          <cell r="N57">
            <v>47.85</v>
          </cell>
          <cell r="O57">
            <v>51.8</v>
          </cell>
        </row>
        <row r="58">
          <cell r="A58" t="str">
            <v>MS720</v>
          </cell>
          <cell r="B58" t="str">
            <v>Kotłownia Nr1 - wyt</v>
          </cell>
          <cell r="D58">
            <v>0</v>
          </cell>
          <cell r="E58">
            <v>0</v>
          </cell>
          <cell r="F58">
            <v>12567.82</v>
          </cell>
          <cell r="G58">
            <v>535.29</v>
          </cell>
          <cell r="H58">
            <v>1071.0999999999999</v>
          </cell>
          <cell r="I58">
            <v>806.93</v>
          </cell>
          <cell r="J58">
            <v>1689.1</v>
          </cell>
          <cell r="K58">
            <v>1478.44</v>
          </cell>
          <cell r="L58">
            <v>612.21</v>
          </cell>
          <cell r="M58">
            <v>1798.27</v>
          </cell>
          <cell r="N58">
            <v>1612.61</v>
          </cell>
          <cell r="O58">
            <v>2210.1</v>
          </cell>
        </row>
        <row r="59">
          <cell r="A59" t="str">
            <v>RB720</v>
          </cell>
          <cell r="B59" t="str">
            <v>Kotłownia Nr1 - wyt</v>
          </cell>
          <cell r="D59">
            <v>0</v>
          </cell>
          <cell r="E59">
            <v>0</v>
          </cell>
          <cell r="F59">
            <v>197.03</v>
          </cell>
          <cell r="G59">
            <v>62.27</v>
          </cell>
          <cell r="H59">
            <v>62.18</v>
          </cell>
          <cell r="I59">
            <v>62.17</v>
          </cell>
          <cell r="J59">
            <v>62.42</v>
          </cell>
          <cell r="K59">
            <v>62.15</v>
          </cell>
          <cell r="L59">
            <v>62.07</v>
          </cell>
          <cell r="M59">
            <v>62.38</v>
          </cell>
          <cell r="N59">
            <v>62.04</v>
          </cell>
          <cell r="O59">
            <v>62.16</v>
          </cell>
        </row>
        <row r="60">
          <cell r="A60" t="str">
            <v>MS721</v>
          </cell>
          <cell r="B60" t="str">
            <v>Kotłownia Nr2 - wytw</v>
          </cell>
          <cell r="D60">
            <v>892.09</v>
          </cell>
          <cell r="E60">
            <v>906.41</v>
          </cell>
          <cell r="F60">
            <v>1004.16</v>
          </cell>
          <cell r="G60">
            <v>1861.65</v>
          </cell>
          <cell r="H60">
            <v>1997.27</v>
          </cell>
          <cell r="I60">
            <v>1702.71</v>
          </cell>
          <cell r="J60">
            <v>1993.01</v>
          </cell>
          <cell r="K60">
            <v>3384.53</v>
          </cell>
          <cell r="L60">
            <v>2051.1</v>
          </cell>
          <cell r="M60">
            <v>1555.3</v>
          </cell>
          <cell r="N60">
            <v>1241.78</v>
          </cell>
          <cell r="O60">
            <v>1173</v>
          </cell>
        </row>
        <row r="61">
          <cell r="A61" t="str">
            <v>RB721</v>
          </cell>
          <cell r="B61" t="str">
            <v>Kotłownia Nr2 - wytw</v>
          </cell>
          <cell r="D61">
            <v>46.91</v>
          </cell>
          <cell r="E61">
            <v>44.5</v>
          </cell>
          <cell r="F61">
            <v>34.76</v>
          </cell>
          <cell r="G61">
            <v>45.24</v>
          </cell>
          <cell r="H61">
            <v>45.13</v>
          </cell>
          <cell r="I61">
            <v>45.16</v>
          </cell>
          <cell r="J61">
            <v>45.85</v>
          </cell>
          <cell r="K61">
            <v>46.02</v>
          </cell>
          <cell r="L61">
            <v>47.69</v>
          </cell>
          <cell r="M61">
            <v>44.19</v>
          </cell>
          <cell r="N61">
            <v>44.35</v>
          </cell>
          <cell r="O61">
            <v>44.25</v>
          </cell>
        </row>
        <row r="62">
          <cell r="A62" t="str">
            <v>MS723</v>
          </cell>
          <cell r="B62" t="str">
            <v>Kotłownia Nr1 - przy</v>
          </cell>
          <cell r="D62">
            <v>27.35</v>
          </cell>
          <cell r="E62">
            <v>72.42</v>
          </cell>
          <cell r="F62">
            <v>70.48</v>
          </cell>
          <cell r="G62">
            <v>80.25</v>
          </cell>
          <cell r="H62">
            <v>119.9</v>
          </cell>
          <cell r="I62">
            <v>105.22</v>
          </cell>
          <cell r="J62">
            <v>31.43</v>
          </cell>
          <cell r="K62">
            <v>21.21</v>
          </cell>
          <cell r="L62">
            <v>29.37</v>
          </cell>
          <cell r="M62">
            <v>30.55</v>
          </cell>
          <cell r="N62">
            <v>29.23</v>
          </cell>
          <cell r="O62">
            <v>23.76</v>
          </cell>
        </row>
        <row r="63">
          <cell r="A63" t="str">
            <v>RB723</v>
          </cell>
          <cell r="B63" t="str">
            <v>Kotłownia Nr1 - przy</v>
          </cell>
          <cell r="D63">
            <v>39.94</v>
          </cell>
          <cell r="E63">
            <v>43.19</v>
          </cell>
          <cell r="F63">
            <v>41.36</v>
          </cell>
          <cell r="G63">
            <v>33.770000000000003</v>
          </cell>
          <cell r="H63">
            <v>34.020000000000003</v>
          </cell>
          <cell r="I63">
            <v>45.88</v>
          </cell>
          <cell r="J63">
            <v>50.9</v>
          </cell>
          <cell r="K63">
            <v>35.39</v>
          </cell>
          <cell r="L63">
            <v>30.81</v>
          </cell>
          <cell r="M63">
            <v>50.71</v>
          </cell>
          <cell r="N63">
            <v>45.33</v>
          </cell>
          <cell r="O63">
            <v>40.770000000000003</v>
          </cell>
        </row>
        <row r="64">
          <cell r="A64" t="str">
            <v>MS724</v>
          </cell>
          <cell r="B64" t="str">
            <v>Produkcja koksu</v>
          </cell>
          <cell r="D64">
            <v>166.47</v>
          </cell>
          <cell r="E64">
            <v>194.83</v>
          </cell>
          <cell r="F64">
            <v>189.11</v>
          </cell>
          <cell r="G64">
            <v>188.43</v>
          </cell>
          <cell r="H64">
            <v>155.5</v>
          </cell>
          <cell r="I64">
            <v>190.42</v>
          </cell>
          <cell r="J64">
            <v>214</v>
          </cell>
          <cell r="K64">
            <v>225.66</v>
          </cell>
          <cell r="L64">
            <v>190.27</v>
          </cell>
          <cell r="M64">
            <v>1983.18</v>
          </cell>
          <cell r="N64">
            <v>247.81</v>
          </cell>
          <cell r="O64">
            <v>211.72</v>
          </cell>
        </row>
        <row r="65">
          <cell r="A65" t="str">
            <v>RB724</v>
          </cell>
          <cell r="B65" t="str">
            <v>Produkcja koksu</v>
          </cell>
          <cell r="D65">
            <v>41.38</v>
          </cell>
          <cell r="E65">
            <v>42.59</v>
          </cell>
          <cell r="F65">
            <v>40.200000000000003</v>
          </cell>
          <cell r="G65">
            <v>41.36</v>
          </cell>
          <cell r="H65">
            <v>45.84</v>
          </cell>
          <cell r="I65">
            <v>41.47</v>
          </cell>
          <cell r="J65">
            <v>40.19</v>
          </cell>
          <cell r="K65">
            <v>40.049999999999997</v>
          </cell>
          <cell r="L65">
            <v>41.47</v>
          </cell>
          <cell r="M65">
            <v>621.80999999999995</v>
          </cell>
          <cell r="N65">
            <v>47.76</v>
          </cell>
          <cell r="O65">
            <v>40.15</v>
          </cell>
        </row>
        <row r="66">
          <cell r="A66" t="str">
            <v>MS730</v>
          </cell>
          <cell r="B66" t="str">
            <v>Elektrownia 1 - wytw</v>
          </cell>
          <cell r="D66">
            <v>270.35000000000002</v>
          </cell>
          <cell r="E66">
            <v>318.64999999999998</v>
          </cell>
          <cell r="F66">
            <v>322.35000000000002</v>
          </cell>
          <cell r="G66">
            <v>281.23</v>
          </cell>
          <cell r="H66">
            <v>298.32</v>
          </cell>
          <cell r="I66">
            <v>294.10000000000002</v>
          </cell>
          <cell r="J66">
            <v>272.83999999999997</v>
          </cell>
          <cell r="K66">
            <v>310.20999999999998</v>
          </cell>
          <cell r="L66">
            <v>271.01</v>
          </cell>
          <cell r="M66">
            <v>255.73</v>
          </cell>
          <cell r="N66">
            <v>269.23</v>
          </cell>
          <cell r="O66">
            <v>263.70999999999998</v>
          </cell>
        </row>
        <row r="67">
          <cell r="A67" t="str">
            <v>RB730</v>
          </cell>
          <cell r="B67" t="str">
            <v>Elektrownia 1 - wytw</v>
          </cell>
          <cell r="D67">
            <v>57.13</v>
          </cell>
          <cell r="E67">
            <v>29.93</v>
          </cell>
          <cell r="F67">
            <v>30.21</v>
          </cell>
          <cell r="G67">
            <v>27.44</v>
          </cell>
          <cell r="H67">
            <v>27.41</v>
          </cell>
          <cell r="I67">
            <v>27.4</v>
          </cell>
          <cell r="J67">
            <v>27.52</v>
          </cell>
          <cell r="K67">
            <v>29.6</v>
          </cell>
          <cell r="L67">
            <v>27.34</v>
          </cell>
          <cell r="M67">
            <v>32.880000000000003</v>
          </cell>
          <cell r="N67">
            <v>27.34</v>
          </cell>
          <cell r="O67">
            <v>27.42</v>
          </cell>
        </row>
        <row r="68">
          <cell r="A68" t="str">
            <v>MS731</v>
          </cell>
          <cell r="B68" t="str">
            <v>Elektrownia 2 - wytw</v>
          </cell>
          <cell r="D68">
            <v>299.07</v>
          </cell>
          <cell r="E68">
            <v>314.12</v>
          </cell>
          <cell r="F68">
            <v>323.54000000000002</v>
          </cell>
          <cell r="G68">
            <v>311.27999999999997</v>
          </cell>
          <cell r="H68">
            <v>325.08999999999997</v>
          </cell>
          <cell r="I68">
            <v>311.08</v>
          </cell>
          <cell r="J68">
            <v>339.39</v>
          </cell>
          <cell r="K68">
            <v>286.58999999999997</v>
          </cell>
          <cell r="L68">
            <v>321.49</v>
          </cell>
          <cell r="M68">
            <v>298.14</v>
          </cell>
          <cell r="N68">
            <v>328.07</v>
          </cell>
          <cell r="O68">
            <v>288.07</v>
          </cell>
        </row>
        <row r="69">
          <cell r="A69" t="str">
            <v>RB731</v>
          </cell>
          <cell r="B69" t="str">
            <v>Elektrownia 2 - wytw</v>
          </cell>
          <cell r="D69">
            <v>44.39</v>
          </cell>
          <cell r="E69">
            <v>47.87</v>
          </cell>
          <cell r="F69">
            <v>49.84</v>
          </cell>
          <cell r="G69">
            <v>52.87</v>
          </cell>
          <cell r="H69">
            <v>51.01</v>
          </cell>
          <cell r="I69">
            <v>51.02</v>
          </cell>
          <cell r="J69">
            <v>50.9</v>
          </cell>
          <cell r="K69">
            <v>50.87</v>
          </cell>
          <cell r="L69">
            <v>52.37</v>
          </cell>
          <cell r="M69">
            <v>50.98</v>
          </cell>
          <cell r="N69">
            <v>52.08</v>
          </cell>
          <cell r="O69">
            <v>50.2</v>
          </cell>
        </row>
        <row r="70">
          <cell r="A70" t="str">
            <v>MS110</v>
          </cell>
          <cell r="B70" t="str">
            <v>Mag. i miesz. kwasów</v>
          </cell>
          <cell r="D70">
            <v>231.85</v>
          </cell>
          <cell r="E70">
            <v>253.56</v>
          </cell>
          <cell r="F70">
            <v>237.01</v>
          </cell>
          <cell r="G70">
            <v>934.15</v>
          </cell>
          <cell r="H70">
            <v>532.32000000000005</v>
          </cell>
          <cell r="I70">
            <v>249.05</v>
          </cell>
          <cell r="J70">
            <v>243.52</v>
          </cell>
          <cell r="K70">
            <v>283.51</v>
          </cell>
          <cell r="L70">
            <v>286.94</v>
          </cell>
          <cell r="M70">
            <v>288.39</v>
          </cell>
          <cell r="N70">
            <v>272.64</v>
          </cell>
          <cell r="O70">
            <v>267.94</v>
          </cell>
        </row>
        <row r="71">
          <cell r="A71" t="str">
            <v>MS111</v>
          </cell>
          <cell r="B71" t="str">
            <v>SP-0 Przygotowanie</v>
          </cell>
          <cell r="D71">
            <v>217.51</v>
          </cell>
          <cell r="E71">
            <v>220.23</v>
          </cell>
          <cell r="F71">
            <v>235.62</v>
          </cell>
          <cell r="G71">
            <v>327.77</v>
          </cell>
          <cell r="H71">
            <v>345.23</v>
          </cell>
          <cell r="I71">
            <v>247.27</v>
          </cell>
          <cell r="J71">
            <v>226.29</v>
          </cell>
          <cell r="K71">
            <v>226.23</v>
          </cell>
          <cell r="L71">
            <v>236.49</v>
          </cell>
          <cell r="M71">
            <v>228.11</v>
          </cell>
          <cell r="N71">
            <v>232.85</v>
          </cell>
          <cell r="O71">
            <v>236.33</v>
          </cell>
        </row>
        <row r="72">
          <cell r="A72" t="str">
            <v>RB111</v>
          </cell>
          <cell r="B72" t="str">
            <v>SP-0 Przygotowanie</v>
          </cell>
          <cell r="D72">
            <v>40.14</v>
          </cell>
          <cell r="E72">
            <v>33.39</v>
          </cell>
          <cell r="F72">
            <v>32.33</v>
          </cell>
          <cell r="G72">
            <v>39.71</v>
          </cell>
          <cell r="H72">
            <v>32.24</v>
          </cell>
          <cell r="I72">
            <v>58.09</v>
          </cell>
          <cell r="J72">
            <v>40.630000000000003</v>
          </cell>
          <cell r="K72">
            <v>31.39</v>
          </cell>
          <cell r="L72">
            <v>39.5</v>
          </cell>
          <cell r="M72">
            <v>36.909999999999997</v>
          </cell>
          <cell r="N72">
            <v>37.19</v>
          </cell>
          <cell r="O72">
            <v>31.13</v>
          </cell>
        </row>
        <row r="73">
          <cell r="A73" t="str">
            <v>MS113</v>
          </cell>
          <cell r="B73" t="str">
            <v>SP-2 Ciągi 3-4</v>
          </cell>
          <cell r="D73">
            <v>318.56</v>
          </cell>
          <cell r="E73">
            <v>228.11</v>
          </cell>
          <cell r="F73">
            <v>0</v>
          </cell>
          <cell r="G73">
            <v>918.9</v>
          </cell>
          <cell r="H73">
            <v>297.39</v>
          </cell>
          <cell r="I73">
            <v>261.04000000000002</v>
          </cell>
          <cell r="J73">
            <v>315.44</v>
          </cell>
          <cell r="K73">
            <v>201.69</v>
          </cell>
          <cell r="L73">
            <v>208.45</v>
          </cell>
          <cell r="M73">
            <v>732.91</v>
          </cell>
          <cell r="N73">
            <v>923.69</v>
          </cell>
          <cell r="O73">
            <v>289.83999999999997</v>
          </cell>
        </row>
        <row r="74">
          <cell r="A74" t="str">
            <v>MS114</v>
          </cell>
          <cell r="B74" t="str">
            <v>SP-3 Ciągi 5-6</v>
          </cell>
          <cell r="D74">
            <v>211.47</v>
          </cell>
          <cell r="E74">
            <v>382.27</v>
          </cell>
          <cell r="F74">
            <v>228.57</v>
          </cell>
          <cell r="G74">
            <v>436.79</v>
          </cell>
          <cell r="H74">
            <v>375.97</v>
          </cell>
          <cell r="I74">
            <v>234.07</v>
          </cell>
          <cell r="J74">
            <v>231.98</v>
          </cell>
          <cell r="K74">
            <v>229.6</v>
          </cell>
          <cell r="L74">
            <v>707.88</v>
          </cell>
          <cell r="M74">
            <v>2356.9499999999998</v>
          </cell>
          <cell r="N74">
            <v>235.98</v>
          </cell>
          <cell r="O74">
            <v>234.92</v>
          </cell>
        </row>
        <row r="75">
          <cell r="A75" t="str">
            <v>MS116</v>
          </cell>
          <cell r="B75" t="str">
            <v>SP-3 Ciąg 7</v>
          </cell>
          <cell r="D75">
            <v>391.45</v>
          </cell>
          <cell r="E75">
            <v>592.55999999999995</v>
          </cell>
          <cell r="F75">
            <v>717.99</v>
          </cell>
          <cell r="G75">
            <v>426.13</v>
          </cell>
          <cell r="H75">
            <v>936.55</v>
          </cell>
          <cell r="I75">
            <v>1420.68</v>
          </cell>
          <cell r="J75">
            <v>3004.99</v>
          </cell>
          <cell r="K75">
            <v>455.11</v>
          </cell>
          <cell r="L75">
            <v>459.67</v>
          </cell>
          <cell r="M75">
            <v>486.74</v>
          </cell>
          <cell r="N75">
            <v>473.49</v>
          </cell>
          <cell r="O75">
            <v>623</v>
          </cell>
        </row>
        <row r="76">
          <cell r="A76" t="str">
            <v>MS120</v>
          </cell>
          <cell r="B76" t="str">
            <v>Klarowanie kwasu odf</v>
          </cell>
          <cell r="D76">
            <v>597.42999999999995</v>
          </cell>
          <cell r="E76">
            <v>0</v>
          </cell>
          <cell r="F76">
            <v>0</v>
          </cell>
          <cell r="G76">
            <v>487.14</v>
          </cell>
          <cell r="H76">
            <v>642.23</v>
          </cell>
          <cell r="I76">
            <v>362.15</v>
          </cell>
          <cell r="J76">
            <v>600.6</v>
          </cell>
          <cell r="K76">
            <v>410.46</v>
          </cell>
          <cell r="L76">
            <v>529.41999999999996</v>
          </cell>
          <cell r="M76">
            <v>506.95</v>
          </cell>
          <cell r="N76">
            <v>485.92</v>
          </cell>
          <cell r="O76">
            <v>486.66</v>
          </cell>
        </row>
        <row r="77">
          <cell r="A77" t="str">
            <v>MS121</v>
          </cell>
          <cell r="B77" t="str">
            <v>PF-I</v>
          </cell>
          <cell r="D77">
            <v>156.37</v>
          </cell>
          <cell r="E77">
            <v>218.49</v>
          </cell>
          <cell r="F77">
            <v>266.70999999999998</v>
          </cell>
          <cell r="G77">
            <v>250.16</v>
          </cell>
          <cell r="H77">
            <v>162.43</v>
          </cell>
          <cell r="I77">
            <v>499.01</v>
          </cell>
          <cell r="J77">
            <v>1537.8</v>
          </cell>
          <cell r="K77">
            <v>142.54</v>
          </cell>
          <cell r="L77">
            <v>160.41999999999999</v>
          </cell>
          <cell r="M77">
            <v>137.69999999999999</v>
          </cell>
          <cell r="N77">
            <v>149.5</v>
          </cell>
          <cell r="O77">
            <v>138.68</v>
          </cell>
        </row>
        <row r="78">
          <cell r="A78" t="str">
            <v>MS122</v>
          </cell>
          <cell r="B78" t="str">
            <v>PF-0 Młynownia</v>
          </cell>
          <cell r="D78">
            <v>322.39</v>
          </cell>
          <cell r="E78">
            <v>418.97</v>
          </cell>
          <cell r="F78">
            <v>417.95</v>
          </cell>
          <cell r="G78">
            <v>438.23</v>
          </cell>
          <cell r="H78">
            <v>535.07000000000005</v>
          </cell>
          <cell r="I78">
            <v>635.54</v>
          </cell>
          <cell r="J78">
            <v>347.68</v>
          </cell>
          <cell r="K78">
            <v>478.96</v>
          </cell>
          <cell r="L78">
            <v>371.94</v>
          </cell>
          <cell r="M78">
            <v>411.95</v>
          </cell>
          <cell r="N78">
            <v>359.26</v>
          </cell>
          <cell r="O78">
            <v>366.24</v>
          </cell>
        </row>
        <row r="79">
          <cell r="A79" t="str">
            <v>RB122</v>
          </cell>
          <cell r="B79" t="str">
            <v>PF-0 Młynownia</v>
          </cell>
          <cell r="D79">
            <v>39.97</v>
          </cell>
          <cell r="E79">
            <v>43.11</v>
          </cell>
          <cell r="F79">
            <v>42.89</v>
          </cell>
          <cell r="G79">
            <v>54.94</v>
          </cell>
          <cell r="H79">
            <v>60.72</v>
          </cell>
          <cell r="I79">
            <v>61.35</v>
          </cell>
          <cell r="J79">
            <v>44.59</v>
          </cell>
          <cell r="K79">
            <v>57.52</v>
          </cell>
          <cell r="L79">
            <v>42.14</v>
          </cell>
          <cell r="M79">
            <v>47.38</v>
          </cell>
          <cell r="N79">
            <v>44.7</v>
          </cell>
          <cell r="O79">
            <v>41.67</v>
          </cell>
        </row>
        <row r="80">
          <cell r="A80" t="str">
            <v>MS123</v>
          </cell>
          <cell r="B80" t="str">
            <v>PF-II</v>
          </cell>
          <cell r="D80">
            <v>287.32</v>
          </cell>
          <cell r="E80">
            <v>410.91</v>
          </cell>
          <cell r="F80">
            <v>499.3</v>
          </cell>
          <cell r="G80">
            <v>1061.8800000000001</v>
          </cell>
          <cell r="H80">
            <v>612.72</v>
          </cell>
          <cell r="I80">
            <v>421.25</v>
          </cell>
          <cell r="J80">
            <v>508.05</v>
          </cell>
          <cell r="K80">
            <v>298.55</v>
          </cell>
          <cell r="L80">
            <v>535.66999999999996</v>
          </cell>
          <cell r="M80">
            <v>422.87</v>
          </cell>
          <cell r="N80">
            <v>270.48</v>
          </cell>
          <cell r="O80">
            <v>340.48</v>
          </cell>
        </row>
        <row r="81">
          <cell r="A81" t="str">
            <v>MS124</v>
          </cell>
          <cell r="B81" t="str">
            <v>PF-III</v>
          </cell>
          <cell r="D81">
            <v>438.28</v>
          </cell>
          <cell r="E81">
            <v>610.45000000000005</v>
          </cell>
          <cell r="F81">
            <v>470.32</v>
          </cell>
          <cell r="G81">
            <v>548.76</v>
          </cell>
          <cell r="H81">
            <v>463.03</v>
          </cell>
          <cell r="I81">
            <v>420.13</v>
          </cell>
          <cell r="J81">
            <v>423.69</v>
          </cell>
          <cell r="K81">
            <v>4708.32</v>
          </cell>
          <cell r="L81">
            <v>2091.02</v>
          </cell>
          <cell r="M81">
            <v>830.95</v>
          </cell>
          <cell r="N81">
            <v>480.51</v>
          </cell>
          <cell r="O81">
            <v>480.2</v>
          </cell>
        </row>
        <row r="82">
          <cell r="A82" t="str">
            <v>MS125</v>
          </cell>
          <cell r="B82" t="str">
            <v>PF-IV</v>
          </cell>
          <cell r="D82">
            <v>569.57000000000005</v>
          </cell>
          <cell r="E82">
            <v>656.48</v>
          </cell>
          <cell r="F82">
            <v>684.43</v>
          </cell>
          <cell r="G82">
            <v>884.43</v>
          </cell>
          <cell r="H82">
            <v>2204.36</v>
          </cell>
          <cell r="I82">
            <v>4289.75</v>
          </cell>
          <cell r="J82">
            <v>496.9</v>
          </cell>
          <cell r="K82">
            <v>532.15</v>
          </cell>
          <cell r="L82">
            <v>532.16</v>
          </cell>
          <cell r="M82">
            <v>585.61</v>
          </cell>
          <cell r="N82">
            <v>651.29</v>
          </cell>
          <cell r="O82">
            <v>762.52</v>
          </cell>
        </row>
        <row r="83">
          <cell r="A83" t="str">
            <v>MS126</v>
          </cell>
          <cell r="B83" t="str">
            <v>Mielenie fosforytów</v>
          </cell>
          <cell r="D83">
            <v>83.99</v>
          </cell>
          <cell r="E83">
            <v>134.72999999999999</v>
          </cell>
          <cell r="F83">
            <v>153.30000000000001</v>
          </cell>
          <cell r="G83">
            <v>142.22</v>
          </cell>
          <cell r="H83">
            <v>159.87</v>
          </cell>
          <cell r="I83">
            <v>189.56</v>
          </cell>
          <cell r="J83">
            <v>111.13</v>
          </cell>
          <cell r="K83">
            <v>168.91</v>
          </cell>
          <cell r="L83">
            <v>114.67</v>
          </cell>
          <cell r="M83">
            <v>127.9</v>
          </cell>
          <cell r="N83">
            <v>135.80000000000001</v>
          </cell>
          <cell r="O83">
            <v>93.19</v>
          </cell>
        </row>
        <row r="84">
          <cell r="A84" t="str">
            <v>MS127</v>
          </cell>
          <cell r="B84" t="str">
            <v>Zatężanie i szlamow</v>
          </cell>
          <cell r="D84">
            <v>190.78</v>
          </cell>
          <cell r="E84">
            <v>245.74</v>
          </cell>
          <cell r="F84">
            <v>235.06</v>
          </cell>
          <cell r="G84">
            <v>254.97</v>
          </cell>
          <cell r="H84">
            <v>299.98</v>
          </cell>
          <cell r="I84">
            <v>365.39</v>
          </cell>
          <cell r="J84">
            <v>231.44</v>
          </cell>
          <cell r="K84">
            <v>261.02</v>
          </cell>
          <cell r="L84">
            <v>225.51</v>
          </cell>
          <cell r="M84">
            <v>246.56</v>
          </cell>
          <cell r="N84">
            <v>233.75</v>
          </cell>
          <cell r="O84">
            <v>208.57</v>
          </cell>
        </row>
        <row r="85">
          <cell r="A85" t="str">
            <v>MS129</v>
          </cell>
          <cell r="B85" t="str">
            <v>Mieszanie kwasów</v>
          </cell>
          <cell r="D85">
            <v>76.989999999999995</v>
          </cell>
          <cell r="E85">
            <v>87.01</v>
          </cell>
          <cell r="F85">
            <v>172.82</v>
          </cell>
          <cell r="G85">
            <v>139.37</v>
          </cell>
          <cell r="H85">
            <v>116.31</v>
          </cell>
          <cell r="I85">
            <v>143.9</v>
          </cell>
          <cell r="J85">
            <v>122.13</v>
          </cell>
          <cell r="K85">
            <v>83.5</v>
          </cell>
          <cell r="L85">
            <v>154.86000000000001</v>
          </cell>
          <cell r="M85">
            <v>108.42</v>
          </cell>
          <cell r="N85">
            <v>97.87</v>
          </cell>
          <cell r="O85">
            <v>94.24</v>
          </cell>
        </row>
        <row r="86">
          <cell r="A86" t="str">
            <v>MS130</v>
          </cell>
          <cell r="B86" t="str">
            <v>Instalacja wody amon</v>
          </cell>
          <cell r="D86">
            <v>10.34</v>
          </cell>
          <cell r="E86">
            <v>9.1</v>
          </cell>
          <cell r="F86">
            <v>6.67</v>
          </cell>
          <cell r="G86">
            <v>15.78</v>
          </cell>
          <cell r="H86">
            <v>15.8</v>
          </cell>
          <cell r="I86">
            <v>15.06</v>
          </cell>
          <cell r="J86">
            <v>50.66</v>
          </cell>
          <cell r="K86">
            <v>25.35</v>
          </cell>
          <cell r="L86">
            <v>21.41</v>
          </cell>
          <cell r="M86">
            <v>21.54</v>
          </cell>
          <cell r="N86">
            <v>21.52</v>
          </cell>
          <cell r="O86">
            <v>20.91</v>
          </cell>
        </row>
        <row r="87">
          <cell r="A87" t="str">
            <v>MS131</v>
          </cell>
          <cell r="B87" t="str">
            <v>Wydział Przygot.Gazu</v>
          </cell>
          <cell r="D87">
            <v>577.94000000000005</v>
          </cell>
          <cell r="E87">
            <v>716.43</v>
          </cell>
          <cell r="F87">
            <v>616.34</v>
          </cell>
          <cell r="G87">
            <v>671.22</v>
          </cell>
          <cell r="H87">
            <v>681.62</v>
          </cell>
          <cell r="I87">
            <v>628.95000000000005</v>
          </cell>
          <cell r="J87">
            <v>2050.1999999999998</v>
          </cell>
          <cell r="K87">
            <v>3949.51</v>
          </cell>
          <cell r="L87">
            <v>700.71</v>
          </cell>
          <cell r="M87">
            <v>611.09</v>
          </cell>
          <cell r="N87">
            <v>602.98</v>
          </cell>
          <cell r="O87">
            <v>580.6</v>
          </cell>
        </row>
        <row r="88">
          <cell r="A88" t="str">
            <v>RB131</v>
          </cell>
          <cell r="B88" t="str">
            <v>Wydział Przygot.Gazu</v>
          </cell>
          <cell r="D88">
            <v>41.77</v>
          </cell>
          <cell r="E88">
            <v>45.74</v>
          </cell>
          <cell r="F88">
            <v>43.98</v>
          </cell>
          <cell r="G88">
            <v>47.53</v>
          </cell>
          <cell r="H88">
            <v>48.72</v>
          </cell>
          <cell r="I88">
            <v>48.25</v>
          </cell>
          <cell r="J88">
            <v>69.39</v>
          </cell>
          <cell r="K88">
            <v>158.09</v>
          </cell>
          <cell r="L88">
            <v>50.24</v>
          </cell>
          <cell r="M88">
            <v>45.13</v>
          </cell>
          <cell r="N88">
            <v>47.36</v>
          </cell>
          <cell r="O88">
            <v>45.12</v>
          </cell>
        </row>
        <row r="89">
          <cell r="A89" t="str">
            <v>MS132</v>
          </cell>
          <cell r="B89" t="str">
            <v>Wydz.Syntezy Amon.</v>
          </cell>
          <cell r="D89">
            <v>498.87</v>
          </cell>
          <cell r="E89">
            <v>636.30999999999995</v>
          </cell>
          <cell r="F89">
            <v>516.45000000000005</v>
          </cell>
          <cell r="G89">
            <v>578.44000000000005</v>
          </cell>
          <cell r="H89">
            <v>526.79</v>
          </cell>
          <cell r="I89">
            <v>569.46</v>
          </cell>
          <cell r="J89">
            <v>2092.4699999999998</v>
          </cell>
          <cell r="K89">
            <v>3636.08</v>
          </cell>
          <cell r="L89">
            <v>645.67999999999995</v>
          </cell>
          <cell r="M89">
            <v>616.51</v>
          </cell>
          <cell r="N89">
            <v>632.21</v>
          </cell>
          <cell r="O89">
            <v>571.04</v>
          </cell>
        </row>
        <row r="90">
          <cell r="A90" t="str">
            <v>RB132</v>
          </cell>
          <cell r="B90" t="str">
            <v>Wydz.Syntezy Amon.</v>
          </cell>
          <cell r="D90">
            <v>43.93</v>
          </cell>
          <cell r="E90">
            <v>43.44</v>
          </cell>
          <cell r="F90">
            <v>43.1</v>
          </cell>
          <cell r="G90">
            <v>43.94</v>
          </cell>
          <cell r="H90">
            <v>42.51</v>
          </cell>
          <cell r="I90">
            <v>43.88</v>
          </cell>
          <cell r="J90">
            <v>64.150000000000006</v>
          </cell>
          <cell r="K90">
            <v>155.59</v>
          </cell>
          <cell r="L90">
            <v>46.21</v>
          </cell>
          <cell r="M90">
            <v>43.71</v>
          </cell>
          <cell r="N90">
            <v>43.91</v>
          </cell>
          <cell r="O90">
            <v>42.52</v>
          </cell>
        </row>
        <row r="91">
          <cell r="A91" t="str">
            <v>MS133</v>
          </cell>
          <cell r="B91" t="str">
            <v>Stokaż Amoniaku</v>
          </cell>
          <cell r="D91">
            <v>479.67</v>
          </cell>
          <cell r="E91">
            <v>616.16999999999996</v>
          </cell>
          <cell r="F91">
            <v>641.89</v>
          </cell>
          <cell r="G91">
            <v>719.56</v>
          </cell>
          <cell r="H91">
            <v>599.15</v>
          </cell>
          <cell r="I91">
            <v>649.74</v>
          </cell>
          <cell r="J91">
            <v>677.14</v>
          </cell>
          <cell r="K91">
            <v>634.78</v>
          </cell>
          <cell r="L91">
            <v>722.11</v>
          </cell>
          <cell r="M91">
            <v>650.9</v>
          </cell>
          <cell r="N91">
            <v>561.78</v>
          </cell>
          <cell r="O91">
            <v>515.9</v>
          </cell>
        </row>
        <row r="92">
          <cell r="A92" t="str">
            <v>MS134</v>
          </cell>
          <cell r="B92" t="str">
            <v>Instalacja amoniaku</v>
          </cell>
          <cell r="D92">
            <v>10.92</v>
          </cell>
          <cell r="E92">
            <v>14.15</v>
          </cell>
          <cell r="F92">
            <v>11.46</v>
          </cell>
          <cell r="G92">
            <v>14.06</v>
          </cell>
          <cell r="H92">
            <v>12.61</v>
          </cell>
          <cell r="I92">
            <v>12.52</v>
          </cell>
          <cell r="J92">
            <v>28.15</v>
          </cell>
          <cell r="K92">
            <v>15.83</v>
          </cell>
          <cell r="L92">
            <v>22.76</v>
          </cell>
          <cell r="M92">
            <v>14.51</v>
          </cell>
          <cell r="N92">
            <v>17.18</v>
          </cell>
          <cell r="O92">
            <v>13.98</v>
          </cell>
        </row>
        <row r="93">
          <cell r="A93" t="str">
            <v>ME15</v>
          </cell>
          <cell r="B93" t="str">
            <v>PWA</v>
          </cell>
          <cell r="D93">
            <v>0.14000000000000001</v>
          </cell>
          <cell r="E93">
            <v>0.14000000000000001</v>
          </cell>
          <cell r="F93">
            <v>0.14000000000000001</v>
          </cell>
          <cell r="G93">
            <v>0.14000000000000001</v>
          </cell>
          <cell r="H93">
            <v>0.14000000000000001</v>
          </cell>
          <cell r="I93">
            <v>0.14000000000000001</v>
          </cell>
          <cell r="J93">
            <v>0.14000000000000001</v>
          </cell>
          <cell r="K93">
            <v>0.14000000000000001</v>
          </cell>
          <cell r="L93">
            <v>0.14000000000000001</v>
          </cell>
          <cell r="M93">
            <v>0.14000000000000001</v>
          </cell>
          <cell r="N93">
            <v>0.14000000000000001</v>
          </cell>
          <cell r="O93">
            <v>0.14000000000000001</v>
          </cell>
        </row>
        <row r="94">
          <cell r="A94" t="str">
            <v>MS141</v>
          </cell>
          <cell r="B94" t="str">
            <v>NP Ciągi X,Y</v>
          </cell>
          <cell r="D94">
            <v>387.18</v>
          </cell>
          <cell r="E94">
            <v>298.14999999999998</v>
          </cell>
          <cell r="F94">
            <v>376.09</v>
          </cell>
          <cell r="G94">
            <v>357.85</v>
          </cell>
          <cell r="H94">
            <v>1227.43</v>
          </cell>
          <cell r="I94">
            <v>1095.94</v>
          </cell>
          <cell r="J94">
            <v>342.97</v>
          </cell>
          <cell r="K94">
            <v>353.95</v>
          </cell>
          <cell r="L94">
            <v>349.69</v>
          </cell>
          <cell r="M94">
            <v>339.09</v>
          </cell>
          <cell r="N94">
            <v>319.79000000000002</v>
          </cell>
          <cell r="O94">
            <v>320.72000000000003</v>
          </cell>
        </row>
        <row r="95">
          <cell r="A95" t="str">
            <v>RB141</v>
          </cell>
          <cell r="B95" t="str">
            <v>NP Ciągi X,Y</v>
          </cell>
          <cell r="D95">
            <v>40.74</v>
          </cell>
          <cell r="E95">
            <v>40.619999999999997</v>
          </cell>
          <cell r="F95">
            <v>39.15</v>
          </cell>
          <cell r="G95">
            <v>40.78</v>
          </cell>
          <cell r="H95">
            <v>75.790000000000006</v>
          </cell>
          <cell r="I95">
            <v>75.58</v>
          </cell>
          <cell r="J95">
            <v>40.909999999999997</v>
          </cell>
          <cell r="K95">
            <v>43.56</v>
          </cell>
          <cell r="L95">
            <v>39.54</v>
          </cell>
          <cell r="M95">
            <v>37.78</v>
          </cell>
          <cell r="N95">
            <v>37.74</v>
          </cell>
          <cell r="O95">
            <v>37.770000000000003</v>
          </cell>
        </row>
        <row r="96">
          <cell r="A96" t="str">
            <v>MS142</v>
          </cell>
          <cell r="B96" t="str">
            <v>NPK I Ciągi X,Y</v>
          </cell>
          <cell r="D96">
            <v>653.52</v>
          </cell>
          <cell r="E96">
            <v>1025.3399999999999</v>
          </cell>
          <cell r="F96">
            <v>572.19000000000005</v>
          </cell>
          <cell r="G96">
            <v>3235.08</v>
          </cell>
          <cell r="H96">
            <v>594.87</v>
          </cell>
          <cell r="I96">
            <v>632.92999999999995</v>
          </cell>
          <cell r="J96">
            <v>952.93</v>
          </cell>
          <cell r="K96">
            <v>614.73</v>
          </cell>
          <cell r="L96">
            <v>2626.84</v>
          </cell>
          <cell r="M96">
            <v>577.20000000000005</v>
          </cell>
          <cell r="N96">
            <v>630.04</v>
          </cell>
          <cell r="O96">
            <v>575.16999999999996</v>
          </cell>
        </row>
        <row r="97">
          <cell r="A97" t="str">
            <v>RB142</v>
          </cell>
          <cell r="B97" t="str">
            <v>NPK I Ciągi X,Y</v>
          </cell>
          <cell r="D97">
            <v>36.119999999999997</v>
          </cell>
          <cell r="E97">
            <v>45.02</v>
          </cell>
          <cell r="F97">
            <v>35.159999999999997</v>
          </cell>
          <cell r="G97">
            <v>81.540000000000006</v>
          </cell>
          <cell r="H97">
            <v>35.28</v>
          </cell>
          <cell r="I97">
            <v>39.81</v>
          </cell>
          <cell r="J97">
            <v>35.99</v>
          </cell>
          <cell r="K97">
            <v>35.659999999999997</v>
          </cell>
          <cell r="L97">
            <v>73.010000000000005</v>
          </cell>
          <cell r="M97">
            <v>36</v>
          </cell>
          <cell r="N97">
            <v>38.200000000000003</v>
          </cell>
          <cell r="O97">
            <v>35.270000000000003</v>
          </cell>
        </row>
        <row r="98">
          <cell r="A98" t="str">
            <v>MS144</v>
          </cell>
          <cell r="B98" t="str">
            <v>Pakownia Nawozów NP</v>
          </cell>
          <cell r="D98">
            <v>159.54</v>
          </cell>
          <cell r="E98">
            <v>199.58</v>
          </cell>
          <cell r="F98">
            <v>232.4</v>
          </cell>
          <cell r="G98">
            <v>305.08</v>
          </cell>
          <cell r="H98">
            <v>177.03</v>
          </cell>
          <cell r="I98">
            <v>257.99</v>
          </cell>
          <cell r="J98">
            <v>240.8</v>
          </cell>
          <cell r="K98">
            <v>192.45</v>
          </cell>
          <cell r="L98">
            <v>212.7</v>
          </cell>
          <cell r="M98">
            <v>151.25</v>
          </cell>
          <cell r="N98">
            <v>148.12</v>
          </cell>
          <cell r="O98">
            <v>170.7</v>
          </cell>
        </row>
        <row r="99">
          <cell r="A99" t="str">
            <v>MS145</v>
          </cell>
          <cell r="B99" t="str">
            <v>Pakown.nawozów NPK I</v>
          </cell>
          <cell r="D99">
            <v>196.19</v>
          </cell>
          <cell r="E99">
            <v>176.02</v>
          </cell>
          <cell r="F99">
            <v>249.12</v>
          </cell>
          <cell r="G99">
            <v>463.69</v>
          </cell>
          <cell r="H99">
            <v>209.24</v>
          </cell>
          <cell r="I99">
            <v>229.32</v>
          </cell>
          <cell r="J99">
            <v>229.37</v>
          </cell>
          <cell r="K99">
            <v>236.65</v>
          </cell>
          <cell r="L99">
            <v>603.38</v>
          </cell>
          <cell r="M99">
            <v>266.52999999999997</v>
          </cell>
          <cell r="N99">
            <v>388.43</v>
          </cell>
          <cell r="O99">
            <v>415.13</v>
          </cell>
        </row>
        <row r="100">
          <cell r="A100" t="str">
            <v>MS146</v>
          </cell>
          <cell r="B100" t="str">
            <v>maszyn.tr.mag.NPK I</v>
          </cell>
          <cell r="D100">
            <v>310.91000000000003</v>
          </cell>
          <cell r="E100">
            <v>303.37</v>
          </cell>
          <cell r="F100">
            <v>355.36</v>
          </cell>
          <cell r="G100">
            <v>835.53</v>
          </cell>
          <cell r="H100">
            <v>308.42</v>
          </cell>
          <cell r="I100">
            <v>459.57</v>
          </cell>
          <cell r="J100">
            <v>458.04</v>
          </cell>
          <cell r="K100">
            <v>502.53</v>
          </cell>
          <cell r="L100">
            <v>721.16</v>
          </cell>
          <cell r="M100">
            <v>265.95999999999998</v>
          </cell>
          <cell r="N100">
            <v>305.08999999999997</v>
          </cell>
          <cell r="O100">
            <v>386.73</v>
          </cell>
        </row>
        <row r="101">
          <cell r="A101" t="str">
            <v>MS147</v>
          </cell>
          <cell r="B101" t="str">
            <v>maszyn.tr.mag.NP</v>
          </cell>
          <cell r="D101">
            <v>131.61000000000001</v>
          </cell>
          <cell r="E101">
            <v>149.47999999999999</v>
          </cell>
          <cell r="F101">
            <v>140.30000000000001</v>
          </cell>
          <cell r="G101">
            <v>212.72</v>
          </cell>
          <cell r="H101">
            <v>205.79</v>
          </cell>
          <cell r="I101">
            <v>180.31</v>
          </cell>
          <cell r="J101">
            <v>357.26</v>
          </cell>
          <cell r="K101">
            <v>197.53</v>
          </cell>
          <cell r="L101">
            <v>187.35</v>
          </cell>
          <cell r="M101">
            <v>139.69999999999999</v>
          </cell>
          <cell r="N101">
            <v>115.42</v>
          </cell>
          <cell r="O101">
            <v>180.9</v>
          </cell>
        </row>
        <row r="102">
          <cell r="A102" t="str">
            <v>MS148</v>
          </cell>
          <cell r="B102" t="str">
            <v>Paletyzacja nawozów</v>
          </cell>
          <cell r="D102">
            <v>806.09</v>
          </cell>
          <cell r="E102">
            <v>950.91</v>
          </cell>
          <cell r="F102">
            <v>762.04</v>
          </cell>
          <cell r="G102">
            <v>1855.21</v>
          </cell>
          <cell r="H102">
            <v>882.54</v>
          </cell>
          <cell r="I102">
            <v>714.14</v>
          </cell>
          <cell r="J102">
            <v>877.22</v>
          </cell>
          <cell r="K102">
            <v>849.47</v>
          </cell>
          <cell r="L102">
            <v>1052.56</v>
          </cell>
          <cell r="M102">
            <v>810.72</v>
          </cell>
          <cell r="N102">
            <v>945.69</v>
          </cell>
          <cell r="O102">
            <v>1171.71</v>
          </cell>
        </row>
        <row r="103">
          <cell r="A103" t="str">
            <v>MS150</v>
          </cell>
          <cell r="B103" t="str">
            <v>siarczan amonu</v>
          </cell>
          <cell r="D103">
            <v>200.48</v>
          </cell>
          <cell r="E103">
            <v>289.83999999999997</v>
          </cell>
          <cell r="F103">
            <v>235.65</v>
          </cell>
          <cell r="G103">
            <v>252.15</v>
          </cell>
          <cell r="H103">
            <v>400.96</v>
          </cell>
          <cell r="I103">
            <v>298.79000000000002</v>
          </cell>
          <cell r="J103">
            <v>218.72</v>
          </cell>
          <cell r="K103">
            <v>336.34</v>
          </cell>
          <cell r="L103">
            <v>380.48</v>
          </cell>
          <cell r="M103">
            <v>216.67</v>
          </cell>
          <cell r="N103">
            <v>280.01</v>
          </cell>
          <cell r="O103">
            <v>297.13</v>
          </cell>
        </row>
        <row r="104">
          <cell r="A104" t="str">
            <v>MS151</v>
          </cell>
          <cell r="B104" t="str">
            <v xml:space="preserve"> MAP I</v>
          </cell>
          <cell r="D104">
            <v>88.72</v>
          </cell>
          <cell r="E104">
            <v>185.51</v>
          </cell>
          <cell r="F104">
            <v>341.04</v>
          </cell>
          <cell r="G104">
            <v>94.35</v>
          </cell>
          <cell r="H104">
            <v>90.42</v>
          </cell>
          <cell r="I104">
            <v>457.12</v>
          </cell>
          <cell r="J104">
            <v>137.75</v>
          </cell>
          <cell r="K104">
            <v>168.78</v>
          </cell>
          <cell r="L104">
            <v>114.66</v>
          </cell>
          <cell r="M104">
            <v>145.27000000000001</v>
          </cell>
          <cell r="N104">
            <v>82.46</v>
          </cell>
          <cell r="O104">
            <v>81.819999999999993</v>
          </cell>
        </row>
        <row r="105">
          <cell r="A105" t="str">
            <v>MS152</v>
          </cell>
          <cell r="B105" t="str">
            <v>NPK II Ciągi A, B</v>
          </cell>
          <cell r="D105">
            <v>1065.04</v>
          </cell>
          <cell r="E105">
            <v>1299.04</v>
          </cell>
          <cell r="F105">
            <v>1375.08</v>
          </cell>
          <cell r="G105">
            <v>1430.01</v>
          </cell>
          <cell r="H105">
            <v>1379.07</v>
          </cell>
          <cell r="I105">
            <v>4017.35</v>
          </cell>
          <cell r="J105">
            <v>1130.96</v>
          </cell>
          <cell r="K105">
            <v>1033.95</v>
          </cell>
          <cell r="L105">
            <v>1499.53</v>
          </cell>
          <cell r="M105">
            <v>1499.53</v>
          </cell>
          <cell r="N105">
            <v>1013.36</v>
          </cell>
          <cell r="O105">
            <v>1109.06</v>
          </cell>
        </row>
        <row r="106">
          <cell r="A106" t="str">
            <v>RB152</v>
          </cell>
          <cell r="B106" t="str">
            <v>NPK II Ciągi A, B</v>
          </cell>
          <cell r="D106">
            <v>48.85</v>
          </cell>
          <cell r="E106">
            <v>45.23</v>
          </cell>
          <cell r="F106">
            <v>41.46</v>
          </cell>
          <cell r="G106">
            <v>51.05</v>
          </cell>
          <cell r="H106">
            <v>51.05</v>
          </cell>
          <cell r="I106">
            <v>51.09</v>
          </cell>
          <cell r="J106">
            <v>52.21</v>
          </cell>
          <cell r="K106">
            <v>52.06</v>
          </cell>
          <cell r="L106">
            <v>51.79</v>
          </cell>
          <cell r="M106">
            <v>51.08</v>
          </cell>
          <cell r="N106">
            <v>51.02</v>
          </cell>
          <cell r="O106">
            <v>51.06</v>
          </cell>
        </row>
        <row r="107">
          <cell r="A107" t="str">
            <v>MS153</v>
          </cell>
          <cell r="B107" t="str">
            <v>maszyn.tr.mag.NPK II</v>
          </cell>
          <cell r="D107">
            <v>385.53</v>
          </cell>
          <cell r="E107">
            <v>393.42</v>
          </cell>
          <cell r="F107">
            <v>724.3</v>
          </cell>
          <cell r="G107">
            <v>906.97</v>
          </cell>
          <cell r="H107">
            <v>534.24</v>
          </cell>
          <cell r="I107">
            <v>505.11</v>
          </cell>
          <cell r="J107">
            <v>403.38</v>
          </cell>
          <cell r="K107">
            <v>410.98</v>
          </cell>
          <cell r="L107">
            <v>430.56</v>
          </cell>
          <cell r="M107">
            <v>616.41999999999996</v>
          </cell>
          <cell r="N107">
            <v>289.25</v>
          </cell>
          <cell r="O107">
            <v>347.19</v>
          </cell>
        </row>
        <row r="108">
          <cell r="A108" t="str">
            <v>MS154</v>
          </cell>
          <cell r="B108" t="str">
            <v>Wytwórnia MAPu</v>
          </cell>
          <cell r="D108">
            <v>169.87</v>
          </cell>
          <cell r="E108">
            <v>145.19999999999999</v>
          </cell>
          <cell r="F108">
            <v>217.37</v>
          </cell>
          <cell r="G108">
            <v>135.19</v>
          </cell>
          <cell r="H108">
            <v>258</v>
          </cell>
          <cell r="I108">
            <v>1706.02</v>
          </cell>
          <cell r="J108">
            <v>157.32</v>
          </cell>
          <cell r="K108">
            <v>218.39</v>
          </cell>
          <cell r="L108">
            <v>87.1</v>
          </cell>
          <cell r="M108">
            <v>265.29000000000002</v>
          </cell>
          <cell r="N108">
            <v>87.33</v>
          </cell>
          <cell r="O108">
            <v>171.15</v>
          </cell>
        </row>
        <row r="109">
          <cell r="A109" t="str">
            <v>MS155</v>
          </cell>
          <cell r="B109" t="str">
            <v>Oddz.Folii Poliet.</v>
          </cell>
          <cell r="D109">
            <v>82.39</v>
          </cell>
          <cell r="E109">
            <v>135.94</v>
          </cell>
          <cell r="F109">
            <v>142.38</v>
          </cell>
          <cell r="G109">
            <v>311.16000000000003</v>
          </cell>
          <cell r="H109">
            <v>182.48</v>
          </cell>
          <cell r="I109">
            <v>152.28</v>
          </cell>
          <cell r="J109">
            <v>200.52</v>
          </cell>
          <cell r="K109">
            <v>196.64</v>
          </cell>
          <cell r="L109">
            <v>194.84</v>
          </cell>
          <cell r="M109">
            <v>117.59</v>
          </cell>
          <cell r="N109">
            <v>127.89</v>
          </cell>
          <cell r="O109">
            <v>104.25</v>
          </cell>
        </row>
        <row r="110">
          <cell r="A110" t="str">
            <v>RB155</v>
          </cell>
          <cell r="B110" t="str">
            <v>Oddz.Folii Poliet.</v>
          </cell>
          <cell r="D110">
            <v>73.510000000000005</v>
          </cell>
          <cell r="E110">
            <v>93.75</v>
          </cell>
          <cell r="F110">
            <v>73.94</v>
          </cell>
          <cell r="G110">
            <v>270.92</v>
          </cell>
          <cell r="H110">
            <v>134.75</v>
          </cell>
          <cell r="I110">
            <v>129.63</v>
          </cell>
          <cell r="J110">
            <v>161.57</v>
          </cell>
          <cell r="K110">
            <v>182.64</v>
          </cell>
          <cell r="L110">
            <v>217.29</v>
          </cell>
          <cell r="M110">
            <v>109.97</v>
          </cell>
          <cell r="N110">
            <v>116.29</v>
          </cell>
          <cell r="O110">
            <v>131.08000000000001</v>
          </cell>
        </row>
        <row r="111">
          <cell r="A111" t="str">
            <v>MS156</v>
          </cell>
          <cell r="B111" t="str">
            <v>Pakownia Mocznika</v>
          </cell>
          <cell r="D111">
            <v>302.48</v>
          </cell>
          <cell r="E111">
            <v>376.99</v>
          </cell>
          <cell r="F111">
            <v>408.31</v>
          </cell>
          <cell r="G111">
            <v>405.06</v>
          </cell>
          <cell r="H111">
            <v>363.43</v>
          </cell>
          <cell r="I111">
            <v>357.55</v>
          </cell>
          <cell r="J111">
            <v>473.9</v>
          </cell>
          <cell r="K111">
            <v>547.91999999999996</v>
          </cell>
          <cell r="L111">
            <v>615.26</v>
          </cell>
          <cell r="M111">
            <v>406.8</v>
          </cell>
          <cell r="N111">
            <v>316.62</v>
          </cell>
          <cell r="O111">
            <v>335.58</v>
          </cell>
        </row>
        <row r="112">
          <cell r="A112" t="str">
            <v>MS157</v>
          </cell>
          <cell r="B112" t="str">
            <v>PakowniaNawoz.NPK II</v>
          </cell>
          <cell r="D112">
            <v>245.87</v>
          </cell>
          <cell r="E112">
            <v>266.37</v>
          </cell>
          <cell r="F112">
            <v>328.69</v>
          </cell>
          <cell r="G112">
            <v>341.01</v>
          </cell>
          <cell r="H112">
            <v>310.52</v>
          </cell>
          <cell r="I112">
            <v>233.36</v>
          </cell>
          <cell r="J112">
            <v>369.88</v>
          </cell>
          <cell r="K112">
            <v>945.55</v>
          </cell>
          <cell r="L112">
            <v>394.58</v>
          </cell>
          <cell r="M112">
            <v>331.91</v>
          </cell>
          <cell r="N112">
            <v>203.16</v>
          </cell>
          <cell r="O112">
            <v>221.28</v>
          </cell>
        </row>
        <row r="113">
          <cell r="A113" t="str">
            <v>MS158</v>
          </cell>
          <cell r="B113" t="str">
            <v>Drukarka rękawa</v>
          </cell>
          <cell r="D113">
            <v>97.42</v>
          </cell>
          <cell r="E113">
            <v>160.15</v>
          </cell>
          <cell r="F113">
            <v>152.72999999999999</v>
          </cell>
          <cell r="G113">
            <v>548.61</v>
          </cell>
          <cell r="H113">
            <v>287.73</v>
          </cell>
          <cell r="I113">
            <v>144.88</v>
          </cell>
          <cell r="J113">
            <v>366.29</v>
          </cell>
          <cell r="K113">
            <v>213.08</v>
          </cell>
          <cell r="L113">
            <v>284.63</v>
          </cell>
          <cell r="M113">
            <v>112.2</v>
          </cell>
          <cell r="N113">
            <v>79.599999999999994</v>
          </cell>
          <cell r="O113">
            <v>88.17</v>
          </cell>
        </row>
        <row r="114">
          <cell r="A114" t="str">
            <v>MS159</v>
          </cell>
          <cell r="B114" t="str">
            <v>prod.worków-maszyng</v>
          </cell>
          <cell r="D114">
            <v>339.62</v>
          </cell>
          <cell r="E114">
            <v>242.51</v>
          </cell>
          <cell r="F114">
            <v>120.45</v>
          </cell>
          <cell r="G114">
            <v>97.98</v>
          </cell>
          <cell r="H114">
            <v>38.340000000000003</v>
          </cell>
          <cell r="I114">
            <v>77.349999999999994</v>
          </cell>
          <cell r="J114">
            <v>65.87</v>
          </cell>
          <cell r="K114">
            <v>61.07</v>
          </cell>
          <cell r="L114">
            <v>64.48</v>
          </cell>
          <cell r="M114">
            <v>80.53</v>
          </cell>
          <cell r="N114">
            <v>38.369999999999997</v>
          </cell>
          <cell r="O114">
            <v>60.55</v>
          </cell>
        </row>
        <row r="115">
          <cell r="A115" t="str">
            <v>MS171</v>
          </cell>
          <cell r="B115" t="str">
            <v>Instalacja Mocznika</v>
          </cell>
          <cell r="D115">
            <v>253.02</v>
          </cell>
          <cell r="E115">
            <v>263.06</v>
          </cell>
          <cell r="F115">
            <v>333.12</v>
          </cell>
          <cell r="G115">
            <v>361.26</v>
          </cell>
          <cell r="H115">
            <v>338.95</v>
          </cell>
          <cell r="I115">
            <v>349.06</v>
          </cell>
          <cell r="J115">
            <v>756.76</v>
          </cell>
          <cell r="K115">
            <v>1234.67</v>
          </cell>
          <cell r="L115">
            <v>520.16</v>
          </cell>
          <cell r="M115">
            <v>324.44</v>
          </cell>
          <cell r="N115">
            <v>328.85</v>
          </cell>
          <cell r="O115">
            <v>332.69</v>
          </cell>
        </row>
        <row r="116">
          <cell r="A116" t="str">
            <v>MS172</v>
          </cell>
          <cell r="B116" t="str">
            <v>Instal.Krysz. Moczn.</v>
          </cell>
          <cell r="D116">
            <v>514.42999999999995</v>
          </cell>
          <cell r="E116">
            <v>561.95000000000005</v>
          </cell>
          <cell r="F116">
            <v>549.65</v>
          </cell>
          <cell r="G116">
            <v>641.77</v>
          </cell>
          <cell r="H116">
            <v>650.91999999999996</v>
          </cell>
          <cell r="I116">
            <v>881.47</v>
          </cell>
          <cell r="J116">
            <v>1781.85</v>
          </cell>
          <cell r="K116">
            <v>2229.16</v>
          </cell>
          <cell r="L116">
            <v>1094.1400000000001</v>
          </cell>
          <cell r="M116">
            <v>627</v>
          </cell>
          <cell r="N116">
            <v>640.08000000000004</v>
          </cell>
          <cell r="O116">
            <v>593.20000000000005</v>
          </cell>
        </row>
        <row r="117">
          <cell r="A117" t="str">
            <v>MS173</v>
          </cell>
          <cell r="B117" t="str">
            <v>Instalacja Distarpol</v>
          </cell>
          <cell r="D117">
            <v>86.23</v>
          </cell>
          <cell r="E117">
            <v>95.98</v>
          </cell>
          <cell r="F117">
            <v>100.57</v>
          </cell>
          <cell r="G117">
            <v>129.86000000000001</v>
          </cell>
          <cell r="H117">
            <v>103.24</v>
          </cell>
          <cell r="I117">
            <v>107.47</v>
          </cell>
          <cell r="J117">
            <v>123.5</v>
          </cell>
          <cell r="K117">
            <v>100.73</v>
          </cell>
          <cell r="L117">
            <v>90.66</v>
          </cell>
          <cell r="M117">
            <v>94.36</v>
          </cell>
          <cell r="N117">
            <v>88.58</v>
          </cell>
          <cell r="O117">
            <v>96.32</v>
          </cell>
        </row>
        <row r="118">
          <cell r="A118" t="str">
            <v>MS173</v>
          </cell>
          <cell r="B118" t="str">
            <v>Instalacja Distarpol</v>
          </cell>
          <cell r="D118">
            <v>77.63</v>
          </cell>
          <cell r="E118">
            <v>96.12</v>
          </cell>
          <cell r="F118">
            <v>90.31</v>
          </cell>
          <cell r="G118">
            <v>88.49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RB210</v>
          </cell>
          <cell r="B119" t="str">
            <v>Koszty osobowe SP 1-</v>
          </cell>
          <cell r="D119">
            <v>42.1</v>
          </cell>
          <cell r="E119">
            <v>30.78</v>
          </cell>
          <cell r="F119">
            <v>45.63</v>
          </cell>
          <cell r="G119">
            <v>37.159999999999997</v>
          </cell>
          <cell r="H119">
            <v>32.15</v>
          </cell>
          <cell r="I119">
            <v>39.57</v>
          </cell>
          <cell r="J119">
            <v>31.51</v>
          </cell>
          <cell r="K119">
            <v>31.1</v>
          </cell>
          <cell r="L119">
            <v>33.6</v>
          </cell>
          <cell r="M119">
            <v>34.82</v>
          </cell>
          <cell r="N119">
            <v>30.16</v>
          </cell>
          <cell r="O119">
            <v>28.19</v>
          </cell>
        </row>
        <row r="120">
          <cell r="A120" t="str">
            <v>RB220</v>
          </cell>
          <cell r="B120" t="str">
            <v>K.osobowe PF I-IV</v>
          </cell>
          <cell r="D120">
            <v>48.5</v>
          </cell>
          <cell r="E120">
            <v>52.25</v>
          </cell>
          <cell r="F120">
            <v>42.33</v>
          </cell>
          <cell r="G120">
            <v>68.069999999999993</v>
          </cell>
          <cell r="H120">
            <v>68.27</v>
          </cell>
          <cell r="I120">
            <v>80.430000000000007</v>
          </cell>
          <cell r="J120">
            <v>58.2</v>
          </cell>
          <cell r="K120">
            <v>65.27</v>
          </cell>
          <cell r="L120">
            <v>55.42</v>
          </cell>
          <cell r="M120">
            <v>58.69</v>
          </cell>
          <cell r="N120">
            <v>50.39</v>
          </cell>
          <cell r="O120">
            <v>50.86</v>
          </cell>
        </row>
        <row r="121">
          <cell r="A121" t="str">
            <v>RB230</v>
          </cell>
          <cell r="B121" t="str">
            <v>robgodz. stokaż</v>
          </cell>
          <cell r="D121">
            <v>48.51</v>
          </cell>
          <cell r="E121">
            <v>56.05</v>
          </cell>
          <cell r="F121">
            <v>50.54</v>
          </cell>
          <cell r="G121">
            <v>57.26</v>
          </cell>
          <cell r="H121">
            <v>56.52</v>
          </cell>
          <cell r="I121">
            <v>60.2</v>
          </cell>
          <cell r="J121">
            <v>74.569999999999993</v>
          </cell>
          <cell r="K121">
            <v>86.07</v>
          </cell>
          <cell r="L121">
            <v>51.06</v>
          </cell>
          <cell r="M121">
            <v>54.9</v>
          </cell>
          <cell r="N121">
            <v>56.35</v>
          </cell>
          <cell r="O121">
            <v>51.71</v>
          </cell>
        </row>
        <row r="122">
          <cell r="A122" t="str">
            <v>RB240</v>
          </cell>
          <cell r="B122" t="str">
            <v>K.osobowe PE I</v>
          </cell>
          <cell r="D122">
            <v>37.14</v>
          </cell>
          <cell r="E122">
            <v>39.17</v>
          </cell>
          <cell r="F122">
            <v>39.71</v>
          </cell>
          <cell r="G122">
            <v>63.26</v>
          </cell>
          <cell r="H122">
            <v>36.22</v>
          </cell>
          <cell r="I122">
            <v>38.119999999999997</v>
          </cell>
          <cell r="J122">
            <v>41.39</v>
          </cell>
          <cell r="K122">
            <v>40.049999999999997</v>
          </cell>
          <cell r="L122">
            <v>51.9</v>
          </cell>
          <cell r="M122">
            <v>30.8</v>
          </cell>
          <cell r="N122">
            <v>39.369999999999997</v>
          </cell>
          <cell r="O122">
            <v>39.68</v>
          </cell>
        </row>
        <row r="123">
          <cell r="A123" t="str">
            <v>RB240</v>
          </cell>
          <cell r="B123" t="str">
            <v>K.osobowe PE I</v>
          </cell>
          <cell r="D123">
            <v>36.35</v>
          </cell>
          <cell r="E123">
            <v>39.54</v>
          </cell>
          <cell r="F123">
            <v>44.38</v>
          </cell>
          <cell r="G123">
            <v>51.03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RB250</v>
          </cell>
          <cell r="B124" t="str">
            <v>K.osobowe PE II</v>
          </cell>
          <cell r="D124">
            <v>49.03</v>
          </cell>
          <cell r="E124">
            <v>48.89</v>
          </cell>
          <cell r="F124">
            <v>45.96</v>
          </cell>
          <cell r="G124">
            <v>64.28</v>
          </cell>
          <cell r="H124">
            <v>51.91</v>
          </cell>
          <cell r="I124">
            <v>54.3</v>
          </cell>
          <cell r="J124">
            <v>56.9</v>
          </cell>
          <cell r="K124">
            <v>139.74</v>
          </cell>
          <cell r="L124">
            <v>65.38</v>
          </cell>
          <cell r="M124">
            <v>51.82</v>
          </cell>
          <cell r="N124">
            <v>43.69</v>
          </cell>
          <cell r="O124">
            <v>49.1</v>
          </cell>
        </row>
        <row r="125">
          <cell r="A125" t="str">
            <v>RB260</v>
          </cell>
          <cell r="B125" t="str">
            <v>robocz.kw.poh i rep.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A126" t="str">
            <v>RB270</v>
          </cell>
          <cell r="B126" t="str">
            <v>Koszty osob. mocznik</v>
          </cell>
          <cell r="D126">
            <v>42.91</v>
          </cell>
          <cell r="E126">
            <v>44.41</v>
          </cell>
          <cell r="F126">
            <v>40.56</v>
          </cell>
          <cell r="G126">
            <v>44.06</v>
          </cell>
          <cell r="H126">
            <v>41.94</v>
          </cell>
          <cell r="I126">
            <v>43.33</v>
          </cell>
          <cell r="J126">
            <v>56.67</v>
          </cell>
          <cell r="K126">
            <v>62.08</v>
          </cell>
          <cell r="L126">
            <v>59.99</v>
          </cell>
          <cell r="M126">
            <v>43.97</v>
          </cell>
          <cell r="N126">
            <v>45.65</v>
          </cell>
          <cell r="O126">
            <v>45.28</v>
          </cell>
        </row>
        <row r="127">
          <cell r="A127" t="str">
            <v>RB280</v>
          </cell>
          <cell r="B127" t="str">
            <v>K.osobowe FPD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A128" t="str">
            <v>ME14</v>
          </cell>
          <cell r="B128" t="str">
            <v>Oczyszczalnia ściekó</v>
          </cell>
          <cell r="D128">
            <v>0.5</v>
          </cell>
          <cell r="E128">
            <v>0.5</v>
          </cell>
          <cell r="F128">
            <v>0.5</v>
          </cell>
          <cell r="G128">
            <v>0.5</v>
          </cell>
          <cell r="H128">
            <v>0.5</v>
          </cell>
          <cell r="I128">
            <v>0.5</v>
          </cell>
          <cell r="J128">
            <v>0.5</v>
          </cell>
          <cell r="K128">
            <v>0.5</v>
          </cell>
          <cell r="L128">
            <v>0.5</v>
          </cell>
          <cell r="M128">
            <v>0.5</v>
          </cell>
          <cell r="N128">
            <v>0.5</v>
          </cell>
          <cell r="O128">
            <v>0.5</v>
          </cell>
        </row>
        <row r="129">
          <cell r="A129" t="str">
            <v>ME20</v>
          </cell>
          <cell r="B129" t="str">
            <v>oczyszc.ścieków tech</v>
          </cell>
          <cell r="D129">
            <v>570</v>
          </cell>
          <cell r="E129">
            <v>570</v>
          </cell>
          <cell r="F129">
            <v>570</v>
          </cell>
          <cell r="G129">
            <v>570</v>
          </cell>
          <cell r="H129">
            <v>570</v>
          </cell>
          <cell r="I129">
            <v>570</v>
          </cell>
          <cell r="J129">
            <v>570</v>
          </cell>
          <cell r="K129">
            <v>570</v>
          </cell>
          <cell r="L129">
            <v>570</v>
          </cell>
          <cell r="M129">
            <v>570</v>
          </cell>
          <cell r="N129">
            <v>570</v>
          </cell>
          <cell r="O129">
            <v>570</v>
          </cell>
        </row>
        <row r="130">
          <cell r="A130" t="str">
            <v>ME21</v>
          </cell>
          <cell r="B130" t="str">
            <v>Skł.fosf.i odp.en.</v>
          </cell>
          <cell r="D130">
            <v>26.34</v>
          </cell>
          <cell r="E130">
            <v>26.34</v>
          </cell>
          <cell r="F130">
            <v>26.34</v>
          </cell>
          <cell r="G130">
            <v>26.34</v>
          </cell>
          <cell r="H130">
            <v>26.34</v>
          </cell>
          <cell r="I130">
            <v>26.34</v>
          </cell>
          <cell r="J130">
            <v>26.34</v>
          </cell>
          <cell r="K130">
            <v>26.34</v>
          </cell>
          <cell r="L130">
            <v>26.34</v>
          </cell>
          <cell r="M130">
            <v>26.34</v>
          </cell>
          <cell r="N130">
            <v>26.34</v>
          </cell>
          <cell r="O130">
            <v>26.34</v>
          </cell>
        </row>
        <row r="131">
          <cell r="A131" t="str">
            <v>ME22</v>
          </cell>
          <cell r="B131" t="str">
            <v>Skł.odp.różnych</v>
          </cell>
          <cell r="D131">
            <v>86.8</v>
          </cell>
          <cell r="E131">
            <v>86.8</v>
          </cell>
          <cell r="F131">
            <v>86.8</v>
          </cell>
          <cell r="G131">
            <v>86.8</v>
          </cell>
          <cell r="H131">
            <v>86.8</v>
          </cell>
          <cell r="I131">
            <v>86.8</v>
          </cell>
          <cell r="J131">
            <v>86.8</v>
          </cell>
          <cell r="K131">
            <v>86.8</v>
          </cell>
          <cell r="L131">
            <v>86.8</v>
          </cell>
          <cell r="M131">
            <v>86.8</v>
          </cell>
          <cell r="N131">
            <v>86.8</v>
          </cell>
          <cell r="O131">
            <v>86.8</v>
          </cell>
        </row>
        <row r="132">
          <cell r="A132" t="str">
            <v>ME25</v>
          </cell>
          <cell r="B132" t="str">
            <v>Skł.odp.różn.wlkgab.</v>
          </cell>
          <cell r="D132">
            <v>1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</row>
        <row r="133">
          <cell r="A133" t="str">
            <v>ME26</v>
          </cell>
          <cell r="B133" t="str">
            <v>Skł. odp.do  wykorz.</v>
          </cell>
          <cell r="D133">
            <v>4.7699999999999996</v>
          </cell>
          <cell r="E133">
            <v>4.7699999999999996</v>
          </cell>
          <cell r="F133">
            <v>4.7699999999999996</v>
          </cell>
          <cell r="G133">
            <v>4.7699999999999996</v>
          </cell>
          <cell r="H133">
            <v>4.7699999999999996</v>
          </cell>
          <cell r="I133">
            <v>4.7699999999999996</v>
          </cell>
          <cell r="J133">
            <v>4.7699999999999996</v>
          </cell>
          <cell r="K133">
            <v>4.7699999999999996</v>
          </cell>
          <cell r="L133">
            <v>4.7699999999999996</v>
          </cell>
          <cell r="M133">
            <v>4.7699999999999996</v>
          </cell>
          <cell r="N133">
            <v>4.7699999999999996</v>
          </cell>
          <cell r="O133">
            <v>4.7699999999999996</v>
          </cell>
        </row>
        <row r="134">
          <cell r="A134" t="str">
            <v>ME23</v>
          </cell>
          <cell r="B134" t="str">
            <v>Skł.siarczanu żelaza</v>
          </cell>
          <cell r="D134">
            <v>71.97</v>
          </cell>
          <cell r="E134">
            <v>71.97</v>
          </cell>
          <cell r="F134">
            <v>71.97</v>
          </cell>
          <cell r="G134">
            <v>71.97</v>
          </cell>
          <cell r="H134">
            <v>71.97</v>
          </cell>
          <cell r="I134">
            <v>71.97</v>
          </cell>
          <cell r="J134">
            <v>71.97</v>
          </cell>
          <cell r="K134">
            <v>71.97</v>
          </cell>
          <cell r="L134">
            <v>71.97</v>
          </cell>
          <cell r="M134">
            <v>71.97</v>
          </cell>
          <cell r="N134">
            <v>71.97</v>
          </cell>
          <cell r="O134">
            <v>71.97</v>
          </cell>
        </row>
        <row r="135">
          <cell r="A135" t="str">
            <v>ME24</v>
          </cell>
          <cell r="B135" t="str">
            <v>Labor. Och.Środow.</v>
          </cell>
          <cell r="D135">
            <v>51.57</v>
          </cell>
          <cell r="E135">
            <v>51.57</v>
          </cell>
          <cell r="F135">
            <v>51.57</v>
          </cell>
          <cell r="G135">
            <v>51.57</v>
          </cell>
          <cell r="H135">
            <v>51.57</v>
          </cell>
          <cell r="I135">
            <v>51.57</v>
          </cell>
          <cell r="J135">
            <v>51.57</v>
          </cell>
          <cell r="K135">
            <v>51.57</v>
          </cell>
          <cell r="L135">
            <v>51.57</v>
          </cell>
          <cell r="M135">
            <v>51.57</v>
          </cell>
          <cell r="N135">
            <v>51.57</v>
          </cell>
          <cell r="O135">
            <v>51.57</v>
          </cell>
        </row>
        <row r="136">
          <cell r="A136" t="str">
            <v>ME28</v>
          </cell>
          <cell r="B136" t="str">
            <v>Koszty emisji</v>
          </cell>
          <cell r="D136">
            <v>1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</row>
        <row r="137">
          <cell r="A137" t="str">
            <v>SPS21</v>
          </cell>
          <cell r="B137" t="str">
            <v>Sieci pary 0,8 k. st</v>
          </cell>
          <cell r="D137">
            <v>0.18</v>
          </cell>
          <cell r="E137">
            <v>0.18</v>
          </cell>
          <cell r="F137">
            <v>0.18</v>
          </cell>
          <cell r="G137">
            <v>0.18</v>
          </cell>
          <cell r="H137">
            <v>0.18</v>
          </cell>
          <cell r="I137">
            <v>0.18</v>
          </cell>
          <cell r="J137">
            <v>0.18</v>
          </cell>
          <cell r="K137">
            <v>0.18</v>
          </cell>
          <cell r="L137">
            <v>0.18</v>
          </cell>
          <cell r="M137">
            <v>0.18</v>
          </cell>
          <cell r="N137">
            <v>0.18</v>
          </cell>
          <cell r="O137">
            <v>0.18</v>
          </cell>
        </row>
        <row r="138">
          <cell r="A138" t="str">
            <v>SPZ21</v>
          </cell>
          <cell r="B138" t="str">
            <v>Sieci pary 0,8 k.zm.</v>
          </cell>
          <cell r="D138">
            <v>23.6</v>
          </cell>
          <cell r="E138">
            <v>23.6</v>
          </cell>
          <cell r="F138">
            <v>23.6</v>
          </cell>
          <cell r="G138">
            <v>23.6</v>
          </cell>
          <cell r="H138">
            <v>23.6</v>
          </cell>
          <cell r="I138">
            <v>23.6</v>
          </cell>
          <cell r="J138">
            <v>23.6</v>
          </cell>
          <cell r="K138">
            <v>23.6</v>
          </cell>
          <cell r="L138">
            <v>23.6</v>
          </cell>
          <cell r="M138">
            <v>23.6</v>
          </cell>
          <cell r="N138">
            <v>23.6</v>
          </cell>
          <cell r="O138">
            <v>23.6</v>
          </cell>
        </row>
        <row r="139">
          <cell r="A139" t="str">
            <v>SPS22</v>
          </cell>
          <cell r="B139" t="str">
            <v>SPS22 Poz. sieć pary k.st.</v>
          </cell>
          <cell r="D139">
            <v>2.7</v>
          </cell>
          <cell r="E139">
            <v>2.7</v>
          </cell>
          <cell r="F139">
            <v>2.7</v>
          </cell>
          <cell r="G139">
            <v>2.7</v>
          </cell>
          <cell r="H139">
            <v>2.7</v>
          </cell>
          <cell r="I139">
            <v>2.7</v>
          </cell>
          <cell r="J139">
            <v>2.7</v>
          </cell>
          <cell r="K139">
            <v>2.7</v>
          </cell>
          <cell r="L139">
            <v>2.7</v>
          </cell>
          <cell r="M139">
            <v>2.7</v>
          </cell>
          <cell r="N139">
            <v>2.7</v>
          </cell>
          <cell r="O139">
            <v>2.7</v>
          </cell>
        </row>
        <row r="140">
          <cell r="A140" t="str">
            <v>SPZ22</v>
          </cell>
          <cell r="B140" t="str">
            <v>Poz. sieć pary k.zm.</v>
          </cell>
          <cell r="D140">
            <v>23.6</v>
          </cell>
          <cell r="E140">
            <v>23.6</v>
          </cell>
          <cell r="F140">
            <v>23.6</v>
          </cell>
          <cell r="G140">
            <v>23.6</v>
          </cell>
          <cell r="H140">
            <v>23.6</v>
          </cell>
          <cell r="I140">
            <v>23.6</v>
          </cell>
          <cell r="J140">
            <v>23.6</v>
          </cell>
          <cell r="K140">
            <v>23.6</v>
          </cell>
          <cell r="L140">
            <v>23.6</v>
          </cell>
          <cell r="M140">
            <v>23.6</v>
          </cell>
          <cell r="N140">
            <v>23.6</v>
          </cell>
          <cell r="O140">
            <v>23.6</v>
          </cell>
        </row>
        <row r="141">
          <cell r="A141" t="str">
            <v>SSN31</v>
          </cell>
          <cell r="B141" t="str">
            <v>Sieci ener.elek.SN.</v>
          </cell>
          <cell r="D141">
            <v>1.1200000000000001</v>
          </cell>
          <cell r="E141">
            <v>1.1200000000000001</v>
          </cell>
          <cell r="F141">
            <v>1.1200000000000001</v>
          </cell>
          <cell r="G141">
            <v>1.1200000000000001</v>
          </cell>
          <cell r="H141">
            <v>1.1200000000000001</v>
          </cell>
          <cell r="I141">
            <v>1.1200000000000001</v>
          </cell>
          <cell r="J141">
            <v>1.1200000000000001</v>
          </cell>
          <cell r="K141">
            <v>1.1200000000000001</v>
          </cell>
          <cell r="L141">
            <v>1.1200000000000001</v>
          </cell>
          <cell r="M141">
            <v>1.1200000000000001</v>
          </cell>
          <cell r="N141">
            <v>1.1200000000000001</v>
          </cell>
          <cell r="O141">
            <v>1.1200000000000001</v>
          </cell>
        </row>
        <row r="142">
          <cell r="A142" t="str">
            <v>QMKP21</v>
          </cell>
          <cell r="B142" t="str">
            <v>Kontrola procesu</v>
          </cell>
          <cell r="D142">
            <v>47.6</v>
          </cell>
          <cell r="E142">
            <v>47.6</v>
          </cell>
          <cell r="F142">
            <v>47.6</v>
          </cell>
          <cell r="G142">
            <v>47.6</v>
          </cell>
          <cell r="H142">
            <v>47.6</v>
          </cell>
          <cell r="I142">
            <v>47.6</v>
          </cell>
          <cell r="J142">
            <v>47.6</v>
          </cell>
          <cell r="K142">
            <v>47.6</v>
          </cell>
          <cell r="L142">
            <v>47.6</v>
          </cell>
          <cell r="M142">
            <v>47.6</v>
          </cell>
          <cell r="N142">
            <v>47.6</v>
          </cell>
          <cell r="O142">
            <v>47.6</v>
          </cell>
        </row>
        <row r="143">
          <cell r="A143" t="str">
            <v>QMKP50</v>
          </cell>
          <cell r="B143" t="str">
            <v>Kontrola procesu</v>
          </cell>
          <cell r="D143">
            <v>43.62</v>
          </cell>
          <cell r="E143">
            <v>43.62</v>
          </cell>
          <cell r="F143">
            <v>43.62</v>
          </cell>
          <cell r="G143">
            <v>43.62</v>
          </cell>
          <cell r="H143">
            <v>43.62</v>
          </cell>
          <cell r="I143">
            <v>43.62</v>
          </cell>
          <cell r="J143">
            <v>43.62</v>
          </cell>
          <cell r="K143">
            <v>43.62</v>
          </cell>
          <cell r="L143">
            <v>43.62</v>
          </cell>
          <cell r="M143">
            <v>43.62</v>
          </cell>
          <cell r="N143">
            <v>43.62</v>
          </cell>
          <cell r="O143">
            <v>43.62</v>
          </cell>
        </row>
        <row r="144">
          <cell r="A144" t="str">
            <v>QMKP51</v>
          </cell>
          <cell r="B144" t="str">
            <v>Kontrola procesu</v>
          </cell>
          <cell r="D144">
            <v>44.4</v>
          </cell>
          <cell r="E144">
            <v>44.4</v>
          </cell>
          <cell r="F144">
            <v>44.4</v>
          </cell>
          <cell r="G144">
            <v>44.4</v>
          </cell>
          <cell r="H144">
            <v>44.4</v>
          </cell>
          <cell r="I144">
            <v>44.4</v>
          </cell>
          <cell r="J144">
            <v>44.4</v>
          </cell>
          <cell r="K144">
            <v>44.4</v>
          </cell>
          <cell r="L144">
            <v>44.4</v>
          </cell>
          <cell r="M144">
            <v>44.4</v>
          </cell>
          <cell r="N144">
            <v>44.4</v>
          </cell>
          <cell r="O144">
            <v>44.4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Rachunek zysków i strat"/>
      <sheetName val="Bilans"/>
      <sheetName val="CF"/>
      <sheetName val="Produkcja"/>
      <sheetName val="Sprzedaż"/>
      <sheetName val="Sprzedaż-wartościowo"/>
      <sheetName val="WYNIK"/>
      <sheetName val="SPRZEDAZ"/>
      <sheetName val="KOSZTY"/>
      <sheetName val="Anal. odchyleń na sprzed."/>
      <sheetName val="Anal. ilości wyrobów"/>
      <sheetName val="Anal. cen wyrobów"/>
      <sheetName val="Anal.odchyl. cen zakupu sur."/>
      <sheetName val="Anal. ilości zakupu surowców"/>
      <sheetName val="Anal. cen zak. surow."/>
      <sheetName val="Anal.dynam.rent.plan"/>
      <sheetName val="Anal. dynam. rent.sprzed."/>
      <sheetName val="Kapitał obrotowy i zapasy"/>
      <sheetName val="An.Nal.wg tytułów"/>
      <sheetName val="An.Należności"/>
      <sheetName val="Wykres zarząd"/>
      <sheetName val="Najwięksi dłużnicy"/>
      <sheetName val="An.Zob.wg tytułów"/>
      <sheetName val="koszty w ukł.rodz.miesiąc"/>
      <sheetName val="Koszty w ukł.rodz. narastaj."/>
      <sheetName val="Poz. przych. oper. i finans."/>
      <sheetName val="Poz. koszty oper. i finans."/>
      <sheetName val="koszty wg kont ukł. rodz."/>
      <sheetName val="Arkusz1"/>
      <sheetName val="Arkusz3"/>
      <sheetName val="Arkusz2"/>
      <sheetName val="koszty wg kont ukł_ rodz_"/>
      <sheetName val="Rachunek_zysków_i_strat"/>
      <sheetName val="Anal__odchyleń_na_sprzed_"/>
      <sheetName val="Anal__ilości_wyrobów"/>
      <sheetName val="Anal__cen_wyrobów"/>
      <sheetName val="Anal_odchyl__cen_zakupu_sur_"/>
      <sheetName val="Anal__ilości_zakupu_surowców"/>
      <sheetName val="Anal__cen_zak__surow_"/>
      <sheetName val="Anal_dynam_rent_plan"/>
      <sheetName val="Anal__dynam__rent_sprzed_"/>
      <sheetName val="Kapitał_obrotowy_i_zapasy"/>
      <sheetName val="An_Nal_wg_tytułów"/>
      <sheetName val="An_Należności"/>
      <sheetName val="Wykres_zarząd"/>
      <sheetName val="Najwięksi_dłużnicy"/>
      <sheetName val="An_Zob_wg_tytułów"/>
      <sheetName val="koszty_w_ukł_rodz_miesiąc"/>
      <sheetName val="Koszty_w_ukł_rodz__narastaj_"/>
      <sheetName val="Poz__przych__oper__i_finans_"/>
      <sheetName val="Poz__koszty_oper__i_finans_"/>
      <sheetName val="koszty_wg_kont_ukł__rodz_"/>
      <sheetName val="koszty_wg_kont_ukł__rodz_1"/>
      <sheetName val="Rachunek_zysków_i_strat1"/>
      <sheetName val="Anal__odchyleń_na_sprzed_1"/>
      <sheetName val="Anal__ilości_wyrobów1"/>
      <sheetName val="Anal__cen_wyrobów1"/>
      <sheetName val="Anal_odchyl__cen_zakupu_sur_1"/>
      <sheetName val="Anal__ilości_zakupu_surowców1"/>
      <sheetName val="Anal__cen_zak__surow_1"/>
      <sheetName val="Anal_dynam_rent_plan1"/>
      <sheetName val="Anal__dynam__rent_sprzed_1"/>
      <sheetName val="Kapitał_obrotowy_i_zapasy1"/>
      <sheetName val="An_Nal_wg_tytułów1"/>
      <sheetName val="An_Należności1"/>
      <sheetName val="Wykres_zarząd1"/>
      <sheetName val="Najwięksi_dłużnicy1"/>
      <sheetName val="An_Zob_wg_tytułów1"/>
      <sheetName val="koszty_w_ukł_rodz_miesiąc1"/>
      <sheetName val="Koszty_w_ukł_rodz__narastaj_1"/>
      <sheetName val="Poz__przych__oper__i_finans_1"/>
      <sheetName val="Poz__koszty_oper__i_finans_1"/>
      <sheetName val="koszty_wg_kont_ukł__rodz_2"/>
      <sheetName val="koszty_wg_kont_ukł__rodz_3"/>
      <sheetName val="Rachunek_zysków_i_strat2"/>
      <sheetName val="Anal__odchyleń_na_sprzed_2"/>
      <sheetName val="Anal__ilości_wyrobów2"/>
      <sheetName val="Anal__cen_wyrobów2"/>
      <sheetName val="Anal_odchyl__cen_zakupu_sur_2"/>
      <sheetName val="Anal__ilości_zakupu_surowców2"/>
      <sheetName val="Anal__cen_zak__surow_2"/>
      <sheetName val="Anal_dynam_rent_plan2"/>
      <sheetName val="Anal__dynam__rent_sprzed_2"/>
      <sheetName val="Kapitał_obrotowy_i_zapasy2"/>
      <sheetName val="An_Nal_wg_tytułów2"/>
      <sheetName val="An_Należności2"/>
      <sheetName val="Wykres_zarząd2"/>
      <sheetName val="Najwięksi_dłużnicy2"/>
      <sheetName val="An_Zob_wg_tytułów2"/>
      <sheetName val="koszty_w_ukł_rodz_miesiąc2"/>
      <sheetName val="Koszty_w_ukł_rodz__narastaj_2"/>
      <sheetName val="Poz__przych__oper__i_finans_2"/>
      <sheetName val="Poz__koszty_oper__i_finans_2"/>
      <sheetName val="koszty_wg_kont_ukł__rodz_4"/>
      <sheetName val="koszty_wg_kont_ukł__rodz_5"/>
      <sheetName val="Rachunek_zysków_i_strat3"/>
      <sheetName val="Anal__odchyleń_na_sprzed_3"/>
      <sheetName val="Anal__ilości_wyrobów3"/>
      <sheetName val="Anal__cen_wyrobów3"/>
      <sheetName val="Anal_odchyl__cen_zakupu_sur_3"/>
      <sheetName val="Anal__ilości_zakupu_surowców3"/>
      <sheetName val="Anal__cen_zak__surow_3"/>
      <sheetName val="Anal_dynam_rent_plan3"/>
      <sheetName val="Anal__dynam__rent_sprzed_3"/>
      <sheetName val="Kapitał_obrotowy_i_zapasy3"/>
      <sheetName val="An_Nal_wg_tytułów3"/>
      <sheetName val="An_Należności3"/>
      <sheetName val="Wykres_zarząd3"/>
      <sheetName val="Najwięksi_dłużnicy3"/>
      <sheetName val="An_Zob_wg_tytułów3"/>
      <sheetName val="koszty_w_ukł_rodz_miesiąc3"/>
      <sheetName val="Koszty_w_ukł_rodz__narastaj_3"/>
      <sheetName val="Poz__przych__oper__i_finans_3"/>
      <sheetName val="Poz__koszty_oper__i_finans_3"/>
      <sheetName val="koszty_wg_kont_ukł__rodz_6"/>
      <sheetName val="koszty_wg_kont_ukł__rodz_7"/>
      <sheetName val="Rachunek_zysków_i_strat4"/>
      <sheetName val="Anal__odchyleń_na_sprzed_4"/>
      <sheetName val="Anal__ilości_wyrobów4"/>
      <sheetName val="Anal__cen_wyrobów4"/>
      <sheetName val="Anal_odchyl__cen_zakupu_sur_4"/>
      <sheetName val="Anal__ilości_zakupu_surowców4"/>
      <sheetName val="Anal__cen_zak__surow_4"/>
      <sheetName val="Anal_dynam_rent_plan4"/>
      <sheetName val="Anal__dynam__rent_sprzed_4"/>
      <sheetName val="Kapitał_obrotowy_i_zapasy4"/>
      <sheetName val="An_Nal_wg_tytułów4"/>
      <sheetName val="An_Należności4"/>
      <sheetName val="Wykres_zarząd4"/>
      <sheetName val="Najwięksi_dłużnicy4"/>
      <sheetName val="An_Zob_wg_tytułów4"/>
      <sheetName val="koszty_w_ukł_rodz_miesiąc4"/>
      <sheetName val="Koszty_w_ukł_rodz__narastaj_4"/>
      <sheetName val="Poz__przych__oper__i_finans_4"/>
      <sheetName val="Poz__koszty_oper__i_finans_4"/>
      <sheetName val="koszty_wg_kont_ukł__rodz_8"/>
      <sheetName val="koszty_wg_kont_ukł__rodz_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TWB"/>
      <sheetName val="Inwestycje"/>
      <sheetName val="Arkusz3"/>
      <sheetName val="Amortyzacja B"/>
      <sheetName val="Amortyzacja P"/>
      <sheetName val="Amortyzacja07 B"/>
      <sheetName val="Amortyzacja08 B"/>
      <sheetName val="Amortyzacja09 B"/>
      <sheetName val="Amortyzacja10 B"/>
      <sheetName val="Amortyzacja11 B"/>
      <sheetName val="Amortyzacja12 B"/>
      <sheetName val="Amortyzacja07 P"/>
      <sheetName val="Amortyzacja08 P"/>
      <sheetName val="Amortyzacja09 P"/>
      <sheetName val="Amortyzacja10 P"/>
      <sheetName val="Amortyzacja11 P"/>
      <sheetName val="Amortyzacja12 P"/>
      <sheetName val="Amortyzacja_B"/>
      <sheetName val="Amortyzacja_P"/>
      <sheetName val="Amortyzacja07_B"/>
      <sheetName val="Amortyzacja08_B"/>
      <sheetName val="Amortyzacja09_B"/>
      <sheetName val="Amortyzacja10_B"/>
      <sheetName val="Amortyzacja11_B"/>
      <sheetName val="Amortyzacja12_B"/>
      <sheetName val="Amortyzacja07_P"/>
      <sheetName val="Amortyzacja08_P"/>
      <sheetName val="Amortyzacja09_P"/>
      <sheetName val="Amortyzacja10_P"/>
      <sheetName val="Amortyzacja11_P"/>
      <sheetName val="Amortyzacja12_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"/>
      <sheetName val="KF"/>
      <sheetName val="KF_sur"/>
      <sheetName val="NP"/>
      <sheetName val="MAP"/>
      <sheetName val="NPK1"/>
      <sheetName val="NPK2"/>
      <sheetName val="FN_sur"/>
      <sheetName val="PS"/>
      <sheetName val="PB"/>
      <sheetName val="EC"/>
      <sheetName val="TOS"/>
      <sheetName val="EW"/>
      <sheetName val="FeSO4"/>
      <sheetName val="Control"/>
      <sheetName val="Gaz"/>
    </sheetNames>
    <sheetDataSet>
      <sheetData sheetId="0">
        <row r="2">
          <cell r="BC2" t="str">
            <v>&gt;=</v>
          </cell>
        </row>
        <row r="3">
          <cell r="BC3" t="str">
            <v>&lt;=</v>
          </cell>
        </row>
        <row r="7">
          <cell r="A7" t="str">
            <v>IND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Produkty i surowce"/>
      <sheetName val="Zboża"/>
      <sheetName val="Wskaźniki branżowe JB"/>
      <sheetName val="Wskaźniki branżowe CW"/>
      <sheetName val="Indeksy giełdowe i stopy"/>
      <sheetName val="Prognozy makro"/>
      <sheetName val="Tabele makro miesięczne"/>
      <sheetName val="Tabele makro kwartalnie"/>
      <sheetName val="Tabele branżowe"/>
      <sheetName val="Informacje branżowe"/>
      <sheetName val="Listy"/>
      <sheetName val="Listy makro"/>
      <sheetName val="Notowania"/>
      <sheetName val="Slownik pojęć"/>
      <sheetName val="Przewodnik po pliku"/>
      <sheetName val="Produkty_i_surowce"/>
      <sheetName val="Wskaźniki_branżowe_JB"/>
      <sheetName val="Wskaźniki_branżowe_CW"/>
      <sheetName val="Indeksy_giełdowe_i_stopy"/>
      <sheetName val="Prognozy_makro"/>
      <sheetName val="Tabele_makro_miesięczne"/>
      <sheetName val="Tabele_makro_kwartalnie"/>
      <sheetName val="Tabele_branżowe"/>
      <sheetName val="Informacje_branżowe"/>
      <sheetName val="Listy_makro"/>
      <sheetName val="Slownik_pojęć"/>
      <sheetName val="Przewodnik_po_pliku"/>
      <sheetName val="Dane"/>
      <sheetName val="Produkty_i_surowce1"/>
      <sheetName val="Wskaźniki_branżowe_JB1"/>
      <sheetName val="Wskaźniki_branżowe_CW1"/>
      <sheetName val="Indeksy_giełdowe_i_stopy1"/>
      <sheetName val="Prognozy_makro1"/>
      <sheetName val="Tabele_makro_miesięczne1"/>
      <sheetName val="Tabele_makro_kwartalnie1"/>
      <sheetName val="Tabele_branżowe1"/>
      <sheetName val="Informacje_branżowe1"/>
      <sheetName val="Listy_makro1"/>
      <sheetName val="Slownik_pojęć1"/>
      <sheetName val="Przewodnik_po_pliku1"/>
      <sheetName val="Produkty_i_surowce2"/>
      <sheetName val="Wskaźniki_branżowe_JB2"/>
      <sheetName val="Wskaźniki_branżowe_CW2"/>
      <sheetName val="Indeksy_giełdowe_i_stopy2"/>
      <sheetName val="Prognozy_makro2"/>
      <sheetName val="Tabele_makro_miesięczne2"/>
      <sheetName val="Tabele_makro_kwartalnie2"/>
      <sheetName val="Tabele_branżowe2"/>
      <sheetName val="Informacje_branżowe2"/>
      <sheetName val="Listy_makro2"/>
      <sheetName val="Slownik_pojęć2"/>
      <sheetName val="Przewodnik_po_pliku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Indeksy giełdowe i stopy procentowe</v>
          </cell>
        </row>
        <row r="3">
          <cell r="B3" t="str">
            <v>INDEKSY GIEŁDOWE</v>
          </cell>
          <cell r="E3" t="str">
            <v>DAX (Niemcy)</v>
          </cell>
        </row>
        <row r="22">
          <cell r="B22" t="str">
            <v>STOPY PROCENTOWE</v>
          </cell>
          <cell r="E22" t="str">
            <v>EURIBOR</v>
          </cell>
        </row>
        <row r="52">
          <cell r="B52" t="str">
            <v>Data</v>
          </cell>
          <cell r="C52" t="str">
            <v>WIG</v>
          </cell>
          <cell r="D52" t="str">
            <v>WIG20</v>
          </cell>
          <cell r="E52" t="str">
            <v>WIG30</v>
          </cell>
          <cell r="F52" t="str">
            <v>WIG Chemia</v>
          </cell>
          <cell r="G52" t="str">
            <v>FTSE100 (Wlk. Brytania)</v>
          </cell>
          <cell r="H52" t="str">
            <v>DAX (Niemcy)</v>
          </cell>
          <cell r="I52" t="str">
            <v>CAC40 (Francja)</v>
          </cell>
          <cell r="J52" t="str">
            <v>Dow Jones Industrial (USA)</v>
          </cell>
          <cell r="K52" t="str">
            <v>NASDAQ (USA)</v>
          </cell>
          <cell r="L52" t="str">
            <v>S&amp;P500 (USA)</v>
          </cell>
          <cell r="M52" t="str">
            <v>CSI300 (Chiny)</v>
          </cell>
          <cell r="N52" t="str">
            <v>HANG SENG (Chiny)</v>
          </cell>
          <cell r="O52" t="str">
            <v>BSE30 (Indie)</v>
          </cell>
          <cell r="P52" t="str">
            <v>Wibor 3M</v>
          </cell>
          <cell r="Q52" t="str">
            <v>LIBOR 3M EUR</v>
          </cell>
          <cell r="R52" t="str">
            <v>EURIBOR</v>
          </cell>
          <cell r="S52" t="str">
            <v>Stopa dyskontowa FED</v>
          </cell>
        </row>
        <row r="53">
          <cell r="B53" t="str">
            <v>2013-01-02</v>
          </cell>
          <cell r="C53">
            <v>48107.89</v>
          </cell>
          <cell r="D53">
            <v>2626.21</v>
          </cell>
          <cell r="F53">
            <v>9921.9699999999993</v>
          </cell>
          <cell r="I53">
            <v>3733.93</v>
          </cell>
          <cell r="J53">
            <v>13412.71</v>
          </cell>
          <cell r="K53">
            <v>3109.37</v>
          </cell>
        </row>
        <row r="54">
          <cell r="B54" t="str">
            <v>2013-01-03</v>
          </cell>
          <cell r="C54">
            <v>48222.720000000001</v>
          </cell>
          <cell r="D54">
            <v>2628.36</v>
          </cell>
          <cell r="F54">
            <v>10094.780000000001</v>
          </cell>
          <cell r="I54">
            <v>3721.17</v>
          </cell>
          <cell r="J54">
            <v>13390.97</v>
          </cell>
          <cell r="K54">
            <v>3100.76</v>
          </cell>
        </row>
        <row r="55">
          <cell r="B55" t="str">
            <v>2013-01-04</v>
          </cell>
          <cell r="C55">
            <v>47888.160000000003</v>
          </cell>
          <cell r="D55">
            <v>2601.73</v>
          </cell>
          <cell r="F55">
            <v>9912.6</v>
          </cell>
          <cell r="I55">
            <v>3730.02</v>
          </cell>
          <cell r="J55">
            <v>13435.21</v>
          </cell>
          <cell r="K55">
            <v>3100.96</v>
          </cell>
        </row>
        <row r="56">
          <cell r="B56" t="str">
            <v>2013-01-07</v>
          </cell>
          <cell r="C56">
            <v>47589.33</v>
          </cell>
          <cell r="D56">
            <v>2578.48</v>
          </cell>
          <cell r="F56">
            <v>9708.44</v>
          </cell>
          <cell r="I56">
            <v>3704.64</v>
          </cell>
          <cell r="J56">
            <v>13384.29</v>
          </cell>
          <cell r="K56">
            <v>3098.81</v>
          </cell>
        </row>
        <row r="57">
          <cell r="B57" t="str">
            <v>2013-01-08</v>
          </cell>
          <cell r="C57">
            <v>47379.63</v>
          </cell>
          <cell r="D57">
            <v>2562.63</v>
          </cell>
          <cell r="F57">
            <v>9581.9500000000007</v>
          </cell>
          <cell r="I57">
            <v>3705.88</v>
          </cell>
          <cell r="J57">
            <v>13328.85</v>
          </cell>
          <cell r="K57">
            <v>3091.94</v>
          </cell>
        </row>
        <row r="58">
          <cell r="B58" t="str">
            <v>2013-01-09</v>
          </cell>
          <cell r="C58">
            <v>47407.28</v>
          </cell>
          <cell r="D58">
            <v>2567.59</v>
          </cell>
          <cell r="F58">
            <v>9438.6</v>
          </cell>
          <cell r="I58">
            <v>3717.45</v>
          </cell>
          <cell r="J58">
            <v>13390.51</v>
          </cell>
          <cell r="K58">
            <v>3105.81</v>
          </cell>
        </row>
        <row r="59">
          <cell r="B59" t="str">
            <v>2013-01-10</v>
          </cell>
          <cell r="C59">
            <v>47546.91</v>
          </cell>
          <cell r="D59">
            <v>2573.62</v>
          </cell>
          <cell r="F59">
            <v>9519.41</v>
          </cell>
          <cell r="I59">
            <v>3703.12</v>
          </cell>
          <cell r="J59">
            <v>13471.22</v>
          </cell>
          <cell r="K59">
            <v>3121.76</v>
          </cell>
        </row>
        <row r="60">
          <cell r="B60" t="str">
            <v>2013-01-11</v>
          </cell>
          <cell r="C60">
            <v>47440.800000000003</v>
          </cell>
          <cell r="D60">
            <v>2557.9299999999998</v>
          </cell>
          <cell r="F60">
            <v>9661.3700000000008</v>
          </cell>
          <cell r="I60">
            <v>3706.02</v>
          </cell>
          <cell r="J60">
            <v>13488.43</v>
          </cell>
          <cell r="K60">
            <v>3125.52</v>
          </cell>
        </row>
        <row r="61">
          <cell r="B61" t="str">
            <v>2013-01-14</v>
          </cell>
          <cell r="C61">
            <v>47470.12</v>
          </cell>
          <cell r="D61">
            <v>2560.14</v>
          </cell>
          <cell r="F61">
            <v>9632.92</v>
          </cell>
          <cell r="I61">
            <v>3708.25</v>
          </cell>
          <cell r="J61">
            <v>13509.85</v>
          </cell>
          <cell r="K61">
            <v>3117.5</v>
          </cell>
        </row>
        <row r="62">
          <cell r="B62" t="str">
            <v>2013-01-15</v>
          </cell>
          <cell r="C62">
            <v>47086.54</v>
          </cell>
          <cell r="D62">
            <v>2532.42</v>
          </cell>
          <cell r="F62">
            <v>9589.82</v>
          </cell>
          <cell r="I62">
            <v>3697.35</v>
          </cell>
          <cell r="J62">
            <v>13534.89</v>
          </cell>
          <cell r="K62">
            <v>3110.67</v>
          </cell>
        </row>
        <row r="63">
          <cell r="B63" t="str">
            <v>2013-01-16</v>
          </cell>
          <cell r="C63">
            <v>47521.39</v>
          </cell>
          <cell r="D63">
            <v>2565.15</v>
          </cell>
          <cell r="F63">
            <v>9585.67</v>
          </cell>
          <cell r="I63">
            <v>3708.49</v>
          </cell>
          <cell r="J63">
            <v>13510.24</v>
          </cell>
          <cell r="K63">
            <v>3116.96</v>
          </cell>
        </row>
        <row r="64">
          <cell r="B64" t="str">
            <v>2013-01-17</v>
          </cell>
          <cell r="C64">
            <v>47661.37</v>
          </cell>
          <cell r="D64">
            <v>2567.16</v>
          </cell>
          <cell r="F64">
            <v>9526.5</v>
          </cell>
          <cell r="I64">
            <v>3744.11</v>
          </cell>
          <cell r="J64">
            <v>13596.02</v>
          </cell>
          <cell r="K64">
            <v>3135.84</v>
          </cell>
        </row>
        <row r="65">
          <cell r="B65" t="str">
            <v>2013-01-18</v>
          </cell>
          <cell r="C65">
            <v>47813.69</v>
          </cell>
          <cell r="D65">
            <v>2572.14</v>
          </cell>
          <cell r="F65">
            <v>9467.33</v>
          </cell>
          <cell r="I65">
            <v>3741.58</v>
          </cell>
          <cell r="J65">
            <v>13649.7</v>
          </cell>
          <cell r="K65">
            <v>3134.71</v>
          </cell>
        </row>
        <row r="66">
          <cell r="B66" t="str">
            <v>2013-01-21</v>
          </cell>
          <cell r="C66">
            <v>47936.61</v>
          </cell>
          <cell r="D66">
            <v>2573.67</v>
          </cell>
          <cell r="F66">
            <v>9638.58</v>
          </cell>
          <cell r="I66">
            <v>3763.03</v>
          </cell>
        </row>
        <row r="67">
          <cell r="B67" t="str">
            <v>2013-01-22</v>
          </cell>
          <cell r="C67">
            <v>47872.800000000003</v>
          </cell>
          <cell r="D67">
            <v>2566.6</v>
          </cell>
          <cell r="F67">
            <v>9637.1</v>
          </cell>
          <cell r="I67">
            <v>3741.01</v>
          </cell>
          <cell r="J67">
            <v>13710.83</v>
          </cell>
          <cell r="K67">
            <v>3143.17</v>
          </cell>
        </row>
        <row r="68">
          <cell r="B68" t="str">
            <v>2013-01-23</v>
          </cell>
          <cell r="C68">
            <v>47733.24</v>
          </cell>
          <cell r="D68">
            <v>2558.39</v>
          </cell>
          <cell r="F68">
            <v>9571.26</v>
          </cell>
          <cell r="I68">
            <v>3726.17</v>
          </cell>
          <cell r="J68">
            <v>13779.02</v>
          </cell>
          <cell r="K68">
            <v>3153.37</v>
          </cell>
        </row>
        <row r="69">
          <cell r="B69" t="str">
            <v>2013-01-24</v>
          </cell>
          <cell r="C69">
            <v>47942.04</v>
          </cell>
          <cell r="D69">
            <v>2568.63</v>
          </cell>
          <cell r="F69">
            <v>9616.48</v>
          </cell>
          <cell r="I69">
            <v>3752.17</v>
          </cell>
          <cell r="J69">
            <v>13825.1</v>
          </cell>
          <cell r="K69">
            <v>3130.04</v>
          </cell>
        </row>
        <row r="70">
          <cell r="B70" t="str">
            <v>2013-01-25</v>
          </cell>
          <cell r="C70">
            <v>47613.95</v>
          </cell>
          <cell r="D70">
            <v>2542.3200000000002</v>
          </cell>
          <cell r="F70">
            <v>9584.27</v>
          </cell>
          <cell r="I70">
            <v>3778.16</v>
          </cell>
          <cell r="J70">
            <v>13895.83</v>
          </cell>
          <cell r="K70">
            <v>3150.01</v>
          </cell>
        </row>
        <row r="71">
          <cell r="B71" t="str">
            <v>2013-01-28</v>
          </cell>
          <cell r="C71">
            <v>47324.06</v>
          </cell>
          <cell r="D71">
            <v>2521.5</v>
          </cell>
          <cell r="F71">
            <v>9637.9699999999993</v>
          </cell>
          <cell r="I71">
            <v>3780.89</v>
          </cell>
          <cell r="J71">
            <v>13882.08</v>
          </cell>
          <cell r="K71">
            <v>3154.3</v>
          </cell>
        </row>
        <row r="72">
          <cell r="B72" t="str">
            <v>2013-01-29</v>
          </cell>
          <cell r="C72">
            <v>47328.4</v>
          </cell>
          <cell r="D72">
            <v>2524.36</v>
          </cell>
          <cell r="F72">
            <v>9721.66</v>
          </cell>
          <cell r="I72">
            <v>3785.82</v>
          </cell>
          <cell r="J72">
            <v>13954.57</v>
          </cell>
          <cell r="K72">
            <v>3153.66</v>
          </cell>
        </row>
        <row r="73">
          <cell r="B73" t="str">
            <v>2013-01-30</v>
          </cell>
          <cell r="C73">
            <v>46917.19</v>
          </cell>
          <cell r="D73">
            <v>2496.15</v>
          </cell>
          <cell r="F73">
            <v>9698.23</v>
          </cell>
          <cell r="I73">
            <v>3765.52</v>
          </cell>
          <cell r="J73">
            <v>13910.19</v>
          </cell>
          <cell r="K73">
            <v>3142.72</v>
          </cell>
        </row>
        <row r="74">
          <cell r="B74" t="str">
            <v>2013-01-31</v>
          </cell>
          <cell r="C74">
            <v>46840.15</v>
          </cell>
          <cell r="D74">
            <v>2492.7600000000002</v>
          </cell>
          <cell r="F74">
            <v>9542.35</v>
          </cell>
          <cell r="I74">
            <v>3732.6</v>
          </cell>
          <cell r="J74">
            <v>13865.95</v>
          </cell>
          <cell r="K74">
            <v>3141.9</v>
          </cell>
        </row>
        <row r="75">
          <cell r="B75" t="str">
            <v>2013-02-01</v>
          </cell>
          <cell r="C75">
            <v>46945.58</v>
          </cell>
          <cell r="D75">
            <v>2499.19</v>
          </cell>
          <cell r="F75">
            <v>9526.98</v>
          </cell>
          <cell r="I75">
            <v>3773.53</v>
          </cell>
          <cell r="J75">
            <v>14009.79</v>
          </cell>
          <cell r="K75">
            <v>3178.52</v>
          </cell>
        </row>
        <row r="76">
          <cell r="B76" t="str">
            <v>2013-02-04</v>
          </cell>
          <cell r="C76">
            <v>46556.55</v>
          </cell>
          <cell r="D76">
            <v>2469.73</v>
          </cell>
          <cell r="F76">
            <v>9517.92</v>
          </cell>
          <cell r="I76">
            <v>3659.91</v>
          </cell>
          <cell r="J76">
            <v>13880.39</v>
          </cell>
          <cell r="K76">
            <v>3131.22</v>
          </cell>
        </row>
        <row r="77">
          <cell r="B77" t="str">
            <v>2013-02-05</v>
          </cell>
          <cell r="C77">
            <v>46674.78</v>
          </cell>
          <cell r="D77">
            <v>2485.25</v>
          </cell>
          <cell r="F77">
            <v>9446.5</v>
          </cell>
          <cell r="I77">
            <v>3694.7</v>
          </cell>
          <cell r="J77">
            <v>13979.23</v>
          </cell>
          <cell r="K77">
            <v>3171.59</v>
          </cell>
        </row>
        <row r="78">
          <cell r="B78" t="str">
            <v>2013-02-06</v>
          </cell>
          <cell r="C78">
            <v>46149.14</v>
          </cell>
          <cell r="D78">
            <v>2455.4699999999998</v>
          </cell>
          <cell r="F78">
            <v>9305.49</v>
          </cell>
          <cell r="I78">
            <v>3642.9</v>
          </cell>
          <cell r="J78">
            <v>13986.37</v>
          </cell>
          <cell r="K78">
            <v>3168.48</v>
          </cell>
        </row>
        <row r="79">
          <cell r="B79" t="str">
            <v>2013-02-07</v>
          </cell>
          <cell r="C79">
            <v>46329.66</v>
          </cell>
          <cell r="D79">
            <v>2467.4499999999998</v>
          </cell>
          <cell r="F79">
            <v>9489.91</v>
          </cell>
          <cell r="I79">
            <v>3601.05</v>
          </cell>
          <cell r="J79">
            <v>13943.82</v>
          </cell>
          <cell r="K79">
            <v>3165.14</v>
          </cell>
        </row>
        <row r="80">
          <cell r="B80" t="str">
            <v>2013-02-08</v>
          </cell>
          <cell r="C80">
            <v>46741.54</v>
          </cell>
          <cell r="D80">
            <v>2495.42</v>
          </cell>
          <cell r="F80">
            <v>9518.26</v>
          </cell>
          <cell r="I80">
            <v>3649.5</v>
          </cell>
          <cell r="J80">
            <v>13992.9</v>
          </cell>
          <cell r="K80">
            <v>3193.58</v>
          </cell>
        </row>
        <row r="81">
          <cell r="B81" t="str">
            <v>2013-02-11</v>
          </cell>
          <cell r="C81">
            <v>46786.74</v>
          </cell>
          <cell r="D81">
            <v>2497.88</v>
          </cell>
          <cell r="F81">
            <v>9597.24</v>
          </cell>
          <cell r="I81">
            <v>3650.58</v>
          </cell>
          <cell r="J81">
            <v>13971.16</v>
          </cell>
          <cell r="K81">
            <v>3191.88</v>
          </cell>
        </row>
        <row r="82">
          <cell r="B82" t="str">
            <v>2013-02-12</v>
          </cell>
          <cell r="C82">
            <v>46399.26</v>
          </cell>
          <cell r="D82">
            <v>2470.48</v>
          </cell>
          <cell r="F82">
            <v>9702.9699999999993</v>
          </cell>
          <cell r="I82">
            <v>3686.58</v>
          </cell>
          <cell r="J82">
            <v>14018.78</v>
          </cell>
          <cell r="K82">
            <v>3186.39</v>
          </cell>
        </row>
        <row r="83">
          <cell r="B83" t="str">
            <v>2013-02-13</v>
          </cell>
          <cell r="C83">
            <v>46406.74</v>
          </cell>
          <cell r="D83">
            <v>2471.21</v>
          </cell>
          <cell r="F83">
            <v>9817.76</v>
          </cell>
          <cell r="I83">
            <v>3698.53</v>
          </cell>
          <cell r="J83">
            <v>13982.3</v>
          </cell>
          <cell r="K83">
            <v>3196.88</v>
          </cell>
        </row>
        <row r="84">
          <cell r="B84" t="str">
            <v>2013-02-14</v>
          </cell>
        </row>
        <row r="85">
          <cell r="B85" t="str">
            <v>2013-02-15</v>
          </cell>
        </row>
        <row r="86">
          <cell r="B86" t="str">
            <v>2013-02-18</v>
          </cell>
        </row>
        <row r="87">
          <cell r="B87" t="str">
            <v>2013-02-19</v>
          </cell>
        </row>
        <row r="88">
          <cell r="B88" t="str">
            <v>2013-02-20</v>
          </cell>
        </row>
        <row r="89">
          <cell r="B89" t="str">
            <v>2013-02-21</v>
          </cell>
        </row>
        <row r="90">
          <cell r="B90" t="str">
            <v>2013-02-22</v>
          </cell>
        </row>
        <row r="91">
          <cell r="B91" t="str">
            <v>2013-02-25</v>
          </cell>
        </row>
        <row r="92">
          <cell r="B92" t="str">
            <v>2013-02-26</v>
          </cell>
        </row>
        <row r="93">
          <cell r="B93" t="str">
            <v>2013-02-27</v>
          </cell>
        </row>
        <row r="94">
          <cell r="B94" t="str">
            <v>2013-02-28</v>
          </cell>
        </row>
        <row r="95">
          <cell r="B95" t="str">
            <v>2013-03-01</v>
          </cell>
        </row>
        <row r="96">
          <cell r="B96" t="str">
            <v>2013-03-04</v>
          </cell>
        </row>
        <row r="97">
          <cell r="B97" t="str">
            <v>2013-03-05</v>
          </cell>
        </row>
        <row r="98">
          <cell r="B98" t="str">
            <v>2013-03-06</v>
          </cell>
        </row>
        <row r="99">
          <cell r="B99" t="str">
            <v>2013-03-07</v>
          </cell>
        </row>
        <row r="100">
          <cell r="B100" t="str">
            <v>2013-03-08</v>
          </cell>
        </row>
        <row r="101">
          <cell r="B101" t="str">
            <v>2013-03-11</v>
          </cell>
        </row>
        <row r="102">
          <cell r="B102" t="str">
            <v>2013-03-12</v>
          </cell>
        </row>
        <row r="103">
          <cell r="B103" t="str">
            <v>2013-03-13</v>
          </cell>
        </row>
        <row r="104">
          <cell r="B104" t="str">
            <v>2013-03-14</v>
          </cell>
        </row>
        <row r="105">
          <cell r="B105" t="str">
            <v>2013-03-15</v>
          </cell>
        </row>
        <row r="106">
          <cell r="B106" t="str">
            <v>2013-03-18</v>
          </cell>
        </row>
        <row r="107">
          <cell r="B107" t="str">
            <v>2013-03-19</v>
          </cell>
        </row>
        <row r="108">
          <cell r="B108" t="str">
            <v>2013-03-20</v>
          </cell>
        </row>
        <row r="109">
          <cell r="B109" t="str">
            <v>2013-03-21</v>
          </cell>
        </row>
        <row r="110">
          <cell r="B110" t="str">
            <v>2013-03-22</v>
          </cell>
        </row>
        <row r="111">
          <cell r="B111" t="str">
            <v>2013-03-25</v>
          </cell>
        </row>
        <row r="112">
          <cell r="B112" t="str">
            <v>2013-03-26</v>
          </cell>
        </row>
        <row r="113">
          <cell r="B113" t="str">
            <v>2013-03-27</v>
          </cell>
        </row>
        <row r="114">
          <cell r="B114" t="str">
            <v>2013-03-28</v>
          </cell>
        </row>
        <row r="115">
          <cell r="B115" t="str">
            <v>2013-03-29</v>
          </cell>
        </row>
        <row r="116">
          <cell r="B116" t="str">
            <v>2013-04-01</v>
          </cell>
        </row>
        <row r="117">
          <cell r="B117" t="str">
            <v>2013-04-02</v>
          </cell>
        </row>
        <row r="118">
          <cell r="B118" t="str">
            <v>2013-04-03</v>
          </cell>
        </row>
        <row r="119">
          <cell r="B119" t="str">
            <v>2013-04-04</v>
          </cell>
        </row>
        <row r="120">
          <cell r="B120" t="str">
            <v>2013-04-05</v>
          </cell>
        </row>
        <row r="121">
          <cell r="B121" t="str">
            <v>2013-04-08</v>
          </cell>
        </row>
        <row r="122">
          <cell r="B122" t="str">
            <v>2013-04-09</v>
          </cell>
        </row>
        <row r="123">
          <cell r="B123" t="str">
            <v>2013-04-10</v>
          </cell>
        </row>
        <row r="124">
          <cell r="B124" t="str">
            <v>2013-04-11</v>
          </cell>
        </row>
        <row r="125">
          <cell r="B125" t="str">
            <v>2013-04-12</v>
          </cell>
        </row>
        <row r="126">
          <cell r="B126" t="str">
            <v>2013-04-15</v>
          </cell>
        </row>
        <row r="127">
          <cell r="B127" t="str">
            <v>2013-04-16</v>
          </cell>
        </row>
        <row r="128">
          <cell r="B128" t="str">
            <v>2013-04-17</v>
          </cell>
        </row>
        <row r="129">
          <cell r="B129" t="str">
            <v>2013-04-18</v>
          </cell>
        </row>
        <row r="130">
          <cell r="B130" t="str">
            <v>2013-04-19</v>
          </cell>
        </row>
        <row r="131">
          <cell r="B131" t="str">
            <v>2013-04-22</v>
          </cell>
        </row>
        <row r="132">
          <cell r="B132" t="str">
            <v>2013-04-23</v>
          </cell>
        </row>
        <row r="133">
          <cell r="B133" t="str">
            <v>2013-04-24</v>
          </cell>
        </row>
        <row r="134">
          <cell r="B134" t="str">
            <v>2013-04-25</v>
          </cell>
        </row>
        <row r="135">
          <cell r="B135" t="str">
            <v>2013-04-26</v>
          </cell>
        </row>
        <row r="136">
          <cell r="B136" t="str">
            <v>2013-04-29</v>
          </cell>
        </row>
        <row r="137">
          <cell r="B137" t="str">
            <v>2013-04-30</v>
          </cell>
        </row>
        <row r="138">
          <cell r="B138" t="str">
            <v>2013-05-01</v>
          </cell>
        </row>
        <row r="139">
          <cell r="B139" t="str">
            <v>2013-05-02</v>
          </cell>
        </row>
        <row r="140">
          <cell r="B140" t="str">
            <v>2013-05-03</v>
          </cell>
        </row>
        <row r="141">
          <cell r="B141" t="str">
            <v>2013-05-06</v>
          </cell>
        </row>
        <row r="142">
          <cell r="B142" t="str">
            <v>2013-05-07</v>
          </cell>
        </row>
        <row r="143">
          <cell r="B143" t="str">
            <v>2013-05-08</v>
          </cell>
        </row>
        <row r="144">
          <cell r="B144" t="str">
            <v>2013-05-09</v>
          </cell>
        </row>
        <row r="145">
          <cell r="B145" t="str">
            <v>2013-05-10</v>
          </cell>
        </row>
        <row r="146">
          <cell r="B146" t="str">
            <v>2013-05-13</v>
          </cell>
        </row>
        <row r="147">
          <cell r="B147" t="str">
            <v>2013-05-14</v>
          </cell>
        </row>
        <row r="148">
          <cell r="B148" t="str">
            <v>2013-05-15</v>
          </cell>
        </row>
        <row r="149">
          <cell r="B149" t="str">
            <v>2013-05-16</v>
          </cell>
        </row>
        <row r="150">
          <cell r="B150" t="str">
            <v>2013-05-17</v>
          </cell>
        </row>
        <row r="151">
          <cell r="B151" t="str">
            <v>2013-05-20</v>
          </cell>
        </row>
        <row r="152">
          <cell r="B152" t="str">
            <v>2013-05-21</v>
          </cell>
        </row>
        <row r="153">
          <cell r="B153" t="str">
            <v>2013-05-22</v>
          </cell>
        </row>
        <row r="154">
          <cell r="B154" t="str">
            <v>2013-05-23</v>
          </cell>
        </row>
        <row r="155">
          <cell r="B155" t="str">
            <v>2013-05-24</v>
          </cell>
        </row>
        <row r="156">
          <cell r="B156" t="str">
            <v>2013-05-27</v>
          </cell>
        </row>
        <row r="157">
          <cell r="B157" t="str">
            <v>2013-05-28</v>
          </cell>
        </row>
        <row r="158">
          <cell r="B158" t="str">
            <v>2013-05-29</v>
          </cell>
        </row>
        <row r="159">
          <cell r="B159" t="str">
            <v>2013-05-30</v>
          </cell>
        </row>
        <row r="160">
          <cell r="B160" t="str">
            <v>2013-05-31</v>
          </cell>
        </row>
        <row r="161">
          <cell r="B161" t="str">
            <v>2013-06-03</v>
          </cell>
        </row>
        <row r="162">
          <cell r="B162" t="str">
            <v>2013-06-04</v>
          </cell>
        </row>
        <row r="163">
          <cell r="B163" t="str">
            <v>2013-06-05</v>
          </cell>
        </row>
        <row r="164">
          <cell r="B164" t="str">
            <v>2013-06-06</v>
          </cell>
        </row>
        <row r="165">
          <cell r="B165" t="str">
            <v>2013-06-07</v>
          </cell>
        </row>
        <row r="166">
          <cell r="B166" t="str">
            <v>2013-06-10</v>
          </cell>
        </row>
        <row r="167">
          <cell r="B167" t="str">
            <v>2013-06-11</v>
          </cell>
        </row>
        <row r="168">
          <cell r="B168" t="str">
            <v>2013-06-12</v>
          </cell>
        </row>
        <row r="169">
          <cell r="B169" t="str">
            <v>2013-06-13</v>
          </cell>
        </row>
        <row r="170">
          <cell r="B170" t="str">
            <v>2013-06-14</v>
          </cell>
        </row>
        <row r="171">
          <cell r="B171" t="str">
            <v>2013-06-17</v>
          </cell>
        </row>
        <row r="172">
          <cell r="B172" t="str">
            <v>2013-06-18</v>
          </cell>
        </row>
        <row r="173">
          <cell r="B173" t="str">
            <v>2013-06-19</v>
          </cell>
        </row>
        <row r="174">
          <cell r="B174" t="str">
            <v>2013-06-20</v>
          </cell>
        </row>
        <row r="175">
          <cell r="B175" t="str">
            <v>2013-06-21</v>
          </cell>
        </row>
        <row r="176">
          <cell r="B176" t="str">
            <v>2013-06-24</v>
          </cell>
        </row>
        <row r="177">
          <cell r="B177" t="str">
            <v>2013-06-25</v>
          </cell>
        </row>
        <row r="178">
          <cell r="B178" t="str">
            <v>2013-06-26</v>
          </cell>
        </row>
        <row r="179">
          <cell r="B179" t="str">
            <v>2013-06-27</v>
          </cell>
        </row>
        <row r="180">
          <cell r="B180" t="str">
            <v>2013-06-28</v>
          </cell>
        </row>
        <row r="181">
          <cell r="B181" t="str">
            <v>2013-07-01</v>
          </cell>
        </row>
        <row r="182">
          <cell r="B182" t="str">
            <v>2013-07-02</v>
          </cell>
        </row>
        <row r="183">
          <cell r="B183" t="str">
            <v>2013-07-03</v>
          </cell>
        </row>
        <row r="184">
          <cell r="B184" t="str">
            <v>2013-07-04</v>
          </cell>
        </row>
        <row r="185">
          <cell r="B185" t="str">
            <v>2013-07-05</v>
          </cell>
        </row>
        <row r="186">
          <cell r="B186" t="str">
            <v>2013-07-08</v>
          </cell>
        </row>
        <row r="187">
          <cell r="B187" t="str">
            <v>2013-07-09</v>
          </cell>
        </row>
        <row r="188">
          <cell r="B188" t="str">
            <v>2013-07-10</v>
          </cell>
        </row>
        <row r="189">
          <cell r="B189" t="str">
            <v>2013-07-11</v>
          </cell>
        </row>
        <row r="190">
          <cell r="B190" t="str">
            <v>2013-07-12</v>
          </cell>
        </row>
        <row r="191">
          <cell r="B191" t="str">
            <v>2013-07-15</v>
          </cell>
        </row>
        <row r="192">
          <cell r="B192" t="str">
            <v>2013-07-16</v>
          </cell>
        </row>
        <row r="193">
          <cell r="B193" t="str">
            <v>2013-07-17</v>
          </cell>
        </row>
        <row r="194">
          <cell r="B194" t="str">
            <v>2013-07-18</v>
          </cell>
        </row>
        <row r="195">
          <cell r="B195" t="str">
            <v>2013-07-19</v>
          </cell>
        </row>
        <row r="196">
          <cell r="B196" t="str">
            <v>2013-07-22</v>
          </cell>
        </row>
        <row r="197">
          <cell r="B197" t="str">
            <v>2013-07-23</v>
          </cell>
        </row>
        <row r="198">
          <cell r="B198" t="str">
            <v>2013-07-24</v>
          </cell>
        </row>
        <row r="199">
          <cell r="B199" t="str">
            <v>2013-07-25</v>
          </cell>
        </row>
        <row r="200">
          <cell r="B200" t="str">
            <v>2013-07-26</v>
          </cell>
        </row>
        <row r="201">
          <cell r="B201" t="str">
            <v>2013-07-29</v>
          </cell>
        </row>
        <row r="202">
          <cell r="B202" t="str">
            <v>2013-07-30</v>
          </cell>
        </row>
        <row r="203">
          <cell r="B203" t="str">
            <v>2013-07-31</v>
          </cell>
        </row>
        <row r="204">
          <cell r="B204">
            <v>41487</v>
          </cell>
        </row>
        <row r="205">
          <cell r="B205">
            <v>41488</v>
          </cell>
        </row>
        <row r="206">
          <cell r="B206">
            <v>41491</v>
          </cell>
        </row>
        <row r="207">
          <cell r="B207">
            <v>41492</v>
          </cell>
        </row>
        <row r="208">
          <cell r="B208">
            <v>41493</v>
          </cell>
        </row>
        <row r="209">
          <cell r="B209">
            <v>41494</v>
          </cell>
        </row>
        <row r="210">
          <cell r="B210">
            <v>41495</v>
          </cell>
        </row>
        <row r="211">
          <cell r="B211">
            <v>41498</v>
          </cell>
        </row>
        <row r="212">
          <cell r="B212">
            <v>41499</v>
          </cell>
        </row>
        <row r="213">
          <cell r="B213">
            <v>41500</v>
          </cell>
        </row>
        <row r="214">
          <cell r="B214">
            <v>41501</v>
          </cell>
        </row>
        <row r="215">
          <cell r="B215">
            <v>41502</v>
          </cell>
        </row>
        <row r="216">
          <cell r="B216">
            <v>41505</v>
          </cell>
        </row>
        <row r="217">
          <cell r="B217">
            <v>41506</v>
          </cell>
        </row>
        <row r="218">
          <cell r="B218">
            <v>41507</v>
          </cell>
        </row>
        <row r="219">
          <cell r="B219">
            <v>41508</v>
          </cell>
        </row>
        <row r="220">
          <cell r="B220">
            <v>41509</v>
          </cell>
        </row>
        <row r="221">
          <cell r="B221">
            <v>41512</v>
          </cell>
        </row>
        <row r="222">
          <cell r="B222">
            <v>41513</v>
          </cell>
        </row>
        <row r="223">
          <cell r="B223">
            <v>41514</v>
          </cell>
        </row>
        <row r="224">
          <cell r="B224">
            <v>41515</v>
          </cell>
        </row>
        <row r="225">
          <cell r="B225">
            <v>41516</v>
          </cell>
        </row>
        <row r="226">
          <cell r="B226">
            <v>41519</v>
          </cell>
        </row>
        <row r="227">
          <cell r="B227">
            <v>41520</v>
          </cell>
        </row>
        <row r="228">
          <cell r="B228">
            <v>41521</v>
          </cell>
        </row>
        <row r="229">
          <cell r="B229">
            <v>41522</v>
          </cell>
        </row>
        <row r="230">
          <cell r="B230">
            <v>41523</v>
          </cell>
        </row>
        <row r="231">
          <cell r="B231">
            <v>41526</v>
          </cell>
        </row>
        <row r="232">
          <cell r="B232">
            <v>41527</v>
          </cell>
        </row>
        <row r="233">
          <cell r="B233">
            <v>41528</v>
          </cell>
        </row>
        <row r="234">
          <cell r="B234">
            <v>41529</v>
          </cell>
        </row>
        <row r="235">
          <cell r="B235">
            <v>41530</v>
          </cell>
        </row>
        <row r="236">
          <cell r="B236">
            <v>41533</v>
          </cell>
        </row>
        <row r="237">
          <cell r="B237">
            <v>41534</v>
          </cell>
        </row>
        <row r="238">
          <cell r="B238">
            <v>41535</v>
          </cell>
        </row>
        <row r="239">
          <cell r="B239">
            <v>41536</v>
          </cell>
        </row>
        <row r="240">
          <cell r="B240">
            <v>41537</v>
          </cell>
        </row>
        <row r="241">
          <cell r="B241">
            <v>41540</v>
          </cell>
        </row>
        <row r="242">
          <cell r="B242">
            <v>41541</v>
          </cell>
        </row>
        <row r="243">
          <cell r="B243">
            <v>41542</v>
          </cell>
        </row>
        <row r="244">
          <cell r="B244">
            <v>41543</v>
          </cell>
        </row>
        <row r="245">
          <cell r="B245">
            <v>41544</v>
          </cell>
        </row>
        <row r="246">
          <cell r="B246">
            <v>41547</v>
          </cell>
        </row>
        <row r="247">
          <cell r="B247">
            <v>41548</v>
          </cell>
        </row>
        <row r="248">
          <cell r="B248">
            <v>41549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D3" t="str">
            <v>JB_Nawozy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>
        <row r="1">
          <cell r="B1" t="str">
            <v>Indeksy giełdowe i stopy procentowe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">
          <cell r="B1" t="str">
            <v>Indeksy giełdowe i stopy procentowe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Wskaźniki"/>
      <sheetName val="Informacje"/>
      <sheetName val="Trendy wskaźników"/>
      <sheetName val="Baza jednostki"/>
      <sheetName val="Baza makro"/>
      <sheetName val="Listy"/>
      <sheetName val="Listy makro"/>
      <sheetName val="Indeksy giełdowe"/>
      <sheetName val="Miesięcznie"/>
      <sheetName val="Kwartalnie"/>
      <sheetName val="Arkusz1"/>
      <sheetName val="Kokpit makro"/>
      <sheetName val="PROGNOZY"/>
      <sheetName val="Arkusz2"/>
      <sheetName val="not"/>
      <sheetName val="Trendy_wskaźników"/>
      <sheetName val="Baza_jednostki"/>
      <sheetName val="Baza_makro"/>
      <sheetName val="Listy_makro"/>
      <sheetName val="Indeksy_giełdowe"/>
      <sheetName val="Kokpit_makro"/>
      <sheetName val="Trendy_wskaźników1"/>
      <sheetName val="Baza_jednostki1"/>
      <sheetName val="Baza_makro1"/>
      <sheetName val="Listy_makro1"/>
      <sheetName val="Indeksy_giełdowe1"/>
      <sheetName val="Kokpit_makro1"/>
      <sheetName val="Trendy_wskaźników2"/>
      <sheetName val="Baza_jednostki2"/>
      <sheetName val="Baza_makro2"/>
      <sheetName val="Listy_makro2"/>
      <sheetName val="Indeksy_giełdowe2"/>
      <sheetName val="Kokpit_makro2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2010</v>
          </cell>
        </row>
      </sheetData>
      <sheetData sheetId="7">
        <row r="3">
          <cell r="A3" t="str">
            <v>Polska</v>
          </cell>
        </row>
      </sheetData>
      <sheetData sheetId="8">
        <row r="3">
          <cell r="E3" t="str">
            <v>NASDAQ (USA)</v>
          </cell>
        </row>
      </sheetData>
      <sheetData sheetId="9">
        <row r="1">
          <cell r="B1" t="str">
            <v>Jednostka</v>
          </cell>
          <cell r="C1">
            <v>2010</v>
          </cell>
        </row>
        <row r="2">
          <cell r="A2" t="str">
            <v>Nazwa wskaźnika</v>
          </cell>
          <cell r="B2" t="str">
            <v>miary</v>
          </cell>
          <cell r="C2" t="str">
            <v>I</v>
          </cell>
          <cell r="D2" t="str">
            <v>II</v>
          </cell>
          <cell r="E2" t="str">
            <v>III</v>
          </cell>
          <cell r="F2" t="str">
            <v>IV</v>
          </cell>
          <cell r="G2" t="str">
            <v>V</v>
          </cell>
          <cell r="H2" t="str">
            <v>VI</v>
          </cell>
          <cell r="I2" t="str">
            <v>VII</v>
          </cell>
          <cell r="J2" t="str">
            <v>VIII</v>
          </cell>
          <cell r="K2" t="str">
            <v>IX</v>
          </cell>
          <cell r="L2" t="str">
            <v>X</v>
          </cell>
          <cell r="M2" t="str">
            <v>XI</v>
          </cell>
          <cell r="N2" t="str">
            <v>XII</v>
          </cell>
          <cell r="O2" t="str">
            <v>I</v>
          </cell>
          <cell r="P2" t="str">
            <v>II</v>
          </cell>
          <cell r="Q2" t="str">
            <v>III</v>
          </cell>
          <cell r="R2" t="str">
            <v>IV</v>
          </cell>
          <cell r="S2" t="str">
            <v>V</v>
          </cell>
          <cell r="T2" t="str">
            <v>VI</v>
          </cell>
          <cell r="U2" t="str">
            <v>VII</v>
          </cell>
          <cell r="V2" t="str">
            <v>VIII</v>
          </cell>
          <cell r="W2" t="str">
            <v>IX</v>
          </cell>
          <cell r="X2" t="str">
            <v>X</v>
          </cell>
          <cell r="Y2" t="str">
            <v>XI</v>
          </cell>
          <cell r="Z2" t="str">
            <v>XII</v>
          </cell>
          <cell r="AA2" t="str">
            <v>I</v>
          </cell>
          <cell r="AB2" t="str">
            <v>II</v>
          </cell>
          <cell r="AC2" t="str">
            <v>III</v>
          </cell>
          <cell r="AD2" t="str">
            <v>IV</v>
          </cell>
          <cell r="AE2" t="str">
            <v>V</v>
          </cell>
          <cell r="AF2" t="str">
            <v>VI</v>
          </cell>
          <cell r="AG2" t="str">
            <v>VII</v>
          </cell>
          <cell r="AH2" t="str">
            <v>VIII</v>
          </cell>
          <cell r="AI2" t="str">
            <v>IX</v>
          </cell>
          <cell r="AJ2" t="str">
            <v>X</v>
          </cell>
          <cell r="AK2" t="str">
            <v>XI</v>
          </cell>
          <cell r="AL2" t="str">
            <v>XII</v>
          </cell>
          <cell r="AM2" t="str">
            <v>I</v>
          </cell>
          <cell r="AN2" t="str">
            <v>II</v>
          </cell>
          <cell r="AO2" t="str">
            <v>III</v>
          </cell>
          <cell r="AP2" t="str">
            <v>IV</v>
          </cell>
          <cell r="AQ2" t="str">
            <v>V</v>
          </cell>
          <cell r="AR2" t="str">
            <v>VI</v>
          </cell>
          <cell r="AS2" t="str">
            <v>VII</v>
          </cell>
          <cell r="AT2" t="str">
            <v>VIII</v>
          </cell>
          <cell r="AU2" t="str">
            <v>IX</v>
          </cell>
          <cell r="AV2" t="str">
            <v>X</v>
          </cell>
          <cell r="AW2" t="str">
            <v>XI</v>
          </cell>
          <cell r="AX2" t="str">
            <v>XII</v>
          </cell>
          <cell r="AY2" t="str">
            <v>I</v>
          </cell>
          <cell r="AZ2" t="str">
            <v>II</v>
          </cell>
          <cell r="BA2" t="str">
            <v>III</v>
          </cell>
          <cell r="BB2" t="str">
            <v>IV</v>
          </cell>
          <cell r="BC2" t="str">
            <v>V</v>
          </cell>
          <cell r="BD2" t="str">
            <v>VI</v>
          </cell>
          <cell r="BE2" t="str">
            <v>VII</v>
          </cell>
          <cell r="BF2" t="str">
            <v>VIII</v>
          </cell>
          <cell r="BG2" t="str">
            <v>IX</v>
          </cell>
          <cell r="BH2" t="str">
            <v>X</v>
          </cell>
          <cell r="BI2" t="str">
            <v>XI</v>
          </cell>
          <cell r="BJ2" t="str">
            <v>XII</v>
          </cell>
        </row>
        <row r="4">
          <cell r="A4" t="str">
            <v>Stopa bezrobocia</v>
          </cell>
          <cell r="C4" t="str">
            <v>bd</v>
          </cell>
          <cell r="D4" t="str">
            <v>bd</v>
          </cell>
          <cell r="E4" t="str">
            <v>bd</v>
          </cell>
          <cell r="F4" t="str">
            <v>bd</v>
          </cell>
          <cell r="G4" t="str">
            <v>bd</v>
          </cell>
          <cell r="H4" t="str">
            <v>bd</v>
          </cell>
          <cell r="I4" t="str">
            <v>bd</v>
          </cell>
          <cell r="J4" t="str">
            <v>bd</v>
          </cell>
          <cell r="K4" t="str">
            <v>bd</v>
          </cell>
          <cell r="L4" t="str">
            <v>bd</v>
          </cell>
          <cell r="M4" t="str">
            <v>bd</v>
          </cell>
          <cell r="N4" t="str">
            <v>-</v>
          </cell>
          <cell r="O4" t="str">
            <v>-</v>
          </cell>
          <cell r="P4" t="str">
            <v>-</v>
          </cell>
          <cell r="Q4" t="str">
            <v>-</v>
          </cell>
          <cell r="R4" t="str">
            <v>-</v>
          </cell>
        </row>
        <row r="5">
          <cell r="A5" t="str">
            <v>Inflacja CPI</v>
          </cell>
          <cell r="C5" t="str">
            <v>bd</v>
          </cell>
          <cell r="D5" t="str">
            <v>bd</v>
          </cell>
          <cell r="E5" t="str">
            <v>bd</v>
          </cell>
          <cell r="F5" t="str">
            <v>bd</v>
          </cell>
          <cell r="G5" t="str">
            <v>bd</v>
          </cell>
          <cell r="H5" t="str">
            <v>bd</v>
          </cell>
          <cell r="I5" t="str">
            <v>bd</v>
          </cell>
          <cell r="J5" t="str">
            <v>bd</v>
          </cell>
          <cell r="K5" t="str">
            <v>bd</v>
          </cell>
          <cell r="L5" t="str">
            <v>bd</v>
          </cell>
          <cell r="M5" t="str">
            <v>bd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</row>
        <row r="6">
          <cell r="A6" t="str">
            <v>Inflacja PPI</v>
          </cell>
          <cell r="C6" t="str">
            <v>bd</v>
          </cell>
          <cell r="D6" t="str">
            <v>bd</v>
          </cell>
          <cell r="E6" t="str">
            <v>bd</v>
          </cell>
          <cell r="F6" t="str">
            <v>bd</v>
          </cell>
          <cell r="G6" t="str">
            <v>bd</v>
          </cell>
          <cell r="H6" t="str">
            <v>bd</v>
          </cell>
          <cell r="I6" t="str">
            <v>bd</v>
          </cell>
          <cell r="J6" t="str">
            <v>bd</v>
          </cell>
          <cell r="K6" t="str">
            <v>bd</v>
          </cell>
          <cell r="L6" t="str">
            <v>bd</v>
          </cell>
          <cell r="M6" t="str">
            <v>bd</v>
          </cell>
          <cell r="N6" t="str">
            <v>-</v>
          </cell>
          <cell r="O6" t="str">
            <v>-</v>
          </cell>
          <cell r="P6" t="str">
            <v>-</v>
          </cell>
          <cell r="Q6" t="str">
            <v>-</v>
          </cell>
          <cell r="R6" t="str">
            <v>-</v>
          </cell>
        </row>
        <row r="7">
          <cell r="A7" t="str">
            <v>Produkcja przemysłowa r/r</v>
          </cell>
          <cell r="C7" t="str">
            <v>bd</v>
          </cell>
          <cell r="D7" t="str">
            <v>bd</v>
          </cell>
          <cell r="E7" t="str">
            <v>bd</v>
          </cell>
          <cell r="F7" t="str">
            <v>bd</v>
          </cell>
          <cell r="G7" t="str">
            <v>bd</v>
          </cell>
          <cell r="H7" t="str">
            <v>bd</v>
          </cell>
          <cell r="I7" t="str">
            <v>bd</v>
          </cell>
          <cell r="J7" t="str">
            <v>bd</v>
          </cell>
          <cell r="K7" t="str">
            <v>bd</v>
          </cell>
          <cell r="L7" t="str">
            <v>bd</v>
          </cell>
          <cell r="M7" t="str">
            <v>bd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</row>
        <row r="8">
          <cell r="A8" t="str">
            <v>Produkcja przemysłowa m/m</v>
          </cell>
          <cell r="C8" t="str">
            <v>bd</v>
          </cell>
          <cell r="D8" t="str">
            <v>bd</v>
          </cell>
          <cell r="E8" t="str">
            <v>bd</v>
          </cell>
          <cell r="F8" t="str">
            <v>bd</v>
          </cell>
          <cell r="G8" t="str">
            <v>bd</v>
          </cell>
          <cell r="H8" t="str">
            <v>bd</v>
          </cell>
          <cell r="I8" t="str">
            <v>bd</v>
          </cell>
          <cell r="J8" t="str">
            <v>bd</v>
          </cell>
          <cell r="K8" t="str">
            <v>bd</v>
          </cell>
          <cell r="L8" t="str">
            <v>bd</v>
          </cell>
          <cell r="M8" t="str">
            <v>bd</v>
          </cell>
          <cell r="N8" t="str">
            <v>-</v>
          </cell>
          <cell r="O8" t="str">
            <v>-</v>
          </cell>
          <cell r="P8" t="str">
            <v>-</v>
          </cell>
          <cell r="Q8" t="str">
            <v>-</v>
          </cell>
          <cell r="R8" t="str">
            <v>-</v>
          </cell>
        </row>
        <row r="9">
          <cell r="A9" t="str">
            <v>PMI</v>
          </cell>
          <cell r="C9" t="str">
            <v>-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  <cell r="P9">
            <v>53.8</v>
          </cell>
          <cell r="Q9">
            <v>54.8</v>
          </cell>
          <cell r="R9">
            <v>54.4</v>
          </cell>
        </row>
        <row r="10">
          <cell r="A10" t="str">
            <v>Indeks zaufania konsumentów - BWUK</v>
          </cell>
          <cell r="C10">
            <v>-18.399999999999999</v>
          </cell>
          <cell r="D10">
            <v>-15.7</v>
          </cell>
          <cell r="E10">
            <v>-17.3</v>
          </cell>
          <cell r="F10">
            <v>-14.7</v>
          </cell>
          <cell r="G10">
            <v>-12.3</v>
          </cell>
          <cell r="H10">
            <v>-19</v>
          </cell>
          <cell r="I10">
            <v>-11.5</v>
          </cell>
          <cell r="J10">
            <v>-16</v>
          </cell>
          <cell r="K10">
            <v>-20.9</v>
          </cell>
          <cell r="L10">
            <v>-19.2</v>
          </cell>
          <cell r="M10">
            <v>-20.100000000000001</v>
          </cell>
          <cell r="N10">
            <v>-18</v>
          </cell>
          <cell r="O10">
            <v>-22.6</v>
          </cell>
          <cell r="P10">
            <v>-25</v>
          </cell>
          <cell r="Q10">
            <v>-29</v>
          </cell>
          <cell r="R10">
            <v>-26.8</v>
          </cell>
        </row>
        <row r="11">
          <cell r="A11" t="str">
            <v>Indeks zaufania konsumentów - WWUK</v>
          </cell>
          <cell r="C11">
            <v>-27.2</v>
          </cell>
          <cell r="D11">
            <v>-24.7</v>
          </cell>
          <cell r="E11">
            <v>-23.4</v>
          </cell>
          <cell r="F11">
            <v>-20.5</v>
          </cell>
          <cell r="G11">
            <v>-18</v>
          </cell>
          <cell r="H11">
            <v>-23.3</v>
          </cell>
          <cell r="I11">
            <v>-16.3</v>
          </cell>
          <cell r="J11">
            <v>-22.6</v>
          </cell>
          <cell r="K11">
            <v>-26.1</v>
          </cell>
          <cell r="L11">
            <v>-26.7</v>
          </cell>
          <cell r="M11">
            <v>-27</v>
          </cell>
          <cell r="N11">
            <v>-26</v>
          </cell>
          <cell r="O11">
            <v>-30</v>
          </cell>
          <cell r="P11">
            <v>-29.2</v>
          </cell>
          <cell r="Q11">
            <v>-34.1</v>
          </cell>
          <cell r="R11">
            <v>-29.8</v>
          </cell>
        </row>
        <row r="12">
          <cell r="A12" t="str">
            <v>Sprzedaż detaliczna m/m</v>
          </cell>
        </row>
        <row r="13">
          <cell r="A13" t="str">
            <v>Stopa redyskontowa</v>
          </cell>
        </row>
      </sheetData>
      <sheetData sheetId="10"/>
      <sheetData sheetId="11">
        <row r="3">
          <cell r="B3" t="str">
            <v>Indeks zaufania konsumentów - WWUK</v>
          </cell>
        </row>
      </sheetData>
      <sheetData sheetId="12"/>
      <sheetData sheetId="13"/>
      <sheetData sheetId="14"/>
      <sheetData sheetId="15">
        <row r="2">
          <cell r="C2">
            <v>492.5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>
        <row r="3">
          <cell r="A3" t="str">
            <v>Polska</v>
          </cell>
        </row>
      </sheetData>
      <sheetData sheetId="26">
        <row r="3">
          <cell r="E3" t="str">
            <v>NASDAQ (USA)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Polska</v>
          </cell>
        </row>
      </sheetData>
      <sheetData sheetId="32">
        <row r="3">
          <cell r="E3" t="str">
            <v>NASDAQ (USA)</v>
          </cell>
        </row>
      </sheetData>
      <sheetData sheetId="33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Odbiorcy nawozy kraj III. 2007"/>
      <sheetName val="nawozy"/>
      <sheetName val="nawozy bez EC"/>
      <sheetName val="Arkusz1"/>
      <sheetName val="Arkusz2"/>
      <sheetName val="Arkusz2 (2)"/>
      <sheetName val="Arkusz2 (3)"/>
      <sheetName val="Arkusz2 (4)"/>
      <sheetName val="Arkusz2 (5)"/>
      <sheetName val="Arkusz2 (6)"/>
      <sheetName val="Ranking kwie 2007"/>
      <sheetName val="Odbiorcy_nawozy_kraj_III__2007"/>
      <sheetName val="nawozy_bez_EC"/>
      <sheetName val="Arkusz2_(2)"/>
      <sheetName val="Arkusz2_(3)"/>
      <sheetName val="Arkusz2_(4)"/>
      <sheetName val="Arkusz2_(5)"/>
      <sheetName val="Arkusz2_(6)"/>
      <sheetName val="Ranking_kwie_2007"/>
      <sheetName val="Odbiorcy_nawozy_kraj_III__20071"/>
      <sheetName val="nawozy_bez_EC1"/>
      <sheetName val="Arkusz2_(2)1"/>
      <sheetName val="Arkusz2_(3)1"/>
      <sheetName val="Arkusz2_(4)1"/>
      <sheetName val="Arkusz2_(5)1"/>
      <sheetName val="Arkusz2_(6)1"/>
      <sheetName val="Ranking_kwie_20071"/>
      <sheetName val="Odbiorcy_nawozy_kraj_III__20072"/>
      <sheetName val="nawozy_bez_EC2"/>
      <sheetName val="Arkusz2_(2)2"/>
      <sheetName val="Arkusz2_(3)2"/>
      <sheetName val="Arkusz2_(4)2"/>
      <sheetName val="Arkusz2_(5)2"/>
      <sheetName val="Arkusz2_(6)2"/>
      <sheetName val="Ranking_kwie_20072"/>
      <sheetName val="Odbiorcy_nawozy_kraj_III__20073"/>
      <sheetName val="nawozy_bez_EC3"/>
      <sheetName val="Arkusz2_(2)3"/>
      <sheetName val="Arkusz2_(3)3"/>
      <sheetName val="Arkusz2_(4)3"/>
      <sheetName val="Arkusz2_(5)3"/>
      <sheetName val="Arkusz2_(6)3"/>
      <sheetName val="Ranking_kwie_20073"/>
      <sheetName val="Odbiorcy_nawozy_kraj_III__20075"/>
      <sheetName val="nawozy_bez_EC5"/>
      <sheetName val="Arkusz2_(2)5"/>
      <sheetName val="Arkusz2_(3)5"/>
      <sheetName val="Arkusz2_(4)5"/>
      <sheetName val="Arkusz2_(5)5"/>
      <sheetName val="Arkusz2_(6)5"/>
      <sheetName val="Ranking_kwie_20075"/>
      <sheetName val="Odbiorcy_nawozy_kraj_III__20074"/>
      <sheetName val="nawozy_bez_EC4"/>
      <sheetName val="Arkusz2_(2)4"/>
      <sheetName val="Arkusz2_(3)4"/>
      <sheetName val="Arkusz2_(4)4"/>
      <sheetName val="Arkusz2_(5)4"/>
      <sheetName val="Arkusz2_(6)4"/>
      <sheetName val="Ranking_kwie_20074"/>
      <sheetName val="Odbiorcy_nawozy_kraj_III__20076"/>
      <sheetName val="nawozy_bez_EC6"/>
      <sheetName val="Arkusz2_(2)6"/>
      <sheetName val="Arkusz2_(3)6"/>
      <sheetName val="Arkusz2_(4)6"/>
      <sheetName val="Arkusz2_(5)6"/>
      <sheetName val="Arkusz2_(6)6"/>
      <sheetName val="Ranking_kwie_20076"/>
      <sheetName val="Odbiorcy_nawozy_kraj_III__20077"/>
      <sheetName val="nawozy_bez_EC7"/>
      <sheetName val="Arkusz2_(2)7"/>
      <sheetName val="Arkusz2_(3)7"/>
      <sheetName val="Arkusz2_(4)7"/>
      <sheetName val="Arkusz2_(5)7"/>
      <sheetName val="Arkusz2_(6)7"/>
      <sheetName val="Ranking_kwie_20077"/>
    </sheetNames>
    <sheetDataSet>
      <sheetData sheetId="0" refreshError="1"/>
      <sheetData sheetId="1" refreshError="1">
        <row r="4">
          <cell r="G4">
            <v>1412.3</v>
          </cell>
          <cell r="I4">
            <v>0</v>
          </cell>
          <cell r="J4">
            <v>-228</v>
          </cell>
          <cell r="K4">
            <v>0</v>
          </cell>
          <cell r="L4">
            <v>-228</v>
          </cell>
          <cell r="M4">
            <v>1184.3</v>
          </cell>
          <cell r="N4">
            <v>-1184.3</v>
          </cell>
          <cell r="O4">
            <v>0</v>
          </cell>
          <cell r="R4">
            <v>0</v>
          </cell>
        </row>
        <row r="5">
          <cell r="G5">
            <v>1718810.45</v>
          </cell>
          <cell r="I5">
            <v>25816.9199999999</v>
          </cell>
          <cell r="J5">
            <v>0</v>
          </cell>
          <cell r="K5">
            <v>4.5999999999999899</v>
          </cell>
          <cell r="L5">
            <v>25821.52</v>
          </cell>
          <cell r="M5">
            <v>1799153.05</v>
          </cell>
          <cell r="N5">
            <v>-87569.5</v>
          </cell>
          <cell r="O5">
            <v>0</v>
          </cell>
          <cell r="R5">
            <v>3987.9699999999898</v>
          </cell>
        </row>
        <row r="6">
          <cell r="G6">
            <v>57604.75</v>
          </cell>
          <cell r="I6">
            <v>742.49</v>
          </cell>
          <cell r="J6">
            <v>0</v>
          </cell>
          <cell r="K6">
            <v>0.13</v>
          </cell>
          <cell r="L6">
            <v>742.62</v>
          </cell>
          <cell r="M6">
            <v>60644.839999999902</v>
          </cell>
          <cell r="N6">
            <v>11479.26</v>
          </cell>
          <cell r="O6">
            <v>0</v>
          </cell>
          <cell r="R6">
            <v>133.66</v>
          </cell>
        </row>
        <row r="7">
          <cell r="G7">
            <v>33442.980000000003</v>
          </cell>
          <cell r="I7">
            <v>481.62</v>
          </cell>
          <cell r="J7">
            <v>0</v>
          </cell>
          <cell r="K7">
            <v>8.99999999999999E-2</v>
          </cell>
          <cell r="L7">
            <v>481.70999999999901</v>
          </cell>
          <cell r="M7">
            <v>35392.489999999903</v>
          </cell>
          <cell r="N7">
            <v>10686.309999999899</v>
          </cell>
          <cell r="O7">
            <v>0</v>
          </cell>
          <cell r="R7">
            <v>77.59</v>
          </cell>
        </row>
        <row r="8">
          <cell r="G8">
            <v>33442.97</v>
          </cell>
          <cell r="I8">
            <v>481.62</v>
          </cell>
          <cell r="J8">
            <v>3180</v>
          </cell>
          <cell r="K8">
            <v>8.99999999999999E-2</v>
          </cell>
          <cell r="L8">
            <v>3661.71</v>
          </cell>
          <cell r="M8">
            <v>38638.97</v>
          </cell>
          <cell r="N8">
            <v>9527.11</v>
          </cell>
          <cell r="O8">
            <v>0</v>
          </cell>
          <cell r="R8">
            <v>77.59</v>
          </cell>
        </row>
        <row r="9">
          <cell r="G9">
            <v>18682.619999999901</v>
          </cell>
          <cell r="I9">
            <v>240.8</v>
          </cell>
          <cell r="J9">
            <v>0</v>
          </cell>
          <cell r="K9">
            <v>0.04</v>
          </cell>
          <cell r="L9">
            <v>240.84</v>
          </cell>
          <cell r="M9">
            <v>19672.29</v>
          </cell>
          <cell r="N9">
            <v>3835.11</v>
          </cell>
          <cell r="O9">
            <v>0</v>
          </cell>
          <cell r="R9">
            <v>43.34</v>
          </cell>
        </row>
        <row r="10">
          <cell r="G10">
            <v>33442.980000000003</v>
          </cell>
          <cell r="I10">
            <v>481.62</v>
          </cell>
          <cell r="J10">
            <v>2554.3200000000002</v>
          </cell>
          <cell r="K10">
            <v>8.99999999999999E-2</v>
          </cell>
          <cell r="L10">
            <v>3036.03</v>
          </cell>
          <cell r="M10">
            <v>37997.18</v>
          </cell>
          <cell r="N10">
            <v>9662.9799999999905</v>
          </cell>
          <cell r="O10">
            <v>0</v>
          </cell>
          <cell r="R10">
            <v>77.59</v>
          </cell>
        </row>
        <row r="11">
          <cell r="G11">
            <v>8360.7399999999907</v>
          </cell>
          <cell r="I11">
            <v>120.41</v>
          </cell>
          <cell r="J11">
            <v>449.39999999999901</v>
          </cell>
          <cell r="K11">
            <v>0.02</v>
          </cell>
          <cell r="L11">
            <v>569.83000000000004</v>
          </cell>
          <cell r="M11">
            <v>9311.5599999999904</v>
          </cell>
          <cell r="N11">
            <v>2648.36</v>
          </cell>
          <cell r="O11">
            <v>0</v>
          </cell>
          <cell r="R11">
            <v>19.399999999999899</v>
          </cell>
        </row>
        <row r="12">
          <cell r="G12">
            <v>83607.449999999895</v>
          </cell>
          <cell r="I12">
            <v>1204.02</v>
          </cell>
          <cell r="J12">
            <v>10381.200000000001</v>
          </cell>
          <cell r="K12">
            <v>0.20999999999999899</v>
          </cell>
          <cell r="L12">
            <v>11585.43</v>
          </cell>
          <cell r="M12">
            <v>99214.179999999906</v>
          </cell>
          <cell r="N12">
            <v>27026.299999999901</v>
          </cell>
          <cell r="O12">
            <v>0</v>
          </cell>
          <cell r="R12">
            <v>193.979999999999</v>
          </cell>
        </row>
        <row r="13">
          <cell r="G13">
            <v>35302.07</v>
          </cell>
          <cell r="I13">
            <v>481.6</v>
          </cell>
          <cell r="J13">
            <v>0</v>
          </cell>
          <cell r="K13">
            <v>0.08</v>
          </cell>
          <cell r="L13">
            <v>481.68</v>
          </cell>
          <cell r="M13">
            <v>37267.26</v>
          </cell>
          <cell r="N13">
            <v>9303.7800000000007</v>
          </cell>
          <cell r="O13">
            <v>0</v>
          </cell>
          <cell r="R13">
            <v>81.93</v>
          </cell>
        </row>
        <row r="14">
          <cell r="G14">
            <v>8360.7399999999907</v>
          </cell>
          <cell r="I14">
            <v>120.41</v>
          </cell>
          <cell r="J14">
            <v>985.55999999999904</v>
          </cell>
          <cell r="K14">
            <v>0.02</v>
          </cell>
          <cell r="L14">
            <v>1105.99</v>
          </cell>
          <cell r="M14">
            <v>9845.9099999999908</v>
          </cell>
          <cell r="N14">
            <v>2058.3299999999899</v>
          </cell>
          <cell r="O14">
            <v>0</v>
          </cell>
          <cell r="R14">
            <v>19.399999999999899</v>
          </cell>
        </row>
        <row r="15">
          <cell r="G15">
            <v>58383.19</v>
          </cell>
          <cell r="I15">
            <v>752.52999999999895</v>
          </cell>
          <cell r="J15">
            <v>0</v>
          </cell>
          <cell r="K15">
            <v>0.13</v>
          </cell>
          <cell r="L15">
            <v>752.65999999999894</v>
          </cell>
          <cell r="M15">
            <v>61434.239999999903</v>
          </cell>
          <cell r="N15">
            <v>10720.87</v>
          </cell>
          <cell r="O15">
            <v>0</v>
          </cell>
          <cell r="R15">
            <v>135.47</v>
          </cell>
        </row>
        <row r="16">
          <cell r="G16">
            <v>51218.26</v>
          </cell>
          <cell r="I16">
            <v>722.41999999999905</v>
          </cell>
          <cell r="J16">
            <v>4094.6399999999899</v>
          </cell>
          <cell r="K16">
            <v>0.13</v>
          </cell>
          <cell r="L16">
            <v>4817.1899999999896</v>
          </cell>
          <cell r="M16">
            <v>58310.639999999898</v>
          </cell>
          <cell r="N16">
            <v>13114.559999999899</v>
          </cell>
          <cell r="O16">
            <v>0</v>
          </cell>
          <cell r="R16">
            <v>118.84</v>
          </cell>
        </row>
        <row r="17">
          <cell r="G17">
            <v>40479.019999999902</v>
          </cell>
          <cell r="I17">
            <v>521.75999999999897</v>
          </cell>
          <cell r="J17">
            <v>0</v>
          </cell>
          <cell r="K17">
            <v>8.99999999999999E-2</v>
          </cell>
          <cell r="L17">
            <v>521.85</v>
          </cell>
          <cell r="M17">
            <v>42612.879999999903</v>
          </cell>
          <cell r="N17">
            <v>7993.7799999999897</v>
          </cell>
          <cell r="O17">
            <v>0</v>
          </cell>
          <cell r="R17">
            <v>93.92</v>
          </cell>
        </row>
        <row r="18">
          <cell r="G18">
            <v>161588.78</v>
          </cell>
          <cell r="I18">
            <v>2307.73</v>
          </cell>
          <cell r="J18">
            <v>13546.2</v>
          </cell>
          <cell r="K18">
            <v>0.40999999999999898</v>
          </cell>
          <cell r="L18">
            <v>15854.34</v>
          </cell>
          <cell r="M18">
            <v>184664.23</v>
          </cell>
          <cell r="N18">
            <v>42028.41</v>
          </cell>
          <cell r="O18">
            <v>0</v>
          </cell>
          <cell r="R18">
            <v>374.93</v>
          </cell>
        </row>
        <row r="19">
          <cell r="G19">
            <v>99253.69</v>
          </cell>
          <cell r="I19">
            <v>1384.63</v>
          </cell>
          <cell r="J19">
            <v>0</v>
          </cell>
          <cell r="K19">
            <v>0.25</v>
          </cell>
          <cell r="L19">
            <v>1384.88</v>
          </cell>
          <cell r="M19">
            <v>104870.1</v>
          </cell>
          <cell r="N19">
            <v>27970.4399999999</v>
          </cell>
          <cell r="O19">
            <v>0</v>
          </cell>
          <cell r="R19">
            <v>230.27</v>
          </cell>
        </row>
        <row r="20">
          <cell r="G20">
            <v>16721.490000000002</v>
          </cell>
          <cell r="I20">
            <v>240.8</v>
          </cell>
          <cell r="J20">
            <v>1419.1199999999899</v>
          </cell>
          <cell r="K20">
            <v>0.04</v>
          </cell>
          <cell r="L20">
            <v>1659.96</v>
          </cell>
          <cell r="M20">
            <v>19195.86</v>
          </cell>
          <cell r="N20">
            <v>6370.38</v>
          </cell>
          <cell r="O20">
            <v>0</v>
          </cell>
          <cell r="R20">
            <v>38.7899999999999</v>
          </cell>
        </row>
        <row r="21">
          <cell r="G21">
            <v>28023.93</v>
          </cell>
          <cell r="I21">
            <v>361.19999999999902</v>
          </cell>
          <cell r="J21">
            <v>0</v>
          </cell>
          <cell r="K21">
            <v>5.9999999999999901E-2</v>
          </cell>
          <cell r="L21">
            <v>361.25999999999902</v>
          </cell>
          <cell r="M21">
            <v>29501.75</v>
          </cell>
          <cell r="N21">
            <v>5550.97</v>
          </cell>
          <cell r="O21">
            <v>0</v>
          </cell>
          <cell r="R21">
            <v>65.019999999999897</v>
          </cell>
        </row>
        <row r="22">
          <cell r="G22">
            <v>26136.02</v>
          </cell>
          <cell r="I22">
            <v>361.20999999999901</v>
          </cell>
          <cell r="J22">
            <v>2595</v>
          </cell>
          <cell r="K22">
            <v>5.9999999999999901E-2</v>
          </cell>
          <cell r="L22">
            <v>2956.27</v>
          </cell>
          <cell r="M22">
            <v>30198.9399999999</v>
          </cell>
          <cell r="N22">
            <v>4541.0600000000004</v>
          </cell>
          <cell r="O22">
            <v>0</v>
          </cell>
          <cell r="R22">
            <v>60.649999999999899</v>
          </cell>
        </row>
        <row r="23">
          <cell r="G23">
            <v>180409.709999999</v>
          </cell>
          <cell r="I23">
            <v>2588.6799999999898</v>
          </cell>
          <cell r="J23">
            <v>0</v>
          </cell>
          <cell r="K23">
            <v>0.46</v>
          </cell>
          <cell r="L23">
            <v>2589.1399999999899</v>
          </cell>
          <cell r="M23">
            <v>190882.049999999</v>
          </cell>
          <cell r="N23">
            <v>56594.129999999903</v>
          </cell>
          <cell r="O23">
            <v>0</v>
          </cell>
          <cell r="R23">
            <v>418.57999999999902</v>
          </cell>
        </row>
        <row r="24">
          <cell r="G24">
            <v>16275.299999999899</v>
          </cell>
          <cell r="I24">
            <v>240.8</v>
          </cell>
          <cell r="J24">
            <v>0</v>
          </cell>
          <cell r="K24">
            <v>0.04</v>
          </cell>
          <cell r="L24">
            <v>240.84</v>
          </cell>
          <cell r="M24">
            <v>17249.68</v>
          </cell>
          <cell r="N24">
            <v>5778.3199999999897</v>
          </cell>
          <cell r="O24">
            <v>0</v>
          </cell>
          <cell r="R24">
            <v>37.75</v>
          </cell>
        </row>
        <row r="25">
          <cell r="G25">
            <v>93413.1</v>
          </cell>
          <cell r="I25">
            <v>1204.02</v>
          </cell>
          <cell r="J25">
            <v>0</v>
          </cell>
          <cell r="K25">
            <v>0.20999999999999899</v>
          </cell>
          <cell r="L25">
            <v>1204.23</v>
          </cell>
          <cell r="M25">
            <v>98295.05</v>
          </cell>
          <cell r="N25">
            <v>17157.91</v>
          </cell>
          <cell r="O25">
            <v>0</v>
          </cell>
          <cell r="R25">
            <v>216.729999999999</v>
          </cell>
        </row>
        <row r="26">
          <cell r="G26">
            <v>25082.23</v>
          </cell>
          <cell r="I26">
            <v>361.19999999999902</v>
          </cell>
          <cell r="J26">
            <v>0</v>
          </cell>
          <cell r="K26">
            <v>5.9999999999999901E-2</v>
          </cell>
          <cell r="L26">
            <v>361.25999999999902</v>
          </cell>
          <cell r="M26">
            <v>26529.639999999901</v>
          </cell>
          <cell r="N26">
            <v>7567.76</v>
          </cell>
          <cell r="O26">
            <v>0</v>
          </cell>
          <cell r="R26">
            <v>58.2</v>
          </cell>
        </row>
        <row r="27">
          <cell r="G27">
            <v>193214.42</v>
          </cell>
          <cell r="I27">
            <v>2749.1999999999898</v>
          </cell>
          <cell r="J27">
            <v>12507.78</v>
          </cell>
          <cell r="K27">
            <v>0.48999999999999899</v>
          </cell>
          <cell r="L27">
            <v>15257.469999999899</v>
          </cell>
          <cell r="M27">
            <v>217038.12</v>
          </cell>
          <cell r="N27">
            <v>51883.959999999897</v>
          </cell>
          <cell r="O27">
            <v>0</v>
          </cell>
          <cell r="R27">
            <v>448.3</v>
          </cell>
        </row>
        <row r="28">
          <cell r="G28">
            <v>265750.679999999</v>
          </cell>
          <cell r="I28">
            <v>3471.6399999999899</v>
          </cell>
          <cell r="J28">
            <v>0</v>
          </cell>
          <cell r="K28">
            <v>0.62</v>
          </cell>
          <cell r="L28">
            <v>3472.26</v>
          </cell>
          <cell r="M28">
            <v>279843.76</v>
          </cell>
          <cell r="N28">
            <v>53575.339999999902</v>
          </cell>
          <cell r="O28">
            <v>0</v>
          </cell>
          <cell r="R28">
            <v>616.58000000000004</v>
          </cell>
        </row>
        <row r="29">
          <cell r="G29">
            <v>18114.9399999999</v>
          </cell>
          <cell r="I29">
            <v>260.87</v>
          </cell>
          <cell r="J29">
            <v>1537.38</v>
          </cell>
          <cell r="K29">
            <v>0.05</v>
          </cell>
          <cell r="L29">
            <v>1798.3</v>
          </cell>
          <cell r="M29">
            <v>20732.369999999901</v>
          </cell>
          <cell r="N29">
            <v>4982.4099999999899</v>
          </cell>
          <cell r="O29">
            <v>0</v>
          </cell>
          <cell r="R29">
            <v>42.0399999999999</v>
          </cell>
        </row>
        <row r="30">
          <cell r="G30">
            <v>108981.95</v>
          </cell>
          <cell r="I30">
            <v>1404.71</v>
          </cell>
          <cell r="J30">
            <v>0</v>
          </cell>
          <cell r="K30">
            <v>0.25</v>
          </cell>
          <cell r="L30">
            <v>1404.96</v>
          </cell>
          <cell r="M30">
            <v>114685.22</v>
          </cell>
          <cell r="N30">
            <v>20250.73</v>
          </cell>
          <cell r="O30">
            <v>0</v>
          </cell>
          <cell r="R30">
            <v>252.87</v>
          </cell>
        </row>
        <row r="31">
          <cell r="G31">
            <v>39016.809999999903</v>
          </cell>
          <cell r="I31">
            <v>561.88</v>
          </cell>
          <cell r="J31">
            <v>4236.96</v>
          </cell>
          <cell r="K31">
            <v>0.1</v>
          </cell>
          <cell r="L31">
            <v>4798.9399999999896</v>
          </cell>
          <cell r="M31">
            <v>45718.199999999903</v>
          </cell>
          <cell r="N31">
            <v>14006.92</v>
          </cell>
          <cell r="O31">
            <v>0</v>
          </cell>
          <cell r="R31">
            <v>90.51</v>
          </cell>
        </row>
        <row r="32">
          <cell r="G32">
            <v>47377.54</v>
          </cell>
          <cell r="I32">
            <v>682.28999999999905</v>
          </cell>
          <cell r="J32">
            <v>0</v>
          </cell>
          <cell r="K32">
            <v>0.12</v>
          </cell>
          <cell r="L32">
            <v>682.40999999999894</v>
          </cell>
          <cell r="M32">
            <v>50140.959999999897</v>
          </cell>
          <cell r="N32">
            <v>15189.6</v>
          </cell>
          <cell r="O32">
            <v>0</v>
          </cell>
          <cell r="R32">
            <v>109.94</v>
          </cell>
        </row>
        <row r="33">
          <cell r="G33">
            <v>50164.47</v>
          </cell>
          <cell r="I33">
            <v>722.41999999999905</v>
          </cell>
          <cell r="J33">
            <v>3484.5599999999899</v>
          </cell>
          <cell r="K33">
            <v>0.13</v>
          </cell>
          <cell r="L33">
            <v>4207.1099999999897</v>
          </cell>
          <cell r="M33">
            <v>56635.360000000001</v>
          </cell>
          <cell r="N33">
            <v>14431.04</v>
          </cell>
          <cell r="O33">
            <v>0</v>
          </cell>
          <cell r="R33">
            <v>116.37</v>
          </cell>
        </row>
        <row r="34">
          <cell r="G34">
            <v>36182.550000000003</v>
          </cell>
          <cell r="I34">
            <v>491.63999999999902</v>
          </cell>
          <cell r="J34">
            <v>0</v>
          </cell>
          <cell r="K34">
            <v>0.08</v>
          </cell>
          <cell r="L34">
            <v>491.72</v>
          </cell>
          <cell r="M34">
            <v>38164.379999999903</v>
          </cell>
          <cell r="N34">
            <v>8615.8700000000008</v>
          </cell>
          <cell r="O34">
            <v>0</v>
          </cell>
          <cell r="R34">
            <v>83.95</v>
          </cell>
        </row>
        <row r="35">
          <cell r="G35">
            <v>33439.309999999903</v>
          </cell>
          <cell r="I35">
            <v>431.44999999999902</v>
          </cell>
          <cell r="J35">
            <v>0</v>
          </cell>
          <cell r="K35">
            <v>0.08</v>
          </cell>
          <cell r="L35">
            <v>431.52999999999901</v>
          </cell>
          <cell r="M35">
            <v>35191.910000000003</v>
          </cell>
          <cell r="N35">
            <v>6279.84</v>
          </cell>
          <cell r="O35">
            <v>0</v>
          </cell>
          <cell r="R35">
            <v>77.569999999999894</v>
          </cell>
        </row>
        <row r="36">
          <cell r="G36">
            <v>64795.769999999902</v>
          </cell>
          <cell r="I36">
            <v>933.13999999999896</v>
          </cell>
          <cell r="J36">
            <v>6275.01</v>
          </cell>
          <cell r="K36">
            <v>0.17</v>
          </cell>
          <cell r="L36">
            <v>7208.3199999999897</v>
          </cell>
          <cell r="M36">
            <v>74946.69</v>
          </cell>
          <cell r="N36">
            <v>17429.400000000001</v>
          </cell>
          <cell r="O36">
            <v>0</v>
          </cell>
          <cell r="R36">
            <v>150.349999999999</v>
          </cell>
        </row>
        <row r="37">
          <cell r="G37">
            <v>9341.3099999999904</v>
          </cell>
          <cell r="I37">
            <v>120.41</v>
          </cell>
          <cell r="J37">
            <v>0</v>
          </cell>
          <cell r="K37">
            <v>0.02</v>
          </cell>
          <cell r="L37">
            <v>120.43</v>
          </cell>
          <cell r="M37">
            <v>9830.6599999999908</v>
          </cell>
          <cell r="N37">
            <v>1749.3399999999899</v>
          </cell>
          <cell r="O37">
            <v>0</v>
          </cell>
          <cell r="R37">
            <v>21.67</v>
          </cell>
        </row>
        <row r="38">
          <cell r="G38">
            <v>37352.980000000003</v>
          </cell>
          <cell r="I38">
            <v>481.6</v>
          </cell>
          <cell r="J38">
            <v>0</v>
          </cell>
          <cell r="K38">
            <v>8.99999999999999E-2</v>
          </cell>
          <cell r="L38">
            <v>481.69</v>
          </cell>
          <cell r="M38">
            <v>39305.83</v>
          </cell>
          <cell r="N38">
            <v>6875.21</v>
          </cell>
          <cell r="O38">
            <v>0</v>
          </cell>
          <cell r="R38">
            <v>86.67</v>
          </cell>
        </row>
        <row r="39">
          <cell r="G39">
            <v>16721.490000000002</v>
          </cell>
          <cell r="I39">
            <v>240.8</v>
          </cell>
          <cell r="J39">
            <v>1637.28</v>
          </cell>
          <cell r="K39">
            <v>0.04</v>
          </cell>
          <cell r="L39">
            <v>1878.1199999999899</v>
          </cell>
          <cell r="M39">
            <v>19355.7</v>
          </cell>
          <cell r="N39">
            <v>4381.0200000000004</v>
          </cell>
          <cell r="O39">
            <v>0</v>
          </cell>
          <cell r="R39">
            <v>38.7899999999999</v>
          </cell>
        </row>
        <row r="40">
          <cell r="G40">
            <v>95649.52</v>
          </cell>
          <cell r="I40">
            <v>1264.23</v>
          </cell>
          <cell r="J40">
            <v>1283.04</v>
          </cell>
          <cell r="K40">
            <v>0.22</v>
          </cell>
          <cell r="L40">
            <v>2547.4899999999898</v>
          </cell>
          <cell r="M40">
            <v>102107.45</v>
          </cell>
          <cell r="N40">
            <v>20655.369999999901</v>
          </cell>
          <cell r="O40">
            <v>0</v>
          </cell>
          <cell r="R40">
            <v>221.94999999999899</v>
          </cell>
        </row>
        <row r="41">
          <cell r="G41">
            <v>56069.15</v>
          </cell>
          <cell r="I41">
            <v>782.62</v>
          </cell>
          <cell r="J41">
            <v>0</v>
          </cell>
          <cell r="K41">
            <v>0.14000000000000001</v>
          </cell>
          <cell r="L41">
            <v>782.75999999999897</v>
          </cell>
          <cell r="M41">
            <v>59207.87</v>
          </cell>
          <cell r="N41">
            <v>14755.33</v>
          </cell>
          <cell r="O41">
            <v>0</v>
          </cell>
          <cell r="R41">
            <v>130.099999999999</v>
          </cell>
        </row>
        <row r="42">
          <cell r="G42">
            <v>103798.539999999</v>
          </cell>
          <cell r="I42">
            <v>1444.8399999999899</v>
          </cell>
          <cell r="J42">
            <v>0</v>
          </cell>
          <cell r="K42">
            <v>0.26</v>
          </cell>
          <cell r="L42">
            <v>1445.0999999999899</v>
          </cell>
          <cell r="M42">
            <v>109606.50999999901</v>
          </cell>
          <cell r="N42">
            <v>27357.65</v>
          </cell>
          <cell r="O42">
            <v>0</v>
          </cell>
          <cell r="R42">
            <v>240.83</v>
          </cell>
        </row>
        <row r="43">
          <cell r="G43">
            <v>4180.3699999999899</v>
          </cell>
          <cell r="I43">
            <v>60.2</v>
          </cell>
          <cell r="J43">
            <v>0</v>
          </cell>
          <cell r="K43">
            <v>0.01</v>
          </cell>
          <cell r="L43">
            <v>60.21</v>
          </cell>
          <cell r="M43">
            <v>4426.8500000000004</v>
          </cell>
          <cell r="N43">
            <v>1421.05</v>
          </cell>
          <cell r="O43">
            <v>0</v>
          </cell>
          <cell r="R43">
            <v>9.6999999999999904</v>
          </cell>
        </row>
        <row r="44">
          <cell r="G44">
            <v>37623.349999999897</v>
          </cell>
          <cell r="I44">
            <v>541.80999999999904</v>
          </cell>
          <cell r="J44">
            <v>3018.2199999999898</v>
          </cell>
          <cell r="K44">
            <v>0.1</v>
          </cell>
          <cell r="L44">
            <v>3560.13</v>
          </cell>
          <cell r="M44">
            <v>42868.769999999902</v>
          </cell>
          <cell r="N44">
            <v>10036.73</v>
          </cell>
          <cell r="O44">
            <v>0</v>
          </cell>
          <cell r="R44">
            <v>87.299999999999898</v>
          </cell>
        </row>
        <row r="45">
          <cell r="G45">
            <v>49467.739999999903</v>
          </cell>
          <cell r="I45">
            <v>712.38999999999896</v>
          </cell>
          <cell r="J45">
            <v>0</v>
          </cell>
          <cell r="K45">
            <v>0.13</v>
          </cell>
          <cell r="L45">
            <v>712.51999999999896</v>
          </cell>
          <cell r="M45">
            <v>52352.76</v>
          </cell>
          <cell r="N45">
            <v>15849.629999999899</v>
          </cell>
          <cell r="O45">
            <v>0</v>
          </cell>
          <cell r="R45">
            <v>114.77</v>
          </cell>
        </row>
        <row r="46">
          <cell r="G46">
            <v>6376.75</v>
          </cell>
          <cell r="I46">
            <v>80.269999999999897</v>
          </cell>
          <cell r="J46">
            <v>0</v>
          </cell>
          <cell r="K46">
            <v>0.01</v>
          </cell>
          <cell r="L46">
            <v>80.28</v>
          </cell>
          <cell r="M46">
            <v>6701.4799999999896</v>
          </cell>
          <cell r="N46">
            <v>972.2</v>
          </cell>
          <cell r="O46">
            <v>0</v>
          </cell>
          <cell r="R46">
            <v>14.81</v>
          </cell>
        </row>
        <row r="47">
          <cell r="G47">
            <v>33442.980000000003</v>
          </cell>
          <cell r="I47">
            <v>481.62</v>
          </cell>
          <cell r="J47">
            <v>1200.96</v>
          </cell>
          <cell r="K47">
            <v>8.99999999999999E-2</v>
          </cell>
          <cell r="L47">
            <v>1682.67</v>
          </cell>
          <cell r="M47">
            <v>36612.589999999902</v>
          </cell>
          <cell r="N47">
            <v>10067.41</v>
          </cell>
          <cell r="O47">
            <v>0</v>
          </cell>
          <cell r="R47">
            <v>77.59</v>
          </cell>
        </row>
        <row r="48">
          <cell r="G48">
            <v>34592.519999999902</v>
          </cell>
          <cell r="I48">
            <v>481.62</v>
          </cell>
          <cell r="J48">
            <v>0</v>
          </cell>
          <cell r="K48">
            <v>8.99999999999999E-2</v>
          </cell>
          <cell r="L48">
            <v>481.70999999999901</v>
          </cell>
          <cell r="M48">
            <v>36526.75</v>
          </cell>
          <cell r="N48">
            <v>9073.25</v>
          </cell>
          <cell r="O48">
            <v>0</v>
          </cell>
          <cell r="R48">
            <v>80.28</v>
          </cell>
        </row>
        <row r="49">
          <cell r="G49">
            <v>18641.84</v>
          </cell>
          <cell r="I49">
            <v>260.88999999999902</v>
          </cell>
          <cell r="J49">
            <v>2141.88</v>
          </cell>
          <cell r="K49">
            <v>0.05</v>
          </cell>
          <cell r="L49">
            <v>2402.8200000000002</v>
          </cell>
          <cell r="M49">
            <v>21876.93</v>
          </cell>
          <cell r="N49">
            <v>4251.7700000000004</v>
          </cell>
          <cell r="O49">
            <v>0</v>
          </cell>
          <cell r="R49">
            <v>43.25</v>
          </cell>
        </row>
        <row r="50">
          <cell r="G50">
            <v>17296.2599999999</v>
          </cell>
          <cell r="I50">
            <v>240.8</v>
          </cell>
          <cell r="J50">
            <v>736.08</v>
          </cell>
          <cell r="K50">
            <v>0.04</v>
          </cell>
          <cell r="L50">
            <v>976.91999999999905</v>
          </cell>
          <cell r="M50">
            <v>19041.5</v>
          </cell>
          <cell r="N50">
            <v>5077.3</v>
          </cell>
          <cell r="O50">
            <v>0</v>
          </cell>
          <cell r="R50">
            <v>40.14</v>
          </cell>
        </row>
        <row r="51">
          <cell r="G51">
            <v>33442.980000000003</v>
          </cell>
          <cell r="I51">
            <v>481.62</v>
          </cell>
          <cell r="J51">
            <v>0</v>
          </cell>
          <cell r="K51">
            <v>8.99999999999999E-2</v>
          </cell>
          <cell r="L51">
            <v>481.70999999999901</v>
          </cell>
          <cell r="M51">
            <v>35370.68</v>
          </cell>
          <cell r="N51">
            <v>10024.120000000001</v>
          </cell>
          <cell r="O51">
            <v>0</v>
          </cell>
          <cell r="R51">
            <v>77.59</v>
          </cell>
        </row>
        <row r="52">
          <cell r="G52">
            <v>105314.61</v>
          </cell>
          <cell r="I52">
            <v>1505.04</v>
          </cell>
          <cell r="J52">
            <v>4963.1000000000004</v>
          </cell>
          <cell r="K52">
            <v>0.27</v>
          </cell>
          <cell r="L52">
            <v>6468.4099999999899</v>
          </cell>
          <cell r="M52">
            <v>116430.28</v>
          </cell>
          <cell r="N52">
            <v>29463.72</v>
          </cell>
          <cell r="O52">
            <v>0</v>
          </cell>
          <cell r="R52">
            <v>244.37</v>
          </cell>
        </row>
        <row r="53">
          <cell r="G53">
            <v>134432.149999999</v>
          </cell>
          <cell r="I53">
            <v>1710.73</v>
          </cell>
          <cell r="J53">
            <v>0</v>
          </cell>
          <cell r="K53">
            <v>0.29999999999999899</v>
          </cell>
          <cell r="L53">
            <v>1711.03</v>
          </cell>
          <cell r="M53">
            <v>141362.239999999</v>
          </cell>
          <cell r="N53">
            <v>22481.25</v>
          </cell>
          <cell r="O53">
            <v>0</v>
          </cell>
          <cell r="R53">
            <v>311.89999999999901</v>
          </cell>
        </row>
        <row r="54">
          <cell r="G54">
            <v>35937.419999999896</v>
          </cell>
          <cell r="I54">
            <v>491.66</v>
          </cell>
          <cell r="J54">
            <v>1788.75</v>
          </cell>
          <cell r="K54">
            <v>8.99999999999999E-2</v>
          </cell>
          <cell r="L54">
            <v>2280.5</v>
          </cell>
          <cell r="M54">
            <v>39739.040000000001</v>
          </cell>
          <cell r="N54">
            <v>8014.77</v>
          </cell>
          <cell r="O54">
            <v>0</v>
          </cell>
          <cell r="R54">
            <v>83.379999999999896</v>
          </cell>
        </row>
        <row r="55">
          <cell r="G55">
            <v>196231.04000000001</v>
          </cell>
          <cell r="I55">
            <v>2548.5300000000002</v>
          </cell>
          <cell r="J55">
            <v>0</v>
          </cell>
          <cell r="K55">
            <v>0.45</v>
          </cell>
          <cell r="L55">
            <v>2548.98</v>
          </cell>
          <cell r="M55">
            <v>206651.95</v>
          </cell>
          <cell r="N55">
            <v>40470.169999999896</v>
          </cell>
          <cell r="O55">
            <v>0</v>
          </cell>
          <cell r="R55">
            <v>455.31</v>
          </cell>
        </row>
        <row r="56">
          <cell r="G56">
            <v>20724.45</v>
          </cell>
          <cell r="I56">
            <v>260.87</v>
          </cell>
          <cell r="J56">
            <v>0</v>
          </cell>
          <cell r="K56">
            <v>0.05</v>
          </cell>
          <cell r="L56">
            <v>260.92</v>
          </cell>
          <cell r="M56">
            <v>21782.209999999901</v>
          </cell>
          <cell r="N56">
            <v>3232.65</v>
          </cell>
          <cell r="O56">
            <v>0</v>
          </cell>
          <cell r="R56">
            <v>48.079999999999899</v>
          </cell>
        </row>
        <row r="57">
          <cell r="G57">
            <v>8360.7399999999907</v>
          </cell>
          <cell r="I57">
            <v>120.41</v>
          </cell>
          <cell r="J57">
            <v>965.75999999999897</v>
          </cell>
          <cell r="K57">
            <v>0.02</v>
          </cell>
          <cell r="L57">
            <v>1086.19</v>
          </cell>
          <cell r="M57">
            <v>9829.9500000000007</v>
          </cell>
          <cell r="N57">
            <v>2193.69</v>
          </cell>
          <cell r="O57">
            <v>0</v>
          </cell>
          <cell r="R57">
            <v>19.399999999999899</v>
          </cell>
        </row>
        <row r="58">
          <cell r="G58">
            <v>37291.68</v>
          </cell>
          <cell r="I58">
            <v>481.6</v>
          </cell>
          <cell r="J58">
            <v>0</v>
          </cell>
          <cell r="K58">
            <v>0.08</v>
          </cell>
          <cell r="L58">
            <v>481.68</v>
          </cell>
          <cell r="M58">
            <v>39244.44</v>
          </cell>
          <cell r="N58">
            <v>6936.84</v>
          </cell>
          <cell r="O58">
            <v>0</v>
          </cell>
          <cell r="R58">
            <v>86.519999999999897</v>
          </cell>
        </row>
        <row r="59">
          <cell r="G59">
            <v>9304.5300000000007</v>
          </cell>
          <cell r="I59">
            <v>120.41</v>
          </cell>
          <cell r="J59">
            <v>0</v>
          </cell>
          <cell r="K59">
            <v>0.02</v>
          </cell>
          <cell r="L59">
            <v>120.43</v>
          </cell>
          <cell r="M59">
            <v>9797.5400000000009</v>
          </cell>
          <cell r="N59">
            <v>1898.26</v>
          </cell>
          <cell r="O59">
            <v>0</v>
          </cell>
          <cell r="R59">
            <v>21.59</v>
          </cell>
        </row>
        <row r="60">
          <cell r="G60">
            <v>50598.76</v>
          </cell>
          <cell r="I60">
            <v>652.17999999999904</v>
          </cell>
          <cell r="J60">
            <v>0</v>
          </cell>
          <cell r="K60">
            <v>0.12</v>
          </cell>
          <cell r="L60">
            <v>652.29999999999905</v>
          </cell>
          <cell r="M60">
            <v>53237.61</v>
          </cell>
          <cell r="N60">
            <v>9125.4899999999907</v>
          </cell>
          <cell r="O60">
            <v>0</v>
          </cell>
          <cell r="R60">
            <v>117.38</v>
          </cell>
        </row>
        <row r="61">
          <cell r="G61">
            <v>29580.81</v>
          </cell>
          <cell r="I61">
            <v>381.27999999999901</v>
          </cell>
          <cell r="J61">
            <v>0</v>
          </cell>
          <cell r="K61">
            <v>7.0000000000000007E-2</v>
          </cell>
          <cell r="L61">
            <v>381.35</v>
          </cell>
          <cell r="M61">
            <v>31131.97</v>
          </cell>
          <cell r="N61">
            <v>5594</v>
          </cell>
          <cell r="O61">
            <v>0</v>
          </cell>
          <cell r="R61">
            <v>68.62</v>
          </cell>
        </row>
        <row r="62">
          <cell r="G62">
            <v>8360.7399999999907</v>
          </cell>
          <cell r="I62">
            <v>120.41</v>
          </cell>
          <cell r="J62">
            <v>1038.1199999999899</v>
          </cell>
          <cell r="K62">
            <v>0.02</v>
          </cell>
          <cell r="L62">
            <v>1158.55</v>
          </cell>
          <cell r="M62">
            <v>9902.3099999999904</v>
          </cell>
          <cell r="N62">
            <v>2121.3299999999899</v>
          </cell>
          <cell r="O62">
            <v>0</v>
          </cell>
          <cell r="R62">
            <v>19.399999999999899</v>
          </cell>
        </row>
        <row r="63">
          <cell r="G63">
            <v>50164.47</v>
          </cell>
          <cell r="I63">
            <v>722.41999999999905</v>
          </cell>
          <cell r="J63">
            <v>5826.4799999999896</v>
          </cell>
          <cell r="K63">
            <v>0.13</v>
          </cell>
          <cell r="L63">
            <v>6549.0299999999897</v>
          </cell>
          <cell r="M63">
            <v>59019.91</v>
          </cell>
          <cell r="N63">
            <v>13384.25</v>
          </cell>
          <cell r="O63">
            <v>0</v>
          </cell>
          <cell r="R63">
            <v>116.37</v>
          </cell>
        </row>
        <row r="64">
          <cell r="G64">
            <v>252999.45</v>
          </cell>
          <cell r="I64">
            <v>3602.0599999999899</v>
          </cell>
          <cell r="J64">
            <v>16813.41</v>
          </cell>
          <cell r="K64">
            <v>0.64</v>
          </cell>
          <cell r="L64">
            <v>20416.11</v>
          </cell>
          <cell r="M64">
            <v>284701.679999999</v>
          </cell>
          <cell r="N64">
            <v>69602.86</v>
          </cell>
          <cell r="O64">
            <v>0</v>
          </cell>
          <cell r="R64">
            <v>587.00999999999897</v>
          </cell>
        </row>
        <row r="65">
          <cell r="G65">
            <v>85480.08</v>
          </cell>
          <cell r="I65">
            <v>1168.92</v>
          </cell>
          <cell r="J65">
            <v>0</v>
          </cell>
          <cell r="K65">
            <v>0.2</v>
          </cell>
          <cell r="L65">
            <v>1169.1199999999899</v>
          </cell>
          <cell r="M65">
            <v>90222.52</v>
          </cell>
          <cell r="N65">
            <v>21952.389999999901</v>
          </cell>
          <cell r="O65">
            <v>0</v>
          </cell>
          <cell r="R65">
            <v>198.31</v>
          </cell>
        </row>
        <row r="66">
          <cell r="G66">
            <v>28802.369999999901</v>
          </cell>
          <cell r="I66">
            <v>371.24</v>
          </cell>
          <cell r="J66">
            <v>0</v>
          </cell>
          <cell r="K66">
            <v>7.0000000000000007E-2</v>
          </cell>
          <cell r="L66">
            <v>371.31</v>
          </cell>
          <cell r="M66">
            <v>30310.09</v>
          </cell>
          <cell r="N66">
            <v>5365.96</v>
          </cell>
          <cell r="O66">
            <v>0</v>
          </cell>
          <cell r="R66">
            <v>66.819999999999894</v>
          </cell>
        </row>
        <row r="67">
          <cell r="G67">
            <v>25082.23</v>
          </cell>
          <cell r="I67">
            <v>361.19999999999902</v>
          </cell>
          <cell r="J67">
            <v>2956.6799999999898</v>
          </cell>
          <cell r="K67">
            <v>5.9999999999999901E-2</v>
          </cell>
          <cell r="L67">
            <v>3317.94</v>
          </cell>
          <cell r="M67">
            <v>29555.139999999901</v>
          </cell>
          <cell r="N67">
            <v>6702.38</v>
          </cell>
          <cell r="O67">
            <v>0</v>
          </cell>
          <cell r="R67">
            <v>58.2</v>
          </cell>
        </row>
        <row r="68">
          <cell r="G68">
            <v>25082.23</v>
          </cell>
          <cell r="I68">
            <v>361.19999999999902</v>
          </cell>
          <cell r="J68">
            <v>0</v>
          </cell>
          <cell r="K68">
            <v>5.9999999999999901E-2</v>
          </cell>
          <cell r="L68">
            <v>361.25999999999902</v>
          </cell>
          <cell r="M68">
            <v>26540.4199999999</v>
          </cell>
          <cell r="N68">
            <v>7896.1</v>
          </cell>
          <cell r="O68">
            <v>0</v>
          </cell>
          <cell r="R68">
            <v>58.2</v>
          </cell>
        </row>
        <row r="69">
          <cell r="G69">
            <v>0</v>
          </cell>
          <cell r="I69">
            <v>0</v>
          </cell>
          <cell r="J69">
            <v>118192.73</v>
          </cell>
          <cell r="K69">
            <v>0</v>
          </cell>
          <cell r="L69">
            <v>118192.73</v>
          </cell>
          <cell r="M69">
            <v>118192.73</v>
          </cell>
          <cell r="N69">
            <v>-118192.73</v>
          </cell>
          <cell r="O69">
            <v>0</v>
          </cell>
          <cell r="R69">
            <v>0</v>
          </cell>
        </row>
        <row r="70">
          <cell r="G70">
            <v>184593.34</v>
          </cell>
          <cell r="I70">
            <v>2613.7600000000002</v>
          </cell>
          <cell r="J70">
            <v>7569.96</v>
          </cell>
          <cell r="K70">
            <v>0.46999999999999897</v>
          </cell>
          <cell r="L70">
            <v>10184.19</v>
          </cell>
          <cell r="M70">
            <v>202920.6</v>
          </cell>
          <cell r="N70">
            <v>52714.54</v>
          </cell>
          <cell r="O70">
            <v>0</v>
          </cell>
          <cell r="R70">
            <v>428.29</v>
          </cell>
        </row>
        <row r="71">
          <cell r="G71">
            <v>61482.44</v>
          </cell>
          <cell r="I71">
            <v>802.7</v>
          </cell>
          <cell r="J71">
            <v>0</v>
          </cell>
          <cell r="K71">
            <v>0.149999999999999</v>
          </cell>
          <cell r="L71">
            <v>802.85</v>
          </cell>
          <cell r="M71">
            <v>64765.23</v>
          </cell>
          <cell r="N71">
            <v>13088.61</v>
          </cell>
          <cell r="O71">
            <v>0</v>
          </cell>
          <cell r="R71">
            <v>142.63999999999899</v>
          </cell>
        </row>
        <row r="72">
          <cell r="G72">
            <v>3991.6399999999899</v>
          </cell>
          <cell r="I72">
            <v>50.159999999999897</v>
          </cell>
          <cell r="J72">
            <v>0</v>
          </cell>
          <cell r="K72">
            <v>0.01</v>
          </cell>
          <cell r="L72">
            <v>50.17</v>
          </cell>
          <cell r="M72">
            <v>4195.46</v>
          </cell>
          <cell r="N72">
            <v>629.53999999999905</v>
          </cell>
          <cell r="O72">
            <v>0</v>
          </cell>
          <cell r="R72">
            <v>9.2699999999999907</v>
          </cell>
        </row>
        <row r="73">
          <cell r="G73">
            <v>58383.18</v>
          </cell>
          <cell r="I73">
            <v>752.52999999999895</v>
          </cell>
          <cell r="J73">
            <v>0</v>
          </cell>
          <cell r="K73">
            <v>0.13</v>
          </cell>
          <cell r="L73">
            <v>752.65999999999894</v>
          </cell>
          <cell r="M73">
            <v>61462.83</v>
          </cell>
          <cell r="N73">
            <v>11587.67</v>
          </cell>
          <cell r="O73">
            <v>0</v>
          </cell>
          <cell r="R73">
            <v>135.47</v>
          </cell>
        </row>
        <row r="74">
          <cell r="G74">
            <v>100516.16</v>
          </cell>
          <cell r="I74">
            <v>1424.77</v>
          </cell>
          <cell r="J74">
            <v>5164.22</v>
          </cell>
          <cell r="K74">
            <v>0.25</v>
          </cell>
          <cell r="L74">
            <v>6589.2399999999898</v>
          </cell>
          <cell r="M74">
            <v>111562.63</v>
          </cell>
          <cell r="N74">
            <v>28363.81</v>
          </cell>
          <cell r="O74">
            <v>0</v>
          </cell>
          <cell r="R74">
            <v>233.22</v>
          </cell>
        </row>
        <row r="75">
          <cell r="G75">
            <v>456390.71</v>
          </cell>
          <cell r="I75">
            <v>6311.17</v>
          </cell>
          <cell r="J75">
            <v>11144.36</v>
          </cell>
          <cell r="K75">
            <v>1.1299999999999899</v>
          </cell>
          <cell r="L75">
            <v>17456.66</v>
          </cell>
          <cell r="M75">
            <v>493761.72999999899</v>
          </cell>
          <cell r="N75">
            <v>131411.23000000001</v>
          </cell>
          <cell r="O75">
            <v>0</v>
          </cell>
          <cell r="R75">
            <v>1058.95</v>
          </cell>
        </row>
        <row r="76">
          <cell r="G76">
            <v>281541.65999999898</v>
          </cell>
          <cell r="I76">
            <v>3973.32</v>
          </cell>
          <cell r="J76">
            <v>29409.360000000001</v>
          </cell>
          <cell r="K76">
            <v>0.70999999999999897</v>
          </cell>
          <cell r="L76">
            <v>33383.389999999898</v>
          </cell>
          <cell r="M76">
            <v>327529.77</v>
          </cell>
          <cell r="N76">
            <v>68170.350000000006</v>
          </cell>
          <cell r="O76">
            <v>0</v>
          </cell>
          <cell r="R76">
            <v>653.23</v>
          </cell>
        </row>
        <row r="77">
          <cell r="G77">
            <v>7784.43</v>
          </cell>
          <cell r="I77">
            <v>100.34</v>
          </cell>
          <cell r="J77">
            <v>0</v>
          </cell>
          <cell r="K77">
            <v>0.02</v>
          </cell>
          <cell r="L77">
            <v>100.36</v>
          </cell>
          <cell r="M77">
            <v>8194.3199999999906</v>
          </cell>
          <cell r="N77">
            <v>1523.28</v>
          </cell>
          <cell r="O77">
            <v>0</v>
          </cell>
          <cell r="R77">
            <v>18.05</v>
          </cell>
        </row>
        <row r="78">
          <cell r="G78">
            <v>226663.28</v>
          </cell>
          <cell r="I78">
            <v>3200.69</v>
          </cell>
          <cell r="J78">
            <v>4457.2799999999897</v>
          </cell>
          <cell r="K78">
            <v>0.56000000000000005</v>
          </cell>
          <cell r="L78">
            <v>7658.5299999999897</v>
          </cell>
          <cell r="M78">
            <v>244138.859999999</v>
          </cell>
          <cell r="N78">
            <v>64045.699999999903</v>
          </cell>
          <cell r="O78">
            <v>0</v>
          </cell>
          <cell r="R78">
            <v>525.90999999999894</v>
          </cell>
        </row>
        <row r="79">
          <cell r="G79">
            <v>25082.23</v>
          </cell>
          <cell r="I79">
            <v>361.19999999999902</v>
          </cell>
          <cell r="J79">
            <v>2047.3199999999899</v>
          </cell>
          <cell r="K79">
            <v>5.9999999999999901E-2</v>
          </cell>
          <cell r="L79">
            <v>2408.5799999999899</v>
          </cell>
          <cell r="M79">
            <v>28632.2599999999</v>
          </cell>
          <cell r="N79">
            <v>7199.8599999999897</v>
          </cell>
          <cell r="O79">
            <v>0</v>
          </cell>
          <cell r="R79">
            <v>58.2</v>
          </cell>
        </row>
        <row r="80">
          <cell r="G80">
            <v>26136.02</v>
          </cell>
          <cell r="I80">
            <v>361.20999999999901</v>
          </cell>
          <cell r="J80">
            <v>0</v>
          </cell>
          <cell r="K80">
            <v>5.9999999999999901E-2</v>
          </cell>
          <cell r="L80">
            <v>361.26999999999902</v>
          </cell>
          <cell r="M80">
            <v>27590.32</v>
          </cell>
          <cell r="N80">
            <v>6723.68</v>
          </cell>
          <cell r="O80">
            <v>0</v>
          </cell>
          <cell r="R80">
            <v>60.649999999999899</v>
          </cell>
        </row>
        <row r="81">
          <cell r="G81">
            <v>16721.490000000002</v>
          </cell>
          <cell r="I81">
            <v>240.8</v>
          </cell>
          <cell r="J81">
            <v>1779.1199999999899</v>
          </cell>
          <cell r="K81">
            <v>0.04</v>
          </cell>
          <cell r="L81">
            <v>2019.96</v>
          </cell>
          <cell r="M81">
            <v>19518.389999999901</v>
          </cell>
          <cell r="N81">
            <v>4871.8500000000004</v>
          </cell>
          <cell r="O81">
            <v>0</v>
          </cell>
          <cell r="R81">
            <v>38.7899999999999</v>
          </cell>
        </row>
        <row r="82">
          <cell r="G82">
            <v>16721.490000000002</v>
          </cell>
          <cell r="I82">
            <v>240.8</v>
          </cell>
          <cell r="J82">
            <v>1742.4</v>
          </cell>
          <cell r="K82">
            <v>0.04</v>
          </cell>
          <cell r="L82">
            <v>1983.24</v>
          </cell>
          <cell r="M82">
            <v>19519.139999999901</v>
          </cell>
          <cell r="N82">
            <v>6047.1</v>
          </cell>
          <cell r="O82">
            <v>0</v>
          </cell>
          <cell r="R82">
            <v>38.7899999999999</v>
          </cell>
        </row>
        <row r="83">
          <cell r="G83">
            <v>9754.2000000000007</v>
          </cell>
          <cell r="I83">
            <v>140.479999999999</v>
          </cell>
          <cell r="J83">
            <v>0</v>
          </cell>
          <cell r="K83">
            <v>2.9999999999999898E-2</v>
          </cell>
          <cell r="L83">
            <v>140.509999999999</v>
          </cell>
          <cell r="M83">
            <v>10323.780000000001</v>
          </cell>
          <cell r="N83">
            <v>3145.76</v>
          </cell>
          <cell r="O83">
            <v>0</v>
          </cell>
          <cell r="R83">
            <v>22.64</v>
          </cell>
        </row>
        <row r="84">
          <cell r="G84">
            <v>16721.490000000002</v>
          </cell>
          <cell r="I84">
            <v>240.8</v>
          </cell>
          <cell r="J84">
            <v>1379.76</v>
          </cell>
          <cell r="K84">
            <v>0.04</v>
          </cell>
          <cell r="L84">
            <v>1620.5999999999899</v>
          </cell>
          <cell r="M84">
            <v>19115.73</v>
          </cell>
          <cell r="N84">
            <v>5170.3500000000004</v>
          </cell>
          <cell r="O84">
            <v>0</v>
          </cell>
          <cell r="R84">
            <v>38.7899999999999</v>
          </cell>
        </row>
        <row r="85">
          <cell r="G85">
            <v>25082.23</v>
          </cell>
          <cell r="I85">
            <v>361.19999999999902</v>
          </cell>
          <cell r="J85">
            <v>1399.3199999999899</v>
          </cell>
          <cell r="K85">
            <v>5.9999999999999901E-2</v>
          </cell>
          <cell r="L85">
            <v>1760.5799999999899</v>
          </cell>
          <cell r="M85">
            <v>27985.54</v>
          </cell>
          <cell r="N85">
            <v>7887.38</v>
          </cell>
          <cell r="O85">
            <v>0</v>
          </cell>
          <cell r="R85">
            <v>58.2</v>
          </cell>
        </row>
        <row r="86">
          <cell r="G86">
            <v>8360.7399999999907</v>
          </cell>
          <cell r="I86">
            <v>120.41</v>
          </cell>
          <cell r="J86">
            <v>0</v>
          </cell>
          <cell r="K86">
            <v>0.02</v>
          </cell>
          <cell r="L86">
            <v>120.43</v>
          </cell>
          <cell r="M86">
            <v>8843.2299999999905</v>
          </cell>
          <cell r="N86">
            <v>2522.5700000000002</v>
          </cell>
          <cell r="O86">
            <v>0</v>
          </cell>
          <cell r="R86">
            <v>19.399999999999899</v>
          </cell>
        </row>
        <row r="87">
          <cell r="G87">
            <v>25507.0099999999</v>
          </cell>
          <cell r="I87">
            <v>321.07999999999902</v>
          </cell>
          <cell r="J87">
            <v>0</v>
          </cell>
          <cell r="K87">
            <v>5.9999999999999901E-2</v>
          </cell>
          <cell r="L87">
            <v>321.13999999999902</v>
          </cell>
          <cell r="M87">
            <v>26808.25</v>
          </cell>
          <cell r="N87">
            <v>3961.7399999999898</v>
          </cell>
          <cell r="O87">
            <v>0</v>
          </cell>
          <cell r="R87">
            <v>59.18</v>
          </cell>
        </row>
        <row r="88">
          <cell r="G88">
            <v>16721.490000000002</v>
          </cell>
          <cell r="I88">
            <v>240.8</v>
          </cell>
          <cell r="J88">
            <v>0</v>
          </cell>
          <cell r="K88">
            <v>0.04</v>
          </cell>
          <cell r="L88">
            <v>240.84</v>
          </cell>
          <cell r="M88">
            <v>17684.25</v>
          </cell>
          <cell r="N88">
            <v>4978.9499999999898</v>
          </cell>
          <cell r="O88">
            <v>0</v>
          </cell>
          <cell r="R88">
            <v>38.7899999999999</v>
          </cell>
        </row>
        <row r="89">
          <cell r="G89">
            <v>16721.490000000002</v>
          </cell>
          <cell r="I89">
            <v>240.8</v>
          </cell>
          <cell r="J89">
            <v>0</v>
          </cell>
          <cell r="K89">
            <v>0.04</v>
          </cell>
          <cell r="L89">
            <v>240.84</v>
          </cell>
          <cell r="M89">
            <v>17698.7599999999</v>
          </cell>
          <cell r="N89">
            <v>5420.4399999999896</v>
          </cell>
          <cell r="O89">
            <v>0</v>
          </cell>
          <cell r="R89">
            <v>38.7899999999999</v>
          </cell>
        </row>
        <row r="90">
          <cell r="G90">
            <v>9341.3099999999904</v>
          </cell>
          <cell r="I90">
            <v>120.41</v>
          </cell>
          <cell r="J90">
            <v>0</v>
          </cell>
          <cell r="K90">
            <v>0.02</v>
          </cell>
          <cell r="L90">
            <v>120.43</v>
          </cell>
          <cell r="M90">
            <v>9829.5</v>
          </cell>
          <cell r="N90">
            <v>1715.8199999999899</v>
          </cell>
          <cell r="O90">
            <v>0</v>
          </cell>
          <cell r="R90">
            <v>21.67</v>
          </cell>
        </row>
        <row r="91">
          <cell r="G91">
            <v>33442.980000000003</v>
          </cell>
          <cell r="I91">
            <v>481.62</v>
          </cell>
          <cell r="J91">
            <v>0</v>
          </cell>
          <cell r="K91">
            <v>8.99999999999999E-2</v>
          </cell>
          <cell r="L91">
            <v>481.70999999999901</v>
          </cell>
          <cell r="M91">
            <v>35375.040000000001</v>
          </cell>
          <cell r="N91">
            <v>10156.559999999899</v>
          </cell>
          <cell r="O91">
            <v>0</v>
          </cell>
          <cell r="R91">
            <v>77.59</v>
          </cell>
        </row>
        <row r="92">
          <cell r="G92">
            <v>42609.089999999902</v>
          </cell>
          <cell r="I92">
            <v>602</v>
          </cell>
          <cell r="J92">
            <v>0</v>
          </cell>
          <cell r="K92">
            <v>0.1</v>
          </cell>
          <cell r="L92">
            <v>602.1</v>
          </cell>
          <cell r="M92">
            <v>45028.65</v>
          </cell>
          <cell r="N92">
            <v>12025.35</v>
          </cell>
          <cell r="O92">
            <v>0</v>
          </cell>
          <cell r="R92">
            <v>98.879999999999896</v>
          </cell>
        </row>
        <row r="93">
          <cell r="G93">
            <v>19927.36</v>
          </cell>
          <cell r="I93">
            <v>250.84</v>
          </cell>
          <cell r="J93">
            <v>0</v>
          </cell>
          <cell r="K93">
            <v>0.04</v>
          </cell>
          <cell r="L93">
            <v>250.88</v>
          </cell>
          <cell r="M93">
            <v>20944.3499999999</v>
          </cell>
          <cell r="N93">
            <v>3108.15</v>
          </cell>
          <cell r="O93">
            <v>0</v>
          </cell>
          <cell r="R93">
            <v>46.24</v>
          </cell>
        </row>
        <row r="94">
          <cell r="G94">
            <v>34248.279999999897</v>
          </cell>
          <cell r="I94">
            <v>481.6</v>
          </cell>
          <cell r="J94">
            <v>1075.68</v>
          </cell>
          <cell r="K94">
            <v>0.08</v>
          </cell>
          <cell r="L94">
            <v>1557.3599999999899</v>
          </cell>
          <cell r="M94">
            <v>37309.18</v>
          </cell>
          <cell r="N94">
            <v>9890.8999999999905</v>
          </cell>
          <cell r="O94">
            <v>0</v>
          </cell>
          <cell r="R94">
            <v>79.469999999999899</v>
          </cell>
        </row>
        <row r="95">
          <cell r="G95">
            <v>346361.75</v>
          </cell>
          <cell r="I95">
            <v>4715.8</v>
          </cell>
          <cell r="J95">
            <v>0</v>
          </cell>
          <cell r="K95">
            <v>0.84999999999999898</v>
          </cell>
          <cell r="L95">
            <v>4716.6499999999896</v>
          </cell>
          <cell r="M95">
            <v>365443.52</v>
          </cell>
          <cell r="N95">
            <v>85522.399999999907</v>
          </cell>
          <cell r="O95">
            <v>0</v>
          </cell>
          <cell r="R95">
            <v>803.61</v>
          </cell>
        </row>
        <row r="96">
          <cell r="G96">
            <v>19159.86</v>
          </cell>
          <cell r="I96">
            <v>240.8</v>
          </cell>
          <cell r="J96">
            <v>0</v>
          </cell>
          <cell r="K96">
            <v>0.04</v>
          </cell>
          <cell r="L96">
            <v>240.84</v>
          </cell>
          <cell r="M96">
            <v>20151.709999999901</v>
          </cell>
          <cell r="N96">
            <v>3425.17</v>
          </cell>
          <cell r="O96">
            <v>0</v>
          </cell>
          <cell r="R96">
            <v>44.46</v>
          </cell>
        </row>
        <row r="97">
          <cell r="G97">
            <v>3985.4699999999898</v>
          </cell>
          <cell r="I97">
            <v>50.159999999999897</v>
          </cell>
          <cell r="J97">
            <v>0</v>
          </cell>
          <cell r="K97">
            <v>0.01</v>
          </cell>
          <cell r="L97">
            <v>50.17</v>
          </cell>
          <cell r="M97">
            <v>4189.9399999999896</v>
          </cell>
          <cell r="N97">
            <v>654.36</v>
          </cell>
          <cell r="O97">
            <v>0</v>
          </cell>
          <cell r="R97">
            <v>9.2599999999999891</v>
          </cell>
        </row>
        <row r="98">
          <cell r="G98">
            <v>27869.139999999901</v>
          </cell>
          <cell r="I98">
            <v>401.33999999999901</v>
          </cell>
          <cell r="J98">
            <v>2611.84</v>
          </cell>
          <cell r="K98">
            <v>7.0000000000000007E-2</v>
          </cell>
          <cell r="L98">
            <v>3013.25</v>
          </cell>
          <cell r="M98">
            <v>32146.029999999901</v>
          </cell>
          <cell r="N98">
            <v>7522.81</v>
          </cell>
          <cell r="O98">
            <v>0</v>
          </cell>
          <cell r="R98">
            <v>64.680000000000007</v>
          </cell>
        </row>
        <row r="99">
          <cell r="G99">
            <v>21704.779999999901</v>
          </cell>
          <cell r="I99">
            <v>301.00999999999902</v>
          </cell>
          <cell r="J99">
            <v>0</v>
          </cell>
          <cell r="K99">
            <v>0.05</v>
          </cell>
          <cell r="L99">
            <v>301.06</v>
          </cell>
          <cell r="M99">
            <v>22922.5</v>
          </cell>
          <cell r="N99">
            <v>5853.8</v>
          </cell>
          <cell r="O99">
            <v>0</v>
          </cell>
          <cell r="R99">
            <v>50.369999999999898</v>
          </cell>
        </row>
        <row r="100">
          <cell r="G100">
            <v>6967.29</v>
          </cell>
          <cell r="I100">
            <v>100.34</v>
          </cell>
          <cell r="J100">
            <v>0</v>
          </cell>
          <cell r="K100">
            <v>0.02</v>
          </cell>
          <cell r="L100">
            <v>100.36</v>
          </cell>
          <cell r="M100">
            <v>7368.4499999999898</v>
          </cell>
          <cell r="N100">
            <v>2074.5500000000002</v>
          </cell>
          <cell r="O100">
            <v>0</v>
          </cell>
          <cell r="R100">
            <v>16.149999999999899</v>
          </cell>
        </row>
        <row r="101">
          <cell r="G101">
            <v>16721.490000000002</v>
          </cell>
          <cell r="I101">
            <v>240.8</v>
          </cell>
          <cell r="J101">
            <v>1518.96</v>
          </cell>
          <cell r="K101">
            <v>0.04</v>
          </cell>
          <cell r="L101">
            <v>1759.8</v>
          </cell>
          <cell r="M101">
            <v>19237.38</v>
          </cell>
          <cell r="N101">
            <v>4499.34</v>
          </cell>
          <cell r="O101">
            <v>0</v>
          </cell>
          <cell r="R101">
            <v>38.7899999999999</v>
          </cell>
        </row>
        <row r="102">
          <cell r="G102">
            <v>100759.429999999</v>
          </cell>
          <cell r="I102">
            <v>1294.3299999999899</v>
          </cell>
          <cell r="J102">
            <v>0</v>
          </cell>
          <cell r="K102">
            <v>0.23</v>
          </cell>
          <cell r="L102">
            <v>1294.5599999999899</v>
          </cell>
          <cell r="M102">
            <v>106014.71</v>
          </cell>
          <cell r="N102">
            <v>18325.54</v>
          </cell>
          <cell r="O102">
            <v>0</v>
          </cell>
          <cell r="R102">
            <v>233.8</v>
          </cell>
        </row>
        <row r="103">
          <cell r="G103">
            <v>16721.490000000002</v>
          </cell>
          <cell r="I103">
            <v>240.8</v>
          </cell>
          <cell r="J103">
            <v>0</v>
          </cell>
          <cell r="K103">
            <v>0.04</v>
          </cell>
          <cell r="L103">
            <v>240.84</v>
          </cell>
          <cell r="M103">
            <v>17686.47</v>
          </cell>
          <cell r="N103">
            <v>5045.13</v>
          </cell>
          <cell r="O103">
            <v>0</v>
          </cell>
          <cell r="R103">
            <v>38.7899999999999</v>
          </cell>
        </row>
        <row r="104">
          <cell r="G104">
            <v>125411.17</v>
          </cell>
          <cell r="I104">
            <v>1806.0599999999899</v>
          </cell>
          <cell r="J104">
            <v>10978.559999999899</v>
          </cell>
          <cell r="K104">
            <v>0.32</v>
          </cell>
          <cell r="L104">
            <v>12784.94</v>
          </cell>
          <cell r="M104">
            <v>143881.97</v>
          </cell>
          <cell r="N104">
            <v>34615.15</v>
          </cell>
          <cell r="O104">
            <v>0</v>
          </cell>
          <cell r="R104">
            <v>290.94999999999902</v>
          </cell>
        </row>
        <row r="105">
          <cell r="G105">
            <v>21521.549999999901</v>
          </cell>
          <cell r="I105">
            <v>270.92</v>
          </cell>
          <cell r="J105">
            <v>0</v>
          </cell>
          <cell r="K105">
            <v>0.05</v>
          </cell>
          <cell r="L105">
            <v>270.97000000000003</v>
          </cell>
          <cell r="M105">
            <v>22620.1699999999</v>
          </cell>
          <cell r="N105">
            <v>3362.3299999999899</v>
          </cell>
          <cell r="O105">
            <v>0</v>
          </cell>
          <cell r="R105">
            <v>49.939999999999898</v>
          </cell>
        </row>
        <row r="106">
          <cell r="G106">
            <v>34087.47</v>
          </cell>
          <cell r="I106">
            <v>481.62</v>
          </cell>
          <cell r="J106">
            <v>2721.5999999999899</v>
          </cell>
          <cell r="K106">
            <v>8.99999999999999E-2</v>
          </cell>
          <cell r="L106">
            <v>3203.3099999999899</v>
          </cell>
          <cell r="M106">
            <v>38832.779999999897</v>
          </cell>
          <cell r="N106">
            <v>9575.94</v>
          </cell>
          <cell r="O106">
            <v>0</v>
          </cell>
          <cell r="R106">
            <v>79.069999999999894</v>
          </cell>
        </row>
        <row r="107">
          <cell r="G107">
            <v>8360.7399999999907</v>
          </cell>
          <cell r="I107">
            <v>120.41</v>
          </cell>
          <cell r="J107">
            <v>795</v>
          </cell>
          <cell r="K107">
            <v>0.02</v>
          </cell>
          <cell r="L107">
            <v>915.42999999999904</v>
          </cell>
          <cell r="M107">
            <v>9648.5300000000007</v>
          </cell>
          <cell r="N107">
            <v>2040.91</v>
          </cell>
          <cell r="O107">
            <v>0</v>
          </cell>
          <cell r="R107">
            <v>19.399999999999899</v>
          </cell>
        </row>
        <row r="108">
          <cell r="G108">
            <v>52125.599999999897</v>
          </cell>
          <cell r="I108">
            <v>722.41999999999905</v>
          </cell>
          <cell r="J108">
            <v>1637.28</v>
          </cell>
          <cell r="K108">
            <v>0.13</v>
          </cell>
          <cell r="L108">
            <v>2359.8299999999899</v>
          </cell>
          <cell r="M108">
            <v>56718.029999999897</v>
          </cell>
          <cell r="N108">
            <v>13369.889999999899</v>
          </cell>
          <cell r="O108">
            <v>0</v>
          </cell>
          <cell r="R108">
            <v>120.93</v>
          </cell>
        </row>
        <row r="109">
          <cell r="G109">
            <v>92495.08</v>
          </cell>
          <cell r="I109">
            <v>1324.43</v>
          </cell>
          <cell r="J109">
            <v>557.15999999999894</v>
          </cell>
          <cell r="K109">
            <v>0.23</v>
          </cell>
          <cell r="L109">
            <v>1881.8199999999899</v>
          </cell>
          <cell r="M109">
            <v>98421.839999999895</v>
          </cell>
          <cell r="N109">
            <v>28560.48</v>
          </cell>
          <cell r="O109">
            <v>0</v>
          </cell>
          <cell r="R109">
            <v>214.59</v>
          </cell>
        </row>
        <row r="110">
          <cell r="G110">
            <v>17526.779999999901</v>
          </cell>
          <cell r="I110">
            <v>240.8</v>
          </cell>
          <cell r="J110">
            <v>1087.44</v>
          </cell>
          <cell r="K110">
            <v>0.04</v>
          </cell>
          <cell r="L110">
            <v>1328.28</v>
          </cell>
          <cell r="M110">
            <v>19627.23</v>
          </cell>
          <cell r="N110">
            <v>4613.25</v>
          </cell>
          <cell r="O110">
            <v>0</v>
          </cell>
          <cell r="R110">
            <v>40.68</v>
          </cell>
        </row>
        <row r="111">
          <cell r="G111">
            <v>7784.43</v>
          </cell>
          <cell r="I111">
            <v>100.34</v>
          </cell>
          <cell r="J111">
            <v>0</v>
          </cell>
          <cell r="K111">
            <v>0.02</v>
          </cell>
          <cell r="L111">
            <v>100.36</v>
          </cell>
          <cell r="M111">
            <v>8192.2000000000007</v>
          </cell>
          <cell r="N111">
            <v>1457.8</v>
          </cell>
          <cell r="O111">
            <v>0</v>
          </cell>
          <cell r="R111">
            <v>18.05</v>
          </cell>
        </row>
        <row r="112">
          <cell r="G112">
            <v>16721.490000000002</v>
          </cell>
          <cell r="I112">
            <v>240.8</v>
          </cell>
          <cell r="J112">
            <v>1931.52</v>
          </cell>
          <cell r="K112">
            <v>0.04</v>
          </cell>
          <cell r="L112">
            <v>2172.36</v>
          </cell>
          <cell r="M112">
            <v>19638.580000000002</v>
          </cell>
          <cell r="N112">
            <v>3740.3</v>
          </cell>
          <cell r="O112">
            <v>0</v>
          </cell>
          <cell r="R112">
            <v>38.7899999999999</v>
          </cell>
        </row>
        <row r="113">
          <cell r="G113">
            <v>38260.519999999902</v>
          </cell>
          <cell r="I113">
            <v>481.62</v>
          </cell>
          <cell r="J113">
            <v>0</v>
          </cell>
          <cell r="K113">
            <v>8.99999999999999E-2</v>
          </cell>
          <cell r="L113">
            <v>481.70999999999901</v>
          </cell>
          <cell r="M113">
            <v>40208.879999999903</v>
          </cell>
          <cell r="N113">
            <v>5833.1999999999898</v>
          </cell>
          <cell r="O113">
            <v>0</v>
          </cell>
          <cell r="R113">
            <v>88.75</v>
          </cell>
        </row>
        <row r="114">
          <cell r="G114">
            <v>16721.490000000002</v>
          </cell>
          <cell r="I114">
            <v>241.259999999999</v>
          </cell>
          <cell r="J114">
            <v>0</v>
          </cell>
          <cell r="K114">
            <v>0.04</v>
          </cell>
          <cell r="L114">
            <v>241.3</v>
          </cell>
          <cell r="M114">
            <v>17686.93</v>
          </cell>
          <cell r="N114">
            <v>5044.67</v>
          </cell>
          <cell r="O114">
            <v>0</v>
          </cell>
          <cell r="R114">
            <v>38.7899999999999</v>
          </cell>
        </row>
        <row r="115">
          <cell r="G115">
            <v>410.94</v>
          </cell>
          <cell r="I115">
            <v>0</v>
          </cell>
          <cell r="J115">
            <v>228</v>
          </cell>
          <cell r="K115">
            <v>0</v>
          </cell>
          <cell r="L115">
            <v>228</v>
          </cell>
          <cell r="M115">
            <v>638.94000000000005</v>
          </cell>
          <cell r="N115">
            <v>-638.94000000000005</v>
          </cell>
          <cell r="O115">
            <v>0</v>
          </cell>
          <cell r="R115">
            <v>0</v>
          </cell>
        </row>
        <row r="116">
          <cell r="G116">
            <v>2830122.93</v>
          </cell>
          <cell r="I116">
            <v>55145.739999999903</v>
          </cell>
          <cell r="J116">
            <v>0</v>
          </cell>
          <cell r="K116">
            <v>0</v>
          </cell>
          <cell r="L116">
            <v>55145.739999999903</v>
          </cell>
          <cell r="M116">
            <v>3004211.23</v>
          </cell>
          <cell r="N116">
            <v>-146320.989999999</v>
          </cell>
          <cell r="O116">
            <v>0</v>
          </cell>
          <cell r="R116">
            <v>13437.049999999899</v>
          </cell>
        </row>
        <row r="117">
          <cell r="G117">
            <v>17877.810000000001</v>
          </cell>
          <cell r="I117">
            <v>314.88999999999902</v>
          </cell>
          <cell r="J117">
            <v>1742.4</v>
          </cell>
          <cell r="K117">
            <v>0</v>
          </cell>
          <cell r="L117">
            <v>2057.29</v>
          </cell>
          <cell r="M117">
            <v>20956.060000000001</v>
          </cell>
          <cell r="N117">
            <v>3574.5799999999899</v>
          </cell>
          <cell r="O117">
            <v>0</v>
          </cell>
          <cell r="R117">
            <v>84.87</v>
          </cell>
        </row>
        <row r="118">
          <cell r="G118">
            <v>16820.47</v>
          </cell>
          <cell r="I118">
            <v>314.88999999999902</v>
          </cell>
          <cell r="J118">
            <v>1300.8</v>
          </cell>
          <cell r="K118">
            <v>0</v>
          </cell>
          <cell r="L118">
            <v>1615.69</v>
          </cell>
          <cell r="M118">
            <v>19443.9199999999</v>
          </cell>
          <cell r="N118">
            <v>4769.92</v>
          </cell>
          <cell r="O118">
            <v>0</v>
          </cell>
          <cell r="R118">
            <v>79.8599999999999</v>
          </cell>
        </row>
        <row r="119">
          <cell r="G119">
            <v>25230.7</v>
          </cell>
          <cell r="I119">
            <v>472.33999999999901</v>
          </cell>
          <cell r="J119">
            <v>3114.36</v>
          </cell>
          <cell r="K119">
            <v>0</v>
          </cell>
          <cell r="L119">
            <v>3586.6999999999898</v>
          </cell>
          <cell r="M119">
            <v>30332.0999999999</v>
          </cell>
          <cell r="N119">
            <v>6061.8599999999897</v>
          </cell>
          <cell r="O119">
            <v>0</v>
          </cell>
          <cell r="R119">
            <v>119.79</v>
          </cell>
        </row>
        <row r="120">
          <cell r="G120">
            <v>17521.32</v>
          </cell>
          <cell r="I120">
            <v>328.00999999999902</v>
          </cell>
          <cell r="J120">
            <v>1165.48</v>
          </cell>
          <cell r="K120">
            <v>0</v>
          </cell>
          <cell r="L120">
            <v>1493.49</v>
          </cell>
          <cell r="M120">
            <v>20046.990000000002</v>
          </cell>
          <cell r="N120">
            <v>4753.26</v>
          </cell>
          <cell r="O120">
            <v>0</v>
          </cell>
          <cell r="R120">
            <v>83.189999999999898</v>
          </cell>
        </row>
        <row r="121">
          <cell r="G121">
            <v>17521.32</v>
          </cell>
          <cell r="I121">
            <v>328.00999999999902</v>
          </cell>
          <cell r="J121">
            <v>1390.18</v>
          </cell>
          <cell r="K121">
            <v>0</v>
          </cell>
          <cell r="L121">
            <v>1718.19</v>
          </cell>
          <cell r="M121">
            <v>20261.32</v>
          </cell>
          <cell r="N121">
            <v>4290.18</v>
          </cell>
          <cell r="O121">
            <v>0</v>
          </cell>
          <cell r="R121">
            <v>83.189999999999898</v>
          </cell>
        </row>
        <row r="122">
          <cell r="G122">
            <v>11592.639999999899</v>
          </cell>
          <cell r="I122">
            <v>196.81</v>
          </cell>
          <cell r="J122">
            <v>0</v>
          </cell>
          <cell r="K122">
            <v>0</v>
          </cell>
          <cell r="L122">
            <v>196.81</v>
          </cell>
          <cell r="M122">
            <v>12413.74</v>
          </cell>
          <cell r="N122">
            <v>2586.2600000000002</v>
          </cell>
          <cell r="O122">
            <v>0</v>
          </cell>
          <cell r="R122">
            <v>55.0399999999999</v>
          </cell>
        </row>
        <row r="123">
          <cell r="G123">
            <v>97299.119999999893</v>
          </cell>
          <cell r="I123">
            <v>1653.19</v>
          </cell>
          <cell r="J123">
            <v>0</v>
          </cell>
          <cell r="K123">
            <v>0</v>
          </cell>
          <cell r="L123">
            <v>1653.19</v>
          </cell>
          <cell r="M123">
            <v>104111.24</v>
          </cell>
          <cell r="N123">
            <v>19845.0999999999</v>
          </cell>
          <cell r="O123">
            <v>0</v>
          </cell>
          <cell r="R123">
            <v>461.97</v>
          </cell>
        </row>
        <row r="124">
          <cell r="G124">
            <v>96333.279999999897</v>
          </cell>
          <cell r="I124">
            <v>1745.03</v>
          </cell>
          <cell r="J124">
            <v>8690.4899999999907</v>
          </cell>
          <cell r="K124">
            <v>0</v>
          </cell>
          <cell r="L124">
            <v>10435.52</v>
          </cell>
          <cell r="M124">
            <v>112277.57</v>
          </cell>
          <cell r="N124">
            <v>20083.72</v>
          </cell>
          <cell r="O124">
            <v>0</v>
          </cell>
          <cell r="R124">
            <v>457.38999999999902</v>
          </cell>
        </row>
        <row r="125">
          <cell r="G125">
            <v>180186.959999999</v>
          </cell>
          <cell r="I125">
            <v>3293.23</v>
          </cell>
          <cell r="J125">
            <v>0</v>
          </cell>
          <cell r="K125">
            <v>0</v>
          </cell>
          <cell r="L125">
            <v>3293.23</v>
          </cell>
          <cell r="M125">
            <v>193728.67</v>
          </cell>
          <cell r="N125">
            <v>52516.419999999896</v>
          </cell>
          <cell r="O125">
            <v>0</v>
          </cell>
          <cell r="R125">
            <v>855.5</v>
          </cell>
        </row>
        <row r="126">
          <cell r="G126">
            <v>17521.32</v>
          </cell>
          <cell r="I126">
            <v>328.00999999999902</v>
          </cell>
          <cell r="J126">
            <v>2173.92</v>
          </cell>
          <cell r="K126">
            <v>0</v>
          </cell>
          <cell r="L126">
            <v>2501.9299999999898</v>
          </cell>
          <cell r="M126">
            <v>21048.16</v>
          </cell>
          <cell r="N126">
            <v>3578.09</v>
          </cell>
          <cell r="O126">
            <v>0</v>
          </cell>
          <cell r="R126">
            <v>83.189999999999898</v>
          </cell>
        </row>
        <row r="127">
          <cell r="G127">
            <v>35042.639999999898</v>
          </cell>
          <cell r="I127">
            <v>656.01999999999896</v>
          </cell>
          <cell r="J127">
            <v>3991.98</v>
          </cell>
          <cell r="K127">
            <v>0</v>
          </cell>
          <cell r="L127">
            <v>4648</v>
          </cell>
          <cell r="M127">
            <v>41737.410000000003</v>
          </cell>
          <cell r="N127">
            <v>7440.34</v>
          </cell>
          <cell r="O127">
            <v>0</v>
          </cell>
          <cell r="R127">
            <v>166.38999999999899</v>
          </cell>
        </row>
        <row r="128">
          <cell r="G128">
            <v>105127.92</v>
          </cell>
          <cell r="I128">
            <v>1968.0699999999899</v>
          </cell>
          <cell r="J128">
            <v>0</v>
          </cell>
          <cell r="K128">
            <v>0</v>
          </cell>
          <cell r="L128">
            <v>1968.0699999999899</v>
          </cell>
          <cell r="M128">
            <v>113208.289999999</v>
          </cell>
          <cell r="N128">
            <v>33655.209999999897</v>
          </cell>
          <cell r="O128">
            <v>0</v>
          </cell>
          <cell r="R128">
            <v>499.13999999999902</v>
          </cell>
        </row>
        <row r="129">
          <cell r="G129">
            <v>16820.47</v>
          </cell>
          <cell r="I129">
            <v>314.88999999999902</v>
          </cell>
          <cell r="J129">
            <v>0</v>
          </cell>
          <cell r="K129">
            <v>0</v>
          </cell>
          <cell r="L129">
            <v>314.88999999999902</v>
          </cell>
          <cell r="M129">
            <v>18101.38</v>
          </cell>
          <cell r="N129">
            <v>5108.7799999999897</v>
          </cell>
          <cell r="O129">
            <v>0</v>
          </cell>
          <cell r="R129">
            <v>79.8599999999999</v>
          </cell>
        </row>
        <row r="130">
          <cell r="G130">
            <v>41700.739999999903</v>
          </cell>
          <cell r="I130">
            <v>780.66999999999905</v>
          </cell>
          <cell r="J130">
            <v>0</v>
          </cell>
          <cell r="K130">
            <v>0</v>
          </cell>
          <cell r="L130">
            <v>780.66999999999905</v>
          </cell>
          <cell r="M130">
            <v>44865.51</v>
          </cell>
          <cell r="N130">
            <v>12417.68</v>
          </cell>
          <cell r="O130">
            <v>0</v>
          </cell>
          <cell r="R130">
            <v>197.979999999999</v>
          </cell>
        </row>
        <row r="131">
          <cell r="G131">
            <v>171483.88</v>
          </cell>
          <cell r="I131">
            <v>3201.3899999999899</v>
          </cell>
          <cell r="J131">
            <v>16531.3499999999</v>
          </cell>
          <cell r="K131">
            <v>0</v>
          </cell>
          <cell r="L131">
            <v>19732.740000000002</v>
          </cell>
          <cell r="M131">
            <v>201317.98</v>
          </cell>
          <cell r="N131">
            <v>41393.11</v>
          </cell>
          <cell r="O131">
            <v>0</v>
          </cell>
          <cell r="R131">
            <v>814.17999999999904</v>
          </cell>
        </row>
        <row r="132">
          <cell r="G132">
            <v>225181.89</v>
          </cell>
          <cell r="I132">
            <v>3890.23</v>
          </cell>
          <cell r="J132">
            <v>0</v>
          </cell>
          <cell r="K132">
            <v>0</v>
          </cell>
          <cell r="L132">
            <v>3890.23</v>
          </cell>
          <cell r="M132">
            <v>241089.81</v>
          </cell>
          <cell r="N132">
            <v>47663.669999999896</v>
          </cell>
          <cell r="O132">
            <v>0</v>
          </cell>
          <cell r="R132">
            <v>1069.1300000000001</v>
          </cell>
        </row>
        <row r="133">
          <cell r="G133">
            <v>19321.07</v>
          </cell>
          <cell r="I133">
            <v>328.00999999999902</v>
          </cell>
          <cell r="J133">
            <v>0</v>
          </cell>
          <cell r="K133">
            <v>0</v>
          </cell>
          <cell r="L133">
            <v>328.00999999999902</v>
          </cell>
          <cell r="M133">
            <v>20660.61</v>
          </cell>
          <cell r="N133">
            <v>3644.1399999999899</v>
          </cell>
          <cell r="O133">
            <v>0</v>
          </cell>
          <cell r="R133">
            <v>91.73</v>
          </cell>
        </row>
        <row r="134">
          <cell r="G134">
            <v>14717.91</v>
          </cell>
          <cell r="I134">
            <v>275.54000000000002</v>
          </cell>
          <cell r="J134">
            <v>0</v>
          </cell>
          <cell r="K134">
            <v>0</v>
          </cell>
          <cell r="L134">
            <v>275.54000000000002</v>
          </cell>
          <cell r="M134">
            <v>15868.48</v>
          </cell>
          <cell r="N134">
            <v>5156.0600000000004</v>
          </cell>
          <cell r="O134">
            <v>0</v>
          </cell>
          <cell r="R134">
            <v>69.89</v>
          </cell>
        </row>
        <row r="135">
          <cell r="G135">
            <v>10046.959999999901</v>
          </cell>
          <cell r="I135">
            <v>170.569999999999</v>
          </cell>
          <cell r="J135">
            <v>0</v>
          </cell>
          <cell r="K135">
            <v>0</v>
          </cell>
          <cell r="L135">
            <v>170.569999999999</v>
          </cell>
          <cell r="M135">
            <v>10748.85</v>
          </cell>
          <cell r="N135">
            <v>2017.67</v>
          </cell>
          <cell r="O135">
            <v>0</v>
          </cell>
          <cell r="R135">
            <v>47.689999999999898</v>
          </cell>
        </row>
        <row r="136">
          <cell r="G136">
            <v>19245.049999999901</v>
          </cell>
          <cell r="I136">
            <v>328.00999999999902</v>
          </cell>
          <cell r="J136">
            <v>0</v>
          </cell>
          <cell r="K136">
            <v>0</v>
          </cell>
          <cell r="L136">
            <v>328.00999999999902</v>
          </cell>
          <cell r="M136">
            <v>20590.740000000002</v>
          </cell>
          <cell r="N136">
            <v>3861.76</v>
          </cell>
          <cell r="O136">
            <v>0</v>
          </cell>
          <cell r="R136">
            <v>91.37</v>
          </cell>
        </row>
        <row r="137">
          <cell r="G137">
            <v>26228</v>
          </cell>
          <cell r="I137">
            <v>446.08999999999901</v>
          </cell>
          <cell r="J137">
            <v>0</v>
          </cell>
          <cell r="K137">
            <v>0</v>
          </cell>
          <cell r="L137">
            <v>446.08999999999901</v>
          </cell>
          <cell r="M137">
            <v>28056.799999999901</v>
          </cell>
          <cell r="N137">
            <v>5167.3</v>
          </cell>
          <cell r="O137">
            <v>0</v>
          </cell>
          <cell r="R137">
            <v>124.52</v>
          </cell>
        </row>
        <row r="138">
          <cell r="G138">
            <v>50461.4</v>
          </cell>
          <cell r="I138">
            <v>944.67999999999904</v>
          </cell>
          <cell r="J138">
            <v>3308.76</v>
          </cell>
          <cell r="K138">
            <v>0</v>
          </cell>
          <cell r="L138">
            <v>4253.4399999999896</v>
          </cell>
          <cell r="M138">
            <v>57698.55</v>
          </cell>
          <cell r="N138">
            <v>13992.57</v>
          </cell>
          <cell r="O138">
            <v>0</v>
          </cell>
          <cell r="R138">
            <v>239.569999999999</v>
          </cell>
        </row>
        <row r="139">
          <cell r="G139">
            <v>10819.799999999899</v>
          </cell>
          <cell r="I139">
            <v>183.68</v>
          </cell>
          <cell r="J139">
            <v>0</v>
          </cell>
          <cell r="K139">
            <v>0</v>
          </cell>
          <cell r="L139">
            <v>183.68</v>
          </cell>
          <cell r="M139">
            <v>11577.389999999899</v>
          </cell>
          <cell r="N139">
            <v>2212.61</v>
          </cell>
          <cell r="O139">
            <v>0</v>
          </cell>
          <cell r="R139">
            <v>51.369999999999898</v>
          </cell>
        </row>
        <row r="140">
          <cell r="G140">
            <v>38797.26</v>
          </cell>
          <cell r="I140">
            <v>708.50999999999897</v>
          </cell>
          <cell r="J140">
            <v>1571.4</v>
          </cell>
          <cell r="K140">
            <v>0</v>
          </cell>
          <cell r="L140">
            <v>2279.9099999999899</v>
          </cell>
          <cell r="M140">
            <v>43327.94</v>
          </cell>
          <cell r="N140">
            <v>10751.62</v>
          </cell>
          <cell r="O140">
            <v>0</v>
          </cell>
          <cell r="R140">
            <v>184.24</v>
          </cell>
        </row>
        <row r="141">
          <cell r="G141">
            <v>94099.71</v>
          </cell>
          <cell r="I141">
            <v>1653.19</v>
          </cell>
          <cell r="J141">
            <v>0</v>
          </cell>
          <cell r="K141">
            <v>0</v>
          </cell>
          <cell r="L141">
            <v>1653.19</v>
          </cell>
          <cell r="M141">
            <v>100865.77</v>
          </cell>
          <cell r="N141">
            <v>21983.18</v>
          </cell>
          <cell r="O141">
            <v>0</v>
          </cell>
          <cell r="R141">
            <v>446.75</v>
          </cell>
        </row>
        <row r="142">
          <cell r="G142">
            <v>16820.47</v>
          </cell>
          <cell r="I142">
            <v>314.88999999999902</v>
          </cell>
          <cell r="J142">
            <v>0</v>
          </cell>
          <cell r="K142">
            <v>0</v>
          </cell>
          <cell r="L142">
            <v>314.88999999999902</v>
          </cell>
          <cell r="M142">
            <v>18097.48</v>
          </cell>
          <cell r="N142">
            <v>5019.5600000000004</v>
          </cell>
          <cell r="O142">
            <v>0</v>
          </cell>
          <cell r="R142">
            <v>79.8599999999999</v>
          </cell>
        </row>
        <row r="143">
          <cell r="G143">
            <v>8763.4099999999908</v>
          </cell>
          <cell r="I143">
            <v>157.44999999999899</v>
          </cell>
          <cell r="J143">
            <v>952.55999999999904</v>
          </cell>
          <cell r="K143">
            <v>0</v>
          </cell>
          <cell r="L143">
            <v>1110.01</v>
          </cell>
          <cell r="M143">
            <v>10381.27</v>
          </cell>
          <cell r="N143">
            <v>1821.05</v>
          </cell>
          <cell r="O143">
            <v>0</v>
          </cell>
          <cell r="R143">
            <v>41.6099999999999</v>
          </cell>
        </row>
        <row r="144">
          <cell r="G144">
            <v>40649.54</v>
          </cell>
          <cell r="I144">
            <v>760.99</v>
          </cell>
          <cell r="J144">
            <v>0</v>
          </cell>
          <cell r="K144">
            <v>0</v>
          </cell>
          <cell r="L144">
            <v>760.99</v>
          </cell>
          <cell r="M144">
            <v>43759.529999999897</v>
          </cell>
          <cell r="N144">
            <v>12680.95</v>
          </cell>
          <cell r="O144">
            <v>0</v>
          </cell>
          <cell r="R144">
            <v>193</v>
          </cell>
        </row>
        <row r="145">
          <cell r="G145">
            <v>8410.2299999999905</v>
          </cell>
          <cell r="I145">
            <v>157.44999999999899</v>
          </cell>
          <cell r="J145">
            <v>946.08</v>
          </cell>
          <cell r="K145">
            <v>0</v>
          </cell>
          <cell r="L145">
            <v>1103.53</v>
          </cell>
          <cell r="M145">
            <v>10020.67</v>
          </cell>
          <cell r="N145">
            <v>2159.3299999999899</v>
          </cell>
          <cell r="O145">
            <v>0</v>
          </cell>
          <cell r="R145">
            <v>39.92</v>
          </cell>
        </row>
        <row r="146">
          <cell r="G146">
            <v>57125.559999999903</v>
          </cell>
          <cell r="I146">
            <v>1049.6400000000001</v>
          </cell>
          <cell r="J146">
            <v>3204.88</v>
          </cell>
          <cell r="K146">
            <v>0</v>
          </cell>
          <cell r="L146">
            <v>4254.5200000000004</v>
          </cell>
          <cell r="M146">
            <v>64681.760000000002</v>
          </cell>
          <cell r="N146">
            <v>14650.12</v>
          </cell>
          <cell r="O146">
            <v>0</v>
          </cell>
          <cell r="R146">
            <v>271.23</v>
          </cell>
        </row>
        <row r="147">
          <cell r="G147">
            <v>192465.19</v>
          </cell>
          <cell r="I147">
            <v>3286.6599999999899</v>
          </cell>
          <cell r="J147">
            <v>0</v>
          </cell>
          <cell r="K147">
            <v>0</v>
          </cell>
          <cell r="L147">
            <v>3286.6599999999899</v>
          </cell>
          <cell r="M147">
            <v>205966.78</v>
          </cell>
          <cell r="N147">
            <v>39471.01</v>
          </cell>
          <cell r="O147">
            <v>0</v>
          </cell>
          <cell r="R147">
            <v>913.77999999999895</v>
          </cell>
        </row>
        <row r="148">
          <cell r="G148">
            <v>9811.94</v>
          </cell>
          <cell r="I148">
            <v>183.68</v>
          </cell>
          <cell r="J148">
            <v>1149.8199999999899</v>
          </cell>
          <cell r="K148">
            <v>0</v>
          </cell>
          <cell r="L148">
            <v>1333.5</v>
          </cell>
          <cell r="M148">
            <v>11736.879999999899</v>
          </cell>
          <cell r="N148">
            <v>2473.1199999999899</v>
          </cell>
          <cell r="O148">
            <v>0</v>
          </cell>
          <cell r="R148">
            <v>46.579999999999899</v>
          </cell>
        </row>
        <row r="149">
          <cell r="G149">
            <v>36152.19</v>
          </cell>
          <cell r="I149">
            <v>603.54999999999905</v>
          </cell>
          <cell r="J149">
            <v>0</v>
          </cell>
          <cell r="K149">
            <v>0</v>
          </cell>
          <cell r="L149">
            <v>603.54999999999905</v>
          </cell>
          <cell r="M149">
            <v>38625.11</v>
          </cell>
          <cell r="N149">
            <v>6290.9899999999898</v>
          </cell>
          <cell r="O149">
            <v>0</v>
          </cell>
          <cell r="R149">
            <v>171.63999999999899</v>
          </cell>
        </row>
        <row r="150">
          <cell r="G150">
            <v>17521.32</v>
          </cell>
          <cell r="I150">
            <v>328.00999999999902</v>
          </cell>
          <cell r="J150">
            <v>1341.43</v>
          </cell>
          <cell r="K150">
            <v>0</v>
          </cell>
          <cell r="L150">
            <v>1669.44</v>
          </cell>
          <cell r="M150">
            <v>20215.6699999999</v>
          </cell>
          <cell r="N150">
            <v>4410.5799999999899</v>
          </cell>
          <cell r="O150">
            <v>0</v>
          </cell>
          <cell r="R150">
            <v>83.189999999999898</v>
          </cell>
        </row>
        <row r="151">
          <cell r="G151">
            <v>8410.2299999999905</v>
          </cell>
          <cell r="I151">
            <v>157.44999999999899</v>
          </cell>
          <cell r="J151">
            <v>913.55999999999904</v>
          </cell>
          <cell r="K151">
            <v>0</v>
          </cell>
          <cell r="L151">
            <v>1071.01</v>
          </cell>
          <cell r="M151">
            <v>9986.5799999999908</v>
          </cell>
          <cell r="N151">
            <v>2156.94</v>
          </cell>
          <cell r="O151">
            <v>0</v>
          </cell>
          <cell r="R151">
            <v>39.92</v>
          </cell>
        </row>
        <row r="152">
          <cell r="G152">
            <v>18548.23</v>
          </cell>
          <cell r="I152">
            <v>314.88999999999902</v>
          </cell>
          <cell r="J152">
            <v>0</v>
          </cell>
          <cell r="K152">
            <v>0</v>
          </cell>
          <cell r="L152">
            <v>314.88999999999902</v>
          </cell>
          <cell r="M152">
            <v>19854.5</v>
          </cell>
          <cell r="N152">
            <v>3966</v>
          </cell>
          <cell r="O152">
            <v>0</v>
          </cell>
          <cell r="R152">
            <v>88.069999999999894</v>
          </cell>
        </row>
        <row r="153">
          <cell r="G153">
            <v>68010.240000000005</v>
          </cell>
          <cell r="I153">
            <v>1154.5999999999899</v>
          </cell>
          <cell r="J153">
            <v>0</v>
          </cell>
          <cell r="K153">
            <v>0</v>
          </cell>
          <cell r="L153">
            <v>1154.5999999999899</v>
          </cell>
          <cell r="M153">
            <v>72759.889999999898</v>
          </cell>
          <cell r="N153">
            <v>13619.209999999901</v>
          </cell>
          <cell r="O153">
            <v>0</v>
          </cell>
          <cell r="R153">
            <v>322.91000000000003</v>
          </cell>
        </row>
        <row r="154">
          <cell r="G154">
            <v>39948.599999999897</v>
          </cell>
          <cell r="I154">
            <v>747.87</v>
          </cell>
          <cell r="J154">
            <v>4931.0699999999897</v>
          </cell>
          <cell r="K154">
            <v>0</v>
          </cell>
          <cell r="L154">
            <v>5678.9399999999896</v>
          </cell>
          <cell r="M154">
            <v>48022.529999999897</v>
          </cell>
          <cell r="N154">
            <v>9522</v>
          </cell>
          <cell r="O154">
            <v>0</v>
          </cell>
          <cell r="R154">
            <v>189.66999999999899</v>
          </cell>
        </row>
        <row r="155">
          <cell r="G155">
            <v>16820.47</v>
          </cell>
          <cell r="I155">
            <v>314.88999999999902</v>
          </cell>
          <cell r="J155">
            <v>1779.1199999999899</v>
          </cell>
          <cell r="K155">
            <v>0</v>
          </cell>
          <cell r="L155">
            <v>2094.0100000000002</v>
          </cell>
          <cell r="M155">
            <v>19918.150000000001</v>
          </cell>
          <cell r="N155">
            <v>4198.25</v>
          </cell>
          <cell r="O155">
            <v>0</v>
          </cell>
          <cell r="R155">
            <v>79.8599999999999</v>
          </cell>
        </row>
        <row r="156">
          <cell r="G156">
            <v>522713.31</v>
          </cell>
          <cell r="I156">
            <v>9446.76</v>
          </cell>
          <cell r="J156">
            <v>20110.2</v>
          </cell>
          <cell r="K156">
            <v>0</v>
          </cell>
          <cell r="L156">
            <v>29556.959999999901</v>
          </cell>
          <cell r="M156">
            <v>582092.95999999903</v>
          </cell>
          <cell r="N156">
            <v>134472.76</v>
          </cell>
          <cell r="O156">
            <v>0</v>
          </cell>
          <cell r="R156">
            <v>2481.7600000000002</v>
          </cell>
        </row>
        <row r="157">
          <cell r="G157">
            <v>-132.38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-132.38</v>
          </cell>
          <cell r="N157">
            <v>132.38</v>
          </cell>
          <cell r="O157">
            <v>0</v>
          </cell>
          <cell r="R157">
            <v>-0.63</v>
          </cell>
        </row>
        <row r="158">
          <cell r="G158">
            <v>17526.79</v>
          </cell>
          <cell r="I158">
            <v>314.88999999999902</v>
          </cell>
          <cell r="J158">
            <v>1521.5999999999899</v>
          </cell>
          <cell r="K158">
            <v>0</v>
          </cell>
          <cell r="L158">
            <v>1836.49</v>
          </cell>
          <cell r="M158">
            <v>20400.060000000001</v>
          </cell>
          <cell r="N158">
            <v>4511.9399999999896</v>
          </cell>
          <cell r="O158">
            <v>0</v>
          </cell>
          <cell r="R158">
            <v>83.23</v>
          </cell>
        </row>
        <row r="159">
          <cell r="G159">
            <v>56769.08</v>
          </cell>
          <cell r="I159">
            <v>1062.75</v>
          </cell>
          <cell r="J159">
            <v>7181.06</v>
          </cell>
          <cell r="K159">
            <v>0</v>
          </cell>
          <cell r="L159">
            <v>8243.8099999999904</v>
          </cell>
          <cell r="M159">
            <v>68387.139999999898</v>
          </cell>
          <cell r="N159">
            <v>12688.07</v>
          </cell>
          <cell r="O159">
            <v>0</v>
          </cell>
          <cell r="R159">
            <v>269.52999999999901</v>
          </cell>
        </row>
        <row r="160">
          <cell r="G160">
            <v>0</v>
          </cell>
          <cell r="I160">
            <v>0</v>
          </cell>
          <cell r="J160">
            <v>126145.24</v>
          </cell>
          <cell r="K160">
            <v>0</v>
          </cell>
          <cell r="L160">
            <v>126145.24</v>
          </cell>
          <cell r="M160">
            <v>126145.24</v>
          </cell>
          <cell r="N160">
            <v>-126145.24</v>
          </cell>
          <cell r="O160">
            <v>0</v>
          </cell>
          <cell r="R160">
            <v>0</v>
          </cell>
        </row>
        <row r="161">
          <cell r="G161">
            <v>17877.810000000001</v>
          </cell>
          <cell r="I161">
            <v>314.88999999999902</v>
          </cell>
          <cell r="J161">
            <v>1335.1199999999899</v>
          </cell>
          <cell r="K161">
            <v>0</v>
          </cell>
          <cell r="L161">
            <v>1650.01</v>
          </cell>
          <cell r="M161">
            <v>20538.650000000001</v>
          </cell>
          <cell r="N161">
            <v>3748.3899999999899</v>
          </cell>
          <cell r="O161">
            <v>0</v>
          </cell>
          <cell r="R161">
            <v>84.87</v>
          </cell>
        </row>
        <row r="162">
          <cell r="G162">
            <v>112430.14</v>
          </cell>
          <cell r="I162">
            <v>1863.1099999999899</v>
          </cell>
          <cell r="J162">
            <v>0</v>
          </cell>
          <cell r="K162">
            <v>0</v>
          </cell>
          <cell r="L162">
            <v>1863.1099999999899</v>
          </cell>
          <cell r="M162">
            <v>120425.11</v>
          </cell>
          <cell r="N162">
            <v>26908.29</v>
          </cell>
          <cell r="O162">
            <v>0</v>
          </cell>
          <cell r="R162">
            <v>533.79999999999905</v>
          </cell>
        </row>
        <row r="163">
          <cell r="G163">
            <v>11976.2</v>
          </cell>
          <cell r="I163">
            <v>196.81</v>
          </cell>
          <cell r="J163">
            <v>0</v>
          </cell>
          <cell r="K163">
            <v>0</v>
          </cell>
          <cell r="L163">
            <v>196.81</v>
          </cell>
          <cell r="M163">
            <v>12781.76</v>
          </cell>
          <cell r="N163">
            <v>1845.49</v>
          </cell>
          <cell r="O163">
            <v>0</v>
          </cell>
          <cell r="R163">
            <v>56.8599999999999</v>
          </cell>
        </row>
        <row r="164">
          <cell r="G164">
            <v>47143.41</v>
          </cell>
          <cell r="I164">
            <v>800.35</v>
          </cell>
          <cell r="J164">
            <v>0</v>
          </cell>
          <cell r="K164">
            <v>0</v>
          </cell>
          <cell r="L164">
            <v>800.35</v>
          </cell>
          <cell r="M164">
            <v>50448.800000000003</v>
          </cell>
          <cell r="N164">
            <v>9741.6</v>
          </cell>
          <cell r="O164">
            <v>0</v>
          </cell>
          <cell r="R164">
            <v>223.83</v>
          </cell>
        </row>
        <row r="165">
          <cell r="G165">
            <v>52576.01</v>
          </cell>
          <cell r="I165">
            <v>944.67999999999904</v>
          </cell>
          <cell r="J165">
            <v>2401.92</v>
          </cell>
          <cell r="K165">
            <v>0</v>
          </cell>
          <cell r="L165">
            <v>3346.5999999999899</v>
          </cell>
          <cell r="M165">
            <v>58897.809999999903</v>
          </cell>
          <cell r="N165">
            <v>12588.709999999901</v>
          </cell>
          <cell r="O165">
            <v>0</v>
          </cell>
          <cell r="R165">
            <v>249.62</v>
          </cell>
        </row>
        <row r="166">
          <cell r="G166">
            <v>10819.799999999899</v>
          </cell>
          <cell r="I166">
            <v>183.68</v>
          </cell>
          <cell r="J166">
            <v>0</v>
          </cell>
          <cell r="K166">
            <v>0</v>
          </cell>
          <cell r="L166">
            <v>183.68</v>
          </cell>
          <cell r="M166">
            <v>11571.66</v>
          </cell>
          <cell r="N166">
            <v>2080.44</v>
          </cell>
          <cell r="O166">
            <v>0</v>
          </cell>
          <cell r="R166">
            <v>51.369999999999898</v>
          </cell>
        </row>
        <row r="167">
          <cell r="G167">
            <v>360328.7</v>
          </cell>
          <cell r="I167">
            <v>6468.4099999999899</v>
          </cell>
          <cell r="J167">
            <v>11794.48</v>
          </cell>
          <cell r="K167">
            <v>0</v>
          </cell>
          <cell r="L167">
            <v>18262.889999999901</v>
          </cell>
          <cell r="M167">
            <v>399880.929999999</v>
          </cell>
          <cell r="N167">
            <v>111645.99</v>
          </cell>
          <cell r="O167">
            <v>0</v>
          </cell>
          <cell r="R167">
            <v>1710.76</v>
          </cell>
        </row>
        <row r="168">
          <cell r="G168">
            <v>16820.459999999901</v>
          </cell>
          <cell r="I168">
            <v>314.88999999999902</v>
          </cell>
          <cell r="J168">
            <v>907.91999999999905</v>
          </cell>
          <cell r="K168">
            <v>0</v>
          </cell>
          <cell r="L168">
            <v>1222.8099999999899</v>
          </cell>
          <cell r="M168">
            <v>19037.1699999999</v>
          </cell>
          <cell r="N168">
            <v>4843.67</v>
          </cell>
          <cell r="O168">
            <v>0</v>
          </cell>
          <cell r="R168">
            <v>79.8599999999999</v>
          </cell>
        </row>
        <row r="169">
          <cell r="G169">
            <v>87633.949999999895</v>
          </cell>
          <cell r="I169">
            <v>1574.46</v>
          </cell>
          <cell r="J169">
            <v>8541.1200000000008</v>
          </cell>
          <cell r="K169">
            <v>0</v>
          </cell>
          <cell r="L169">
            <v>10115.58</v>
          </cell>
          <cell r="M169">
            <v>102858.679999999</v>
          </cell>
          <cell r="N169">
            <v>19901.32</v>
          </cell>
          <cell r="O169">
            <v>0</v>
          </cell>
          <cell r="R169">
            <v>416.08999999999901</v>
          </cell>
        </row>
        <row r="170">
          <cell r="G170">
            <v>-35.049999999999898</v>
          </cell>
          <cell r="I170">
            <v>-0.65</v>
          </cell>
          <cell r="J170">
            <v>0</v>
          </cell>
          <cell r="K170">
            <v>0</v>
          </cell>
          <cell r="L170">
            <v>-0.65</v>
          </cell>
          <cell r="M170">
            <v>-37.74</v>
          </cell>
          <cell r="N170">
            <v>-12.09</v>
          </cell>
          <cell r="O170">
            <v>0</v>
          </cell>
          <cell r="R170">
            <v>-0.16</v>
          </cell>
        </row>
        <row r="171">
          <cell r="G171">
            <v>134303.45000000001</v>
          </cell>
          <cell r="I171">
            <v>2506</v>
          </cell>
          <cell r="J171">
            <v>6083.85</v>
          </cell>
          <cell r="K171">
            <v>0</v>
          </cell>
          <cell r="L171">
            <v>8589.85</v>
          </cell>
          <cell r="M171">
            <v>150701.37</v>
          </cell>
          <cell r="N171">
            <v>36906.94</v>
          </cell>
          <cell r="O171">
            <v>0</v>
          </cell>
          <cell r="R171">
            <v>637.63999999999896</v>
          </cell>
        </row>
        <row r="172">
          <cell r="G172">
            <v>16820.47</v>
          </cell>
          <cell r="I172">
            <v>314.88999999999902</v>
          </cell>
          <cell r="J172">
            <v>1379.76</v>
          </cell>
          <cell r="K172">
            <v>0</v>
          </cell>
          <cell r="L172">
            <v>1694.65</v>
          </cell>
          <cell r="M172">
            <v>19518.79</v>
          </cell>
          <cell r="N172">
            <v>4597.6099999999897</v>
          </cell>
          <cell r="O172">
            <v>0</v>
          </cell>
          <cell r="R172">
            <v>79.8599999999999</v>
          </cell>
        </row>
        <row r="173">
          <cell r="G173">
            <v>16820.459999999901</v>
          </cell>
          <cell r="I173">
            <v>314.88999999999902</v>
          </cell>
          <cell r="J173">
            <v>650.39999999999895</v>
          </cell>
          <cell r="K173">
            <v>0</v>
          </cell>
          <cell r="L173">
            <v>965.28999999999905</v>
          </cell>
          <cell r="M173">
            <v>18774.18</v>
          </cell>
          <cell r="N173">
            <v>4974.42</v>
          </cell>
          <cell r="O173">
            <v>0</v>
          </cell>
          <cell r="R173">
            <v>79.8599999999999</v>
          </cell>
        </row>
        <row r="174">
          <cell r="G174">
            <v>42752.019999999902</v>
          </cell>
          <cell r="I174">
            <v>800.35</v>
          </cell>
          <cell r="J174">
            <v>4644.13</v>
          </cell>
          <cell r="K174">
            <v>0</v>
          </cell>
          <cell r="L174">
            <v>5444.4799999999896</v>
          </cell>
          <cell r="M174">
            <v>50721.639999999898</v>
          </cell>
          <cell r="N174">
            <v>9951.7900000000009</v>
          </cell>
          <cell r="O174">
            <v>0</v>
          </cell>
          <cell r="R174">
            <v>202.96</v>
          </cell>
        </row>
        <row r="175">
          <cell r="G175">
            <v>8410.2299999999905</v>
          </cell>
          <cell r="I175">
            <v>157.44999999999899</v>
          </cell>
          <cell r="J175">
            <v>408.6</v>
          </cell>
          <cell r="K175">
            <v>0</v>
          </cell>
          <cell r="L175">
            <v>566.04999999999905</v>
          </cell>
          <cell r="M175">
            <v>9478.18</v>
          </cell>
          <cell r="N175">
            <v>2581.2199999999898</v>
          </cell>
          <cell r="O175">
            <v>0</v>
          </cell>
          <cell r="R175">
            <v>39.92</v>
          </cell>
        </row>
        <row r="176">
          <cell r="G176">
            <v>7959.7399999999898</v>
          </cell>
          <cell r="I176">
            <v>131.19999999999899</v>
          </cell>
          <cell r="J176">
            <v>0</v>
          </cell>
          <cell r="K176">
            <v>0</v>
          </cell>
          <cell r="L176">
            <v>131.19999999999899</v>
          </cell>
          <cell r="M176">
            <v>8496.76</v>
          </cell>
          <cell r="N176">
            <v>1254.74</v>
          </cell>
          <cell r="O176">
            <v>0</v>
          </cell>
          <cell r="R176">
            <v>37.799999999999898</v>
          </cell>
        </row>
        <row r="177">
          <cell r="G177">
            <v>25931.549999999901</v>
          </cell>
          <cell r="I177">
            <v>485.45999999999901</v>
          </cell>
          <cell r="J177">
            <v>2778.13</v>
          </cell>
          <cell r="K177">
            <v>0</v>
          </cell>
          <cell r="L177">
            <v>3263.59</v>
          </cell>
          <cell r="M177">
            <v>30732.68</v>
          </cell>
          <cell r="N177">
            <v>6211.04</v>
          </cell>
          <cell r="O177">
            <v>0</v>
          </cell>
          <cell r="R177">
            <v>123.12</v>
          </cell>
        </row>
        <row r="178">
          <cell r="G178">
            <v>66230.589999999895</v>
          </cell>
          <cell r="I178">
            <v>1239.8800000000001</v>
          </cell>
          <cell r="J178">
            <v>0</v>
          </cell>
          <cell r="K178">
            <v>0</v>
          </cell>
          <cell r="L178">
            <v>1239.8800000000001</v>
          </cell>
          <cell r="M178">
            <v>71270.52</v>
          </cell>
          <cell r="N178">
            <v>20034.5999999999</v>
          </cell>
          <cell r="O178">
            <v>0</v>
          </cell>
          <cell r="R178">
            <v>314.47000000000003</v>
          </cell>
        </row>
        <row r="179">
          <cell r="G179">
            <v>17877.810000000001</v>
          </cell>
          <cell r="I179">
            <v>314.88999999999902</v>
          </cell>
          <cell r="J179">
            <v>0</v>
          </cell>
          <cell r="K179">
            <v>0</v>
          </cell>
          <cell r="L179">
            <v>314.88999999999902</v>
          </cell>
          <cell r="M179">
            <v>19171.25</v>
          </cell>
          <cell r="N179">
            <v>4341.55</v>
          </cell>
          <cell r="O179">
            <v>0</v>
          </cell>
          <cell r="R179">
            <v>84.87</v>
          </cell>
        </row>
        <row r="180">
          <cell r="G180">
            <v>60986.32</v>
          </cell>
          <cell r="I180">
            <v>1102.1300000000001</v>
          </cell>
          <cell r="J180">
            <v>0</v>
          </cell>
          <cell r="K180">
            <v>0</v>
          </cell>
          <cell r="L180">
            <v>1102.1300000000001</v>
          </cell>
          <cell r="M180">
            <v>65487.309999999903</v>
          </cell>
          <cell r="N180">
            <v>16178.09</v>
          </cell>
          <cell r="O180">
            <v>0</v>
          </cell>
          <cell r="R180">
            <v>289.55</v>
          </cell>
        </row>
        <row r="181">
          <cell r="G181">
            <v>25230.7</v>
          </cell>
          <cell r="I181">
            <v>472.33999999999901</v>
          </cell>
          <cell r="J181">
            <v>0</v>
          </cell>
          <cell r="K181">
            <v>0</v>
          </cell>
          <cell r="L181">
            <v>472.33999999999901</v>
          </cell>
          <cell r="M181">
            <v>27153.61</v>
          </cell>
          <cell r="N181">
            <v>7700.75</v>
          </cell>
          <cell r="O181">
            <v>0</v>
          </cell>
          <cell r="R181">
            <v>119.79</v>
          </cell>
        </row>
        <row r="182">
          <cell r="G182">
            <v>33640.94</v>
          </cell>
          <cell r="I182">
            <v>629.78999999999905</v>
          </cell>
          <cell r="J182">
            <v>798.96</v>
          </cell>
          <cell r="K182">
            <v>0</v>
          </cell>
          <cell r="L182">
            <v>1428.75</v>
          </cell>
          <cell r="M182">
            <v>37039.47</v>
          </cell>
          <cell r="N182">
            <v>10289.49</v>
          </cell>
          <cell r="O182">
            <v>0</v>
          </cell>
          <cell r="R182">
            <v>159.71</v>
          </cell>
        </row>
        <row r="183">
          <cell r="G183">
            <v>188840.03</v>
          </cell>
          <cell r="I183">
            <v>3450.6799999999898</v>
          </cell>
          <cell r="J183">
            <v>1590</v>
          </cell>
          <cell r="K183">
            <v>0</v>
          </cell>
          <cell r="L183">
            <v>5040.68</v>
          </cell>
          <cell r="M183">
            <v>204475.149999999</v>
          </cell>
          <cell r="N183">
            <v>50083.309999999903</v>
          </cell>
          <cell r="O183">
            <v>0</v>
          </cell>
          <cell r="R183">
            <v>896.59</v>
          </cell>
        </row>
        <row r="184">
          <cell r="G184">
            <v>17521.32</v>
          </cell>
          <cell r="I184">
            <v>328.00999999999902</v>
          </cell>
          <cell r="J184">
            <v>1855.01</v>
          </cell>
          <cell r="K184">
            <v>0</v>
          </cell>
          <cell r="L184">
            <v>2183.02</v>
          </cell>
          <cell r="M184">
            <v>20729.25</v>
          </cell>
          <cell r="N184">
            <v>3897</v>
          </cell>
          <cell r="O184">
            <v>0</v>
          </cell>
          <cell r="R184">
            <v>83.189999999999898</v>
          </cell>
        </row>
        <row r="185">
          <cell r="G185">
            <v>19623.88</v>
          </cell>
          <cell r="I185">
            <v>367.38</v>
          </cell>
          <cell r="J185">
            <v>0</v>
          </cell>
          <cell r="K185">
            <v>0</v>
          </cell>
          <cell r="L185">
            <v>367.38</v>
          </cell>
          <cell r="M185">
            <v>21128.880000000001</v>
          </cell>
          <cell r="N185">
            <v>6204.92</v>
          </cell>
          <cell r="O185">
            <v>0</v>
          </cell>
          <cell r="R185">
            <v>93.159999999999897</v>
          </cell>
        </row>
        <row r="186">
          <cell r="G186">
            <v>8410.2299999999905</v>
          </cell>
          <cell r="I186">
            <v>157.44999999999899</v>
          </cell>
          <cell r="J186">
            <v>926.39999999999895</v>
          </cell>
          <cell r="K186">
            <v>0</v>
          </cell>
          <cell r="L186">
            <v>1083.8499999999899</v>
          </cell>
          <cell r="M186">
            <v>9994.44</v>
          </cell>
          <cell r="N186">
            <v>2027.28</v>
          </cell>
          <cell r="O186">
            <v>0</v>
          </cell>
          <cell r="R186">
            <v>39.92</v>
          </cell>
        </row>
        <row r="187">
          <cell r="G187">
            <v>70179.69</v>
          </cell>
          <cell r="I187">
            <v>1193.97</v>
          </cell>
          <cell r="J187">
            <v>0</v>
          </cell>
          <cell r="K187">
            <v>0</v>
          </cell>
          <cell r="L187">
            <v>1193.97</v>
          </cell>
          <cell r="M187">
            <v>75080.919999999896</v>
          </cell>
          <cell r="N187">
            <v>13995.58</v>
          </cell>
          <cell r="O187">
            <v>0</v>
          </cell>
          <cell r="R187">
            <v>333.20999999999901</v>
          </cell>
        </row>
        <row r="188">
          <cell r="G188">
            <v>207806.07</v>
          </cell>
          <cell r="I188">
            <v>3896.79</v>
          </cell>
          <cell r="J188">
            <v>16060.53</v>
          </cell>
          <cell r="K188">
            <v>0</v>
          </cell>
          <cell r="L188">
            <v>19957.32</v>
          </cell>
          <cell r="M188">
            <v>240104.899999999</v>
          </cell>
          <cell r="N188">
            <v>56430.129999999903</v>
          </cell>
          <cell r="O188">
            <v>0</v>
          </cell>
          <cell r="R188">
            <v>986.62</v>
          </cell>
        </row>
        <row r="189">
          <cell r="G189">
            <v>33640.94</v>
          </cell>
          <cell r="I189">
            <v>629.78999999999905</v>
          </cell>
          <cell r="J189">
            <v>0</v>
          </cell>
          <cell r="K189">
            <v>0</v>
          </cell>
          <cell r="L189">
            <v>629.78999999999905</v>
          </cell>
          <cell r="M189">
            <v>36183.349999999897</v>
          </cell>
          <cell r="N189">
            <v>9771.3700000000008</v>
          </cell>
          <cell r="O189">
            <v>0</v>
          </cell>
          <cell r="R189">
            <v>159.71</v>
          </cell>
        </row>
        <row r="190">
          <cell r="G190">
            <v>51162.26</v>
          </cell>
          <cell r="I190">
            <v>957.77999999999895</v>
          </cell>
          <cell r="J190">
            <v>2944.1399999999899</v>
          </cell>
          <cell r="K190">
            <v>0</v>
          </cell>
          <cell r="L190">
            <v>3901.92</v>
          </cell>
          <cell r="M190">
            <v>58069.5</v>
          </cell>
          <cell r="N190">
            <v>14139.74</v>
          </cell>
          <cell r="O190">
            <v>0</v>
          </cell>
          <cell r="R190">
            <v>242.91</v>
          </cell>
        </row>
        <row r="191">
          <cell r="G191">
            <v>50461.41</v>
          </cell>
          <cell r="I191">
            <v>944.67999999999904</v>
          </cell>
          <cell r="J191">
            <v>1253.52</v>
          </cell>
          <cell r="K191">
            <v>0</v>
          </cell>
          <cell r="L191">
            <v>2198.1999999999898</v>
          </cell>
          <cell r="M191">
            <v>55605.449999999903</v>
          </cell>
          <cell r="N191">
            <v>15174.87</v>
          </cell>
          <cell r="O191">
            <v>0</v>
          </cell>
          <cell r="R191">
            <v>239.569999999999</v>
          </cell>
        </row>
        <row r="192">
          <cell r="G192">
            <v>37066.050000000003</v>
          </cell>
          <cell r="I192">
            <v>629.76999999999896</v>
          </cell>
          <cell r="J192">
            <v>0</v>
          </cell>
          <cell r="K192">
            <v>0</v>
          </cell>
          <cell r="L192">
            <v>629.76999999999896</v>
          </cell>
          <cell r="M192">
            <v>39654.730000000003</v>
          </cell>
          <cell r="N192">
            <v>7412.63</v>
          </cell>
          <cell r="O192">
            <v>0</v>
          </cell>
          <cell r="R192">
            <v>175.979999999999</v>
          </cell>
        </row>
        <row r="193">
          <cell r="G193">
            <v>19321.07</v>
          </cell>
          <cell r="I193">
            <v>328.00999999999902</v>
          </cell>
          <cell r="J193">
            <v>0</v>
          </cell>
          <cell r="K193">
            <v>0</v>
          </cell>
          <cell r="L193">
            <v>328.00999999999902</v>
          </cell>
          <cell r="M193">
            <v>20670.86</v>
          </cell>
          <cell r="N193">
            <v>3880.1399999999899</v>
          </cell>
          <cell r="O193">
            <v>0</v>
          </cell>
          <cell r="R193">
            <v>91.73</v>
          </cell>
        </row>
        <row r="194">
          <cell r="G194">
            <v>17521.32</v>
          </cell>
          <cell r="I194">
            <v>328.00999999999902</v>
          </cell>
          <cell r="J194">
            <v>924.40999999999894</v>
          </cell>
          <cell r="K194">
            <v>0</v>
          </cell>
          <cell r="L194">
            <v>1252.42</v>
          </cell>
          <cell r="M194">
            <v>19795.549999999901</v>
          </cell>
          <cell r="N194">
            <v>4755.9499999999898</v>
          </cell>
          <cell r="O194">
            <v>0</v>
          </cell>
          <cell r="R194">
            <v>83.189999999999898</v>
          </cell>
        </row>
        <row r="195">
          <cell r="G195">
            <v>8410.2299999999905</v>
          </cell>
          <cell r="I195">
            <v>157.44999999999899</v>
          </cell>
          <cell r="J195">
            <v>0</v>
          </cell>
          <cell r="K195">
            <v>0</v>
          </cell>
          <cell r="L195">
            <v>157.44999999999899</v>
          </cell>
          <cell r="M195">
            <v>9054.67</v>
          </cell>
          <cell r="N195">
            <v>2647.13</v>
          </cell>
          <cell r="O195">
            <v>0</v>
          </cell>
          <cell r="R195">
            <v>39.92</v>
          </cell>
        </row>
        <row r="196">
          <cell r="G196">
            <v>16820.47</v>
          </cell>
          <cell r="I196">
            <v>314.88999999999902</v>
          </cell>
          <cell r="J196">
            <v>0</v>
          </cell>
          <cell r="K196">
            <v>0</v>
          </cell>
          <cell r="L196">
            <v>314.88999999999902</v>
          </cell>
          <cell r="M196">
            <v>18091.66</v>
          </cell>
          <cell r="N196">
            <v>4885.6999999999898</v>
          </cell>
          <cell r="O196">
            <v>0</v>
          </cell>
          <cell r="R196">
            <v>79.8599999999999</v>
          </cell>
        </row>
        <row r="197">
          <cell r="G197">
            <v>16820.47</v>
          </cell>
          <cell r="I197">
            <v>314.81</v>
          </cell>
          <cell r="J197">
            <v>0</v>
          </cell>
          <cell r="K197">
            <v>0</v>
          </cell>
          <cell r="L197">
            <v>314.81</v>
          </cell>
          <cell r="M197">
            <v>18127.18</v>
          </cell>
          <cell r="N197">
            <v>5704.8199999999897</v>
          </cell>
          <cell r="O197">
            <v>0</v>
          </cell>
          <cell r="R197">
            <v>79.8599999999999</v>
          </cell>
        </row>
        <row r="198">
          <cell r="G198">
            <v>35550.76</v>
          </cell>
          <cell r="I198">
            <v>603.52999999999895</v>
          </cell>
          <cell r="J198">
            <v>0</v>
          </cell>
          <cell r="K198">
            <v>0</v>
          </cell>
          <cell r="L198">
            <v>603.52999999999895</v>
          </cell>
          <cell r="M198">
            <v>38021.19</v>
          </cell>
          <cell r="N198">
            <v>6835.71</v>
          </cell>
          <cell r="O198">
            <v>0</v>
          </cell>
          <cell r="R198">
            <v>168.789999999999</v>
          </cell>
        </row>
        <row r="199">
          <cell r="G199">
            <v>466.73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466.73</v>
          </cell>
          <cell r="N199">
            <v>-466.73</v>
          </cell>
          <cell r="O199">
            <v>0</v>
          </cell>
          <cell r="R199">
            <v>0</v>
          </cell>
        </row>
        <row r="200">
          <cell r="G200">
            <v>1858902.3899999899</v>
          </cell>
          <cell r="I200">
            <v>36864.660000000003</v>
          </cell>
          <cell r="J200">
            <v>0</v>
          </cell>
          <cell r="K200">
            <v>0</v>
          </cell>
          <cell r="L200">
            <v>36864.660000000003</v>
          </cell>
          <cell r="M200">
            <v>1971897.3799999901</v>
          </cell>
          <cell r="N200">
            <v>-104612.56</v>
          </cell>
          <cell r="O200">
            <v>0</v>
          </cell>
          <cell r="R200">
            <v>564.78999999999905</v>
          </cell>
        </row>
        <row r="201">
          <cell r="G201">
            <v>17257.5</v>
          </cell>
          <cell r="I201">
            <v>299.05</v>
          </cell>
          <cell r="J201">
            <v>0</v>
          </cell>
          <cell r="K201">
            <v>0</v>
          </cell>
          <cell r="L201">
            <v>299.05</v>
          </cell>
          <cell r="M201">
            <v>18457.34</v>
          </cell>
          <cell r="N201">
            <v>3636.46</v>
          </cell>
          <cell r="O201">
            <v>0</v>
          </cell>
          <cell r="R201">
            <v>5.25</v>
          </cell>
        </row>
        <row r="202">
          <cell r="G202">
            <v>25298.9399999999</v>
          </cell>
          <cell r="I202">
            <v>484.95999999999901</v>
          </cell>
          <cell r="J202">
            <v>0</v>
          </cell>
          <cell r="K202">
            <v>0</v>
          </cell>
          <cell r="L202">
            <v>484.95999999999901</v>
          </cell>
          <cell r="M202">
            <v>27226.74</v>
          </cell>
          <cell r="N202">
            <v>8162.46</v>
          </cell>
          <cell r="O202">
            <v>0</v>
          </cell>
          <cell r="R202">
            <v>7.69</v>
          </cell>
        </row>
        <row r="203">
          <cell r="G203">
            <v>37244.489999999903</v>
          </cell>
          <cell r="I203">
            <v>646.62</v>
          </cell>
          <cell r="J203">
            <v>0</v>
          </cell>
          <cell r="K203">
            <v>0</v>
          </cell>
          <cell r="L203">
            <v>646.62</v>
          </cell>
          <cell r="M203">
            <v>39848.059999999903</v>
          </cell>
          <cell r="N203">
            <v>8151.9399999999896</v>
          </cell>
          <cell r="O203">
            <v>0</v>
          </cell>
          <cell r="R203">
            <v>11.31</v>
          </cell>
        </row>
        <row r="204">
          <cell r="G204">
            <v>16865.959999999901</v>
          </cell>
          <cell r="I204">
            <v>323.3</v>
          </cell>
          <cell r="J204">
            <v>898.79999999999905</v>
          </cell>
          <cell r="K204">
            <v>0</v>
          </cell>
          <cell r="L204">
            <v>1222.0999999999899</v>
          </cell>
          <cell r="M204">
            <v>19092.8499999999</v>
          </cell>
          <cell r="N204">
            <v>5552.9899999999898</v>
          </cell>
          <cell r="O204">
            <v>0</v>
          </cell>
          <cell r="R204">
            <v>5.12</v>
          </cell>
        </row>
        <row r="205">
          <cell r="G205">
            <v>8432.9799999999905</v>
          </cell>
          <cell r="I205">
            <v>161.65</v>
          </cell>
          <cell r="J205">
            <v>1038.1199999999899</v>
          </cell>
          <cell r="K205">
            <v>0</v>
          </cell>
          <cell r="L205">
            <v>1199.77</v>
          </cell>
          <cell r="M205">
            <v>10127.82</v>
          </cell>
          <cell r="N205">
            <v>2015.7</v>
          </cell>
          <cell r="O205">
            <v>0</v>
          </cell>
          <cell r="R205">
            <v>2.5699999999999901</v>
          </cell>
        </row>
        <row r="206">
          <cell r="G206">
            <v>16865.959999999901</v>
          </cell>
          <cell r="I206">
            <v>323.3</v>
          </cell>
          <cell r="J206">
            <v>2163.36</v>
          </cell>
          <cell r="K206">
            <v>0</v>
          </cell>
          <cell r="L206">
            <v>2486.6599999999899</v>
          </cell>
          <cell r="M206">
            <v>20357.41</v>
          </cell>
          <cell r="N206">
            <v>4288.43</v>
          </cell>
          <cell r="O206">
            <v>0</v>
          </cell>
          <cell r="R206">
            <v>5.12</v>
          </cell>
        </row>
        <row r="207">
          <cell r="G207">
            <v>8432.9799999999905</v>
          </cell>
          <cell r="I207">
            <v>161.65</v>
          </cell>
          <cell r="J207">
            <v>0</v>
          </cell>
          <cell r="K207">
            <v>0</v>
          </cell>
          <cell r="L207">
            <v>161.65</v>
          </cell>
          <cell r="M207">
            <v>9075.1200000000008</v>
          </cell>
          <cell r="N207">
            <v>2709.48</v>
          </cell>
          <cell r="O207">
            <v>0</v>
          </cell>
          <cell r="R207">
            <v>2.5699999999999901</v>
          </cell>
        </row>
        <row r="208">
          <cell r="G208">
            <v>12437.84</v>
          </cell>
          <cell r="I208">
            <v>215.53</v>
          </cell>
          <cell r="J208">
            <v>0</v>
          </cell>
          <cell r="K208">
            <v>0</v>
          </cell>
          <cell r="L208">
            <v>215.53</v>
          </cell>
          <cell r="M208">
            <v>13297.24</v>
          </cell>
          <cell r="N208">
            <v>2494.7600000000002</v>
          </cell>
          <cell r="O208">
            <v>0</v>
          </cell>
          <cell r="R208">
            <v>3.77999999999999</v>
          </cell>
        </row>
        <row r="209">
          <cell r="G209">
            <v>33731.919999999896</v>
          </cell>
          <cell r="I209">
            <v>646.61</v>
          </cell>
          <cell r="J209">
            <v>2759.52</v>
          </cell>
          <cell r="K209">
            <v>0</v>
          </cell>
          <cell r="L209">
            <v>3406.13</v>
          </cell>
          <cell r="M209">
            <v>39130.61</v>
          </cell>
          <cell r="N209">
            <v>9740.8299999999908</v>
          </cell>
          <cell r="O209">
            <v>0</v>
          </cell>
          <cell r="R209">
            <v>10.25</v>
          </cell>
        </row>
        <row r="210">
          <cell r="G210">
            <v>18656.7599999999</v>
          </cell>
          <cell r="I210">
            <v>323.3</v>
          </cell>
          <cell r="J210">
            <v>0</v>
          </cell>
          <cell r="K210">
            <v>0</v>
          </cell>
          <cell r="L210">
            <v>323.3</v>
          </cell>
          <cell r="M210">
            <v>19951.709999999901</v>
          </cell>
          <cell r="N210">
            <v>3880.29</v>
          </cell>
          <cell r="O210">
            <v>0</v>
          </cell>
          <cell r="R210">
            <v>5.6699999999999902</v>
          </cell>
        </row>
        <row r="211">
          <cell r="G211">
            <v>92956.49</v>
          </cell>
          <cell r="I211">
            <v>1778.18</v>
          </cell>
          <cell r="J211">
            <v>6969.84</v>
          </cell>
          <cell r="K211">
            <v>0</v>
          </cell>
          <cell r="L211">
            <v>8748.02</v>
          </cell>
          <cell r="M211">
            <v>107148.95</v>
          </cell>
          <cell r="N211">
            <v>26389.209999999901</v>
          </cell>
          <cell r="O211">
            <v>0</v>
          </cell>
          <cell r="R211">
            <v>28.25</v>
          </cell>
        </row>
        <row r="212">
          <cell r="G212">
            <v>251384.079999999</v>
          </cell>
          <cell r="I212">
            <v>4728.3199999999897</v>
          </cell>
          <cell r="J212">
            <v>0</v>
          </cell>
          <cell r="K212">
            <v>0</v>
          </cell>
          <cell r="L212">
            <v>4728.3199999999897</v>
          </cell>
          <cell r="M212">
            <v>270258.78999999899</v>
          </cell>
          <cell r="N212">
            <v>76715.210000000006</v>
          </cell>
          <cell r="O212">
            <v>0</v>
          </cell>
          <cell r="R212">
            <v>76.37</v>
          </cell>
        </row>
        <row r="213">
          <cell r="G213">
            <v>8432.9799999999905</v>
          </cell>
          <cell r="I213">
            <v>161.65</v>
          </cell>
          <cell r="J213">
            <v>907.91999999999905</v>
          </cell>
          <cell r="K213">
            <v>0</v>
          </cell>
          <cell r="L213">
            <v>1069.5699999999899</v>
          </cell>
          <cell r="M213">
            <v>10003.41</v>
          </cell>
          <cell r="N213">
            <v>2282.4299999999898</v>
          </cell>
          <cell r="O213">
            <v>0</v>
          </cell>
          <cell r="R213">
            <v>2.5699999999999901</v>
          </cell>
        </row>
        <row r="214">
          <cell r="G214">
            <v>34672.639999999898</v>
          </cell>
          <cell r="I214">
            <v>646.6</v>
          </cell>
          <cell r="J214">
            <v>2938.0799999999899</v>
          </cell>
          <cell r="K214">
            <v>0</v>
          </cell>
          <cell r="L214">
            <v>3584.6799999999898</v>
          </cell>
          <cell r="M214">
            <v>40266.9</v>
          </cell>
          <cell r="N214">
            <v>9024.7800000000007</v>
          </cell>
          <cell r="O214">
            <v>0</v>
          </cell>
          <cell r="R214">
            <v>10.5299999999999</v>
          </cell>
        </row>
        <row r="215">
          <cell r="G215">
            <v>37313.519999999902</v>
          </cell>
          <cell r="I215">
            <v>646.61</v>
          </cell>
          <cell r="J215">
            <v>0</v>
          </cell>
          <cell r="K215">
            <v>0</v>
          </cell>
          <cell r="L215">
            <v>646.61</v>
          </cell>
          <cell r="M215">
            <v>39911.25</v>
          </cell>
          <cell r="N215">
            <v>7944.75</v>
          </cell>
          <cell r="O215">
            <v>0</v>
          </cell>
          <cell r="R215">
            <v>11.33</v>
          </cell>
        </row>
        <row r="216">
          <cell r="G216">
            <v>16865.959999999901</v>
          </cell>
          <cell r="I216">
            <v>323.3</v>
          </cell>
          <cell r="J216">
            <v>0</v>
          </cell>
          <cell r="K216">
            <v>0</v>
          </cell>
          <cell r="L216">
            <v>323.3</v>
          </cell>
          <cell r="M216">
            <v>18143.47</v>
          </cell>
          <cell r="N216">
            <v>5260.13</v>
          </cell>
          <cell r="O216">
            <v>0</v>
          </cell>
          <cell r="R216">
            <v>5.12</v>
          </cell>
        </row>
        <row r="217">
          <cell r="G217">
            <v>85449.05</v>
          </cell>
          <cell r="I217">
            <v>1616.54</v>
          </cell>
          <cell r="J217">
            <v>0</v>
          </cell>
          <cell r="K217">
            <v>0</v>
          </cell>
          <cell r="L217">
            <v>1616.54</v>
          </cell>
          <cell r="M217">
            <v>91895.69</v>
          </cell>
          <cell r="N217">
            <v>26574.31</v>
          </cell>
          <cell r="O217">
            <v>0</v>
          </cell>
          <cell r="R217">
            <v>25.96</v>
          </cell>
        </row>
        <row r="218">
          <cell r="G218">
            <v>16865.959999999901</v>
          </cell>
          <cell r="I218">
            <v>323.3</v>
          </cell>
          <cell r="J218">
            <v>0</v>
          </cell>
          <cell r="K218">
            <v>0</v>
          </cell>
          <cell r="L218">
            <v>323.3</v>
          </cell>
          <cell r="M218">
            <v>18143.47</v>
          </cell>
          <cell r="N218">
            <v>5260.13</v>
          </cell>
          <cell r="O218">
            <v>0</v>
          </cell>
          <cell r="R218">
            <v>5.12</v>
          </cell>
        </row>
        <row r="219">
          <cell r="G219">
            <v>18656.7599999999</v>
          </cell>
          <cell r="I219">
            <v>323.3</v>
          </cell>
          <cell r="J219">
            <v>0</v>
          </cell>
          <cell r="K219">
            <v>0</v>
          </cell>
          <cell r="L219">
            <v>323.3</v>
          </cell>
          <cell r="M219">
            <v>19945.82</v>
          </cell>
          <cell r="N219">
            <v>3742.1799999999898</v>
          </cell>
          <cell r="O219">
            <v>0</v>
          </cell>
          <cell r="R219">
            <v>5.6699999999999902</v>
          </cell>
        </row>
        <row r="220">
          <cell r="G220">
            <v>69992.589999999895</v>
          </cell>
          <cell r="I220">
            <v>1306.71</v>
          </cell>
          <cell r="J220">
            <v>0</v>
          </cell>
          <cell r="K220">
            <v>0</v>
          </cell>
          <cell r="L220">
            <v>1306.71</v>
          </cell>
          <cell r="M220">
            <v>75179.369999999893</v>
          </cell>
          <cell r="N220">
            <v>19988.07</v>
          </cell>
          <cell r="O220">
            <v>0</v>
          </cell>
          <cell r="R220">
            <v>21.27</v>
          </cell>
        </row>
        <row r="221">
          <cell r="G221">
            <v>50597.879999999903</v>
          </cell>
          <cell r="I221">
            <v>969.91999999999905</v>
          </cell>
          <cell r="J221">
            <v>5023.3999999999896</v>
          </cell>
          <cell r="K221">
            <v>0</v>
          </cell>
          <cell r="L221">
            <v>5993.3199999999897</v>
          </cell>
          <cell r="M221">
            <v>59558.349999999897</v>
          </cell>
          <cell r="N221">
            <v>13218.23</v>
          </cell>
          <cell r="O221">
            <v>0</v>
          </cell>
          <cell r="R221">
            <v>15.38</v>
          </cell>
        </row>
        <row r="222">
          <cell r="G222">
            <v>451969.549999999</v>
          </cell>
          <cell r="I222">
            <v>7988.29</v>
          </cell>
          <cell r="J222">
            <v>0</v>
          </cell>
          <cell r="K222">
            <v>0</v>
          </cell>
          <cell r="L222">
            <v>7988.29</v>
          </cell>
          <cell r="M222">
            <v>483915.62</v>
          </cell>
          <cell r="N222">
            <v>103709.38</v>
          </cell>
          <cell r="O222">
            <v>0</v>
          </cell>
          <cell r="R222">
            <v>137.319999999999</v>
          </cell>
        </row>
        <row r="223">
          <cell r="G223">
            <v>33731.919999999896</v>
          </cell>
          <cell r="I223">
            <v>646.61</v>
          </cell>
          <cell r="J223">
            <v>0</v>
          </cell>
          <cell r="K223">
            <v>0</v>
          </cell>
          <cell r="L223">
            <v>646.61</v>
          </cell>
          <cell r="M223">
            <v>36286.879999999903</v>
          </cell>
          <cell r="N223">
            <v>10520.32</v>
          </cell>
          <cell r="O223">
            <v>0</v>
          </cell>
          <cell r="R223">
            <v>10.25</v>
          </cell>
        </row>
        <row r="224">
          <cell r="G224">
            <v>65200.05</v>
          </cell>
          <cell r="I224">
            <v>1131.5699999999899</v>
          </cell>
          <cell r="J224">
            <v>0</v>
          </cell>
          <cell r="K224">
            <v>0</v>
          </cell>
          <cell r="L224">
            <v>1131.5699999999899</v>
          </cell>
          <cell r="M224">
            <v>69716.009999999893</v>
          </cell>
          <cell r="N224">
            <v>13293.99</v>
          </cell>
          <cell r="O224">
            <v>0</v>
          </cell>
          <cell r="R224">
            <v>19.809999999999899</v>
          </cell>
        </row>
        <row r="225">
          <cell r="G225">
            <v>30920.93</v>
          </cell>
          <cell r="I225">
            <v>592.73</v>
          </cell>
          <cell r="J225">
            <v>0</v>
          </cell>
          <cell r="K225">
            <v>0</v>
          </cell>
          <cell r="L225">
            <v>592.73</v>
          </cell>
          <cell r="M225">
            <v>33305.870000000003</v>
          </cell>
          <cell r="N225">
            <v>10652.129999999899</v>
          </cell>
          <cell r="O225">
            <v>0</v>
          </cell>
          <cell r="R225">
            <v>9.4</v>
          </cell>
        </row>
        <row r="226">
          <cell r="G226">
            <v>20988.86</v>
          </cell>
          <cell r="I226">
            <v>363.72</v>
          </cell>
          <cell r="J226">
            <v>0</v>
          </cell>
          <cell r="K226">
            <v>0</v>
          </cell>
          <cell r="L226">
            <v>363.72</v>
          </cell>
          <cell r="M226">
            <v>22444.209999999901</v>
          </cell>
          <cell r="N226">
            <v>4330.79</v>
          </cell>
          <cell r="O226">
            <v>0</v>
          </cell>
          <cell r="R226">
            <v>6.3799999999999901</v>
          </cell>
        </row>
        <row r="227">
          <cell r="G227">
            <v>27109.16</v>
          </cell>
          <cell r="I227">
            <v>471.48</v>
          </cell>
          <cell r="J227">
            <v>0</v>
          </cell>
          <cell r="K227">
            <v>0</v>
          </cell>
          <cell r="L227">
            <v>471.48</v>
          </cell>
          <cell r="M227">
            <v>29000.5099999999</v>
          </cell>
          <cell r="N227">
            <v>5824.4899999999898</v>
          </cell>
          <cell r="O227">
            <v>0</v>
          </cell>
          <cell r="R227">
            <v>8.24</v>
          </cell>
        </row>
        <row r="228">
          <cell r="G228">
            <v>59030.86</v>
          </cell>
          <cell r="I228">
            <v>1131.5599999999899</v>
          </cell>
          <cell r="J228">
            <v>5113.1999999999898</v>
          </cell>
          <cell r="K228">
            <v>0</v>
          </cell>
          <cell r="L228">
            <v>6244.76</v>
          </cell>
          <cell r="M228">
            <v>68758.669999999896</v>
          </cell>
          <cell r="N228">
            <v>16672.209999999901</v>
          </cell>
          <cell r="O228">
            <v>0</v>
          </cell>
          <cell r="R228">
            <v>17.940000000000001</v>
          </cell>
        </row>
        <row r="229">
          <cell r="G229">
            <v>75310.77</v>
          </cell>
          <cell r="I229">
            <v>1320.17</v>
          </cell>
          <cell r="J229">
            <v>0</v>
          </cell>
          <cell r="K229">
            <v>0</v>
          </cell>
          <cell r="L229">
            <v>1320.17</v>
          </cell>
          <cell r="M229">
            <v>80558.119999999893</v>
          </cell>
          <cell r="N229">
            <v>15765.34</v>
          </cell>
          <cell r="O229">
            <v>0</v>
          </cell>
          <cell r="R229">
            <v>22.89</v>
          </cell>
        </row>
        <row r="230">
          <cell r="G230">
            <v>10387.23</v>
          </cell>
          <cell r="I230">
            <v>188.599999999999</v>
          </cell>
          <cell r="J230">
            <v>0</v>
          </cell>
          <cell r="K230">
            <v>0</v>
          </cell>
          <cell r="L230">
            <v>188.599999999999</v>
          </cell>
          <cell r="M230">
            <v>11134.129999999899</v>
          </cell>
          <cell r="N230">
            <v>2559.4099999999899</v>
          </cell>
          <cell r="O230">
            <v>0</v>
          </cell>
          <cell r="R230">
            <v>3.16</v>
          </cell>
        </row>
        <row r="231">
          <cell r="G231">
            <v>33859.43</v>
          </cell>
          <cell r="I231">
            <v>565.77999999999895</v>
          </cell>
          <cell r="J231">
            <v>0</v>
          </cell>
          <cell r="K231">
            <v>0</v>
          </cell>
          <cell r="L231">
            <v>565.77999999999895</v>
          </cell>
          <cell r="M231">
            <v>36124.04</v>
          </cell>
          <cell r="N231">
            <v>5542.96</v>
          </cell>
          <cell r="O231">
            <v>0</v>
          </cell>
          <cell r="R231">
            <v>10.2899999999999</v>
          </cell>
        </row>
        <row r="232">
          <cell r="G232">
            <v>87616.74</v>
          </cell>
          <cell r="I232">
            <v>1643.47</v>
          </cell>
          <cell r="J232">
            <v>0</v>
          </cell>
          <cell r="K232">
            <v>0</v>
          </cell>
          <cell r="L232">
            <v>1643.47</v>
          </cell>
          <cell r="M232">
            <v>94113.57</v>
          </cell>
          <cell r="N232">
            <v>24926.0099999999</v>
          </cell>
          <cell r="O232">
            <v>0</v>
          </cell>
          <cell r="R232">
            <v>26.6299999999999</v>
          </cell>
        </row>
        <row r="233">
          <cell r="G233">
            <v>25959.77</v>
          </cell>
          <cell r="I233">
            <v>484.94999999999902</v>
          </cell>
          <cell r="J233">
            <v>428.39999999999901</v>
          </cell>
          <cell r="K233">
            <v>0</v>
          </cell>
          <cell r="L233">
            <v>913.35</v>
          </cell>
          <cell r="M233">
            <v>28328.13</v>
          </cell>
          <cell r="N233">
            <v>7360.35</v>
          </cell>
          <cell r="O233">
            <v>0</v>
          </cell>
          <cell r="R233">
            <v>7.8899999999999899</v>
          </cell>
        </row>
        <row r="234">
          <cell r="G234">
            <v>14757.719999999899</v>
          </cell>
          <cell r="I234">
            <v>282.88999999999902</v>
          </cell>
          <cell r="J234">
            <v>0</v>
          </cell>
          <cell r="K234">
            <v>0</v>
          </cell>
          <cell r="L234">
            <v>282.88999999999902</v>
          </cell>
          <cell r="M234">
            <v>15890.799999999899</v>
          </cell>
          <cell r="N234">
            <v>4962.1999999999898</v>
          </cell>
          <cell r="O234">
            <v>0</v>
          </cell>
          <cell r="R234">
            <v>4.4800000000000004</v>
          </cell>
        </row>
        <row r="235">
          <cell r="G235">
            <v>13352.219999999899</v>
          </cell>
          <cell r="I235">
            <v>255.94999999999899</v>
          </cell>
          <cell r="J235">
            <v>0</v>
          </cell>
          <cell r="K235">
            <v>0</v>
          </cell>
          <cell r="L235">
            <v>255.94999999999899</v>
          </cell>
          <cell r="M235">
            <v>14382.86</v>
          </cell>
          <cell r="N235">
            <v>4617.1400000000003</v>
          </cell>
          <cell r="O235">
            <v>0</v>
          </cell>
          <cell r="R235">
            <v>4.0599999999999898</v>
          </cell>
        </row>
        <row r="236">
          <cell r="G236">
            <v>40759.4</v>
          </cell>
          <cell r="I236">
            <v>781.32</v>
          </cell>
          <cell r="J236">
            <v>3269.78</v>
          </cell>
          <cell r="K236">
            <v>0</v>
          </cell>
          <cell r="L236">
            <v>4051.0999999999899</v>
          </cell>
          <cell r="M236">
            <v>47199.98</v>
          </cell>
          <cell r="N236">
            <v>11408.08</v>
          </cell>
          <cell r="O236">
            <v>0</v>
          </cell>
          <cell r="R236">
            <v>12.39</v>
          </cell>
        </row>
        <row r="237">
          <cell r="G237">
            <v>70274.839999999895</v>
          </cell>
          <cell r="I237">
            <v>1347.1099999999899</v>
          </cell>
          <cell r="J237">
            <v>0</v>
          </cell>
          <cell r="K237">
            <v>0</v>
          </cell>
          <cell r="L237">
            <v>1347.1099999999899</v>
          </cell>
          <cell r="M237">
            <v>75657.009999999893</v>
          </cell>
          <cell r="N237">
            <v>23312.99</v>
          </cell>
          <cell r="O237">
            <v>0</v>
          </cell>
          <cell r="R237">
            <v>21.35</v>
          </cell>
        </row>
        <row r="238">
          <cell r="G238">
            <v>20301.389999999901</v>
          </cell>
          <cell r="I238">
            <v>363.72</v>
          </cell>
          <cell r="J238">
            <v>0</v>
          </cell>
          <cell r="K238">
            <v>0</v>
          </cell>
          <cell r="L238">
            <v>363.72</v>
          </cell>
          <cell r="M238">
            <v>21758.209999999901</v>
          </cell>
          <cell r="N238">
            <v>5052.79</v>
          </cell>
          <cell r="O238">
            <v>0</v>
          </cell>
          <cell r="R238">
            <v>6.1699999999999902</v>
          </cell>
        </row>
        <row r="239">
          <cell r="G239">
            <v>34119.339999999902</v>
          </cell>
          <cell r="I239">
            <v>646.61</v>
          </cell>
          <cell r="J239">
            <v>3509.76</v>
          </cell>
          <cell r="K239">
            <v>0</v>
          </cell>
          <cell r="L239">
            <v>4156.3699999999899</v>
          </cell>
          <cell r="M239">
            <v>40271.239999999903</v>
          </cell>
          <cell r="N239">
            <v>8674.36</v>
          </cell>
          <cell r="O239">
            <v>0</v>
          </cell>
          <cell r="R239">
            <v>10.3599999999999</v>
          </cell>
        </row>
        <row r="240">
          <cell r="G240">
            <v>153315.489999999</v>
          </cell>
          <cell r="I240">
            <v>2909.7399999999898</v>
          </cell>
          <cell r="J240">
            <v>9385.2000000000007</v>
          </cell>
          <cell r="K240">
            <v>0</v>
          </cell>
          <cell r="L240">
            <v>12294.94</v>
          </cell>
          <cell r="M240">
            <v>174519.31</v>
          </cell>
          <cell r="N240">
            <v>43993.01</v>
          </cell>
          <cell r="O240">
            <v>0</v>
          </cell>
          <cell r="R240">
            <v>46.59</v>
          </cell>
        </row>
        <row r="241">
          <cell r="G241">
            <v>360724.859999999</v>
          </cell>
          <cell r="I241">
            <v>6466.0799999999899</v>
          </cell>
          <cell r="J241">
            <v>8055.6</v>
          </cell>
          <cell r="K241">
            <v>0</v>
          </cell>
          <cell r="L241">
            <v>14521.68</v>
          </cell>
          <cell r="M241">
            <v>394830.13</v>
          </cell>
          <cell r="N241">
            <v>85505.869999999893</v>
          </cell>
          <cell r="O241">
            <v>0</v>
          </cell>
          <cell r="R241">
            <v>109.599999999999</v>
          </cell>
        </row>
        <row r="242">
          <cell r="G242">
            <v>16865.959999999901</v>
          </cell>
          <cell r="I242">
            <v>323.3</v>
          </cell>
          <cell r="J242">
            <v>0</v>
          </cell>
          <cell r="K242">
            <v>0</v>
          </cell>
          <cell r="L242">
            <v>323.3</v>
          </cell>
          <cell r="M242">
            <v>18140.560000000001</v>
          </cell>
          <cell r="N242">
            <v>5192.2399999999898</v>
          </cell>
          <cell r="O242">
            <v>0</v>
          </cell>
          <cell r="R242">
            <v>5.12</v>
          </cell>
        </row>
        <row r="243">
          <cell r="G243">
            <v>76837.539999999906</v>
          </cell>
          <cell r="I243">
            <v>1454.8599999999899</v>
          </cell>
          <cell r="J243">
            <v>3729.2399999999898</v>
          </cell>
          <cell r="K243">
            <v>0</v>
          </cell>
          <cell r="L243">
            <v>5184.1000000000004</v>
          </cell>
          <cell r="M243">
            <v>86409.779999999897</v>
          </cell>
          <cell r="N243">
            <v>21218.7</v>
          </cell>
          <cell r="O243">
            <v>0</v>
          </cell>
          <cell r="R243">
            <v>23.35</v>
          </cell>
        </row>
        <row r="244">
          <cell r="G244">
            <v>338881.39</v>
          </cell>
          <cell r="I244">
            <v>5886.8199999999897</v>
          </cell>
          <cell r="J244">
            <v>0</v>
          </cell>
          <cell r="K244">
            <v>0</v>
          </cell>
          <cell r="L244">
            <v>5886.8199999999897</v>
          </cell>
          <cell r="M244">
            <v>362482.15999999898</v>
          </cell>
          <cell r="N244">
            <v>71994.839999999895</v>
          </cell>
          <cell r="O244">
            <v>0</v>
          </cell>
          <cell r="R244">
            <v>102.97</v>
          </cell>
        </row>
        <row r="245">
          <cell r="G245">
            <v>33731.919999999896</v>
          </cell>
          <cell r="I245">
            <v>646.61</v>
          </cell>
          <cell r="J245">
            <v>3180</v>
          </cell>
          <cell r="K245">
            <v>0</v>
          </cell>
          <cell r="L245">
            <v>3826.61</v>
          </cell>
          <cell r="M245">
            <v>39551.089999999902</v>
          </cell>
          <cell r="N245">
            <v>9320.35</v>
          </cell>
          <cell r="O245">
            <v>0</v>
          </cell>
          <cell r="R245">
            <v>10.25</v>
          </cell>
        </row>
        <row r="246">
          <cell r="G246">
            <v>150023.579999999</v>
          </cell>
          <cell r="I246">
            <v>2599.9099999999899</v>
          </cell>
          <cell r="J246">
            <v>0</v>
          </cell>
          <cell r="K246">
            <v>0</v>
          </cell>
          <cell r="L246">
            <v>2599.9099999999899</v>
          </cell>
          <cell r="M246">
            <v>160420.89000000001</v>
          </cell>
          <cell r="N246">
            <v>30829.11</v>
          </cell>
          <cell r="O246">
            <v>0</v>
          </cell>
          <cell r="R246">
            <v>45.579999999999899</v>
          </cell>
        </row>
        <row r="247">
          <cell r="G247">
            <v>52314.55</v>
          </cell>
          <cell r="I247">
            <v>875.62</v>
          </cell>
          <cell r="J247">
            <v>0</v>
          </cell>
          <cell r="K247">
            <v>0</v>
          </cell>
          <cell r="L247">
            <v>875.62</v>
          </cell>
          <cell r="M247">
            <v>55815.37</v>
          </cell>
          <cell r="N247">
            <v>8573.6299999999901</v>
          </cell>
          <cell r="O247">
            <v>0</v>
          </cell>
          <cell r="R247">
            <v>15.89</v>
          </cell>
        </row>
        <row r="248">
          <cell r="G248">
            <v>8432.9799999999905</v>
          </cell>
          <cell r="I248">
            <v>161.65</v>
          </cell>
          <cell r="J248">
            <v>842.27999999999895</v>
          </cell>
          <cell r="K248">
            <v>0</v>
          </cell>
          <cell r="L248">
            <v>1003.9299999999899</v>
          </cell>
          <cell r="M248">
            <v>9937.77</v>
          </cell>
          <cell r="N248">
            <v>2348.0700000000002</v>
          </cell>
          <cell r="O248">
            <v>0</v>
          </cell>
          <cell r="R248">
            <v>2.5699999999999901</v>
          </cell>
        </row>
        <row r="249">
          <cell r="G249">
            <v>26194.34</v>
          </cell>
          <cell r="I249">
            <v>484.94999999999902</v>
          </cell>
          <cell r="J249">
            <v>0</v>
          </cell>
          <cell r="K249">
            <v>0</v>
          </cell>
          <cell r="L249">
            <v>484.94999999999902</v>
          </cell>
          <cell r="M249">
            <v>28117.74</v>
          </cell>
          <cell r="N249">
            <v>7165.38</v>
          </cell>
          <cell r="O249">
            <v>0</v>
          </cell>
          <cell r="R249">
            <v>7.96</v>
          </cell>
        </row>
        <row r="250">
          <cell r="G250">
            <v>17453.900000000001</v>
          </cell>
          <cell r="I250">
            <v>323.32999999999902</v>
          </cell>
          <cell r="J250">
            <v>0</v>
          </cell>
          <cell r="K250">
            <v>0</v>
          </cell>
          <cell r="L250">
            <v>323.32999999999902</v>
          </cell>
          <cell r="M250">
            <v>18734.299999999901</v>
          </cell>
          <cell r="N250">
            <v>4740.1000000000004</v>
          </cell>
          <cell r="O250">
            <v>0</v>
          </cell>
          <cell r="R250">
            <v>5.32</v>
          </cell>
        </row>
        <row r="251">
          <cell r="G251">
            <v>28298.6699999999</v>
          </cell>
          <cell r="I251">
            <v>511.88999999999902</v>
          </cell>
          <cell r="J251">
            <v>0</v>
          </cell>
          <cell r="K251">
            <v>0</v>
          </cell>
          <cell r="L251">
            <v>511.88999999999902</v>
          </cell>
          <cell r="M251">
            <v>30346.6899999999</v>
          </cell>
          <cell r="N251">
            <v>7330.1099999999897</v>
          </cell>
          <cell r="O251">
            <v>0</v>
          </cell>
          <cell r="R251">
            <v>8.5899999999999892</v>
          </cell>
        </row>
        <row r="252">
          <cell r="G252">
            <v>81623.339999999895</v>
          </cell>
          <cell r="I252">
            <v>1414.46</v>
          </cell>
          <cell r="J252">
            <v>0</v>
          </cell>
          <cell r="K252">
            <v>0</v>
          </cell>
          <cell r="L252">
            <v>1414.46</v>
          </cell>
          <cell r="M252">
            <v>87275.88</v>
          </cell>
          <cell r="N252">
            <v>16674.119999999901</v>
          </cell>
          <cell r="O252">
            <v>0</v>
          </cell>
          <cell r="R252">
            <v>24.8</v>
          </cell>
        </row>
        <row r="253">
          <cell r="G253">
            <v>17059.6699999999</v>
          </cell>
          <cell r="I253">
            <v>323.3</v>
          </cell>
          <cell r="J253">
            <v>1016.16</v>
          </cell>
          <cell r="K253">
            <v>0</v>
          </cell>
          <cell r="L253">
            <v>1339.46</v>
          </cell>
          <cell r="M253">
            <v>19403.9199999999</v>
          </cell>
          <cell r="N253">
            <v>5241.92</v>
          </cell>
          <cell r="O253">
            <v>0</v>
          </cell>
          <cell r="R253">
            <v>5.19</v>
          </cell>
        </row>
        <row r="254">
          <cell r="G254">
            <v>76837.539999999906</v>
          </cell>
          <cell r="I254">
            <v>1454.8599999999899</v>
          </cell>
          <cell r="J254">
            <v>9539.6399999999903</v>
          </cell>
          <cell r="K254">
            <v>0</v>
          </cell>
          <cell r="L254">
            <v>10994.5</v>
          </cell>
          <cell r="M254">
            <v>92333.809999999896</v>
          </cell>
          <cell r="N254">
            <v>18083.47</v>
          </cell>
          <cell r="O254">
            <v>0</v>
          </cell>
          <cell r="R254">
            <v>23.35</v>
          </cell>
        </row>
        <row r="255">
          <cell r="G255">
            <v>17059.6699999999</v>
          </cell>
          <cell r="I255">
            <v>323.3</v>
          </cell>
          <cell r="J255">
            <v>1944</v>
          </cell>
          <cell r="K255">
            <v>0</v>
          </cell>
          <cell r="L255">
            <v>2267.3000000000002</v>
          </cell>
          <cell r="M255">
            <v>20328.799999999901</v>
          </cell>
          <cell r="N255">
            <v>4242.88</v>
          </cell>
          <cell r="O255">
            <v>0</v>
          </cell>
          <cell r="R255">
            <v>5.19</v>
          </cell>
        </row>
        <row r="256">
          <cell r="G256">
            <v>33731.919999999896</v>
          </cell>
          <cell r="I256">
            <v>646.61</v>
          </cell>
          <cell r="J256">
            <v>4284</v>
          </cell>
          <cell r="K256">
            <v>0</v>
          </cell>
          <cell r="L256">
            <v>4930.6099999999897</v>
          </cell>
          <cell r="M256">
            <v>40672.209999999897</v>
          </cell>
          <cell r="N256">
            <v>8619.4699999999903</v>
          </cell>
          <cell r="O256">
            <v>0</v>
          </cell>
          <cell r="R256">
            <v>10.25</v>
          </cell>
        </row>
        <row r="257">
          <cell r="G257">
            <v>75432.039999999906</v>
          </cell>
          <cell r="I257">
            <v>1427.92</v>
          </cell>
          <cell r="J257">
            <v>7930.8</v>
          </cell>
          <cell r="K257">
            <v>0</v>
          </cell>
          <cell r="L257">
            <v>9358.7199999999903</v>
          </cell>
          <cell r="M257">
            <v>89153.699999999895</v>
          </cell>
          <cell r="N257">
            <v>17858.060000000001</v>
          </cell>
          <cell r="O257">
            <v>0</v>
          </cell>
          <cell r="R257">
            <v>22.92</v>
          </cell>
        </row>
        <row r="258">
          <cell r="G258">
            <v>9328.3799999999901</v>
          </cell>
          <cell r="I258">
            <v>161.65</v>
          </cell>
          <cell r="J258">
            <v>0</v>
          </cell>
          <cell r="K258">
            <v>0</v>
          </cell>
          <cell r="L258">
            <v>161.65</v>
          </cell>
          <cell r="M258">
            <v>9975.7999999999902</v>
          </cell>
          <cell r="N258">
            <v>1940.2</v>
          </cell>
          <cell r="O258">
            <v>0</v>
          </cell>
          <cell r="R258">
            <v>2.8399999999999901</v>
          </cell>
        </row>
        <row r="259">
          <cell r="G259">
            <v>16865.959999999901</v>
          </cell>
          <cell r="I259">
            <v>323.3</v>
          </cell>
          <cell r="J259">
            <v>1637.28</v>
          </cell>
          <cell r="K259">
            <v>0</v>
          </cell>
          <cell r="L259">
            <v>1960.5799999999899</v>
          </cell>
          <cell r="M259">
            <v>19831.330000000002</v>
          </cell>
          <cell r="N259">
            <v>4814.51</v>
          </cell>
          <cell r="O259">
            <v>0</v>
          </cell>
          <cell r="R259">
            <v>5.12</v>
          </cell>
        </row>
        <row r="260">
          <cell r="G260">
            <v>15547.299999999899</v>
          </cell>
          <cell r="I260">
            <v>269.42</v>
          </cell>
          <cell r="J260">
            <v>0</v>
          </cell>
          <cell r="K260">
            <v>0</v>
          </cell>
          <cell r="L260">
            <v>269.42</v>
          </cell>
          <cell r="M260">
            <v>16626.6899999999</v>
          </cell>
          <cell r="N260">
            <v>3241.3099999999899</v>
          </cell>
          <cell r="O260">
            <v>0</v>
          </cell>
          <cell r="R260">
            <v>4.71999999999999</v>
          </cell>
        </row>
        <row r="261">
          <cell r="G261">
            <v>0</v>
          </cell>
          <cell r="I261">
            <v>0</v>
          </cell>
          <cell r="J261">
            <v>51050.01</v>
          </cell>
          <cell r="K261">
            <v>0</v>
          </cell>
          <cell r="L261">
            <v>51050.01</v>
          </cell>
          <cell r="M261">
            <v>51050.01</v>
          </cell>
          <cell r="N261">
            <v>-51050.01</v>
          </cell>
          <cell r="O261">
            <v>0</v>
          </cell>
          <cell r="R261">
            <v>0</v>
          </cell>
        </row>
        <row r="262">
          <cell r="G262">
            <v>153675.079999999</v>
          </cell>
          <cell r="I262">
            <v>2909.7399999999898</v>
          </cell>
          <cell r="J262">
            <v>2993.1599999999899</v>
          </cell>
          <cell r="K262">
            <v>0</v>
          </cell>
          <cell r="L262">
            <v>5902.8999999999896</v>
          </cell>
          <cell r="M262">
            <v>168348.049999999</v>
          </cell>
          <cell r="N262">
            <v>46758.19</v>
          </cell>
          <cell r="O262">
            <v>0</v>
          </cell>
          <cell r="R262">
            <v>46.689999999999898</v>
          </cell>
        </row>
        <row r="263">
          <cell r="G263">
            <v>82363.449999999895</v>
          </cell>
          <cell r="I263">
            <v>1421.19</v>
          </cell>
          <cell r="J263">
            <v>0</v>
          </cell>
          <cell r="K263">
            <v>0</v>
          </cell>
          <cell r="L263">
            <v>1421.19</v>
          </cell>
          <cell r="M263">
            <v>88071.229999999894</v>
          </cell>
          <cell r="N263">
            <v>17068.77</v>
          </cell>
          <cell r="O263">
            <v>0</v>
          </cell>
          <cell r="R263">
            <v>25.02</v>
          </cell>
        </row>
        <row r="264">
          <cell r="G264">
            <v>48585.32</v>
          </cell>
          <cell r="I264">
            <v>841.94</v>
          </cell>
          <cell r="J264">
            <v>0</v>
          </cell>
          <cell r="K264">
            <v>0</v>
          </cell>
          <cell r="L264">
            <v>841.94</v>
          </cell>
          <cell r="M264">
            <v>51971.129999999903</v>
          </cell>
          <cell r="N264">
            <v>10423.870000000001</v>
          </cell>
          <cell r="O264">
            <v>0</v>
          </cell>
          <cell r="R264">
            <v>14.76</v>
          </cell>
        </row>
        <row r="265">
          <cell r="G265">
            <v>67851.259999999893</v>
          </cell>
          <cell r="I265">
            <v>1293.22</v>
          </cell>
          <cell r="J265">
            <v>3466.5599999999899</v>
          </cell>
          <cell r="K265">
            <v>0</v>
          </cell>
          <cell r="L265">
            <v>4759.7799999999897</v>
          </cell>
          <cell r="M265">
            <v>76552.490000000005</v>
          </cell>
          <cell r="N265">
            <v>20121.1899999999</v>
          </cell>
          <cell r="O265">
            <v>0</v>
          </cell>
          <cell r="R265">
            <v>20.6099999999999</v>
          </cell>
        </row>
        <row r="266">
          <cell r="G266">
            <v>73486.05</v>
          </cell>
          <cell r="I266">
            <v>1246.0699999999899</v>
          </cell>
          <cell r="J266">
            <v>0</v>
          </cell>
          <cell r="K266">
            <v>0</v>
          </cell>
          <cell r="L266">
            <v>1246.0699999999899</v>
          </cell>
          <cell r="M266">
            <v>78477.460000000006</v>
          </cell>
          <cell r="N266">
            <v>13385.04</v>
          </cell>
          <cell r="O266">
            <v>0</v>
          </cell>
          <cell r="R266">
            <v>22.329999999999899</v>
          </cell>
        </row>
        <row r="267">
          <cell r="G267">
            <v>10541.219999999899</v>
          </cell>
          <cell r="I267">
            <v>202.08</v>
          </cell>
          <cell r="J267">
            <v>0</v>
          </cell>
          <cell r="K267">
            <v>0</v>
          </cell>
          <cell r="L267">
            <v>202.08</v>
          </cell>
          <cell r="M267">
            <v>11339.68</v>
          </cell>
          <cell r="N267">
            <v>3287.57</v>
          </cell>
          <cell r="O267">
            <v>0</v>
          </cell>
          <cell r="R267">
            <v>3.21</v>
          </cell>
        </row>
        <row r="268">
          <cell r="G268">
            <v>334139.53000000003</v>
          </cell>
          <cell r="I268">
            <v>6102.38</v>
          </cell>
          <cell r="J268">
            <v>6749.92</v>
          </cell>
          <cell r="K268">
            <v>0</v>
          </cell>
          <cell r="L268">
            <v>12852.299999999899</v>
          </cell>
          <cell r="M268">
            <v>366061.25</v>
          </cell>
          <cell r="N268">
            <v>101661.23</v>
          </cell>
          <cell r="O268">
            <v>0</v>
          </cell>
          <cell r="R268">
            <v>101.53</v>
          </cell>
        </row>
        <row r="269">
          <cell r="G269">
            <v>44975.889999999898</v>
          </cell>
          <cell r="I269">
            <v>862.14999999999895</v>
          </cell>
          <cell r="J269">
            <v>1971.1199999999899</v>
          </cell>
          <cell r="K269">
            <v>0</v>
          </cell>
          <cell r="L269">
            <v>2833.27</v>
          </cell>
          <cell r="M269">
            <v>50397.209999999897</v>
          </cell>
          <cell r="N269">
            <v>13081.59</v>
          </cell>
          <cell r="O269">
            <v>0</v>
          </cell>
          <cell r="R269">
            <v>13.67</v>
          </cell>
        </row>
        <row r="270">
          <cell r="G270">
            <v>16865.959999999901</v>
          </cell>
          <cell r="I270">
            <v>323.3</v>
          </cell>
          <cell r="J270">
            <v>1518.96</v>
          </cell>
          <cell r="K270">
            <v>0</v>
          </cell>
          <cell r="L270">
            <v>1842.26</v>
          </cell>
          <cell r="M270">
            <v>19713.0099999999</v>
          </cell>
          <cell r="N270">
            <v>4932.8299999999899</v>
          </cell>
          <cell r="O270">
            <v>0</v>
          </cell>
          <cell r="R270">
            <v>5.12</v>
          </cell>
        </row>
        <row r="271">
          <cell r="G271">
            <v>269542.609999999</v>
          </cell>
          <cell r="I271">
            <v>5154.8199999999897</v>
          </cell>
          <cell r="J271">
            <v>11983.309999999899</v>
          </cell>
          <cell r="K271">
            <v>0</v>
          </cell>
          <cell r="L271">
            <v>17138.13</v>
          </cell>
          <cell r="M271">
            <v>302308.59000000003</v>
          </cell>
          <cell r="N271">
            <v>81003.210000000006</v>
          </cell>
          <cell r="O271">
            <v>0</v>
          </cell>
          <cell r="R271">
            <v>81.900000000000006</v>
          </cell>
        </row>
        <row r="272">
          <cell r="G272">
            <v>18656.7599999999</v>
          </cell>
          <cell r="I272">
            <v>323.3</v>
          </cell>
          <cell r="J272">
            <v>0</v>
          </cell>
          <cell r="K272">
            <v>0</v>
          </cell>
          <cell r="L272">
            <v>323.3</v>
          </cell>
          <cell r="M272">
            <v>19958.5999999999</v>
          </cell>
          <cell r="N272">
            <v>4041.4</v>
          </cell>
          <cell r="O272">
            <v>0</v>
          </cell>
          <cell r="R272">
            <v>5.6699999999999902</v>
          </cell>
        </row>
        <row r="273">
          <cell r="G273">
            <v>16865.959999999901</v>
          </cell>
          <cell r="I273">
            <v>323.3</v>
          </cell>
          <cell r="J273">
            <v>0</v>
          </cell>
          <cell r="K273">
            <v>0</v>
          </cell>
          <cell r="L273">
            <v>323.3</v>
          </cell>
          <cell r="M273">
            <v>18128.93</v>
          </cell>
          <cell r="N273">
            <v>4918.2700000000004</v>
          </cell>
          <cell r="O273">
            <v>0</v>
          </cell>
          <cell r="R273">
            <v>5.12</v>
          </cell>
        </row>
        <row r="274">
          <cell r="G274">
            <v>8432.9799999999905</v>
          </cell>
          <cell r="I274">
            <v>161.65</v>
          </cell>
          <cell r="J274">
            <v>902.75999999999897</v>
          </cell>
          <cell r="K274">
            <v>0</v>
          </cell>
          <cell r="L274">
            <v>1064.4100000000001</v>
          </cell>
          <cell r="M274">
            <v>9982.76</v>
          </cell>
          <cell r="N274">
            <v>1921.48</v>
          </cell>
          <cell r="O274">
            <v>0</v>
          </cell>
          <cell r="R274">
            <v>2.5699999999999901</v>
          </cell>
        </row>
        <row r="275">
          <cell r="G275">
            <v>7027.4799999999896</v>
          </cell>
          <cell r="I275">
            <v>134.71</v>
          </cell>
          <cell r="J275">
            <v>0</v>
          </cell>
          <cell r="K275">
            <v>0</v>
          </cell>
          <cell r="L275">
            <v>134.71</v>
          </cell>
          <cell r="M275">
            <v>7568.67</v>
          </cell>
          <cell r="N275">
            <v>2401.3299999999899</v>
          </cell>
          <cell r="O275">
            <v>0</v>
          </cell>
          <cell r="R275">
            <v>2.1299999999999901</v>
          </cell>
        </row>
        <row r="276">
          <cell r="G276">
            <v>8432.9799999999905</v>
          </cell>
          <cell r="I276">
            <v>161.65</v>
          </cell>
          <cell r="J276">
            <v>0</v>
          </cell>
          <cell r="K276">
            <v>0</v>
          </cell>
          <cell r="L276">
            <v>161.65</v>
          </cell>
          <cell r="M276">
            <v>9080.3999999999905</v>
          </cell>
          <cell r="N276">
            <v>2835.5999999999899</v>
          </cell>
          <cell r="O276">
            <v>0</v>
          </cell>
          <cell r="R276">
            <v>2.5699999999999901</v>
          </cell>
        </row>
        <row r="277">
          <cell r="G277">
            <v>16865.959999999901</v>
          </cell>
          <cell r="I277">
            <v>323.3</v>
          </cell>
          <cell r="J277">
            <v>1379.76</v>
          </cell>
          <cell r="K277">
            <v>0</v>
          </cell>
          <cell r="L277">
            <v>1703.0599999999899</v>
          </cell>
          <cell r="M277">
            <v>19573.810000000001</v>
          </cell>
          <cell r="N277">
            <v>5072.0299999999897</v>
          </cell>
          <cell r="O277">
            <v>0</v>
          </cell>
          <cell r="R277">
            <v>5.12</v>
          </cell>
        </row>
        <row r="278">
          <cell r="G278">
            <v>17059.6699999999</v>
          </cell>
          <cell r="I278">
            <v>323.3</v>
          </cell>
          <cell r="J278">
            <v>1316.64</v>
          </cell>
          <cell r="K278">
            <v>0</v>
          </cell>
          <cell r="L278">
            <v>1639.94</v>
          </cell>
          <cell r="M278">
            <v>19704.400000000001</v>
          </cell>
          <cell r="N278">
            <v>4941.4399999999896</v>
          </cell>
          <cell r="O278">
            <v>0</v>
          </cell>
          <cell r="R278">
            <v>5.19</v>
          </cell>
        </row>
        <row r="279">
          <cell r="G279">
            <v>69572.089999999895</v>
          </cell>
          <cell r="I279">
            <v>1333.63</v>
          </cell>
          <cell r="J279">
            <v>7754.51</v>
          </cell>
          <cell r="K279">
            <v>0</v>
          </cell>
          <cell r="L279">
            <v>9088.1399999999903</v>
          </cell>
          <cell r="M279">
            <v>82730.740000000005</v>
          </cell>
          <cell r="N279">
            <v>17109.5999999999</v>
          </cell>
          <cell r="O279">
            <v>0</v>
          </cell>
          <cell r="R279">
            <v>21.14</v>
          </cell>
        </row>
        <row r="280">
          <cell r="G280">
            <v>28526.4399999999</v>
          </cell>
          <cell r="I280">
            <v>525.38</v>
          </cell>
          <cell r="J280">
            <v>0</v>
          </cell>
          <cell r="K280">
            <v>0</v>
          </cell>
          <cell r="L280">
            <v>525.38</v>
          </cell>
          <cell r="M280">
            <v>30610.36</v>
          </cell>
          <cell r="N280">
            <v>7617.4399999999896</v>
          </cell>
          <cell r="O280">
            <v>0</v>
          </cell>
          <cell r="R280">
            <v>8.66</v>
          </cell>
        </row>
        <row r="281">
          <cell r="G281">
            <v>18656.7599999999</v>
          </cell>
          <cell r="I281">
            <v>323.3</v>
          </cell>
          <cell r="J281">
            <v>0</v>
          </cell>
          <cell r="K281">
            <v>0</v>
          </cell>
          <cell r="L281">
            <v>323.3</v>
          </cell>
          <cell r="M281">
            <v>19947.29</v>
          </cell>
          <cell r="N281">
            <v>3776.71</v>
          </cell>
          <cell r="O281">
            <v>0</v>
          </cell>
          <cell r="R281">
            <v>5.6699999999999902</v>
          </cell>
        </row>
        <row r="282">
          <cell r="G282">
            <v>27407.18</v>
          </cell>
          <cell r="I282">
            <v>525.37</v>
          </cell>
          <cell r="J282">
            <v>0</v>
          </cell>
          <cell r="K282">
            <v>0</v>
          </cell>
          <cell r="L282">
            <v>525.37</v>
          </cell>
          <cell r="M282">
            <v>29491.639999999901</v>
          </cell>
          <cell r="N282">
            <v>8749.0599999999904</v>
          </cell>
          <cell r="O282">
            <v>0</v>
          </cell>
          <cell r="R282">
            <v>8.33</v>
          </cell>
        </row>
        <row r="283">
          <cell r="G283">
            <v>67463.839999999895</v>
          </cell>
          <cell r="I283">
            <v>1293.22</v>
          </cell>
          <cell r="J283">
            <v>0</v>
          </cell>
          <cell r="K283">
            <v>0</v>
          </cell>
          <cell r="L283">
            <v>1293.22</v>
          </cell>
          <cell r="M283">
            <v>72590.19</v>
          </cell>
          <cell r="N283">
            <v>21426.45</v>
          </cell>
          <cell r="O283">
            <v>0</v>
          </cell>
          <cell r="R283">
            <v>20.5</v>
          </cell>
        </row>
        <row r="284">
          <cell r="G284">
            <v>34672.639999999898</v>
          </cell>
          <cell r="I284">
            <v>646.6</v>
          </cell>
          <cell r="J284">
            <v>798.96</v>
          </cell>
          <cell r="K284">
            <v>0</v>
          </cell>
          <cell r="L284">
            <v>1445.5599999999899</v>
          </cell>
          <cell r="M284">
            <v>38083.889999999898</v>
          </cell>
          <cell r="N284">
            <v>10131.15</v>
          </cell>
          <cell r="O284">
            <v>0</v>
          </cell>
          <cell r="R284">
            <v>10.5299999999999</v>
          </cell>
        </row>
        <row r="285">
          <cell r="G285">
            <v>8048.39</v>
          </cell>
          <cell r="I285">
            <v>134.71</v>
          </cell>
          <cell r="J285">
            <v>0</v>
          </cell>
          <cell r="K285">
            <v>0</v>
          </cell>
          <cell r="L285">
            <v>134.71</v>
          </cell>
          <cell r="M285">
            <v>8587.9699999999903</v>
          </cell>
          <cell r="N285">
            <v>1342.03</v>
          </cell>
          <cell r="O285">
            <v>0</v>
          </cell>
          <cell r="R285">
            <v>2.4399999999999902</v>
          </cell>
        </row>
        <row r="286">
          <cell r="G286">
            <v>328850.739999999</v>
          </cell>
          <cell r="I286">
            <v>6041.76</v>
          </cell>
          <cell r="J286">
            <v>6065.2799999999897</v>
          </cell>
          <cell r="K286">
            <v>0</v>
          </cell>
          <cell r="L286">
            <v>12107.04</v>
          </cell>
          <cell r="M286">
            <v>359105.81</v>
          </cell>
          <cell r="N286">
            <v>86019.309999999896</v>
          </cell>
          <cell r="O286">
            <v>0</v>
          </cell>
          <cell r="R286">
            <v>99.92</v>
          </cell>
        </row>
        <row r="287">
          <cell r="G287">
            <v>34434.669999999896</v>
          </cell>
          <cell r="I287">
            <v>660.08</v>
          </cell>
          <cell r="J287">
            <v>3404.11</v>
          </cell>
          <cell r="K287">
            <v>0</v>
          </cell>
          <cell r="L287">
            <v>4064.19</v>
          </cell>
          <cell r="M287">
            <v>40512.709999999897</v>
          </cell>
          <cell r="N287">
            <v>8881.84</v>
          </cell>
          <cell r="O287">
            <v>0</v>
          </cell>
          <cell r="R287">
            <v>10.46</v>
          </cell>
        </row>
        <row r="288">
          <cell r="G288">
            <v>102601.25999999901</v>
          </cell>
          <cell r="I288">
            <v>1966.77</v>
          </cell>
          <cell r="J288">
            <v>0</v>
          </cell>
          <cell r="K288">
            <v>0</v>
          </cell>
          <cell r="L288">
            <v>1966.77</v>
          </cell>
          <cell r="M288">
            <v>110462.039999999</v>
          </cell>
          <cell r="N288">
            <v>34101.959999999897</v>
          </cell>
          <cell r="O288">
            <v>0</v>
          </cell>
          <cell r="R288">
            <v>31.17</v>
          </cell>
        </row>
        <row r="289">
          <cell r="G289">
            <v>2108.2399999999898</v>
          </cell>
          <cell r="I289">
            <v>40.42</v>
          </cell>
          <cell r="J289">
            <v>0</v>
          </cell>
          <cell r="K289">
            <v>0</v>
          </cell>
          <cell r="L289">
            <v>40.42</v>
          </cell>
          <cell r="M289">
            <v>2270.11</v>
          </cell>
          <cell r="N289">
            <v>708.88999999999896</v>
          </cell>
          <cell r="O289">
            <v>0</v>
          </cell>
          <cell r="R289">
            <v>0.64</v>
          </cell>
        </row>
        <row r="290">
          <cell r="G290">
            <v>4919.2399999999898</v>
          </cell>
          <cell r="I290">
            <v>94.29</v>
          </cell>
          <cell r="J290">
            <v>0</v>
          </cell>
          <cell r="K290">
            <v>0</v>
          </cell>
          <cell r="L290">
            <v>94.29</v>
          </cell>
          <cell r="M290">
            <v>5291.84</v>
          </cell>
          <cell r="N290">
            <v>1534.21</v>
          </cell>
          <cell r="O290">
            <v>0</v>
          </cell>
          <cell r="R290">
            <v>1.49</v>
          </cell>
        </row>
        <row r="291">
          <cell r="G291">
            <v>11660.48</v>
          </cell>
          <cell r="I291">
            <v>202.08</v>
          </cell>
          <cell r="J291">
            <v>0</v>
          </cell>
          <cell r="K291">
            <v>0</v>
          </cell>
          <cell r="L291">
            <v>202.08</v>
          </cell>
          <cell r="M291">
            <v>12468.01</v>
          </cell>
          <cell r="N291">
            <v>2381.9899999999898</v>
          </cell>
          <cell r="O291">
            <v>0</v>
          </cell>
          <cell r="R291">
            <v>3.54</v>
          </cell>
        </row>
        <row r="292">
          <cell r="G292">
            <v>16865.959999999901</v>
          </cell>
          <cell r="I292">
            <v>323.3</v>
          </cell>
          <cell r="J292">
            <v>0</v>
          </cell>
          <cell r="K292">
            <v>0</v>
          </cell>
          <cell r="L292">
            <v>323.3</v>
          </cell>
          <cell r="M292">
            <v>18143.47</v>
          </cell>
          <cell r="N292">
            <v>5260.13</v>
          </cell>
          <cell r="O292">
            <v>0</v>
          </cell>
          <cell r="R292">
            <v>5.12</v>
          </cell>
        </row>
        <row r="293">
          <cell r="G293">
            <v>197263.03</v>
          </cell>
          <cell r="I293">
            <v>3718</v>
          </cell>
          <cell r="J293">
            <v>17955.119999999901</v>
          </cell>
          <cell r="K293">
            <v>0</v>
          </cell>
          <cell r="L293">
            <v>21673.119999999901</v>
          </cell>
          <cell r="M293">
            <v>230418.23</v>
          </cell>
          <cell r="N293">
            <v>51207.73</v>
          </cell>
          <cell r="O293">
            <v>0</v>
          </cell>
          <cell r="R293">
            <v>59.939999999999898</v>
          </cell>
        </row>
        <row r="294">
          <cell r="G294">
            <v>98168.789999999906</v>
          </cell>
          <cell r="I294">
            <v>1710.8099999999899</v>
          </cell>
          <cell r="J294">
            <v>3229.44</v>
          </cell>
          <cell r="K294">
            <v>0</v>
          </cell>
          <cell r="L294">
            <v>4940.25</v>
          </cell>
          <cell r="M294">
            <v>108318</v>
          </cell>
          <cell r="N294">
            <v>19444.16</v>
          </cell>
          <cell r="O294">
            <v>0</v>
          </cell>
          <cell r="R294">
            <v>29.829999999999899</v>
          </cell>
        </row>
        <row r="295">
          <cell r="G295">
            <v>76282.119999999893</v>
          </cell>
          <cell r="I295">
            <v>1427.92</v>
          </cell>
          <cell r="J295">
            <v>3370.32</v>
          </cell>
          <cell r="K295">
            <v>0</v>
          </cell>
          <cell r="L295">
            <v>4798.2399999999898</v>
          </cell>
          <cell r="M295">
            <v>85419.22</v>
          </cell>
          <cell r="N295">
            <v>21002.779999999901</v>
          </cell>
          <cell r="O295">
            <v>0</v>
          </cell>
          <cell r="R295">
            <v>23.18</v>
          </cell>
        </row>
        <row r="296">
          <cell r="G296">
            <v>138524.67000000001</v>
          </cell>
          <cell r="I296">
            <v>2586.44</v>
          </cell>
          <cell r="J296">
            <v>10778.639999999899</v>
          </cell>
          <cell r="K296">
            <v>0</v>
          </cell>
          <cell r="L296">
            <v>13365.08</v>
          </cell>
          <cell r="M296">
            <v>159872.81</v>
          </cell>
          <cell r="N296">
            <v>35931.22</v>
          </cell>
          <cell r="O296">
            <v>0</v>
          </cell>
          <cell r="R296">
            <v>42.079999999999899</v>
          </cell>
        </row>
        <row r="297">
          <cell r="G297">
            <v>67463.839999999895</v>
          </cell>
          <cell r="I297">
            <v>1293.22</v>
          </cell>
          <cell r="J297">
            <v>5787.1199999999899</v>
          </cell>
          <cell r="K297">
            <v>0</v>
          </cell>
          <cell r="L297">
            <v>7080.34</v>
          </cell>
          <cell r="M297">
            <v>78557.869999999893</v>
          </cell>
          <cell r="N297">
            <v>19887.97</v>
          </cell>
          <cell r="O297">
            <v>0</v>
          </cell>
          <cell r="R297">
            <v>20.5</v>
          </cell>
        </row>
        <row r="298">
          <cell r="G298">
            <v>228237.64</v>
          </cell>
          <cell r="I298">
            <v>3960.4899999999898</v>
          </cell>
          <cell r="J298">
            <v>0</v>
          </cell>
          <cell r="K298">
            <v>0</v>
          </cell>
          <cell r="L298">
            <v>3960.4899999999898</v>
          </cell>
          <cell r="M298">
            <v>244144.39</v>
          </cell>
          <cell r="N298">
            <v>48865.61</v>
          </cell>
          <cell r="O298">
            <v>0</v>
          </cell>
          <cell r="R298">
            <v>69.329999999999899</v>
          </cell>
        </row>
        <row r="299">
          <cell r="G299">
            <v>9135.7299999999905</v>
          </cell>
          <cell r="I299">
            <v>175.12</v>
          </cell>
          <cell r="J299">
            <v>0</v>
          </cell>
          <cell r="K299">
            <v>0</v>
          </cell>
          <cell r="L299">
            <v>175.12</v>
          </cell>
          <cell r="M299">
            <v>9834</v>
          </cell>
          <cell r="N299">
            <v>2997</v>
          </cell>
          <cell r="O299">
            <v>0</v>
          </cell>
          <cell r="R299">
            <v>2.77</v>
          </cell>
        </row>
        <row r="300">
          <cell r="G300">
            <v>16865.959999999901</v>
          </cell>
          <cell r="I300">
            <v>323.3</v>
          </cell>
          <cell r="J300">
            <v>1542.72</v>
          </cell>
          <cell r="K300">
            <v>0</v>
          </cell>
          <cell r="L300">
            <v>1866.02</v>
          </cell>
          <cell r="M300">
            <v>19733.810000000001</v>
          </cell>
          <cell r="N300">
            <v>4837.8699999999899</v>
          </cell>
          <cell r="O300">
            <v>0</v>
          </cell>
          <cell r="R300">
            <v>5.12</v>
          </cell>
        </row>
        <row r="301">
          <cell r="G301">
            <v>73473.25</v>
          </cell>
          <cell r="I301">
            <v>1400.99</v>
          </cell>
          <cell r="J301">
            <v>5589.3599999999897</v>
          </cell>
          <cell r="K301">
            <v>0</v>
          </cell>
          <cell r="L301">
            <v>6990.35</v>
          </cell>
          <cell r="M301">
            <v>84748.27</v>
          </cell>
          <cell r="N301">
            <v>20344.13</v>
          </cell>
          <cell r="O301">
            <v>0</v>
          </cell>
          <cell r="R301">
            <v>22.309999999999899</v>
          </cell>
        </row>
        <row r="302">
          <cell r="G302">
            <v>4216.4899999999898</v>
          </cell>
          <cell r="I302">
            <v>80.829999999999899</v>
          </cell>
          <cell r="J302">
            <v>0</v>
          </cell>
          <cell r="K302">
            <v>0</v>
          </cell>
          <cell r="L302">
            <v>80.829999999999899</v>
          </cell>
          <cell r="M302">
            <v>4539.47</v>
          </cell>
          <cell r="N302">
            <v>1400.53</v>
          </cell>
          <cell r="O302">
            <v>0</v>
          </cell>
          <cell r="R302">
            <v>1.28</v>
          </cell>
        </row>
        <row r="303">
          <cell r="G303">
            <v>4216.4899999999898</v>
          </cell>
          <cell r="I303">
            <v>80.819999999999894</v>
          </cell>
          <cell r="J303">
            <v>0</v>
          </cell>
          <cell r="K303">
            <v>0</v>
          </cell>
          <cell r="L303">
            <v>80.819999999999894</v>
          </cell>
          <cell r="M303">
            <v>4566.8500000000004</v>
          </cell>
          <cell r="N303">
            <v>2044.79</v>
          </cell>
          <cell r="O303">
            <v>0</v>
          </cell>
          <cell r="R303">
            <v>1.28</v>
          </cell>
        </row>
        <row r="304">
          <cell r="G304">
            <v>-130.13999999999899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-130.13999999999899</v>
          </cell>
          <cell r="N304">
            <v>130.13999999999899</v>
          </cell>
          <cell r="O304">
            <v>0</v>
          </cell>
          <cell r="R304">
            <v>0</v>
          </cell>
        </row>
        <row r="305">
          <cell r="G305">
            <v>16998.47</v>
          </cell>
          <cell r="I305">
            <v>0</v>
          </cell>
          <cell r="J305">
            <v>1833.8399999999899</v>
          </cell>
          <cell r="K305">
            <v>0</v>
          </cell>
          <cell r="L305">
            <v>1833.8399999999899</v>
          </cell>
          <cell r="M305">
            <v>20116.18</v>
          </cell>
          <cell r="N305">
            <v>4963.8199999999897</v>
          </cell>
          <cell r="O305">
            <v>0</v>
          </cell>
          <cell r="R305">
            <v>0</v>
          </cell>
        </row>
        <row r="306">
          <cell r="G306">
            <v>16998.48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18227.09</v>
          </cell>
          <cell r="N306">
            <v>5772.9099999999899</v>
          </cell>
          <cell r="O306">
            <v>0</v>
          </cell>
          <cell r="R306">
            <v>0</v>
          </cell>
        </row>
        <row r="307">
          <cell r="G307">
            <v>86768.97</v>
          </cell>
          <cell r="I307">
            <v>0</v>
          </cell>
          <cell r="J307">
            <v>9403.92</v>
          </cell>
          <cell r="K307">
            <v>0</v>
          </cell>
          <cell r="L307">
            <v>9403.92</v>
          </cell>
          <cell r="M307">
            <v>102556.429999999</v>
          </cell>
          <cell r="N307">
            <v>22141.81</v>
          </cell>
          <cell r="O307">
            <v>0</v>
          </cell>
          <cell r="R307">
            <v>0</v>
          </cell>
        </row>
        <row r="308">
          <cell r="G308">
            <v>16998.47</v>
          </cell>
          <cell r="I308">
            <v>0</v>
          </cell>
          <cell r="J308">
            <v>1456.8</v>
          </cell>
          <cell r="K308">
            <v>0</v>
          </cell>
          <cell r="L308">
            <v>1456.8</v>
          </cell>
          <cell r="M308">
            <v>19739.139999999901</v>
          </cell>
          <cell r="N308">
            <v>5340.8599999999897</v>
          </cell>
          <cell r="O308">
            <v>0</v>
          </cell>
          <cell r="R308">
            <v>0</v>
          </cell>
        </row>
        <row r="309">
          <cell r="G309">
            <v>16998.47</v>
          </cell>
          <cell r="I309">
            <v>0</v>
          </cell>
          <cell r="J309">
            <v>2163.36</v>
          </cell>
          <cell r="K309">
            <v>0</v>
          </cell>
          <cell r="L309">
            <v>2163.36</v>
          </cell>
          <cell r="M309">
            <v>20445.7</v>
          </cell>
          <cell r="N309">
            <v>4634.3</v>
          </cell>
          <cell r="O309">
            <v>0</v>
          </cell>
          <cell r="R309">
            <v>0</v>
          </cell>
        </row>
        <row r="310">
          <cell r="G310">
            <v>16998.47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18227.080000000002</v>
          </cell>
          <cell r="N310">
            <v>5772.92</v>
          </cell>
          <cell r="O310">
            <v>0</v>
          </cell>
          <cell r="R310">
            <v>0</v>
          </cell>
        </row>
        <row r="311">
          <cell r="G311">
            <v>18797.799999999901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20044.810000000001</v>
          </cell>
          <cell r="N311">
            <v>4315.1899999999896</v>
          </cell>
          <cell r="O311">
            <v>0</v>
          </cell>
          <cell r="R311">
            <v>0</v>
          </cell>
        </row>
        <row r="312">
          <cell r="G312">
            <v>17706.740000000002</v>
          </cell>
          <cell r="I312">
            <v>0</v>
          </cell>
          <cell r="J312">
            <v>1693.74</v>
          </cell>
          <cell r="K312">
            <v>0</v>
          </cell>
          <cell r="L312">
            <v>1693.74</v>
          </cell>
          <cell r="M312">
            <v>20693.119999999901</v>
          </cell>
          <cell r="N312">
            <v>4556.88</v>
          </cell>
          <cell r="O312">
            <v>0</v>
          </cell>
          <cell r="R312">
            <v>0</v>
          </cell>
        </row>
        <row r="313">
          <cell r="G313">
            <v>30692.389999999901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32704.66</v>
          </cell>
          <cell r="N313">
            <v>6603.1899999999896</v>
          </cell>
          <cell r="O313">
            <v>0</v>
          </cell>
          <cell r="R313">
            <v>0</v>
          </cell>
        </row>
        <row r="314">
          <cell r="G314">
            <v>75370.839999999895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80359.039999999906</v>
          </cell>
          <cell r="N314">
            <v>17080.959999999901</v>
          </cell>
          <cell r="O314">
            <v>0</v>
          </cell>
          <cell r="R314">
            <v>0</v>
          </cell>
        </row>
        <row r="315">
          <cell r="G315">
            <v>122797.25999999901</v>
          </cell>
          <cell r="I315">
            <v>0</v>
          </cell>
          <cell r="J315">
            <v>10181.280000000001</v>
          </cell>
          <cell r="K315">
            <v>0</v>
          </cell>
          <cell r="L315">
            <v>10181.280000000001</v>
          </cell>
          <cell r="M315">
            <v>141902.92000000001</v>
          </cell>
          <cell r="N315">
            <v>32429</v>
          </cell>
          <cell r="O315">
            <v>0</v>
          </cell>
          <cell r="R315">
            <v>0</v>
          </cell>
        </row>
        <row r="316">
          <cell r="G316">
            <v>19936.22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21226.11</v>
          </cell>
          <cell r="N316">
            <v>3971.1399999999899</v>
          </cell>
          <cell r="O316">
            <v>0</v>
          </cell>
          <cell r="R316">
            <v>0</v>
          </cell>
        </row>
        <row r="317">
          <cell r="G317">
            <v>37775.239999999903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40269.339999999902</v>
          </cell>
          <cell r="N317">
            <v>8450.6599999999908</v>
          </cell>
          <cell r="O317">
            <v>0</v>
          </cell>
          <cell r="R317">
            <v>0</v>
          </cell>
        </row>
        <row r="318">
          <cell r="G318">
            <v>106240.44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113979.899999999</v>
          </cell>
          <cell r="N318">
            <v>37205.099999999897</v>
          </cell>
          <cell r="O318">
            <v>0</v>
          </cell>
          <cell r="R318">
            <v>0</v>
          </cell>
        </row>
        <row r="319">
          <cell r="G319">
            <v>9915.77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10632.44</v>
          </cell>
          <cell r="N319">
            <v>3367.5599999999899</v>
          </cell>
          <cell r="O319">
            <v>0</v>
          </cell>
          <cell r="R319">
            <v>0</v>
          </cell>
        </row>
        <row r="320">
          <cell r="G320">
            <v>28331.43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30188.869999999901</v>
          </cell>
          <cell r="N320">
            <v>6095.5299999999897</v>
          </cell>
          <cell r="O320">
            <v>0</v>
          </cell>
          <cell r="R320">
            <v>0</v>
          </cell>
        </row>
        <row r="321">
          <cell r="G321">
            <v>379185.03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406025.26</v>
          </cell>
          <cell r="N321">
            <v>118278.74</v>
          </cell>
          <cell r="O321">
            <v>0</v>
          </cell>
          <cell r="R321">
            <v>0</v>
          </cell>
        </row>
        <row r="322">
          <cell r="G322">
            <v>16998.47</v>
          </cell>
          <cell r="I322">
            <v>0</v>
          </cell>
          <cell r="J322">
            <v>1833.8399999999899</v>
          </cell>
          <cell r="K322">
            <v>0</v>
          </cell>
          <cell r="L322">
            <v>1833.8399999999899</v>
          </cell>
          <cell r="M322">
            <v>20107.209999999901</v>
          </cell>
          <cell r="N322">
            <v>4797.3500000000004</v>
          </cell>
          <cell r="O322">
            <v>0</v>
          </cell>
          <cell r="R322">
            <v>0</v>
          </cell>
        </row>
        <row r="323">
          <cell r="G323">
            <v>147305.829999999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157315.53</v>
          </cell>
          <cell r="N323">
            <v>38216.230000000003</v>
          </cell>
          <cell r="O323">
            <v>0</v>
          </cell>
          <cell r="R323">
            <v>0</v>
          </cell>
        </row>
        <row r="324">
          <cell r="G324">
            <v>25497.709999999901</v>
          </cell>
          <cell r="I324">
            <v>0</v>
          </cell>
          <cell r="J324">
            <v>1788.1199999999899</v>
          </cell>
          <cell r="K324">
            <v>0</v>
          </cell>
          <cell r="L324">
            <v>1788.1199999999899</v>
          </cell>
          <cell r="M324">
            <v>29198.16</v>
          </cell>
          <cell r="N324">
            <v>8158.68</v>
          </cell>
          <cell r="O324">
            <v>0</v>
          </cell>
          <cell r="R324">
            <v>0</v>
          </cell>
        </row>
        <row r="325">
          <cell r="G325">
            <v>10230.799999999899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10901.54</v>
          </cell>
          <cell r="N325">
            <v>2201.0300000000002</v>
          </cell>
          <cell r="O325">
            <v>0</v>
          </cell>
          <cell r="R325">
            <v>0</v>
          </cell>
        </row>
        <row r="326">
          <cell r="G326">
            <v>16998.47</v>
          </cell>
          <cell r="I326">
            <v>0</v>
          </cell>
          <cell r="J326">
            <v>1992.72</v>
          </cell>
          <cell r="K326">
            <v>0</v>
          </cell>
          <cell r="L326">
            <v>1992.72</v>
          </cell>
          <cell r="M326">
            <v>20275.060000000001</v>
          </cell>
          <cell r="N326">
            <v>4804.9399999999896</v>
          </cell>
          <cell r="O326">
            <v>0</v>
          </cell>
          <cell r="R326">
            <v>0</v>
          </cell>
        </row>
        <row r="327">
          <cell r="G327">
            <v>16998.47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18236.82</v>
          </cell>
          <cell r="N327">
            <v>5952.7799999999897</v>
          </cell>
          <cell r="O327">
            <v>0</v>
          </cell>
          <cell r="R327">
            <v>0</v>
          </cell>
        </row>
        <row r="328">
          <cell r="G328">
            <v>16998.47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18218.5</v>
          </cell>
          <cell r="N328">
            <v>5613.5</v>
          </cell>
          <cell r="O328">
            <v>0</v>
          </cell>
          <cell r="R328">
            <v>0</v>
          </cell>
        </row>
        <row r="329">
          <cell r="G329">
            <v>39349.22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41938.139999999898</v>
          </cell>
          <cell r="N329">
            <v>8634.11</v>
          </cell>
          <cell r="O329">
            <v>0</v>
          </cell>
          <cell r="R329">
            <v>0</v>
          </cell>
        </row>
        <row r="330">
          <cell r="G330">
            <v>58743.15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62640.139999999898</v>
          </cell>
          <cell r="N330">
            <v>13484.86</v>
          </cell>
          <cell r="O330">
            <v>0</v>
          </cell>
          <cell r="R330">
            <v>0</v>
          </cell>
        </row>
        <row r="331">
          <cell r="G331">
            <v>50995.41</v>
          </cell>
          <cell r="I331">
            <v>0</v>
          </cell>
          <cell r="J331">
            <v>3561.5999999999899</v>
          </cell>
          <cell r="K331">
            <v>0</v>
          </cell>
          <cell r="L331">
            <v>3561.5999999999899</v>
          </cell>
          <cell r="M331">
            <v>58344.809999999903</v>
          </cell>
          <cell r="N331">
            <v>15647.19</v>
          </cell>
          <cell r="O331">
            <v>0</v>
          </cell>
          <cell r="R331">
            <v>0</v>
          </cell>
        </row>
        <row r="332">
          <cell r="G332">
            <v>58068.889999999898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61872.83</v>
          </cell>
          <cell r="N332">
            <v>12433.49</v>
          </cell>
          <cell r="O332">
            <v>0</v>
          </cell>
          <cell r="R332">
            <v>0</v>
          </cell>
        </row>
        <row r="333">
          <cell r="G333">
            <v>113443.69</v>
          </cell>
          <cell r="I333">
            <v>0</v>
          </cell>
          <cell r="J333">
            <v>10288.5</v>
          </cell>
          <cell r="K333">
            <v>0</v>
          </cell>
          <cell r="L333">
            <v>10288.5</v>
          </cell>
          <cell r="M333">
            <v>132119.859999999</v>
          </cell>
          <cell r="N333">
            <v>31727.5</v>
          </cell>
          <cell r="O333">
            <v>0</v>
          </cell>
          <cell r="R333">
            <v>0</v>
          </cell>
        </row>
        <row r="334">
          <cell r="G334">
            <v>58582.089999999902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62667.269999999902</v>
          </cell>
          <cell r="N334">
            <v>17133.830000000002</v>
          </cell>
          <cell r="O334">
            <v>0</v>
          </cell>
          <cell r="R334">
            <v>0</v>
          </cell>
        </row>
        <row r="335">
          <cell r="G335">
            <v>34885.25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37325.309999999903</v>
          </cell>
          <cell r="N335">
            <v>10338.69</v>
          </cell>
          <cell r="O335">
            <v>0</v>
          </cell>
          <cell r="R335">
            <v>0</v>
          </cell>
        </row>
        <row r="336">
          <cell r="G336">
            <v>8763.3799999999901</v>
          </cell>
          <cell r="I336">
            <v>0</v>
          </cell>
          <cell r="J336">
            <v>1146.72</v>
          </cell>
          <cell r="K336">
            <v>0</v>
          </cell>
          <cell r="L336">
            <v>1146.72</v>
          </cell>
          <cell r="M336">
            <v>10556.95</v>
          </cell>
          <cell r="N336">
            <v>2079.0500000000002</v>
          </cell>
          <cell r="O336">
            <v>0</v>
          </cell>
          <cell r="R336">
            <v>0</v>
          </cell>
        </row>
        <row r="337">
          <cell r="G337">
            <v>3541.3499999999899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3801.21</v>
          </cell>
          <cell r="N337">
            <v>1273.79</v>
          </cell>
          <cell r="O337">
            <v>0</v>
          </cell>
          <cell r="R337">
            <v>0</v>
          </cell>
        </row>
        <row r="338">
          <cell r="G338">
            <v>43204.449999999903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46351.82</v>
          </cell>
          <cell r="N338">
            <v>15129.83</v>
          </cell>
          <cell r="O338">
            <v>0</v>
          </cell>
          <cell r="R338">
            <v>0</v>
          </cell>
        </row>
        <row r="339">
          <cell r="G339">
            <v>7082.6999999999898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7598.6599999999899</v>
          </cell>
          <cell r="N339">
            <v>2480.34</v>
          </cell>
          <cell r="O339">
            <v>0</v>
          </cell>
          <cell r="R339">
            <v>0</v>
          </cell>
        </row>
        <row r="340">
          <cell r="G340">
            <v>35773.559999999903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38213.599999999897</v>
          </cell>
          <cell r="N340">
            <v>9450.3999999999905</v>
          </cell>
          <cell r="O340">
            <v>0</v>
          </cell>
          <cell r="R340">
            <v>0</v>
          </cell>
        </row>
        <row r="341">
          <cell r="G341">
            <v>19581.049999999901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20870.9399999999</v>
          </cell>
          <cell r="N341">
            <v>4326.3100000000004</v>
          </cell>
          <cell r="O341">
            <v>0</v>
          </cell>
          <cell r="R341">
            <v>0</v>
          </cell>
        </row>
        <row r="342">
          <cell r="G342">
            <v>16998.47</v>
          </cell>
          <cell r="I342">
            <v>0</v>
          </cell>
          <cell r="J342">
            <v>2119.1999999999898</v>
          </cell>
          <cell r="K342">
            <v>0</v>
          </cell>
          <cell r="L342">
            <v>2119.1999999999898</v>
          </cell>
          <cell r="M342">
            <v>20383.150000000001</v>
          </cell>
          <cell r="N342">
            <v>4336.8500000000004</v>
          </cell>
          <cell r="O342">
            <v>0</v>
          </cell>
          <cell r="R342">
            <v>0</v>
          </cell>
        </row>
        <row r="343">
          <cell r="G343">
            <v>8499.2399999999907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9109.2299999999905</v>
          </cell>
          <cell r="N343">
            <v>2806.77</v>
          </cell>
          <cell r="O343">
            <v>0</v>
          </cell>
          <cell r="R343">
            <v>0</v>
          </cell>
        </row>
        <row r="344">
          <cell r="G344">
            <v>186889.72</v>
          </cell>
          <cell r="I344">
            <v>0</v>
          </cell>
          <cell r="J344">
            <v>13810.93</v>
          </cell>
          <cell r="K344">
            <v>0</v>
          </cell>
          <cell r="L344">
            <v>13810.93</v>
          </cell>
          <cell r="M344">
            <v>214463.94</v>
          </cell>
          <cell r="N344">
            <v>54391.86</v>
          </cell>
          <cell r="O344">
            <v>0</v>
          </cell>
          <cell r="R344">
            <v>0</v>
          </cell>
        </row>
        <row r="345">
          <cell r="G345">
            <v>228250.38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243588.31</v>
          </cell>
          <cell r="N345">
            <v>56027.709999999897</v>
          </cell>
          <cell r="O345">
            <v>0</v>
          </cell>
          <cell r="R345">
            <v>0</v>
          </cell>
        </row>
        <row r="346">
          <cell r="G346">
            <v>233547.22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248889.47</v>
          </cell>
          <cell r="N346">
            <v>50810.86</v>
          </cell>
          <cell r="O346">
            <v>0</v>
          </cell>
          <cell r="R346">
            <v>0</v>
          </cell>
        </row>
        <row r="347">
          <cell r="G347">
            <v>16998.48</v>
          </cell>
          <cell r="I347">
            <v>0</v>
          </cell>
          <cell r="J347">
            <v>2013.24</v>
          </cell>
          <cell r="K347">
            <v>0</v>
          </cell>
          <cell r="L347">
            <v>2013.24</v>
          </cell>
          <cell r="M347">
            <v>20295.59</v>
          </cell>
          <cell r="N347">
            <v>4784.4099999999899</v>
          </cell>
          <cell r="O347">
            <v>0</v>
          </cell>
          <cell r="R347">
            <v>0</v>
          </cell>
        </row>
        <row r="348">
          <cell r="G348">
            <v>8499.2399999999907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8757.6200000000008</v>
          </cell>
          <cell r="N348">
            <v>3158.38</v>
          </cell>
          <cell r="O348">
            <v>0</v>
          </cell>
          <cell r="R348">
            <v>0</v>
          </cell>
        </row>
        <row r="349">
          <cell r="G349">
            <v>58078.11</v>
          </cell>
          <cell r="I349">
            <v>0</v>
          </cell>
          <cell r="J349">
            <v>3339.4299999999898</v>
          </cell>
          <cell r="K349">
            <v>0</v>
          </cell>
          <cell r="L349">
            <v>3339.4299999999898</v>
          </cell>
          <cell r="M349">
            <v>61417.54</v>
          </cell>
          <cell r="N349">
            <v>22632.459999999901</v>
          </cell>
          <cell r="O349">
            <v>0</v>
          </cell>
          <cell r="R349">
            <v>0</v>
          </cell>
        </row>
        <row r="350">
          <cell r="G350">
            <v>41866.779999999897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42382.739999999903</v>
          </cell>
          <cell r="N350">
            <v>15360.26</v>
          </cell>
          <cell r="O350">
            <v>0</v>
          </cell>
          <cell r="R350">
            <v>0</v>
          </cell>
        </row>
        <row r="351">
          <cell r="G351">
            <v>23073.6899999999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24569.959999999901</v>
          </cell>
          <cell r="N351">
            <v>4658.9099999999899</v>
          </cell>
          <cell r="O351">
            <v>0</v>
          </cell>
          <cell r="R351">
            <v>0</v>
          </cell>
        </row>
        <row r="352">
          <cell r="G352">
            <v>16998.47</v>
          </cell>
          <cell r="I352">
            <v>0</v>
          </cell>
          <cell r="J352">
            <v>2207.7600000000002</v>
          </cell>
          <cell r="K352">
            <v>0</v>
          </cell>
          <cell r="L352">
            <v>2207.7600000000002</v>
          </cell>
          <cell r="M352">
            <v>19206.23</v>
          </cell>
          <cell r="N352">
            <v>5439.6099999999897</v>
          </cell>
          <cell r="O352">
            <v>0</v>
          </cell>
          <cell r="R352">
            <v>0</v>
          </cell>
        </row>
        <row r="353">
          <cell r="G353">
            <v>0</v>
          </cell>
          <cell r="I353">
            <v>0</v>
          </cell>
          <cell r="J353">
            <v>7578.72</v>
          </cell>
          <cell r="K353">
            <v>0</v>
          </cell>
          <cell r="L353">
            <v>7578.72</v>
          </cell>
          <cell r="M353">
            <v>7578.72</v>
          </cell>
          <cell r="N353">
            <v>-7578.72</v>
          </cell>
          <cell r="O353">
            <v>0</v>
          </cell>
          <cell r="R353">
            <v>0</v>
          </cell>
        </row>
        <row r="354">
          <cell r="G354">
            <v>22035.57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23485.7599999999</v>
          </cell>
          <cell r="N354">
            <v>4841.8100000000004</v>
          </cell>
          <cell r="O354">
            <v>0</v>
          </cell>
          <cell r="R354">
            <v>0</v>
          </cell>
        </row>
        <row r="355">
          <cell r="G355">
            <v>900117.96999999904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958702.82999999903</v>
          </cell>
          <cell r="N355">
            <v>185709.67</v>
          </cell>
          <cell r="O355">
            <v>0</v>
          </cell>
          <cell r="R355">
            <v>0</v>
          </cell>
        </row>
        <row r="356">
          <cell r="G356">
            <v>5643.2299999999896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6004.39</v>
          </cell>
          <cell r="N356">
            <v>1050.8399999999899</v>
          </cell>
          <cell r="O356">
            <v>0</v>
          </cell>
          <cell r="R356">
            <v>0</v>
          </cell>
        </row>
        <row r="357">
          <cell r="G357">
            <v>25497.709999999901</v>
          </cell>
          <cell r="I357">
            <v>0</v>
          </cell>
          <cell r="J357">
            <v>1212.48</v>
          </cell>
          <cell r="K357">
            <v>0</v>
          </cell>
          <cell r="L357">
            <v>1212.48</v>
          </cell>
          <cell r="M357">
            <v>26710.1899999999</v>
          </cell>
          <cell r="N357">
            <v>10009.809999999899</v>
          </cell>
          <cell r="O357">
            <v>0</v>
          </cell>
          <cell r="R357">
            <v>0</v>
          </cell>
        </row>
        <row r="358">
          <cell r="G358">
            <v>388999.44</v>
          </cell>
          <cell r="I358">
            <v>0</v>
          </cell>
          <cell r="J358">
            <v>14672.4</v>
          </cell>
          <cell r="K358">
            <v>0</v>
          </cell>
          <cell r="L358">
            <v>14672.4</v>
          </cell>
          <cell r="M358">
            <v>408665.429999999</v>
          </cell>
          <cell r="N358">
            <v>143938.049999999</v>
          </cell>
          <cell r="O358">
            <v>0</v>
          </cell>
          <cell r="R358">
            <v>0</v>
          </cell>
        </row>
        <row r="359">
          <cell r="G359">
            <v>80742.740000000005</v>
          </cell>
          <cell r="I359">
            <v>0</v>
          </cell>
          <cell r="J359">
            <v>7914.1</v>
          </cell>
          <cell r="K359">
            <v>0</v>
          </cell>
          <cell r="L359">
            <v>7914.1</v>
          </cell>
          <cell r="M359">
            <v>88656.839999999895</v>
          </cell>
          <cell r="N359">
            <v>27374.639999999901</v>
          </cell>
          <cell r="O359">
            <v>0</v>
          </cell>
          <cell r="R359">
            <v>0</v>
          </cell>
        </row>
        <row r="360">
          <cell r="G360">
            <v>47162.139999999898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47781.3</v>
          </cell>
          <cell r="N360">
            <v>15949.5</v>
          </cell>
          <cell r="O360">
            <v>0</v>
          </cell>
          <cell r="R360">
            <v>0</v>
          </cell>
        </row>
        <row r="361">
          <cell r="G361">
            <v>60968.18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64674.57</v>
          </cell>
          <cell r="N361">
            <v>15790.389999999899</v>
          </cell>
          <cell r="O361">
            <v>0</v>
          </cell>
          <cell r="R361">
            <v>0</v>
          </cell>
        </row>
        <row r="362">
          <cell r="G362">
            <v>39349.22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41929</v>
          </cell>
          <cell r="N362">
            <v>8465.5</v>
          </cell>
          <cell r="O362">
            <v>0</v>
          </cell>
          <cell r="R362">
            <v>0</v>
          </cell>
        </row>
        <row r="363">
          <cell r="G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-280</v>
          </cell>
          <cell r="O363">
            <v>0</v>
          </cell>
          <cell r="R363">
            <v>0</v>
          </cell>
        </row>
        <row r="364">
          <cell r="G364">
            <v>8499.2399999999907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8499.2399999999907</v>
          </cell>
          <cell r="N364">
            <v>3680.76</v>
          </cell>
          <cell r="O364">
            <v>0</v>
          </cell>
          <cell r="R364">
            <v>0</v>
          </cell>
        </row>
        <row r="365">
          <cell r="G365">
            <v>39582.75</v>
          </cell>
          <cell r="I365">
            <v>0</v>
          </cell>
          <cell r="J365">
            <v>1910.04</v>
          </cell>
          <cell r="K365">
            <v>0</v>
          </cell>
          <cell r="L365">
            <v>1910.04</v>
          </cell>
          <cell r="M365">
            <v>41856.529999999897</v>
          </cell>
          <cell r="N365">
            <v>15408.469999999899</v>
          </cell>
          <cell r="O365">
            <v>0</v>
          </cell>
          <cell r="R365">
            <v>0</v>
          </cell>
        </row>
        <row r="366">
          <cell r="G366">
            <v>12748.85</v>
          </cell>
          <cell r="I366">
            <v>0</v>
          </cell>
          <cell r="J366">
            <v>909.36</v>
          </cell>
          <cell r="K366">
            <v>0</v>
          </cell>
          <cell r="L366">
            <v>909.36</v>
          </cell>
          <cell r="M366">
            <v>13658.209999999901</v>
          </cell>
          <cell r="N366">
            <v>5151.79</v>
          </cell>
          <cell r="O366">
            <v>0</v>
          </cell>
          <cell r="R366">
            <v>0</v>
          </cell>
        </row>
        <row r="367">
          <cell r="G367">
            <v>3191.8899999999899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3398.26</v>
          </cell>
          <cell r="N367">
            <v>633.34</v>
          </cell>
          <cell r="O367">
            <v>0</v>
          </cell>
          <cell r="R367">
            <v>0</v>
          </cell>
        </row>
        <row r="368">
          <cell r="G368">
            <v>16998.47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16998.47</v>
          </cell>
          <cell r="N368">
            <v>6476.17</v>
          </cell>
          <cell r="O368">
            <v>0</v>
          </cell>
          <cell r="R368">
            <v>0</v>
          </cell>
        </row>
        <row r="369">
          <cell r="G369">
            <v>17313.650000000001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18448.77</v>
          </cell>
          <cell r="N369">
            <v>3725.03</v>
          </cell>
          <cell r="O369">
            <v>0</v>
          </cell>
          <cell r="R369">
            <v>0</v>
          </cell>
        </row>
        <row r="370">
          <cell r="G370">
            <v>120603.2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124263.25</v>
          </cell>
          <cell r="N370">
            <v>40232.75</v>
          </cell>
          <cell r="O370">
            <v>0</v>
          </cell>
          <cell r="R370">
            <v>0</v>
          </cell>
        </row>
        <row r="371">
          <cell r="G371">
            <v>51759.629999999903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55445.449999999903</v>
          </cell>
          <cell r="N371">
            <v>16554.549999999901</v>
          </cell>
          <cell r="O371">
            <v>0</v>
          </cell>
          <cell r="R371">
            <v>0</v>
          </cell>
        </row>
        <row r="372">
          <cell r="G372">
            <v>102519.13</v>
          </cell>
          <cell r="I372">
            <v>0</v>
          </cell>
          <cell r="J372">
            <v>8521.68</v>
          </cell>
          <cell r="K372">
            <v>0</v>
          </cell>
          <cell r="L372">
            <v>8521.68</v>
          </cell>
          <cell r="M372">
            <v>112325.45</v>
          </cell>
          <cell r="N372">
            <v>35147.349999999897</v>
          </cell>
          <cell r="O372">
            <v>0</v>
          </cell>
          <cell r="R372">
            <v>0</v>
          </cell>
        </row>
        <row r="373">
          <cell r="G373">
            <v>106055.7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113061.3</v>
          </cell>
          <cell r="N373">
            <v>23785.95</v>
          </cell>
          <cell r="O373">
            <v>0</v>
          </cell>
          <cell r="R373">
            <v>0</v>
          </cell>
        </row>
        <row r="374">
          <cell r="G374">
            <v>69466.13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70704.479999999894</v>
          </cell>
          <cell r="N374">
            <v>25045.869999999901</v>
          </cell>
          <cell r="O374">
            <v>0</v>
          </cell>
          <cell r="R374">
            <v>0</v>
          </cell>
        </row>
        <row r="375">
          <cell r="G375">
            <v>16998.47</v>
          </cell>
          <cell r="I375">
            <v>0</v>
          </cell>
          <cell r="J375">
            <v>1456.8</v>
          </cell>
          <cell r="K375">
            <v>0</v>
          </cell>
          <cell r="L375">
            <v>1456.8</v>
          </cell>
          <cell r="M375">
            <v>18455.27</v>
          </cell>
          <cell r="N375">
            <v>6449.29</v>
          </cell>
          <cell r="O375">
            <v>0</v>
          </cell>
          <cell r="R375">
            <v>0</v>
          </cell>
        </row>
        <row r="376">
          <cell r="G376">
            <v>97586.059999999896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104029.11</v>
          </cell>
          <cell r="N376">
            <v>21830.889999999901</v>
          </cell>
          <cell r="O376">
            <v>0</v>
          </cell>
          <cell r="R376">
            <v>0</v>
          </cell>
        </row>
        <row r="377">
          <cell r="G377">
            <v>51703.69</v>
          </cell>
          <cell r="I377">
            <v>0</v>
          </cell>
          <cell r="J377">
            <v>6143.51</v>
          </cell>
          <cell r="K377">
            <v>0</v>
          </cell>
          <cell r="L377">
            <v>6143.51</v>
          </cell>
          <cell r="M377">
            <v>57847.199999999903</v>
          </cell>
          <cell r="N377">
            <v>16959.4199999999</v>
          </cell>
          <cell r="O377">
            <v>0</v>
          </cell>
          <cell r="R377">
            <v>0</v>
          </cell>
        </row>
        <row r="378">
          <cell r="G378">
            <v>67993.88</v>
          </cell>
          <cell r="I378">
            <v>0</v>
          </cell>
          <cell r="J378">
            <v>7388.1599999999899</v>
          </cell>
          <cell r="K378">
            <v>0</v>
          </cell>
          <cell r="L378">
            <v>7388.1599999999899</v>
          </cell>
          <cell r="M378">
            <v>75382.039999999906</v>
          </cell>
          <cell r="N378">
            <v>24937.959999999901</v>
          </cell>
          <cell r="O378">
            <v>0</v>
          </cell>
          <cell r="R378">
            <v>0</v>
          </cell>
        </row>
        <row r="379">
          <cell r="G379">
            <v>16998.47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16998.47</v>
          </cell>
          <cell r="N379">
            <v>6833.5299999999897</v>
          </cell>
          <cell r="O379">
            <v>0</v>
          </cell>
          <cell r="R379">
            <v>0</v>
          </cell>
        </row>
        <row r="380">
          <cell r="G380">
            <v>33996.94</v>
          </cell>
          <cell r="I380">
            <v>0</v>
          </cell>
          <cell r="J380">
            <v>1833.8399999999899</v>
          </cell>
          <cell r="K380">
            <v>0</v>
          </cell>
          <cell r="L380">
            <v>1833.8399999999899</v>
          </cell>
          <cell r="M380">
            <v>35830.779999999897</v>
          </cell>
          <cell r="N380">
            <v>13081.219999999899</v>
          </cell>
          <cell r="O380">
            <v>0</v>
          </cell>
          <cell r="R380">
            <v>0</v>
          </cell>
        </row>
        <row r="381">
          <cell r="G381">
            <v>24081.1699999999</v>
          </cell>
          <cell r="I381">
            <v>0</v>
          </cell>
          <cell r="J381">
            <v>1065.5999999999899</v>
          </cell>
          <cell r="K381">
            <v>0</v>
          </cell>
          <cell r="L381">
            <v>1065.5999999999899</v>
          </cell>
          <cell r="M381">
            <v>25146.77</v>
          </cell>
          <cell r="N381">
            <v>9573.2299999999905</v>
          </cell>
          <cell r="O381">
            <v>0</v>
          </cell>
          <cell r="R381">
            <v>0</v>
          </cell>
        </row>
        <row r="382">
          <cell r="G382">
            <v>130458.02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139339.799999999</v>
          </cell>
          <cell r="N382">
            <v>34160.199999999903</v>
          </cell>
          <cell r="O382">
            <v>0</v>
          </cell>
          <cell r="R382">
            <v>0</v>
          </cell>
        </row>
        <row r="383">
          <cell r="G383">
            <v>33996.94</v>
          </cell>
          <cell r="I383">
            <v>0</v>
          </cell>
          <cell r="J383">
            <v>3325.92</v>
          </cell>
          <cell r="K383">
            <v>0</v>
          </cell>
          <cell r="L383">
            <v>3325.92</v>
          </cell>
          <cell r="M383">
            <v>37322.86</v>
          </cell>
          <cell r="N383">
            <v>12837.139999999899</v>
          </cell>
          <cell r="O383">
            <v>0</v>
          </cell>
          <cell r="R383">
            <v>0</v>
          </cell>
        </row>
        <row r="384">
          <cell r="G384">
            <v>16998.47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16998.47</v>
          </cell>
          <cell r="N384">
            <v>6833.5299999999897</v>
          </cell>
          <cell r="O384">
            <v>0</v>
          </cell>
          <cell r="R384">
            <v>0</v>
          </cell>
        </row>
        <row r="385">
          <cell r="G385">
            <v>45689.339999999902</v>
          </cell>
          <cell r="I385">
            <v>0</v>
          </cell>
          <cell r="J385">
            <v>4238.3999999999896</v>
          </cell>
          <cell r="K385">
            <v>0</v>
          </cell>
          <cell r="L385">
            <v>4238.3999999999896</v>
          </cell>
          <cell r="M385">
            <v>49927.739999999903</v>
          </cell>
          <cell r="N385">
            <v>13991.84</v>
          </cell>
          <cell r="O385">
            <v>0</v>
          </cell>
          <cell r="R385">
            <v>0</v>
          </cell>
        </row>
        <row r="386">
          <cell r="G386">
            <v>114739.679999999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114739.679999999</v>
          </cell>
          <cell r="N386">
            <v>48538.62</v>
          </cell>
          <cell r="O386">
            <v>0</v>
          </cell>
          <cell r="R386">
            <v>0</v>
          </cell>
        </row>
        <row r="387">
          <cell r="G387">
            <v>21389.889999999901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21389.889999999901</v>
          </cell>
          <cell r="N387">
            <v>-21389.889999999901</v>
          </cell>
          <cell r="O387">
            <v>0</v>
          </cell>
          <cell r="R387">
            <v>0</v>
          </cell>
        </row>
        <row r="388">
          <cell r="G388">
            <v>8072.63</v>
          </cell>
          <cell r="I388">
            <v>102.64</v>
          </cell>
          <cell r="J388">
            <v>0</v>
          </cell>
          <cell r="K388">
            <v>0.02</v>
          </cell>
          <cell r="L388">
            <v>102.66</v>
          </cell>
          <cell r="M388">
            <v>8485.4799999999905</v>
          </cell>
          <cell r="N388">
            <v>1253.3199999999899</v>
          </cell>
          <cell r="O388">
            <v>0</v>
          </cell>
          <cell r="R388">
            <v>18.73</v>
          </cell>
        </row>
        <row r="389">
          <cell r="G389">
            <v>56427.709999999897</v>
          </cell>
          <cell r="I389">
            <v>717.46</v>
          </cell>
          <cell r="J389">
            <v>0</v>
          </cell>
          <cell r="K389">
            <v>0.13</v>
          </cell>
          <cell r="L389">
            <v>717.59</v>
          </cell>
          <cell r="M389">
            <v>59325.8</v>
          </cell>
          <cell r="N389">
            <v>9126.42</v>
          </cell>
          <cell r="O389">
            <v>0</v>
          </cell>
          <cell r="R389">
            <v>130.91</v>
          </cell>
        </row>
        <row r="390">
          <cell r="G390">
            <v>34847.199999999903</v>
          </cell>
          <cell r="I390">
            <v>492.67</v>
          </cell>
          <cell r="J390">
            <v>0</v>
          </cell>
          <cell r="K390">
            <v>8.99999999999999E-2</v>
          </cell>
          <cell r="L390">
            <v>492.75999999999902</v>
          </cell>
          <cell r="M390">
            <v>36815.5</v>
          </cell>
          <cell r="N390">
            <v>9505.94</v>
          </cell>
          <cell r="O390">
            <v>0</v>
          </cell>
          <cell r="R390">
            <v>80.87</v>
          </cell>
        </row>
        <row r="391">
          <cell r="G391">
            <v>43559</v>
          </cell>
          <cell r="I391">
            <v>615.85</v>
          </cell>
          <cell r="J391">
            <v>4040.6399999999899</v>
          </cell>
          <cell r="K391">
            <v>0.11</v>
          </cell>
          <cell r="L391">
            <v>4656.6000000000004</v>
          </cell>
          <cell r="M391">
            <v>50147.51</v>
          </cell>
          <cell r="N391">
            <v>10500.49</v>
          </cell>
          <cell r="O391">
            <v>0</v>
          </cell>
          <cell r="R391">
            <v>101.05</v>
          </cell>
        </row>
        <row r="392">
          <cell r="G392">
            <v>27446.95</v>
          </cell>
          <cell r="I392">
            <v>348.97</v>
          </cell>
          <cell r="J392">
            <v>0</v>
          </cell>
          <cell r="K392">
            <v>5.9999999999999901E-2</v>
          </cell>
          <cell r="L392">
            <v>349.02999999999901</v>
          </cell>
          <cell r="M392">
            <v>28848.6899999999</v>
          </cell>
          <cell r="N392">
            <v>4197.2700000000004</v>
          </cell>
          <cell r="O392">
            <v>0</v>
          </cell>
          <cell r="R392">
            <v>63.689999999999898</v>
          </cell>
        </row>
        <row r="393">
          <cell r="G393">
            <v>34847.199999999903</v>
          </cell>
          <cell r="I393">
            <v>492.67</v>
          </cell>
          <cell r="J393">
            <v>2554.3200000000002</v>
          </cell>
          <cell r="K393">
            <v>8.99999999999999E-2</v>
          </cell>
          <cell r="L393">
            <v>3047.0799999999899</v>
          </cell>
          <cell r="M393">
            <v>39429.440000000002</v>
          </cell>
          <cell r="N393">
            <v>8762.5599999999904</v>
          </cell>
          <cell r="O393">
            <v>0</v>
          </cell>
          <cell r="R393">
            <v>80.87</v>
          </cell>
        </row>
        <row r="394">
          <cell r="G394">
            <v>52270.8</v>
          </cell>
          <cell r="I394">
            <v>739.01999999999896</v>
          </cell>
          <cell r="J394">
            <v>6228.72</v>
          </cell>
          <cell r="K394">
            <v>0.13</v>
          </cell>
          <cell r="L394">
            <v>6967.8699999999899</v>
          </cell>
          <cell r="M394">
            <v>61694.339999999902</v>
          </cell>
          <cell r="N394">
            <v>15396.059999999899</v>
          </cell>
          <cell r="O394">
            <v>0</v>
          </cell>
          <cell r="R394">
            <v>121.28</v>
          </cell>
        </row>
        <row r="395">
          <cell r="G395">
            <v>8711.7999999999902</v>
          </cell>
          <cell r="I395">
            <v>123.17</v>
          </cell>
          <cell r="J395">
            <v>985.55999999999904</v>
          </cell>
          <cell r="K395">
            <v>0.02</v>
          </cell>
          <cell r="L395">
            <v>1108.75</v>
          </cell>
          <cell r="M395">
            <v>10201.67</v>
          </cell>
          <cell r="N395">
            <v>1762.3299999999899</v>
          </cell>
          <cell r="O395">
            <v>0</v>
          </cell>
          <cell r="R395">
            <v>20.1999999999999</v>
          </cell>
        </row>
        <row r="396">
          <cell r="G396">
            <v>58887.3</v>
          </cell>
          <cell r="I396">
            <v>749.28999999999905</v>
          </cell>
          <cell r="J396">
            <v>0</v>
          </cell>
          <cell r="K396">
            <v>0.14000000000000001</v>
          </cell>
          <cell r="L396">
            <v>749.42999999999904</v>
          </cell>
          <cell r="M396">
            <v>61879.69</v>
          </cell>
          <cell r="N396">
            <v>8534.5499999999902</v>
          </cell>
          <cell r="O396">
            <v>0</v>
          </cell>
          <cell r="R396">
            <v>136.62</v>
          </cell>
        </row>
        <row r="397">
          <cell r="G397">
            <v>20909.150000000001</v>
          </cell>
          <cell r="I397">
            <v>266.87</v>
          </cell>
          <cell r="J397">
            <v>0</v>
          </cell>
          <cell r="K397">
            <v>0.05</v>
          </cell>
          <cell r="L397">
            <v>266.92</v>
          </cell>
          <cell r="M397">
            <v>21985.06</v>
          </cell>
          <cell r="N397">
            <v>3411.48</v>
          </cell>
          <cell r="O397">
            <v>0</v>
          </cell>
          <cell r="R397">
            <v>48.509999999999899</v>
          </cell>
        </row>
        <row r="398">
          <cell r="G398">
            <v>17423.5999999999</v>
          </cell>
          <cell r="I398">
            <v>246.349999999999</v>
          </cell>
          <cell r="J398">
            <v>1300.8</v>
          </cell>
          <cell r="K398">
            <v>0.04</v>
          </cell>
          <cell r="L398">
            <v>1547.19</v>
          </cell>
          <cell r="M398">
            <v>19740.650000000001</v>
          </cell>
          <cell r="N398">
            <v>4427.3500000000004</v>
          </cell>
          <cell r="O398">
            <v>0</v>
          </cell>
          <cell r="R398">
            <v>40.43</v>
          </cell>
        </row>
        <row r="399">
          <cell r="G399">
            <v>106412.41</v>
          </cell>
          <cell r="I399">
            <v>1498.5699999999899</v>
          </cell>
          <cell r="J399">
            <v>9478.9799999999905</v>
          </cell>
          <cell r="K399">
            <v>0.26</v>
          </cell>
          <cell r="L399">
            <v>10977.809999999899</v>
          </cell>
          <cell r="M399">
            <v>121963.85</v>
          </cell>
          <cell r="N399">
            <v>21615.75</v>
          </cell>
          <cell r="O399">
            <v>0</v>
          </cell>
          <cell r="R399">
            <v>246.9</v>
          </cell>
        </row>
        <row r="400">
          <cell r="G400">
            <v>463037.03</v>
          </cell>
          <cell r="I400">
            <v>6507.46</v>
          </cell>
          <cell r="J400">
            <v>0</v>
          </cell>
          <cell r="K400">
            <v>1.1299999999999899</v>
          </cell>
          <cell r="L400">
            <v>6508.59</v>
          </cell>
          <cell r="M400">
            <v>489023.15</v>
          </cell>
          <cell r="N400">
            <v>122435.75</v>
          </cell>
          <cell r="O400">
            <v>0</v>
          </cell>
          <cell r="R400">
            <v>1074.3399999999899</v>
          </cell>
        </row>
        <row r="401">
          <cell r="G401">
            <v>34847.199999999903</v>
          </cell>
          <cell r="I401">
            <v>492.67</v>
          </cell>
          <cell r="J401">
            <v>2938.0799999999899</v>
          </cell>
          <cell r="K401">
            <v>8.99999999999999E-2</v>
          </cell>
          <cell r="L401">
            <v>3430.84</v>
          </cell>
          <cell r="M401">
            <v>39881.75</v>
          </cell>
          <cell r="N401">
            <v>10463.049999999899</v>
          </cell>
          <cell r="O401">
            <v>0</v>
          </cell>
          <cell r="R401">
            <v>80.87</v>
          </cell>
        </row>
        <row r="402">
          <cell r="G402">
            <v>9687.1599999999908</v>
          </cell>
          <cell r="I402">
            <v>123.17</v>
          </cell>
          <cell r="J402">
            <v>0</v>
          </cell>
          <cell r="K402">
            <v>0.02</v>
          </cell>
          <cell r="L402">
            <v>123.19</v>
          </cell>
          <cell r="M402">
            <v>10183.73</v>
          </cell>
          <cell r="N402">
            <v>1537.75</v>
          </cell>
          <cell r="O402">
            <v>0</v>
          </cell>
          <cell r="R402">
            <v>22.48</v>
          </cell>
        </row>
        <row r="403">
          <cell r="G403">
            <v>35530.959999999897</v>
          </cell>
          <cell r="I403">
            <v>492.68</v>
          </cell>
          <cell r="J403">
            <v>3003.84</v>
          </cell>
          <cell r="K403">
            <v>0.08</v>
          </cell>
          <cell r="L403">
            <v>3496.5999999999899</v>
          </cell>
          <cell r="M403">
            <v>40530.29</v>
          </cell>
          <cell r="N403">
            <v>6642.9099999999899</v>
          </cell>
          <cell r="O403">
            <v>0</v>
          </cell>
          <cell r="R403">
            <v>82.42</v>
          </cell>
        </row>
        <row r="404">
          <cell r="G404">
            <v>501432.87</v>
          </cell>
          <cell r="I404">
            <v>7051.4799999999896</v>
          </cell>
          <cell r="J404">
            <v>0</v>
          </cell>
          <cell r="K404">
            <v>1.23</v>
          </cell>
          <cell r="L404">
            <v>7052.71</v>
          </cell>
          <cell r="M404">
            <v>529632.31999999902</v>
          </cell>
          <cell r="N404">
            <v>134228.89000000001</v>
          </cell>
          <cell r="O404">
            <v>0</v>
          </cell>
          <cell r="R404">
            <v>1163.43</v>
          </cell>
        </row>
        <row r="405">
          <cell r="G405">
            <v>17423.5999999999</v>
          </cell>
          <cell r="I405">
            <v>246.349999999999</v>
          </cell>
          <cell r="J405">
            <v>0</v>
          </cell>
          <cell r="K405">
            <v>0.04</v>
          </cell>
          <cell r="L405">
            <v>246.38999999999899</v>
          </cell>
          <cell r="M405">
            <v>18407.34</v>
          </cell>
          <cell r="N405">
            <v>4741.8599999999897</v>
          </cell>
          <cell r="O405">
            <v>0</v>
          </cell>
          <cell r="R405">
            <v>40.43</v>
          </cell>
        </row>
        <row r="406">
          <cell r="G406">
            <v>26135.4</v>
          </cell>
          <cell r="I406">
            <v>369.50999999999902</v>
          </cell>
          <cell r="J406">
            <v>0</v>
          </cell>
          <cell r="K406">
            <v>5.9999999999999901E-2</v>
          </cell>
          <cell r="L406">
            <v>369.56999999999903</v>
          </cell>
          <cell r="M406">
            <v>27593.56</v>
          </cell>
          <cell r="N406">
            <v>6580.1599999999899</v>
          </cell>
          <cell r="O406">
            <v>0</v>
          </cell>
          <cell r="R406">
            <v>60.619999999999898</v>
          </cell>
        </row>
        <row r="407">
          <cell r="G407">
            <v>172556.81</v>
          </cell>
          <cell r="I407">
            <v>2412.09</v>
          </cell>
          <cell r="J407">
            <v>11170.2</v>
          </cell>
          <cell r="K407">
            <v>0.41999999999999899</v>
          </cell>
          <cell r="L407">
            <v>13582.709999999901</v>
          </cell>
          <cell r="M407">
            <v>193469.32</v>
          </cell>
          <cell r="N407">
            <v>36638.230000000003</v>
          </cell>
          <cell r="O407">
            <v>0</v>
          </cell>
          <cell r="R407">
            <v>400.38999999999902</v>
          </cell>
        </row>
        <row r="408">
          <cell r="G408">
            <v>275315.049999999</v>
          </cell>
          <cell r="I408">
            <v>3643.79</v>
          </cell>
          <cell r="J408">
            <v>0</v>
          </cell>
          <cell r="K408">
            <v>0.63</v>
          </cell>
          <cell r="L408">
            <v>3644.42</v>
          </cell>
          <cell r="M408">
            <v>289883.52000000002</v>
          </cell>
          <cell r="N408">
            <v>53056.639999999898</v>
          </cell>
          <cell r="O408">
            <v>0</v>
          </cell>
          <cell r="R408">
            <v>638.75999999999897</v>
          </cell>
        </row>
        <row r="409">
          <cell r="G409">
            <v>34846.629999999903</v>
          </cell>
          <cell r="I409">
            <v>492.67</v>
          </cell>
          <cell r="J409">
            <v>2719.92</v>
          </cell>
          <cell r="K409">
            <v>8.99999999999999E-2</v>
          </cell>
          <cell r="L409">
            <v>3212.6799999999898</v>
          </cell>
          <cell r="M409">
            <v>39570.029999999897</v>
          </cell>
          <cell r="N409">
            <v>7855.17</v>
          </cell>
          <cell r="O409">
            <v>0</v>
          </cell>
          <cell r="R409">
            <v>80.87</v>
          </cell>
        </row>
        <row r="410">
          <cell r="G410">
            <v>8711.7999999999902</v>
          </cell>
          <cell r="I410">
            <v>123.17</v>
          </cell>
          <cell r="J410">
            <v>0</v>
          </cell>
          <cell r="K410">
            <v>0.02</v>
          </cell>
          <cell r="L410">
            <v>123.19</v>
          </cell>
          <cell r="M410">
            <v>9198.9500000000007</v>
          </cell>
          <cell r="N410">
            <v>2226.73</v>
          </cell>
          <cell r="O410">
            <v>0</v>
          </cell>
          <cell r="R410">
            <v>20.1999999999999</v>
          </cell>
        </row>
        <row r="411">
          <cell r="G411">
            <v>62159.279999999897</v>
          </cell>
          <cell r="I411">
            <v>790.35</v>
          </cell>
          <cell r="J411">
            <v>0</v>
          </cell>
          <cell r="K411">
            <v>0.14000000000000001</v>
          </cell>
          <cell r="L411">
            <v>790.49</v>
          </cell>
          <cell r="M411">
            <v>65345</v>
          </cell>
          <cell r="N411">
            <v>9849.3999999999905</v>
          </cell>
          <cell r="O411">
            <v>0</v>
          </cell>
          <cell r="R411">
            <v>144.22</v>
          </cell>
        </row>
        <row r="412">
          <cell r="G412">
            <v>27587.369999999901</v>
          </cell>
          <cell r="I412">
            <v>390.04</v>
          </cell>
          <cell r="J412">
            <v>2995.92</v>
          </cell>
          <cell r="K412">
            <v>7.0000000000000007E-2</v>
          </cell>
          <cell r="L412">
            <v>3386.03</v>
          </cell>
          <cell r="M412">
            <v>32269.45</v>
          </cell>
          <cell r="N412">
            <v>8417.1499999999905</v>
          </cell>
          <cell r="O412">
            <v>0</v>
          </cell>
          <cell r="R412">
            <v>64</v>
          </cell>
        </row>
        <row r="413">
          <cell r="G413">
            <v>53722.769999999902</v>
          </cell>
          <cell r="I413">
            <v>759.55999999999904</v>
          </cell>
          <cell r="J413">
            <v>0</v>
          </cell>
          <cell r="K413">
            <v>0.13</v>
          </cell>
          <cell r="L413">
            <v>759.69</v>
          </cell>
          <cell r="M413">
            <v>56763.54</v>
          </cell>
          <cell r="N413">
            <v>14847.68</v>
          </cell>
          <cell r="O413">
            <v>0</v>
          </cell>
          <cell r="R413">
            <v>124.65</v>
          </cell>
        </row>
        <row r="414">
          <cell r="G414">
            <v>33395.230000000003</v>
          </cell>
          <cell r="I414">
            <v>472.14999999999901</v>
          </cell>
          <cell r="J414">
            <v>1100.8800000000001</v>
          </cell>
          <cell r="K414">
            <v>0.08</v>
          </cell>
          <cell r="L414">
            <v>1573.1099999999899</v>
          </cell>
          <cell r="M414">
            <v>36398.29</v>
          </cell>
          <cell r="N414">
            <v>8491.70999999999</v>
          </cell>
          <cell r="O414">
            <v>0</v>
          </cell>
          <cell r="R414">
            <v>77.469999999999899</v>
          </cell>
        </row>
        <row r="415">
          <cell r="G415">
            <v>20181.580000000002</v>
          </cell>
          <cell r="I415">
            <v>256.60000000000002</v>
          </cell>
          <cell r="J415">
            <v>0</v>
          </cell>
          <cell r="K415">
            <v>0.04</v>
          </cell>
          <cell r="L415">
            <v>256.63999999999902</v>
          </cell>
          <cell r="M415">
            <v>21208.34</v>
          </cell>
          <cell r="N415">
            <v>2968.9099999999899</v>
          </cell>
          <cell r="O415">
            <v>0</v>
          </cell>
          <cell r="R415">
            <v>46.829999999999899</v>
          </cell>
        </row>
        <row r="416">
          <cell r="G416">
            <v>18536.400000000001</v>
          </cell>
          <cell r="I416">
            <v>236.08</v>
          </cell>
          <cell r="J416">
            <v>0</v>
          </cell>
          <cell r="K416">
            <v>0.04</v>
          </cell>
          <cell r="L416">
            <v>236.12</v>
          </cell>
          <cell r="M416">
            <v>19482.25</v>
          </cell>
          <cell r="N416">
            <v>2798.65</v>
          </cell>
          <cell r="O416">
            <v>0</v>
          </cell>
          <cell r="R416">
            <v>42.979999999999897</v>
          </cell>
        </row>
        <row r="417">
          <cell r="G417">
            <v>174236</v>
          </cell>
          <cell r="I417">
            <v>2463.3899999999899</v>
          </cell>
          <cell r="J417">
            <v>13142.879999999899</v>
          </cell>
          <cell r="K417">
            <v>0.42999999999999899</v>
          </cell>
          <cell r="L417">
            <v>15606.7</v>
          </cell>
          <cell r="M417">
            <v>197438.359999999</v>
          </cell>
          <cell r="N417">
            <v>41011.959999999897</v>
          </cell>
          <cell r="O417">
            <v>0</v>
          </cell>
          <cell r="R417">
            <v>404.24</v>
          </cell>
        </row>
        <row r="418">
          <cell r="G418">
            <v>19374.32</v>
          </cell>
          <cell r="I418">
            <v>246.349999999999</v>
          </cell>
          <cell r="J418">
            <v>0</v>
          </cell>
          <cell r="K418">
            <v>0.04</v>
          </cell>
          <cell r="L418">
            <v>246.38999999999899</v>
          </cell>
          <cell r="M418">
            <v>20357.810000000001</v>
          </cell>
          <cell r="N418">
            <v>2782.51</v>
          </cell>
          <cell r="O418">
            <v>0</v>
          </cell>
          <cell r="R418">
            <v>44.969999999999899</v>
          </cell>
        </row>
        <row r="419">
          <cell r="G419">
            <v>17423.5999999999</v>
          </cell>
          <cell r="I419">
            <v>246.349999999999</v>
          </cell>
          <cell r="J419">
            <v>1637.28</v>
          </cell>
          <cell r="K419">
            <v>0.04</v>
          </cell>
          <cell r="L419">
            <v>1883.67</v>
          </cell>
          <cell r="M419">
            <v>20067.209999999901</v>
          </cell>
          <cell r="N419">
            <v>3788.79</v>
          </cell>
          <cell r="O419">
            <v>0</v>
          </cell>
          <cell r="R419">
            <v>40.43</v>
          </cell>
        </row>
        <row r="420">
          <cell r="G420">
            <v>78406.210000000006</v>
          </cell>
          <cell r="I420">
            <v>1108.52</v>
          </cell>
          <cell r="J420">
            <v>0</v>
          </cell>
          <cell r="K420">
            <v>0.19</v>
          </cell>
          <cell r="L420">
            <v>1108.71</v>
          </cell>
          <cell r="M420">
            <v>82880.960000000006</v>
          </cell>
          <cell r="N420">
            <v>22789.869999999901</v>
          </cell>
          <cell r="O420">
            <v>0</v>
          </cell>
          <cell r="R420">
            <v>181.91</v>
          </cell>
        </row>
        <row r="421">
          <cell r="G421">
            <v>17423.5999999999</v>
          </cell>
          <cell r="I421">
            <v>246.349999999999</v>
          </cell>
          <cell r="J421">
            <v>0</v>
          </cell>
          <cell r="K421">
            <v>0.04</v>
          </cell>
          <cell r="L421">
            <v>246.38999999999899</v>
          </cell>
          <cell r="M421">
            <v>18397.88</v>
          </cell>
          <cell r="N421">
            <v>4453.4799999999896</v>
          </cell>
          <cell r="O421">
            <v>0</v>
          </cell>
          <cell r="R421">
            <v>40.43</v>
          </cell>
        </row>
        <row r="422">
          <cell r="G422">
            <v>92020.119999999893</v>
          </cell>
          <cell r="I422">
            <v>1231.72</v>
          </cell>
          <cell r="J422">
            <v>0</v>
          </cell>
          <cell r="K422">
            <v>0.20999999999999899</v>
          </cell>
          <cell r="L422">
            <v>1231.93</v>
          </cell>
          <cell r="M422">
            <v>96914.27</v>
          </cell>
          <cell r="N422">
            <v>18054.25</v>
          </cell>
          <cell r="O422">
            <v>0</v>
          </cell>
          <cell r="R422">
            <v>213.49</v>
          </cell>
        </row>
        <row r="423">
          <cell r="G423">
            <v>52270.8</v>
          </cell>
          <cell r="I423">
            <v>739.01999999999896</v>
          </cell>
          <cell r="J423">
            <v>6228.72</v>
          </cell>
          <cell r="K423">
            <v>0.13</v>
          </cell>
          <cell r="L423">
            <v>6967.8699999999899</v>
          </cell>
          <cell r="M423">
            <v>61491.040000000001</v>
          </cell>
          <cell r="N423">
            <v>9216.5599999999904</v>
          </cell>
          <cell r="O423">
            <v>0</v>
          </cell>
          <cell r="R423">
            <v>121.28</v>
          </cell>
        </row>
        <row r="424">
          <cell r="G424">
            <v>5807.8699999999899</v>
          </cell>
          <cell r="I424">
            <v>82.12</v>
          </cell>
          <cell r="J424">
            <v>0</v>
          </cell>
          <cell r="K424">
            <v>0.01</v>
          </cell>
          <cell r="L424">
            <v>82.129999999999896</v>
          </cell>
          <cell r="M424">
            <v>6139.67</v>
          </cell>
          <cell r="N424">
            <v>1697.93</v>
          </cell>
          <cell r="O424">
            <v>0</v>
          </cell>
          <cell r="R424">
            <v>13.48</v>
          </cell>
        </row>
        <row r="425">
          <cell r="G425">
            <v>65338.51</v>
          </cell>
          <cell r="I425">
            <v>923.78999999999905</v>
          </cell>
          <cell r="J425">
            <v>6370.8199999999897</v>
          </cell>
          <cell r="K425">
            <v>0.16</v>
          </cell>
          <cell r="L425">
            <v>7294.77</v>
          </cell>
          <cell r="M425">
            <v>75473.449999999895</v>
          </cell>
          <cell r="N425">
            <v>13688.51</v>
          </cell>
          <cell r="O425">
            <v>0</v>
          </cell>
          <cell r="R425">
            <v>151.599999999999</v>
          </cell>
        </row>
        <row r="426">
          <cell r="G426">
            <v>121690.75999999901</v>
          </cell>
          <cell r="I426">
            <v>1724.38</v>
          </cell>
          <cell r="J426">
            <v>0</v>
          </cell>
          <cell r="K426">
            <v>0.29999999999999899</v>
          </cell>
          <cell r="L426">
            <v>1724.68</v>
          </cell>
          <cell r="M426">
            <v>128586.25</v>
          </cell>
          <cell r="N426">
            <v>33739.370000000003</v>
          </cell>
          <cell r="O426">
            <v>0</v>
          </cell>
          <cell r="R426">
            <v>282.33999999999901</v>
          </cell>
        </row>
        <row r="427">
          <cell r="G427">
            <v>10889.75</v>
          </cell>
          <cell r="I427">
            <v>153.96</v>
          </cell>
          <cell r="J427">
            <v>0</v>
          </cell>
          <cell r="K427">
            <v>2.9999999999999898E-2</v>
          </cell>
          <cell r="L427">
            <v>153.99</v>
          </cell>
          <cell r="M427">
            <v>11505.82</v>
          </cell>
          <cell r="N427">
            <v>3000.53</v>
          </cell>
          <cell r="O427">
            <v>0</v>
          </cell>
          <cell r="R427">
            <v>25.2899999999999</v>
          </cell>
        </row>
        <row r="428">
          <cell r="G428">
            <v>17423.5999999999</v>
          </cell>
          <cell r="I428">
            <v>246.349999999999</v>
          </cell>
          <cell r="J428">
            <v>0</v>
          </cell>
          <cell r="K428">
            <v>0.04</v>
          </cell>
          <cell r="L428">
            <v>246.38999999999899</v>
          </cell>
          <cell r="M428">
            <v>18407.09</v>
          </cell>
          <cell r="N428">
            <v>4733.2299999999896</v>
          </cell>
          <cell r="O428">
            <v>0</v>
          </cell>
          <cell r="R428">
            <v>40.43</v>
          </cell>
        </row>
        <row r="429">
          <cell r="G429">
            <v>34847.199999999903</v>
          </cell>
          <cell r="I429">
            <v>492.67</v>
          </cell>
          <cell r="J429">
            <v>0</v>
          </cell>
          <cell r="K429">
            <v>8.99999999999999E-2</v>
          </cell>
          <cell r="L429">
            <v>492.75999999999902</v>
          </cell>
          <cell r="M429">
            <v>36795.839999999902</v>
          </cell>
          <cell r="N429">
            <v>8906.8799999999901</v>
          </cell>
          <cell r="O429">
            <v>0</v>
          </cell>
          <cell r="R429">
            <v>80.87</v>
          </cell>
        </row>
        <row r="430">
          <cell r="G430">
            <v>7259.8299999999899</v>
          </cell>
          <cell r="I430">
            <v>102.64</v>
          </cell>
          <cell r="J430">
            <v>821.29999999999905</v>
          </cell>
          <cell r="K430">
            <v>0.02</v>
          </cell>
          <cell r="L430">
            <v>923.96</v>
          </cell>
          <cell r="M430">
            <v>8503.61</v>
          </cell>
          <cell r="N430">
            <v>1536.39</v>
          </cell>
          <cell r="O430">
            <v>0</v>
          </cell>
          <cell r="R430">
            <v>16.829999999999899</v>
          </cell>
        </row>
        <row r="431">
          <cell r="G431">
            <v>18261.299999999901</v>
          </cell>
          <cell r="I431">
            <v>246.349999999999</v>
          </cell>
          <cell r="J431">
            <v>1944</v>
          </cell>
          <cell r="K431">
            <v>0.04</v>
          </cell>
          <cell r="L431">
            <v>2190.3899999999899</v>
          </cell>
          <cell r="M431">
            <v>21223.83</v>
          </cell>
          <cell r="N431">
            <v>3016.17</v>
          </cell>
          <cell r="O431">
            <v>0</v>
          </cell>
          <cell r="R431">
            <v>42.369999999999898</v>
          </cell>
        </row>
        <row r="432">
          <cell r="G432">
            <v>164072.23000000001</v>
          </cell>
          <cell r="I432">
            <v>2319.69</v>
          </cell>
          <cell r="J432">
            <v>10588.66</v>
          </cell>
          <cell r="K432">
            <v>0.4</v>
          </cell>
          <cell r="L432">
            <v>12908.75</v>
          </cell>
          <cell r="M432">
            <v>184049.62</v>
          </cell>
          <cell r="N432">
            <v>37855.559999999903</v>
          </cell>
          <cell r="O432">
            <v>0</v>
          </cell>
          <cell r="R432">
            <v>380.68</v>
          </cell>
        </row>
        <row r="433">
          <cell r="G433">
            <v>109052.11</v>
          </cell>
          <cell r="I433">
            <v>1385.66</v>
          </cell>
          <cell r="J433">
            <v>0</v>
          </cell>
          <cell r="K433">
            <v>0.23999999999999899</v>
          </cell>
          <cell r="L433">
            <v>1385.9</v>
          </cell>
          <cell r="M433">
            <v>114594.039999999</v>
          </cell>
          <cell r="N433">
            <v>15878.719999999899</v>
          </cell>
          <cell r="O433">
            <v>0</v>
          </cell>
          <cell r="R433">
            <v>253</v>
          </cell>
        </row>
        <row r="434">
          <cell r="G434">
            <v>19601.549999999901</v>
          </cell>
          <cell r="I434">
            <v>277.13999999999902</v>
          </cell>
          <cell r="J434">
            <v>1788.75</v>
          </cell>
          <cell r="K434">
            <v>0.05</v>
          </cell>
          <cell r="L434">
            <v>2065.94</v>
          </cell>
          <cell r="M434">
            <v>22522.41</v>
          </cell>
          <cell r="N434">
            <v>4315.59</v>
          </cell>
          <cell r="O434">
            <v>0</v>
          </cell>
          <cell r="R434">
            <v>45.5</v>
          </cell>
        </row>
        <row r="435">
          <cell r="G435">
            <v>161035.179999999</v>
          </cell>
          <cell r="I435">
            <v>2073.36</v>
          </cell>
          <cell r="J435">
            <v>0</v>
          </cell>
          <cell r="K435">
            <v>0.35999999999999899</v>
          </cell>
          <cell r="L435">
            <v>2073.7199999999898</v>
          </cell>
          <cell r="M435">
            <v>169334.88</v>
          </cell>
          <cell r="N435">
            <v>26116.240000000002</v>
          </cell>
          <cell r="O435">
            <v>0</v>
          </cell>
          <cell r="R435">
            <v>373.63</v>
          </cell>
        </row>
        <row r="436">
          <cell r="G436">
            <v>38594.349999999897</v>
          </cell>
          <cell r="I436">
            <v>513.22</v>
          </cell>
          <cell r="J436">
            <v>1301.52</v>
          </cell>
          <cell r="K436">
            <v>8.99999999999999E-2</v>
          </cell>
          <cell r="L436">
            <v>1814.8299999999899</v>
          </cell>
          <cell r="M436">
            <v>41958.459999999897</v>
          </cell>
          <cell r="N436">
            <v>6679.42</v>
          </cell>
          <cell r="O436">
            <v>0</v>
          </cell>
          <cell r="R436">
            <v>89.54</v>
          </cell>
        </row>
        <row r="437">
          <cell r="G437">
            <v>39929.089999999902</v>
          </cell>
          <cell r="I437">
            <v>564.51999999999896</v>
          </cell>
          <cell r="J437">
            <v>4300.1899999999896</v>
          </cell>
          <cell r="K437">
            <v>0.1</v>
          </cell>
          <cell r="L437">
            <v>4864.8100000000004</v>
          </cell>
          <cell r="M437">
            <v>46546.57</v>
          </cell>
          <cell r="N437">
            <v>8476.0300000000007</v>
          </cell>
          <cell r="O437">
            <v>0</v>
          </cell>
          <cell r="R437">
            <v>92.64</v>
          </cell>
        </row>
        <row r="438">
          <cell r="G438">
            <v>75709.11</v>
          </cell>
          <cell r="I438">
            <v>985.38</v>
          </cell>
          <cell r="J438">
            <v>0</v>
          </cell>
          <cell r="K438">
            <v>0.17</v>
          </cell>
          <cell r="L438">
            <v>985.54999999999905</v>
          </cell>
          <cell r="M438">
            <v>79635.449999999895</v>
          </cell>
          <cell r="N438">
            <v>12684.709999999901</v>
          </cell>
          <cell r="O438">
            <v>0</v>
          </cell>
          <cell r="R438">
            <v>175.66</v>
          </cell>
        </row>
        <row r="439">
          <cell r="G439">
            <v>42784.949999999903</v>
          </cell>
          <cell r="I439">
            <v>544</v>
          </cell>
          <cell r="J439">
            <v>0</v>
          </cell>
          <cell r="K439">
            <v>8.99999999999999E-2</v>
          </cell>
          <cell r="L439">
            <v>544.09</v>
          </cell>
          <cell r="M439">
            <v>44961.459999999897</v>
          </cell>
          <cell r="N439">
            <v>6285.5799999999899</v>
          </cell>
          <cell r="O439">
            <v>0</v>
          </cell>
          <cell r="R439">
            <v>99.269999999999897</v>
          </cell>
        </row>
        <row r="440">
          <cell r="G440">
            <v>26135.4</v>
          </cell>
          <cell r="I440">
            <v>369.50999999999902</v>
          </cell>
          <cell r="J440">
            <v>3114.36</v>
          </cell>
          <cell r="K440">
            <v>5.9999999999999901E-2</v>
          </cell>
          <cell r="L440">
            <v>3483.9299999999898</v>
          </cell>
          <cell r="M440">
            <v>30771.84</v>
          </cell>
          <cell r="N440">
            <v>5408.1599999999899</v>
          </cell>
          <cell r="O440">
            <v>0</v>
          </cell>
          <cell r="R440">
            <v>60.619999999999898</v>
          </cell>
        </row>
        <row r="441">
          <cell r="G441">
            <v>221825.82</v>
          </cell>
          <cell r="I441">
            <v>3089.5</v>
          </cell>
          <cell r="J441">
            <v>19559.16</v>
          </cell>
          <cell r="K441">
            <v>0.53</v>
          </cell>
          <cell r="L441">
            <v>22649.1899999999</v>
          </cell>
          <cell r="M441">
            <v>253957.45</v>
          </cell>
          <cell r="N441">
            <v>43724.82</v>
          </cell>
          <cell r="O441">
            <v>0</v>
          </cell>
          <cell r="R441">
            <v>514.66999999999905</v>
          </cell>
        </row>
        <row r="442">
          <cell r="G442">
            <v>30854.29</v>
          </cell>
          <cell r="I442">
            <v>436.23</v>
          </cell>
          <cell r="J442">
            <v>0</v>
          </cell>
          <cell r="K442">
            <v>0.08</v>
          </cell>
          <cell r="L442">
            <v>436.31</v>
          </cell>
          <cell r="M442">
            <v>32600.5</v>
          </cell>
          <cell r="N442">
            <v>8521.2000000000007</v>
          </cell>
          <cell r="O442">
            <v>0</v>
          </cell>
          <cell r="R442">
            <v>71.59</v>
          </cell>
        </row>
        <row r="443">
          <cell r="G443">
            <v>20181.580000000002</v>
          </cell>
          <cell r="I443">
            <v>256.60000000000002</v>
          </cell>
          <cell r="J443">
            <v>0</v>
          </cell>
          <cell r="K443">
            <v>0.04</v>
          </cell>
          <cell r="L443">
            <v>256.63999999999902</v>
          </cell>
          <cell r="M443">
            <v>21218.369999999901</v>
          </cell>
          <cell r="N443">
            <v>3274.13</v>
          </cell>
          <cell r="O443">
            <v>0</v>
          </cell>
          <cell r="R443">
            <v>46.829999999999899</v>
          </cell>
        </row>
        <row r="444">
          <cell r="G444">
            <v>34847.199999999903</v>
          </cell>
          <cell r="I444">
            <v>492.67</v>
          </cell>
          <cell r="J444">
            <v>3942.2399999999898</v>
          </cell>
          <cell r="K444">
            <v>8.99999999999999E-2</v>
          </cell>
          <cell r="L444">
            <v>4435</v>
          </cell>
          <cell r="M444">
            <v>40829.709999999897</v>
          </cell>
          <cell r="N444">
            <v>7751.09</v>
          </cell>
          <cell r="O444">
            <v>0</v>
          </cell>
          <cell r="R444">
            <v>80.87</v>
          </cell>
        </row>
        <row r="445">
          <cell r="G445">
            <v>134865.5</v>
          </cell>
          <cell r="I445">
            <v>1847.55</v>
          </cell>
          <cell r="J445">
            <v>9720</v>
          </cell>
          <cell r="K445">
            <v>0.32</v>
          </cell>
          <cell r="L445">
            <v>11567.87</v>
          </cell>
          <cell r="M445">
            <v>152377.769999999</v>
          </cell>
          <cell r="N445">
            <v>34235.79</v>
          </cell>
          <cell r="O445">
            <v>0</v>
          </cell>
          <cell r="R445">
            <v>312.88</v>
          </cell>
        </row>
        <row r="446">
          <cell r="G446">
            <v>0</v>
          </cell>
          <cell r="I446">
            <v>0</v>
          </cell>
          <cell r="J446">
            <v>137946.72</v>
          </cell>
          <cell r="K446">
            <v>0</v>
          </cell>
          <cell r="L446">
            <v>137946.72</v>
          </cell>
          <cell r="M446">
            <v>137946.72</v>
          </cell>
          <cell r="N446">
            <v>-137946.72</v>
          </cell>
          <cell r="O446">
            <v>0</v>
          </cell>
          <cell r="R446">
            <v>0</v>
          </cell>
        </row>
        <row r="447">
          <cell r="G447">
            <v>152203.16</v>
          </cell>
          <cell r="I447">
            <v>2093.8899999999899</v>
          </cell>
          <cell r="J447">
            <v>6025.3999999999896</v>
          </cell>
          <cell r="K447">
            <v>0.37</v>
          </cell>
          <cell r="L447">
            <v>8119.6599999999899</v>
          </cell>
          <cell r="M447">
            <v>166691.899999999</v>
          </cell>
          <cell r="N447">
            <v>33255.32</v>
          </cell>
          <cell r="O447">
            <v>0</v>
          </cell>
          <cell r="R447">
            <v>353.13</v>
          </cell>
        </row>
        <row r="448">
          <cell r="G448">
            <v>120230.429999999</v>
          </cell>
          <cell r="I448">
            <v>1539.63</v>
          </cell>
          <cell r="J448">
            <v>0</v>
          </cell>
          <cell r="K448">
            <v>0.27</v>
          </cell>
          <cell r="L448">
            <v>1539.9</v>
          </cell>
          <cell r="M448">
            <v>126497.82</v>
          </cell>
          <cell r="N448">
            <v>21912.18</v>
          </cell>
          <cell r="O448">
            <v>0</v>
          </cell>
          <cell r="R448">
            <v>278.95999999999901</v>
          </cell>
        </row>
        <row r="449">
          <cell r="G449">
            <v>34847.199999999903</v>
          </cell>
          <cell r="I449">
            <v>492.67</v>
          </cell>
          <cell r="J449">
            <v>3085.44</v>
          </cell>
          <cell r="K449">
            <v>8.99999999999999E-2</v>
          </cell>
          <cell r="L449">
            <v>3578.1999999999898</v>
          </cell>
          <cell r="M449">
            <v>39945.209999999897</v>
          </cell>
          <cell r="N449">
            <v>7766.79</v>
          </cell>
          <cell r="O449">
            <v>0</v>
          </cell>
          <cell r="R449">
            <v>80.87</v>
          </cell>
        </row>
        <row r="450">
          <cell r="G450">
            <v>20181.580000000002</v>
          </cell>
          <cell r="I450">
            <v>256.60000000000002</v>
          </cell>
          <cell r="J450">
            <v>0</v>
          </cell>
          <cell r="K450">
            <v>0.04</v>
          </cell>
          <cell r="L450">
            <v>256.63999999999902</v>
          </cell>
          <cell r="M450">
            <v>21223.81</v>
          </cell>
          <cell r="N450">
            <v>3438.44</v>
          </cell>
          <cell r="O450">
            <v>0</v>
          </cell>
          <cell r="R450">
            <v>46.829999999999899</v>
          </cell>
        </row>
        <row r="451">
          <cell r="G451">
            <v>104541.6</v>
          </cell>
          <cell r="I451">
            <v>1478.04</v>
          </cell>
          <cell r="J451">
            <v>6610.56</v>
          </cell>
          <cell r="K451">
            <v>0.26</v>
          </cell>
          <cell r="L451">
            <v>8088.8599999999897</v>
          </cell>
          <cell r="M451">
            <v>117164.17</v>
          </cell>
          <cell r="N451">
            <v>25163.5099999999</v>
          </cell>
          <cell r="O451">
            <v>0</v>
          </cell>
          <cell r="R451">
            <v>242.56</v>
          </cell>
        </row>
        <row r="452">
          <cell r="G452">
            <v>36466.779999999897</v>
          </cell>
          <cell r="I452">
            <v>461.88999999999902</v>
          </cell>
          <cell r="J452">
            <v>0</v>
          </cell>
          <cell r="K452">
            <v>0.08</v>
          </cell>
          <cell r="L452">
            <v>461.97</v>
          </cell>
          <cell r="M452">
            <v>38328.629999999903</v>
          </cell>
          <cell r="N452">
            <v>5617.22</v>
          </cell>
          <cell r="O452">
            <v>0</v>
          </cell>
          <cell r="R452">
            <v>84.599999999999895</v>
          </cell>
        </row>
        <row r="453">
          <cell r="G453">
            <v>208567.06</v>
          </cell>
          <cell r="I453">
            <v>2915.03</v>
          </cell>
          <cell r="J453">
            <v>8763.3999999999905</v>
          </cell>
          <cell r="K453">
            <v>0.51</v>
          </cell>
          <cell r="L453">
            <v>11678.94</v>
          </cell>
          <cell r="M453">
            <v>229276.799999999</v>
          </cell>
          <cell r="N453">
            <v>54227.360000000001</v>
          </cell>
          <cell r="O453">
            <v>0</v>
          </cell>
          <cell r="R453">
            <v>483.91</v>
          </cell>
        </row>
        <row r="454">
          <cell r="G454">
            <v>277325.63</v>
          </cell>
          <cell r="I454">
            <v>3920.9099999999899</v>
          </cell>
          <cell r="J454">
            <v>28232.04</v>
          </cell>
          <cell r="K454">
            <v>0.68</v>
          </cell>
          <cell r="L454">
            <v>32153.63</v>
          </cell>
          <cell r="M454">
            <v>321682.06</v>
          </cell>
          <cell r="N454">
            <v>61401.3</v>
          </cell>
          <cell r="O454">
            <v>0</v>
          </cell>
          <cell r="R454">
            <v>643.44000000000005</v>
          </cell>
        </row>
        <row r="455">
          <cell r="G455">
            <v>37203.629999999903</v>
          </cell>
          <cell r="I455">
            <v>492.67</v>
          </cell>
          <cell r="J455">
            <v>1866.24</v>
          </cell>
          <cell r="K455">
            <v>8.99999999999999E-2</v>
          </cell>
          <cell r="L455">
            <v>2359</v>
          </cell>
          <cell r="M455">
            <v>41072.550000000003</v>
          </cell>
          <cell r="N455">
            <v>6328.4099999999899</v>
          </cell>
          <cell r="O455">
            <v>0</v>
          </cell>
          <cell r="R455">
            <v>86.319999999999894</v>
          </cell>
        </row>
        <row r="456">
          <cell r="G456">
            <v>17423.5999999999</v>
          </cell>
          <cell r="I456">
            <v>246.349999999999</v>
          </cell>
          <cell r="J456">
            <v>1518.96</v>
          </cell>
          <cell r="K456">
            <v>0.04</v>
          </cell>
          <cell r="L456">
            <v>1765.3499999999899</v>
          </cell>
          <cell r="M456">
            <v>19968.740000000002</v>
          </cell>
          <cell r="N456">
            <v>4511.26</v>
          </cell>
          <cell r="O456">
            <v>0</v>
          </cell>
          <cell r="R456">
            <v>40.43</v>
          </cell>
        </row>
        <row r="457">
          <cell r="G457">
            <v>34847.199999999903</v>
          </cell>
          <cell r="I457">
            <v>492.67</v>
          </cell>
          <cell r="J457">
            <v>3137.76</v>
          </cell>
          <cell r="K457">
            <v>8.99999999999999E-2</v>
          </cell>
          <cell r="L457">
            <v>3630.52</v>
          </cell>
          <cell r="M457">
            <v>39996.550000000003</v>
          </cell>
          <cell r="N457">
            <v>7684.25</v>
          </cell>
          <cell r="O457">
            <v>0</v>
          </cell>
          <cell r="R457">
            <v>80.87</v>
          </cell>
        </row>
        <row r="458">
          <cell r="G458">
            <v>43559</v>
          </cell>
          <cell r="I458">
            <v>615.85</v>
          </cell>
          <cell r="J458">
            <v>1892.16</v>
          </cell>
          <cell r="K458">
            <v>0.11</v>
          </cell>
          <cell r="L458">
            <v>2508.1199999999899</v>
          </cell>
          <cell r="M458">
            <v>47963</v>
          </cell>
          <cell r="N458">
            <v>11553.639999999899</v>
          </cell>
          <cell r="O458">
            <v>0</v>
          </cell>
          <cell r="R458">
            <v>101.05</v>
          </cell>
        </row>
        <row r="459">
          <cell r="G459">
            <v>43559</v>
          </cell>
          <cell r="I459">
            <v>615.85</v>
          </cell>
          <cell r="J459">
            <v>3300.84</v>
          </cell>
          <cell r="K459">
            <v>0.11</v>
          </cell>
          <cell r="L459">
            <v>3916.8</v>
          </cell>
          <cell r="M459">
            <v>49382.849999999897</v>
          </cell>
          <cell r="N459">
            <v>10485.15</v>
          </cell>
          <cell r="O459">
            <v>0</v>
          </cell>
          <cell r="R459">
            <v>101.05</v>
          </cell>
        </row>
        <row r="460">
          <cell r="G460">
            <v>31797.31</v>
          </cell>
          <cell r="I460">
            <v>420.82999999999902</v>
          </cell>
          <cell r="J460">
            <v>0</v>
          </cell>
          <cell r="K460">
            <v>7.0000000000000007E-2</v>
          </cell>
          <cell r="L460">
            <v>420.89999999999901</v>
          </cell>
          <cell r="M460">
            <v>33448.720000000001</v>
          </cell>
          <cell r="N460">
            <v>5181.3999999999896</v>
          </cell>
          <cell r="O460">
            <v>0</v>
          </cell>
          <cell r="R460">
            <v>73.790000000000006</v>
          </cell>
        </row>
        <row r="461">
          <cell r="G461">
            <v>19374.32</v>
          </cell>
          <cell r="I461">
            <v>246.349999999999</v>
          </cell>
          <cell r="J461">
            <v>0</v>
          </cell>
          <cell r="K461">
            <v>0.04</v>
          </cell>
          <cell r="L461">
            <v>246.38999999999899</v>
          </cell>
          <cell r="M461">
            <v>20361.47</v>
          </cell>
          <cell r="N461">
            <v>2892.34</v>
          </cell>
          <cell r="O461">
            <v>0</v>
          </cell>
          <cell r="R461">
            <v>44.969999999999899</v>
          </cell>
        </row>
        <row r="462">
          <cell r="G462">
            <v>43559</v>
          </cell>
          <cell r="I462">
            <v>615.85</v>
          </cell>
          <cell r="J462">
            <v>4513.8</v>
          </cell>
          <cell r="K462">
            <v>0.11</v>
          </cell>
          <cell r="L462">
            <v>5129.76</v>
          </cell>
          <cell r="M462">
            <v>50608.4</v>
          </cell>
          <cell r="N462">
            <v>9654.3999999999905</v>
          </cell>
          <cell r="O462">
            <v>0</v>
          </cell>
          <cell r="R462">
            <v>101.05</v>
          </cell>
        </row>
        <row r="463">
          <cell r="G463">
            <v>17423.5999999999</v>
          </cell>
          <cell r="I463">
            <v>246.349999999999</v>
          </cell>
          <cell r="J463">
            <v>0</v>
          </cell>
          <cell r="K463">
            <v>0.04</v>
          </cell>
          <cell r="L463">
            <v>246.38999999999899</v>
          </cell>
          <cell r="M463">
            <v>18418.95</v>
          </cell>
          <cell r="N463">
            <v>5093.8500000000004</v>
          </cell>
          <cell r="O463">
            <v>0</v>
          </cell>
          <cell r="R463">
            <v>40.43</v>
          </cell>
        </row>
        <row r="464">
          <cell r="G464">
            <v>17423.5999999999</v>
          </cell>
          <cell r="I464">
            <v>246.349999999999</v>
          </cell>
          <cell r="J464">
            <v>1684.5599999999899</v>
          </cell>
          <cell r="K464">
            <v>0.04</v>
          </cell>
          <cell r="L464">
            <v>1930.95</v>
          </cell>
          <cell r="M464">
            <v>20173.0999999999</v>
          </cell>
          <cell r="N464">
            <v>5523.6999999999898</v>
          </cell>
          <cell r="O464">
            <v>0</v>
          </cell>
          <cell r="R464">
            <v>40.43</v>
          </cell>
        </row>
        <row r="465">
          <cell r="G465">
            <v>7259.8299999999899</v>
          </cell>
          <cell r="I465">
            <v>102.64</v>
          </cell>
          <cell r="J465">
            <v>0</v>
          </cell>
          <cell r="K465">
            <v>0.02</v>
          </cell>
          <cell r="L465">
            <v>102.66</v>
          </cell>
          <cell r="M465">
            <v>7670.55</v>
          </cell>
          <cell r="N465">
            <v>2000.3499999999899</v>
          </cell>
          <cell r="O465">
            <v>0</v>
          </cell>
          <cell r="R465">
            <v>16.829999999999899</v>
          </cell>
        </row>
        <row r="466">
          <cell r="G466">
            <v>34847.199999999903</v>
          </cell>
          <cell r="I466">
            <v>492.67</v>
          </cell>
          <cell r="J466">
            <v>2922.48</v>
          </cell>
          <cell r="K466">
            <v>8.99999999999999E-2</v>
          </cell>
          <cell r="L466">
            <v>3415.2399999999898</v>
          </cell>
          <cell r="M466">
            <v>39812.849999999897</v>
          </cell>
          <cell r="N466">
            <v>8859.1499999999905</v>
          </cell>
          <cell r="O466">
            <v>0</v>
          </cell>
          <cell r="R466">
            <v>80.87</v>
          </cell>
        </row>
        <row r="467">
          <cell r="G467">
            <v>17423.5999999999</v>
          </cell>
          <cell r="I467">
            <v>246.349999999999</v>
          </cell>
          <cell r="J467">
            <v>876.36</v>
          </cell>
          <cell r="K467">
            <v>0.04</v>
          </cell>
          <cell r="L467">
            <v>1122.75</v>
          </cell>
          <cell r="M467">
            <v>19317.400000000001</v>
          </cell>
          <cell r="N467">
            <v>4886.6000000000004</v>
          </cell>
          <cell r="O467">
            <v>0</v>
          </cell>
          <cell r="R467">
            <v>40.43</v>
          </cell>
        </row>
        <row r="468">
          <cell r="G468">
            <v>20356.490000000002</v>
          </cell>
          <cell r="I468">
            <v>256.60000000000002</v>
          </cell>
          <cell r="J468">
            <v>0</v>
          </cell>
          <cell r="K468">
            <v>0.04</v>
          </cell>
          <cell r="L468">
            <v>256.63999999999902</v>
          </cell>
          <cell r="M468">
            <v>21380.95</v>
          </cell>
          <cell r="N468">
            <v>2723.55</v>
          </cell>
          <cell r="O468">
            <v>0</v>
          </cell>
          <cell r="R468">
            <v>47.219999999999899</v>
          </cell>
        </row>
        <row r="469">
          <cell r="G469">
            <v>34121.22</v>
          </cell>
          <cell r="I469">
            <v>482.42</v>
          </cell>
          <cell r="J469">
            <v>0</v>
          </cell>
          <cell r="K469">
            <v>0.08</v>
          </cell>
          <cell r="L469">
            <v>482.5</v>
          </cell>
          <cell r="M469">
            <v>36027.089999999902</v>
          </cell>
          <cell r="N469">
            <v>8655.8199999999906</v>
          </cell>
          <cell r="O469">
            <v>0</v>
          </cell>
          <cell r="R469">
            <v>79.17</v>
          </cell>
        </row>
        <row r="470">
          <cell r="G470">
            <v>10163.77</v>
          </cell>
          <cell r="I470">
            <v>143.69999999999899</v>
          </cell>
          <cell r="J470">
            <v>0</v>
          </cell>
          <cell r="K470">
            <v>2.9999999999999898E-2</v>
          </cell>
          <cell r="L470">
            <v>143.729999999999</v>
          </cell>
          <cell r="M470">
            <v>10733.389999999899</v>
          </cell>
          <cell r="N470">
            <v>2636.61</v>
          </cell>
          <cell r="O470">
            <v>0</v>
          </cell>
          <cell r="R470">
            <v>23.57</v>
          </cell>
        </row>
        <row r="471">
          <cell r="G471">
            <v>19673.29</v>
          </cell>
          <cell r="I471">
            <v>266.87</v>
          </cell>
          <cell r="J471">
            <v>0</v>
          </cell>
          <cell r="K471">
            <v>0.05</v>
          </cell>
          <cell r="L471">
            <v>266.92</v>
          </cell>
          <cell r="M471">
            <v>20733.23</v>
          </cell>
          <cell r="N471">
            <v>4161.71</v>
          </cell>
          <cell r="O471">
            <v>0</v>
          </cell>
          <cell r="R471">
            <v>45.619999999999898</v>
          </cell>
        </row>
        <row r="472">
          <cell r="G472">
            <v>34847.199999999903</v>
          </cell>
          <cell r="I472">
            <v>492.67</v>
          </cell>
          <cell r="J472">
            <v>0</v>
          </cell>
          <cell r="K472">
            <v>8.99999999999999E-2</v>
          </cell>
          <cell r="L472">
            <v>492.75999999999902</v>
          </cell>
          <cell r="M472">
            <v>36800.18</v>
          </cell>
          <cell r="N472">
            <v>9039.8199999999906</v>
          </cell>
          <cell r="O472">
            <v>0</v>
          </cell>
          <cell r="R472">
            <v>80.87</v>
          </cell>
        </row>
        <row r="473">
          <cell r="G473">
            <v>141302.739999999</v>
          </cell>
          <cell r="I473">
            <v>1970.72</v>
          </cell>
          <cell r="J473">
            <v>5906.5799999999899</v>
          </cell>
          <cell r="K473">
            <v>0.34</v>
          </cell>
          <cell r="L473">
            <v>7877.64</v>
          </cell>
          <cell r="M473">
            <v>155141.769999999</v>
          </cell>
          <cell r="N473">
            <v>32000.869999999901</v>
          </cell>
          <cell r="O473">
            <v>0</v>
          </cell>
          <cell r="R473">
            <v>327.85</v>
          </cell>
        </row>
        <row r="474">
          <cell r="G474">
            <v>18261.299999999901</v>
          </cell>
          <cell r="I474">
            <v>246.349999999999</v>
          </cell>
          <cell r="J474">
            <v>0</v>
          </cell>
          <cell r="K474">
            <v>0.04</v>
          </cell>
          <cell r="L474">
            <v>246.38999999999899</v>
          </cell>
          <cell r="M474">
            <v>19237.77</v>
          </cell>
          <cell r="N474">
            <v>3682.23</v>
          </cell>
          <cell r="O474">
            <v>0</v>
          </cell>
          <cell r="R474">
            <v>42.369999999999898</v>
          </cell>
        </row>
        <row r="475">
          <cell r="G475">
            <v>16285.19</v>
          </cell>
          <cell r="I475">
            <v>205.289999999999</v>
          </cell>
          <cell r="J475">
            <v>0</v>
          </cell>
          <cell r="K475">
            <v>0.04</v>
          </cell>
          <cell r="L475">
            <v>205.33</v>
          </cell>
          <cell r="M475">
            <v>17110.98</v>
          </cell>
          <cell r="N475">
            <v>2366.6199999999899</v>
          </cell>
          <cell r="O475">
            <v>0</v>
          </cell>
          <cell r="R475">
            <v>37.770000000000003</v>
          </cell>
        </row>
        <row r="476">
          <cell r="G476">
            <v>58078.669999999896</v>
          </cell>
          <cell r="I476">
            <v>821.13999999999896</v>
          </cell>
          <cell r="J476">
            <v>5162.1599999999899</v>
          </cell>
          <cell r="K476">
            <v>0.14000000000000001</v>
          </cell>
          <cell r="L476">
            <v>5983.4399999999896</v>
          </cell>
          <cell r="M476">
            <v>66598.61</v>
          </cell>
          <cell r="N476">
            <v>13029.389999999899</v>
          </cell>
          <cell r="O476">
            <v>0</v>
          </cell>
          <cell r="R476">
            <v>134.759999999999</v>
          </cell>
        </row>
        <row r="477">
          <cell r="G477">
            <v>44971.43</v>
          </cell>
          <cell r="I477">
            <v>615.85</v>
          </cell>
          <cell r="J477">
            <v>0</v>
          </cell>
          <cell r="K477">
            <v>0.11</v>
          </cell>
          <cell r="L477">
            <v>615.96</v>
          </cell>
          <cell r="M477">
            <v>47430.19</v>
          </cell>
          <cell r="N477">
            <v>10420.61</v>
          </cell>
          <cell r="O477">
            <v>0</v>
          </cell>
          <cell r="R477">
            <v>104.349999999999</v>
          </cell>
        </row>
        <row r="478">
          <cell r="G478">
            <v>18875.57</v>
          </cell>
          <cell r="I478">
            <v>266.87</v>
          </cell>
          <cell r="J478">
            <v>1590.72</v>
          </cell>
          <cell r="K478">
            <v>0.05</v>
          </cell>
          <cell r="L478">
            <v>1857.64</v>
          </cell>
          <cell r="M478">
            <v>21548.029999999901</v>
          </cell>
          <cell r="N478">
            <v>4031.9699999999898</v>
          </cell>
          <cell r="O478">
            <v>0</v>
          </cell>
          <cell r="R478">
            <v>43.799999999999898</v>
          </cell>
        </row>
        <row r="479">
          <cell r="G479">
            <v>31943.27</v>
          </cell>
          <cell r="I479">
            <v>451.62</v>
          </cell>
          <cell r="J479">
            <v>2600.92</v>
          </cell>
          <cell r="K479">
            <v>0.08</v>
          </cell>
          <cell r="L479">
            <v>3052.6199999999899</v>
          </cell>
          <cell r="M479">
            <v>36391.379999999903</v>
          </cell>
          <cell r="N479">
            <v>7416.6199999999899</v>
          </cell>
          <cell r="O479">
            <v>0</v>
          </cell>
          <cell r="R479">
            <v>74.129999999999896</v>
          </cell>
        </row>
        <row r="480">
          <cell r="G480">
            <v>32290.529999999901</v>
          </cell>
          <cell r="I480">
            <v>410.56</v>
          </cell>
          <cell r="J480">
            <v>0</v>
          </cell>
          <cell r="K480">
            <v>7.0000000000000007E-2</v>
          </cell>
          <cell r="L480">
            <v>410.63</v>
          </cell>
          <cell r="M480">
            <v>33937.11</v>
          </cell>
          <cell r="N480">
            <v>4862.8900000000003</v>
          </cell>
          <cell r="O480">
            <v>0</v>
          </cell>
          <cell r="R480">
            <v>74.92</v>
          </cell>
        </row>
        <row r="481">
          <cell r="G481">
            <v>17423.5999999999</v>
          </cell>
          <cell r="I481">
            <v>246.349999999999</v>
          </cell>
          <cell r="J481">
            <v>0</v>
          </cell>
          <cell r="K481">
            <v>0.04</v>
          </cell>
          <cell r="L481">
            <v>246.38999999999899</v>
          </cell>
          <cell r="M481">
            <v>18395.6899999999</v>
          </cell>
          <cell r="N481">
            <v>4386.79</v>
          </cell>
          <cell r="O481">
            <v>0</v>
          </cell>
          <cell r="R481">
            <v>40.43</v>
          </cell>
        </row>
        <row r="482">
          <cell r="G482">
            <v>18149.59</v>
          </cell>
          <cell r="I482">
            <v>256.60000000000002</v>
          </cell>
          <cell r="J482">
            <v>2021.39</v>
          </cell>
          <cell r="K482">
            <v>0.04</v>
          </cell>
          <cell r="L482">
            <v>2278.0300000000002</v>
          </cell>
          <cell r="M482">
            <v>21221.59</v>
          </cell>
          <cell r="N482">
            <v>3703.4099999999899</v>
          </cell>
          <cell r="O482">
            <v>0</v>
          </cell>
          <cell r="R482">
            <v>42.1099999999999</v>
          </cell>
        </row>
        <row r="483">
          <cell r="G483">
            <v>216365.179999999</v>
          </cell>
          <cell r="I483">
            <v>3017.6599999999899</v>
          </cell>
          <cell r="J483">
            <v>16231.44</v>
          </cell>
          <cell r="K483">
            <v>0.52</v>
          </cell>
          <cell r="L483">
            <v>19249.619999999901</v>
          </cell>
          <cell r="M483">
            <v>244927.549999999</v>
          </cell>
          <cell r="N483">
            <v>47428.93</v>
          </cell>
          <cell r="O483">
            <v>0</v>
          </cell>
          <cell r="R483">
            <v>502</v>
          </cell>
        </row>
        <row r="484">
          <cell r="G484">
            <v>55.369999999999898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853.86</v>
          </cell>
          <cell r="N484">
            <v>24214.82</v>
          </cell>
          <cell r="O484">
            <v>0</v>
          </cell>
          <cell r="R484">
            <v>0.12</v>
          </cell>
        </row>
        <row r="485">
          <cell r="G485">
            <v>72050.809999999896</v>
          </cell>
          <cell r="I485">
            <v>985.34</v>
          </cell>
          <cell r="J485">
            <v>2721.5999999999899</v>
          </cell>
          <cell r="K485">
            <v>0.17999999999999899</v>
          </cell>
          <cell r="L485">
            <v>3707.1199999999899</v>
          </cell>
          <cell r="M485">
            <v>78794.350000000006</v>
          </cell>
          <cell r="N485">
            <v>16529.330000000002</v>
          </cell>
          <cell r="O485">
            <v>0</v>
          </cell>
          <cell r="R485">
            <v>167.19</v>
          </cell>
        </row>
        <row r="486">
          <cell r="G486">
            <v>34847.199999999903</v>
          </cell>
          <cell r="I486">
            <v>492.67</v>
          </cell>
          <cell r="J486">
            <v>0</v>
          </cell>
          <cell r="K486">
            <v>8.99999999999999E-2</v>
          </cell>
          <cell r="L486">
            <v>492.75999999999902</v>
          </cell>
          <cell r="M486">
            <v>36793.589999999902</v>
          </cell>
          <cell r="N486">
            <v>8840.25</v>
          </cell>
          <cell r="O486">
            <v>0</v>
          </cell>
          <cell r="R486">
            <v>80.87</v>
          </cell>
        </row>
        <row r="487">
          <cell r="G487">
            <v>34847.199999999903</v>
          </cell>
          <cell r="I487">
            <v>492.67</v>
          </cell>
          <cell r="J487">
            <v>0</v>
          </cell>
          <cell r="K487">
            <v>8.99999999999999E-2</v>
          </cell>
          <cell r="L487">
            <v>492.75999999999902</v>
          </cell>
          <cell r="M487">
            <v>36805.269999999902</v>
          </cell>
          <cell r="N487">
            <v>9195.2900000000009</v>
          </cell>
          <cell r="O487">
            <v>0</v>
          </cell>
          <cell r="R487">
            <v>80.87</v>
          </cell>
        </row>
        <row r="488">
          <cell r="G488">
            <v>75952.240000000005</v>
          </cell>
          <cell r="I488">
            <v>985.34</v>
          </cell>
          <cell r="J488">
            <v>2155.44</v>
          </cell>
          <cell r="K488">
            <v>0.17999999999999899</v>
          </cell>
          <cell r="L488">
            <v>3140.96</v>
          </cell>
          <cell r="M488">
            <v>82140.960000000006</v>
          </cell>
          <cell r="N488">
            <v>13537.68</v>
          </cell>
          <cell r="O488">
            <v>0</v>
          </cell>
          <cell r="R488">
            <v>176.22</v>
          </cell>
        </row>
        <row r="489">
          <cell r="G489">
            <v>18601.799999999901</v>
          </cell>
          <cell r="I489">
            <v>246.349999999999</v>
          </cell>
          <cell r="J489">
            <v>1399.68</v>
          </cell>
          <cell r="K489">
            <v>0.04</v>
          </cell>
          <cell r="L489">
            <v>1646.0699999999899</v>
          </cell>
          <cell r="M489">
            <v>21018.49</v>
          </cell>
          <cell r="N489">
            <v>3173.51</v>
          </cell>
          <cell r="O489">
            <v>0</v>
          </cell>
          <cell r="R489">
            <v>43.17</v>
          </cell>
        </row>
        <row r="490">
          <cell r="G490">
            <v>20181.580000000002</v>
          </cell>
          <cell r="I490">
            <v>256.60000000000002</v>
          </cell>
          <cell r="J490">
            <v>0</v>
          </cell>
          <cell r="K490">
            <v>0.04</v>
          </cell>
          <cell r="L490">
            <v>256.63999999999902</v>
          </cell>
          <cell r="M490">
            <v>21210.6699999999</v>
          </cell>
          <cell r="N490">
            <v>3039.3299999999899</v>
          </cell>
          <cell r="O490">
            <v>0</v>
          </cell>
          <cell r="R490">
            <v>46.829999999999899</v>
          </cell>
        </row>
        <row r="491">
          <cell r="G491">
            <v>17423.5999999999</v>
          </cell>
          <cell r="I491">
            <v>246.349999999999</v>
          </cell>
          <cell r="J491">
            <v>1931.52</v>
          </cell>
          <cell r="K491">
            <v>0.04</v>
          </cell>
          <cell r="L491">
            <v>2177.9099999999899</v>
          </cell>
          <cell r="M491">
            <v>20352.299999999901</v>
          </cell>
          <cell r="N491">
            <v>3216.9</v>
          </cell>
          <cell r="O491">
            <v>0</v>
          </cell>
          <cell r="R491">
            <v>40.43</v>
          </cell>
        </row>
        <row r="492">
          <cell r="G492">
            <v>34847.199999999903</v>
          </cell>
          <cell r="I492">
            <v>492.67</v>
          </cell>
          <cell r="J492">
            <v>2601.5999999999899</v>
          </cell>
          <cell r="K492">
            <v>8.99999999999999E-2</v>
          </cell>
          <cell r="L492">
            <v>3094.36</v>
          </cell>
          <cell r="M492">
            <v>39470.58</v>
          </cell>
          <cell r="N492">
            <v>8529.42</v>
          </cell>
          <cell r="O492">
            <v>0</v>
          </cell>
          <cell r="R492">
            <v>80.87</v>
          </cell>
        </row>
        <row r="493">
          <cell r="G493">
            <v>17423.5999999999</v>
          </cell>
          <cell r="I493">
            <v>246.349999999999</v>
          </cell>
          <cell r="J493">
            <v>0</v>
          </cell>
          <cell r="K493">
            <v>0.04</v>
          </cell>
          <cell r="L493">
            <v>246.38999999999899</v>
          </cell>
          <cell r="M493">
            <v>18400.07</v>
          </cell>
          <cell r="N493">
            <v>4519.93</v>
          </cell>
          <cell r="O493">
            <v>0</v>
          </cell>
          <cell r="R493">
            <v>40.43</v>
          </cell>
        </row>
        <row r="494">
          <cell r="G494">
            <v>17423.5999999999</v>
          </cell>
          <cell r="I494">
            <v>246.319999999999</v>
          </cell>
          <cell r="J494">
            <v>1779.1199999999899</v>
          </cell>
          <cell r="K494">
            <v>0.04</v>
          </cell>
          <cell r="L494">
            <v>2025.48</v>
          </cell>
          <cell r="M494">
            <v>20211.27</v>
          </cell>
          <cell r="N494">
            <v>3716.73</v>
          </cell>
          <cell r="O494">
            <v>0</v>
          </cell>
          <cell r="R494">
            <v>40.43</v>
          </cell>
        </row>
        <row r="495">
          <cell r="G495">
            <v>-50.729999999999897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-50.729999999999897</v>
          </cell>
          <cell r="N495">
            <v>50.729999999999897</v>
          </cell>
          <cell r="O495">
            <v>0</v>
          </cell>
          <cell r="R495">
            <v>0</v>
          </cell>
        </row>
        <row r="496">
          <cell r="G496">
            <v>17422.4399999999</v>
          </cell>
          <cell r="I496">
            <v>372.5</v>
          </cell>
          <cell r="J496">
            <v>1030.0799999999899</v>
          </cell>
          <cell r="K496">
            <v>0</v>
          </cell>
          <cell r="L496">
            <v>1402.5799999999899</v>
          </cell>
          <cell r="M496">
            <v>19837.740000000002</v>
          </cell>
          <cell r="N496">
            <v>4495.38</v>
          </cell>
          <cell r="O496">
            <v>0</v>
          </cell>
          <cell r="R496">
            <v>82.709999999999894</v>
          </cell>
        </row>
        <row r="497">
          <cell r="G497">
            <v>17422.4399999999</v>
          </cell>
          <cell r="I497">
            <v>372.5</v>
          </cell>
          <cell r="J497">
            <v>1637.28</v>
          </cell>
          <cell r="K497">
            <v>0</v>
          </cell>
          <cell r="L497">
            <v>2009.78</v>
          </cell>
          <cell r="M497">
            <v>20458.2</v>
          </cell>
          <cell r="N497">
            <v>4193.1599999999899</v>
          </cell>
          <cell r="O497">
            <v>0</v>
          </cell>
          <cell r="R497">
            <v>82.709999999999894</v>
          </cell>
        </row>
        <row r="498">
          <cell r="G498">
            <v>18261.299999999901</v>
          </cell>
          <cell r="I498">
            <v>372.5</v>
          </cell>
          <cell r="J498">
            <v>1568.16</v>
          </cell>
          <cell r="K498">
            <v>0</v>
          </cell>
          <cell r="L498">
            <v>1940.66</v>
          </cell>
          <cell r="M498">
            <v>21217.709999999901</v>
          </cell>
          <cell r="N498">
            <v>3188.8499999999899</v>
          </cell>
          <cell r="O498">
            <v>0</v>
          </cell>
          <cell r="R498">
            <v>86.7</v>
          </cell>
        </row>
        <row r="499">
          <cell r="G499">
            <v>8711.2199999999903</v>
          </cell>
          <cell r="I499">
            <v>186.259999999999</v>
          </cell>
          <cell r="J499">
            <v>965.75999999999897</v>
          </cell>
          <cell r="K499">
            <v>0</v>
          </cell>
          <cell r="L499">
            <v>1152.02</v>
          </cell>
          <cell r="M499">
            <v>10371.11</v>
          </cell>
          <cell r="N499">
            <v>1832.17</v>
          </cell>
          <cell r="O499">
            <v>0</v>
          </cell>
          <cell r="R499">
            <v>41.35</v>
          </cell>
        </row>
        <row r="500">
          <cell r="G500">
            <v>9637.2900000000009</v>
          </cell>
          <cell r="I500">
            <v>186.259999999999</v>
          </cell>
          <cell r="J500">
            <v>0</v>
          </cell>
          <cell r="K500">
            <v>0</v>
          </cell>
          <cell r="L500">
            <v>186.259999999999</v>
          </cell>
          <cell r="M500">
            <v>10315.030000000001</v>
          </cell>
          <cell r="N500">
            <v>1493.69</v>
          </cell>
          <cell r="O500">
            <v>0</v>
          </cell>
          <cell r="R500">
            <v>45.77</v>
          </cell>
        </row>
        <row r="501">
          <cell r="G501">
            <v>17422.4399999999</v>
          </cell>
          <cell r="I501">
            <v>372.5</v>
          </cell>
          <cell r="J501">
            <v>1300.8</v>
          </cell>
          <cell r="K501">
            <v>0</v>
          </cell>
          <cell r="L501">
            <v>1673.3</v>
          </cell>
          <cell r="M501">
            <v>20108.459999999901</v>
          </cell>
          <cell r="N501">
            <v>4224.6599999999899</v>
          </cell>
          <cell r="O501">
            <v>0</v>
          </cell>
          <cell r="R501">
            <v>82.709999999999894</v>
          </cell>
        </row>
        <row r="502">
          <cell r="G502">
            <v>17422.4399999999</v>
          </cell>
          <cell r="I502">
            <v>372.5</v>
          </cell>
          <cell r="J502">
            <v>2076.2399999999898</v>
          </cell>
          <cell r="K502">
            <v>0</v>
          </cell>
          <cell r="L502">
            <v>2448.7399999999898</v>
          </cell>
          <cell r="M502">
            <v>20886.93</v>
          </cell>
          <cell r="N502">
            <v>3519.63</v>
          </cell>
          <cell r="O502">
            <v>0</v>
          </cell>
          <cell r="R502">
            <v>82.709999999999894</v>
          </cell>
        </row>
        <row r="503">
          <cell r="G503">
            <v>17422.4399999999</v>
          </cell>
          <cell r="I503">
            <v>372.5</v>
          </cell>
          <cell r="J503">
            <v>675.36</v>
          </cell>
          <cell r="K503">
            <v>0</v>
          </cell>
          <cell r="L503">
            <v>1047.8599999999899</v>
          </cell>
          <cell r="M503">
            <v>19486.049999999901</v>
          </cell>
          <cell r="N503">
            <v>4920.51</v>
          </cell>
          <cell r="O503">
            <v>0</v>
          </cell>
          <cell r="R503">
            <v>82.709999999999894</v>
          </cell>
        </row>
        <row r="504">
          <cell r="G504">
            <v>17422.4399999999</v>
          </cell>
          <cell r="I504">
            <v>372.5</v>
          </cell>
          <cell r="J504">
            <v>1999.3199999999899</v>
          </cell>
          <cell r="K504">
            <v>0</v>
          </cell>
          <cell r="L504">
            <v>2371.8200000000002</v>
          </cell>
          <cell r="M504">
            <v>20810.0099999999</v>
          </cell>
          <cell r="N504">
            <v>3596.55</v>
          </cell>
          <cell r="O504">
            <v>0</v>
          </cell>
          <cell r="R504">
            <v>82.709999999999894</v>
          </cell>
        </row>
        <row r="505">
          <cell r="G505">
            <v>18148.38</v>
          </cell>
          <cell r="I505">
            <v>388.00999999999902</v>
          </cell>
          <cell r="J505">
            <v>1390.18</v>
          </cell>
          <cell r="K505">
            <v>0</v>
          </cell>
          <cell r="L505">
            <v>1778.19</v>
          </cell>
          <cell r="M505">
            <v>20956.7</v>
          </cell>
          <cell r="N505">
            <v>3793.3</v>
          </cell>
          <cell r="O505">
            <v>0</v>
          </cell>
          <cell r="R505">
            <v>86.15</v>
          </cell>
        </row>
        <row r="506">
          <cell r="G506">
            <v>7227.97</v>
          </cell>
          <cell r="I506">
            <v>139.69</v>
          </cell>
          <cell r="J506">
            <v>0</v>
          </cell>
          <cell r="K506">
            <v>0</v>
          </cell>
          <cell r="L506">
            <v>139.69</v>
          </cell>
          <cell r="M506">
            <v>7744.09</v>
          </cell>
          <cell r="N506">
            <v>1300.9100000000001</v>
          </cell>
          <cell r="O506">
            <v>0</v>
          </cell>
          <cell r="R506">
            <v>34.329999999999899</v>
          </cell>
        </row>
        <row r="507">
          <cell r="G507">
            <v>34844.879999999903</v>
          </cell>
          <cell r="I507">
            <v>744.98</v>
          </cell>
          <cell r="J507">
            <v>2969.76</v>
          </cell>
          <cell r="K507">
            <v>0</v>
          </cell>
          <cell r="L507">
            <v>3714.7399999999898</v>
          </cell>
          <cell r="M507">
            <v>40576.94</v>
          </cell>
          <cell r="N507">
            <v>7893.46</v>
          </cell>
          <cell r="O507">
            <v>0</v>
          </cell>
          <cell r="R507">
            <v>165.44</v>
          </cell>
        </row>
        <row r="508">
          <cell r="G508">
            <v>36522.599999999897</v>
          </cell>
          <cell r="I508">
            <v>744.98</v>
          </cell>
          <cell r="J508">
            <v>2301.5999999999899</v>
          </cell>
          <cell r="K508">
            <v>0</v>
          </cell>
          <cell r="L508">
            <v>3046.5799999999899</v>
          </cell>
          <cell r="M508">
            <v>41580.379999999903</v>
          </cell>
          <cell r="N508">
            <v>6743.14</v>
          </cell>
          <cell r="O508">
            <v>0</v>
          </cell>
          <cell r="R508">
            <v>173.4</v>
          </cell>
        </row>
        <row r="509">
          <cell r="G509">
            <v>48708.98</v>
          </cell>
          <cell r="I509">
            <v>1008.86</v>
          </cell>
          <cell r="J509">
            <v>4866.29</v>
          </cell>
          <cell r="K509">
            <v>0</v>
          </cell>
          <cell r="L509">
            <v>5875.1499999999896</v>
          </cell>
          <cell r="M509">
            <v>57293.239999999903</v>
          </cell>
          <cell r="N509">
            <v>7800</v>
          </cell>
          <cell r="O509">
            <v>0</v>
          </cell>
          <cell r="R509">
            <v>231.24</v>
          </cell>
        </row>
        <row r="510">
          <cell r="G510">
            <v>508154.609999999</v>
          </cell>
          <cell r="I510">
            <v>10864.37</v>
          </cell>
          <cell r="J510">
            <v>0</v>
          </cell>
          <cell r="K510">
            <v>0</v>
          </cell>
          <cell r="L510">
            <v>10864.37</v>
          </cell>
          <cell r="M510">
            <v>547774.45999999903</v>
          </cell>
          <cell r="N510">
            <v>143146.54</v>
          </cell>
          <cell r="O510">
            <v>0</v>
          </cell>
          <cell r="R510">
            <v>2412.65</v>
          </cell>
        </row>
        <row r="511">
          <cell r="G511">
            <v>18148.38</v>
          </cell>
          <cell r="I511">
            <v>388.00999999999902</v>
          </cell>
          <cell r="J511">
            <v>2063.2199999999898</v>
          </cell>
          <cell r="K511">
            <v>0</v>
          </cell>
          <cell r="L511">
            <v>2451.23</v>
          </cell>
          <cell r="M511">
            <v>21629.74</v>
          </cell>
          <cell r="N511">
            <v>3120.26</v>
          </cell>
          <cell r="O511">
            <v>0</v>
          </cell>
          <cell r="R511">
            <v>86.15</v>
          </cell>
        </row>
        <row r="512">
          <cell r="G512">
            <v>38549.18</v>
          </cell>
          <cell r="I512">
            <v>744.98</v>
          </cell>
          <cell r="J512">
            <v>0</v>
          </cell>
          <cell r="K512">
            <v>0</v>
          </cell>
          <cell r="L512">
            <v>744.98</v>
          </cell>
          <cell r="M512">
            <v>41275.849999999897</v>
          </cell>
          <cell r="N512">
            <v>6339.1899999999896</v>
          </cell>
          <cell r="O512">
            <v>0</v>
          </cell>
          <cell r="R512">
            <v>183.009999999999</v>
          </cell>
        </row>
        <row r="513">
          <cell r="G513">
            <v>36296.76</v>
          </cell>
          <cell r="I513">
            <v>776.02999999999895</v>
          </cell>
          <cell r="J513">
            <v>4284.6000000000004</v>
          </cell>
          <cell r="K513">
            <v>0</v>
          </cell>
          <cell r="L513">
            <v>5060.63</v>
          </cell>
          <cell r="M513">
            <v>43417.529999999897</v>
          </cell>
          <cell r="N513">
            <v>6082.47</v>
          </cell>
          <cell r="O513">
            <v>0</v>
          </cell>
          <cell r="R513">
            <v>172.33</v>
          </cell>
        </row>
        <row r="514">
          <cell r="G514">
            <v>130668.33</v>
          </cell>
          <cell r="I514">
            <v>2793.71</v>
          </cell>
          <cell r="J514">
            <v>0</v>
          </cell>
          <cell r="K514">
            <v>0</v>
          </cell>
          <cell r="L514">
            <v>2793.71</v>
          </cell>
          <cell r="M514">
            <v>140782.149999999</v>
          </cell>
          <cell r="N514">
            <v>35101.25</v>
          </cell>
          <cell r="O514">
            <v>0</v>
          </cell>
          <cell r="R514">
            <v>620.39999999999895</v>
          </cell>
        </row>
        <row r="515">
          <cell r="G515">
            <v>8031.0799999999899</v>
          </cell>
          <cell r="I515">
            <v>155.19999999999899</v>
          </cell>
          <cell r="J515">
            <v>0</v>
          </cell>
          <cell r="K515">
            <v>0</v>
          </cell>
          <cell r="L515">
            <v>155.19999999999899</v>
          </cell>
          <cell r="M515">
            <v>8594.18</v>
          </cell>
          <cell r="N515">
            <v>1206.8199999999899</v>
          </cell>
          <cell r="O515">
            <v>0</v>
          </cell>
          <cell r="R515">
            <v>38.14</v>
          </cell>
        </row>
        <row r="516">
          <cell r="G516">
            <v>115151.16</v>
          </cell>
          <cell r="I516">
            <v>2436.73</v>
          </cell>
          <cell r="J516">
            <v>9307.6</v>
          </cell>
          <cell r="K516">
            <v>0</v>
          </cell>
          <cell r="L516">
            <v>11744.33</v>
          </cell>
          <cell r="M516">
            <v>133432.91</v>
          </cell>
          <cell r="N516">
            <v>23645.369999999901</v>
          </cell>
          <cell r="O516">
            <v>0</v>
          </cell>
          <cell r="R516">
            <v>546.73</v>
          </cell>
        </row>
        <row r="517">
          <cell r="G517">
            <v>241534.209999999</v>
          </cell>
          <cell r="I517">
            <v>4788.09</v>
          </cell>
          <cell r="J517">
            <v>0</v>
          </cell>
          <cell r="K517">
            <v>0</v>
          </cell>
          <cell r="L517">
            <v>4788.09</v>
          </cell>
          <cell r="M517">
            <v>258902.75</v>
          </cell>
          <cell r="N517">
            <v>43373.949999999903</v>
          </cell>
          <cell r="O517">
            <v>0</v>
          </cell>
          <cell r="R517">
            <v>1146.76</v>
          </cell>
        </row>
        <row r="518">
          <cell r="G518">
            <v>8711.2199999999903</v>
          </cell>
          <cell r="I518">
            <v>186.259999999999</v>
          </cell>
          <cell r="J518">
            <v>667.55999999999904</v>
          </cell>
          <cell r="K518">
            <v>0</v>
          </cell>
          <cell r="L518">
            <v>853.82</v>
          </cell>
          <cell r="M518">
            <v>10069.36</v>
          </cell>
          <cell r="N518">
            <v>2048.2399999999898</v>
          </cell>
          <cell r="O518">
            <v>0</v>
          </cell>
          <cell r="R518">
            <v>41.35</v>
          </cell>
        </row>
        <row r="519">
          <cell r="G519">
            <v>41761.620000000003</v>
          </cell>
          <cell r="I519">
            <v>807.07</v>
          </cell>
          <cell r="J519">
            <v>0</v>
          </cell>
          <cell r="K519">
            <v>0</v>
          </cell>
          <cell r="L519">
            <v>807.07</v>
          </cell>
          <cell r="M519">
            <v>44701.599999999897</v>
          </cell>
          <cell r="N519">
            <v>6546.7399999999898</v>
          </cell>
          <cell r="O519">
            <v>0</v>
          </cell>
          <cell r="R519">
            <v>198.27</v>
          </cell>
        </row>
        <row r="520">
          <cell r="G520">
            <v>17422.11</v>
          </cell>
          <cell r="I520">
            <v>372.5</v>
          </cell>
          <cell r="J520">
            <v>0</v>
          </cell>
          <cell r="K520">
            <v>0</v>
          </cell>
          <cell r="L520">
            <v>372.5</v>
          </cell>
          <cell r="M520">
            <v>18777.549999999901</v>
          </cell>
          <cell r="N520">
            <v>4839.8900000000003</v>
          </cell>
          <cell r="O520">
            <v>0</v>
          </cell>
          <cell r="R520">
            <v>82.709999999999894</v>
          </cell>
        </row>
        <row r="521">
          <cell r="G521">
            <v>22459.52</v>
          </cell>
          <cell r="I521">
            <v>434.57999999999902</v>
          </cell>
          <cell r="J521">
            <v>0</v>
          </cell>
          <cell r="K521">
            <v>0</v>
          </cell>
          <cell r="L521">
            <v>434.57999999999902</v>
          </cell>
          <cell r="M521">
            <v>24040.58</v>
          </cell>
          <cell r="N521">
            <v>3506.17</v>
          </cell>
          <cell r="O521">
            <v>0</v>
          </cell>
          <cell r="R521">
            <v>106.64</v>
          </cell>
        </row>
        <row r="522">
          <cell r="G522">
            <v>62430.41</v>
          </cell>
          <cell r="I522">
            <v>1334.77</v>
          </cell>
          <cell r="J522">
            <v>4091.6199999999899</v>
          </cell>
          <cell r="K522">
            <v>0</v>
          </cell>
          <cell r="L522">
            <v>5426.39</v>
          </cell>
          <cell r="M522">
            <v>71439.639999999898</v>
          </cell>
          <cell r="N522">
            <v>14646.799999999899</v>
          </cell>
          <cell r="O522">
            <v>0</v>
          </cell>
          <cell r="R522">
            <v>296.39999999999901</v>
          </cell>
        </row>
        <row r="523">
          <cell r="G523">
            <v>16062.16</v>
          </cell>
          <cell r="I523">
            <v>310.41000000000003</v>
          </cell>
          <cell r="J523">
            <v>0</v>
          </cell>
          <cell r="K523">
            <v>0</v>
          </cell>
          <cell r="L523">
            <v>310.41000000000003</v>
          </cell>
          <cell r="M523">
            <v>17195.400000000001</v>
          </cell>
          <cell r="N523">
            <v>2574.9</v>
          </cell>
          <cell r="O523">
            <v>0</v>
          </cell>
          <cell r="R523">
            <v>76.239999999999895</v>
          </cell>
        </row>
        <row r="524">
          <cell r="G524">
            <v>34844.879999999903</v>
          </cell>
          <cell r="I524">
            <v>744.98</v>
          </cell>
          <cell r="J524">
            <v>2667.36</v>
          </cell>
          <cell r="K524">
            <v>0</v>
          </cell>
          <cell r="L524">
            <v>3412.34</v>
          </cell>
          <cell r="M524">
            <v>40291.849999999897</v>
          </cell>
          <cell r="N524">
            <v>8594.70999999999</v>
          </cell>
          <cell r="O524">
            <v>0</v>
          </cell>
          <cell r="R524">
            <v>165.44</v>
          </cell>
        </row>
        <row r="525">
          <cell r="G525">
            <v>47185.79</v>
          </cell>
          <cell r="I525">
            <v>1008.83</v>
          </cell>
          <cell r="J525">
            <v>0</v>
          </cell>
          <cell r="K525">
            <v>0</v>
          </cell>
          <cell r="L525">
            <v>1008.83</v>
          </cell>
          <cell r="M525">
            <v>50852.489999999903</v>
          </cell>
          <cell r="N525">
            <v>13008.45</v>
          </cell>
          <cell r="O525">
            <v>0</v>
          </cell>
          <cell r="R525">
            <v>224.03</v>
          </cell>
        </row>
        <row r="526">
          <cell r="G526">
            <v>18601.82</v>
          </cell>
          <cell r="I526">
            <v>372.5</v>
          </cell>
          <cell r="J526">
            <v>0</v>
          </cell>
          <cell r="K526">
            <v>0</v>
          </cell>
          <cell r="L526">
            <v>372.5</v>
          </cell>
          <cell r="M526">
            <v>19943.41</v>
          </cell>
          <cell r="N526">
            <v>3341.8699999999899</v>
          </cell>
          <cell r="O526">
            <v>0</v>
          </cell>
          <cell r="R526">
            <v>88.319999999999894</v>
          </cell>
        </row>
        <row r="527">
          <cell r="G527">
            <v>9300.8999999999905</v>
          </cell>
          <cell r="I527">
            <v>186.259999999999</v>
          </cell>
          <cell r="J527">
            <v>952.55999999999904</v>
          </cell>
          <cell r="K527">
            <v>0</v>
          </cell>
          <cell r="L527">
            <v>1138.8199999999899</v>
          </cell>
          <cell r="M527">
            <v>10950.04</v>
          </cell>
          <cell r="N527">
            <v>1311.92</v>
          </cell>
          <cell r="O527">
            <v>0</v>
          </cell>
          <cell r="R527">
            <v>44.149999999999899</v>
          </cell>
        </row>
        <row r="528">
          <cell r="G528">
            <v>34844.879999999903</v>
          </cell>
          <cell r="I528">
            <v>744.98</v>
          </cell>
          <cell r="J528">
            <v>1038.1199999999899</v>
          </cell>
          <cell r="K528">
            <v>0</v>
          </cell>
          <cell r="L528">
            <v>1783.0999999999899</v>
          </cell>
          <cell r="M528">
            <v>38604.25</v>
          </cell>
          <cell r="N528">
            <v>8880.11</v>
          </cell>
          <cell r="O528">
            <v>0</v>
          </cell>
          <cell r="R528">
            <v>165.44</v>
          </cell>
        </row>
        <row r="529">
          <cell r="G529">
            <v>35570.82</v>
          </cell>
          <cell r="I529">
            <v>760.5</v>
          </cell>
          <cell r="J529">
            <v>0</v>
          </cell>
          <cell r="K529">
            <v>0</v>
          </cell>
          <cell r="L529">
            <v>760.5</v>
          </cell>
          <cell r="M529">
            <v>38327.47</v>
          </cell>
          <cell r="N529">
            <v>9635.0599999999904</v>
          </cell>
          <cell r="O529">
            <v>0</v>
          </cell>
          <cell r="R529">
            <v>168.88</v>
          </cell>
        </row>
        <row r="530">
          <cell r="G530">
            <v>8711.2199999999903</v>
          </cell>
          <cell r="I530">
            <v>186.259999999999</v>
          </cell>
          <cell r="J530">
            <v>650.39999999999895</v>
          </cell>
          <cell r="K530">
            <v>0</v>
          </cell>
          <cell r="L530">
            <v>836.65999999999894</v>
          </cell>
          <cell r="M530">
            <v>10050.67</v>
          </cell>
          <cell r="N530">
            <v>2030.21</v>
          </cell>
          <cell r="O530">
            <v>0</v>
          </cell>
          <cell r="R530">
            <v>41.35</v>
          </cell>
        </row>
        <row r="531">
          <cell r="G531">
            <v>18148.38</v>
          </cell>
          <cell r="I531">
            <v>388.00999999999902</v>
          </cell>
          <cell r="J531">
            <v>0</v>
          </cell>
          <cell r="K531">
            <v>0</v>
          </cell>
          <cell r="L531">
            <v>388.00999999999902</v>
          </cell>
          <cell r="M531">
            <v>19553.080000000002</v>
          </cell>
          <cell r="N531">
            <v>4875.17</v>
          </cell>
          <cell r="O531">
            <v>0</v>
          </cell>
          <cell r="R531">
            <v>86.15</v>
          </cell>
        </row>
        <row r="532">
          <cell r="G532">
            <v>69689.759999999893</v>
          </cell>
          <cell r="I532">
            <v>1489.97</v>
          </cell>
          <cell r="J532">
            <v>4877.76</v>
          </cell>
          <cell r="K532">
            <v>0</v>
          </cell>
          <cell r="L532">
            <v>6367.7299999999896</v>
          </cell>
          <cell r="M532">
            <v>80132.820000000007</v>
          </cell>
          <cell r="N532">
            <v>17787.18</v>
          </cell>
          <cell r="O532">
            <v>0</v>
          </cell>
          <cell r="R532">
            <v>330.88999999999902</v>
          </cell>
        </row>
        <row r="533">
          <cell r="G533">
            <v>36522.639999999898</v>
          </cell>
          <cell r="I533">
            <v>744.98</v>
          </cell>
          <cell r="J533">
            <v>1150.8</v>
          </cell>
          <cell r="K533">
            <v>0</v>
          </cell>
          <cell r="L533">
            <v>1895.78</v>
          </cell>
          <cell r="M533">
            <v>40398.47</v>
          </cell>
          <cell r="N533">
            <v>7177.4499999999898</v>
          </cell>
          <cell r="O533">
            <v>0</v>
          </cell>
          <cell r="R533">
            <v>173.4</v>
          </cell>
        </row>
        <row r="534">
          <cell r="G534">
            <v>11614.959999999901</v>
          </cell>
          <cell r="I534">
            <v>248.319999999999</v>
          </cell>
          <cell r="J534">
            <v>651.67999999999904</v>
          </cell>
          <cell r="K534">
            <v>0</v>
          </cell>
          <cell r="L534">
            <v>900</v>
          </cell>
          <cell r="M534">
            <v>13189.37</v>
          </cell>
          <cell r="N534">
            <v>3016.3899999999899</v>
          </cell>
          <cell r="O534">
            <v>0</v>
          </cell>
          <cell r="R534">
            <v>55.14</v>
          </cell>
        </row>
        <row r="535">
          <cell r="G535">
            <v>149995.57</v>
          </cell>
          <cell r="I535">
            <v>3026.52</v>
          </cell>
          <cell r="J535">
            <v>0</v>
          </cell>
          <cell r="K535">
            <v>0</v>
          </cell>
          <cell r="L535">
            <v>3026.52</v>
          </cell>
          <cell r="M535">
            <v>161021.42000000001</v>
          </cell>
          <cell r="N535">
            <v>31181.15</v>
          </cell>
          <cell r="O535">
            <v>0</v>
          </cell>
          <cell r="R535">
            <v>712.14999999999895</v>
          </cell>
        </row>
        <row r="536">
          <cell r="G536">
            <v>17422.4399999999</v>
          </cell>
          <cell r="I536">
            <v>372.5</v>
          </cell>
          <cell r="J536">
            <v>1748.8</v>
          </cell>
          <cell r="K536">
            <v>0</v>
          </cell>
          <cell r="L536">
            <v>2121.3000000000002</v>
          </cell>
          <cell r="M536">
            <v>20556.63</v>
          </cell>
          <cell r="N536">
            <v>3780.57</v>
          </cell>
          <cell r="O536">
            <v>0</v>
          </cell>
          <cell r="R536">
            <v>82.709999999999894</v>
          </cell>
        </row>
        <row r="537">
          <cell r="G537">
            <v>24040.3499999999</v>
          </cell>
          <cell r="I537">
            <v>465.62</v>
          </cell>
          <cell r="J537">
            <v>0</v>
          </cell>
          <cell r="K537">
            <v>0</v>
          </cell>
          <cell r="L537">
            <v>465.62</v>
          </cell>
          <cell r="M537">
            <v>25736.33</v>
          </cell>
          <cell r="N537">
            <v>3825.07</v>
          </cell>
          <cell r="O537">
            <v>0</v>
          </cell>
          <cell r="R537">
            <v>114.16</v>
          </cell>
        </row>
        <row r="538">
          <cell r="G538">
            <v>18148.38</v>
          </cell>
          <cell r="I538">
            <v>388.00999999999902</v>
          </cell>
          <cell r="J538">
            <v>1443.93</v>
          </cell>
          <cell r="K538">
            <v>0</v>
          </cell>
          <cell r="L538">
            <v>1831.94</v>
          </cell>
          <cell r="M538">
            <v>21007.279999999901</v>
          </cell>
          <cell r="N538">
            <v>3667.7199999999898</v>
          </cell>
          <cell r="O538">
            <v>0</v>
          </cell>
          <cell r="R538">
            <v>86.15</v>
          </cell>
        </row>
        <row r="539">
          <cell r="G539">
            <v>19274.57</v>
          </cell>
          <cell r="I539">
            <v>372.5</v>
          </cell>
          <cell r="J539">
            <v>0</v>
          </cell>
          <cell r="K539">
            <v>0</v>
          </cell>
          <cell r="L539">
            <v>372.5</v>
          </cell>
          <cell r="M539">
            <v>20630.0099999999</v>
          </cell>
          <cell r="N539">
            <v>2987.4299999999898</v>
          </cell>
          <cell r="O539">
            <v>0</v>
          </cell>
          <cell r="R539">
            <v>91.519999999999897</v>
          </cell>
        </row>
        <row r="540">
          <cell r="G540">
            <v>51398.91</v>
          </cell>
          <cell r="I540">
            <v>993.32</v>
          </cell>
          <cell r="J540">
            <v>0</v>
          </cell>
          <cell r="K540">
            <v>0</v>
          </cell>
          <cell r="L540">
            <v>993.32</v>
          </cell>
          <cell r="M540">
            <v>54999.75</v>
          </cell>
          <cell r="N540">
            <v>7652.3999999999896</v>
          </cell>
          <cell r="O540">
            <v>0</v>
          </cell>
          <cell r="R540">
            <v>244.03</v>
          </cell>
        </row>
        <row r="541">
          <cell r="G541">
            <v>34844.879999999903</v>
          </cell>
          <cell r="I541">
            <v>744.98</v>
          </cell>
          <cell r="J541">
            <v>4099.92</v>
          </cell>
          <cell r="K541">
            <v>0</v>
          </cell>
          <cell r="L541">
            <v>4844.8999999999896</v>
          </cell>
          <cell r="M541">
            <v>41717.75</v>
          </cell>
          <cell r="N541">
            <v>7009.6899999999896</v>
          </cell>
          <cell r="O541">
            <v>0</v>
          </cell>
          <cell r="R541">
            <v>165.44</v>
          </cell>
        </row>
        <row r="542">
          <cell r="G542">
            <v>17422.4399999999</v>
          </cell>
          <cell r="I542">
            <v>372.5</v>
          </cell>
          <cell r="J542">
            <v>1779.1199999999899</v>
          </cell>
          <cell r="K542">
            <v>0</v>
          </cell>
          <cell r="L542">
            <v>2151.6199999999899</v>
          </cell>
          <cell r="M542">
            <v>20582.6899999999</v>
          </cell>
          <cell r="N542">
            <v>3652.51</v>
          </cell>
          <cell r="O542">
            <v>0</v>
          </cell>
          <cell r="R542">
            <v>82.709999999999894</v>
          </cell>
        </row>
        <row r="543">
          <cell r="G543">
            <v>79327.05</v>
          </cell>
          <cell r="I543">
            <v>1676.23</v>
          </cell>
          <cell r="J543">
            <v>7416.1199999999899</v>
          </cell>
          <cell r="K543">
            <v>0</v>
          </cell>
          <cell r="L543">
            <v>9092.35</v>
          </cell>
          <cell r="M543">
            <v>92949.57</v>
          </cell>
          <cell r="N543">
            <v>15898.23</v>
          </cell>
          <cell r="O543">
            <v>0</v>
          </cell>
          <cell r="R543">
            <v>376.66</v>
          </cell>
        </row>
        <row r="544">
          <cell r="G544">
            <v>18199.11</v>
          </cell>
          <cell r="I544">
            <v>388.00999999999902</v>
          </cell>
          <cell r="J544">
            <v>0</v>
          </cell>
          <cell r="K544">
            <v>0</v>
          </cell>
          <cell r="L544">
            <v>388.00999999999902</v>
          </cell>
          <cell r="M544">
            <v>19606.9199999999</v>
          </cell>
          <cell r="N544">
            <v>4895.5799999999899</v>
          </cell>
          <cell r="O544">
            <v>0</v>
          </cell>
          <cell r="R544">
            <v>86.379999999999896</v>
          </cell>
        </row>
        <row r="545">
          <cell r="G545">
            <v>8711.2199999999903</v>
          </cell>
          <cell r="I545">
            <v>186.259999999999</v>
          </cell>
          <cell r="J545">
            <v>985.55999999999904</v>
          </cell>
          <cell r="K545">
            <v>0</v>
          </cell>
          <cell r="L545">
            <v>1171.8199999999899</v>
          </cell>
          <cell r="M545">
            <v>10396.02</v>
          </cell>
          <cell r="N545">
            <v>1929.66</v>
          </cell>
          <cell r="O545">
            <v>0</v>
          </cell>
          <cell r="R545">
            <v>41.35</v>
          </cell>
        </row>
        <row r="546">
          <cell r="G546">
            <v>0</v>
          </cell>
          <cell r="I546">
            <v>0</v>
          </cell>
          <cell r="J546">
            <v>19105.8499999999</v>
          </cell>
          <cell r="K546">
            <v>0</v>
          </cell>
          <cell r="L546">
            <v>19105.8499999999</v>
          </cell>
          <cell r="M546">
            <v>19105.8499999999</v>
          </cell>
          <cell r="N546">
            <v>-19105.8499999999</v>
          </cell>
          <cell r="O546">
            <v>0</v>
          </cell>
          <cell r="R546">
            <v>0</v>
          </cell>
        </row>
        <row r="547">
          <cell r="G547">
            <v>87112.199999999895</v>
          </cell>
          <cell r="I547">
            <v>1862.46</v>
          </cell>
          <cell r="J547">
            <v>5902.3199999999897</v>
          </cell>
          <cell r="K547">
            <v>0</v>
          </cell>
          <cell r="L547">
            <v>7764.7799999999897</v>
          </cell>
          <cell r="M547">
            <v>99881.089999999895</v>
          </cell>
          <cell r="N547">
            <v>20354.830000000002</v>
          </cell>
          <cell r="O547">
            <v>0</v>
          </cell>
          <cell r="R547">
            <v>413.6</v>
          </cell>
        </row>
        <row r="548">
          <cell r="G548">
            <v>54041.4</v>
          </cell>
          <cell r="I548">
            <v>1039.8800000000001</v>
          </cell>
          <cell r="J548">
            <v>0</v>
          </cell>
          <cell r="K548">
            <v>0</v>
          </cell>
          <cell r="L548">
            <v>1039.8800000000001</v>
          </cell>
          <cell r="M548">
            <v>57829.79</v>
          </cell>
          <cell r="N548">
            <v>8211.1299999999901</v>
          </cell>
          <cell r="O548">
            <v>0</v>
          </cell>
          <cell r="R548">
            <v>256.56999999999903</v>
          </cell>
        </row>
        <row r="549">
          <cell r="G549">
            <v>17422.4399999999</v>
          </cell>
          <cell r="I549">
            <v>372.5</v>
          </cell>
          <cell r="J549">
            <v>1327.2</v>
          </cell>
          <cell r="K549">
            <v>0</v>
          </cell>
          <cell r="L549">
            <v>1699.7</v>
          </cell>
          <cell r="M549">
            <v>20137.889999999901</v>
          </cell>
          <cell r="N549">
            <v>4268.67</v>
          </cell>
          <cell r="O549">
            <v>0</v>
          </cell>
          <cell r="R549">
            <v>82.709999999999894</v>
          </cell>
        </row>
        <row r="550">
          <cell r="G550">
            <v>8881.69</v>
          </cell>
          <cell r="I550">
            <v>170.72</v>
          </cell>
          <cell r="J550">
            <v>0</v>
          </cell>
          <cell r="K550">
            <v>0</v>
          </cell>
          <cell r="L550">
            <v>170.72</v>
          </cell>
          <cell r="M550">
            <v>9501.1499999999905</v>
          </cell>
          <cell r="N550">
            <v>1279.95</v>
          </cell>
          <cell r="O550">
            <v>0</v>
          </cell>
          <cell r="R550">
            <v>42.159999999999897</v>
          </cell>
        </row>
        <row r="551">
          <cell r="G551">
            <v>34844.879999999903</v>
          </cell>
          <cell r="I551">
            <v>744.98</v>
          </cell>
          <cell r="J551">
            <v>3085.44</v>
          </cell>
          <cell r="K551">
            <v>0</v>
          </cell>
          <cell r="L551">
            <v>3830.42</v>
          </cell>
          <cell r="M551">
            <v>40686.5</v>
          </cell>
          <cell r="N551">
            <v>7637.02</v>
          </cell>
          <cell r="O551">
            <v>0</v>
          </cell>
          <cell r="R551">
            <v>165.44</v>
          </cell>
        </row>
        <row r="552">
          <cell r="G552">
            <v>11242.85</v>
          </cell>
          <cell r="I552">
            <v>217.289999999999</v>
          </cell>
          <cell r="J552">
            <v>0</v>
          </cell>
          <cell r="K552">
            <v>0</v>
          </cell>
          <cell r="L552">
            <v>217.289999999999</v>
          </cell>
          <cell r="M552">
            <v>12036.99</v>
          </cell>
          <cell r="N552">
            <v>1823.01</v>
          </cell>
          <cell r="O552">
            <v>0</v>
          </cell>
          <cell r="R552">
            <v>53.38</v>
          </cell>
        </row>
        <row r="553">
          <cell r="G553">
            <v>78400.979999999894</v>
          </cell>
          <cell r="I553">
            <v>1676.23</v>
          </cell>
          <cell r="J553">
            <v>4099.5600000000004</v>
          </cell>
          <cell r="K553">
            <v>0</v>
          </cell>
          <cell r="L553">
            <v>5775.79</v>
          </cell>
          <cell r="M553">
            <v>88633.22</v>
          </cell>
          <cell r="N553">
            <v>18444.34</v>
          </cell>
          <cell r="O553">
            <v>0</v>
          </cell>
          <cell r="R553">
            <v>372.23</v>
          </cell>
        </row>
        <row r="554">
          <cell r="G554">
            <v>342071.75</v>
          </cell>
          <cell r="I554">
            <v>7030.8199999999897</v>
          </cell>
          <cell r="J554">
            <v>9226.1599999999908</v>
          </cell>
          <cell r="K554">
            <v>0</v>
          </cell>
          <cell r="L554">
            <v>16256.98</v>
          </cell>
          <cell r="M554">
            <v>377903.16999999899</v>
          </cell>
          <cell r="N554">
            <v>92421.729999999894</v>
          </cell>
          <cell r="O554">
            <v>0</v>
          </cell>
          <cell r="R554">
            <v>1624.1199999999899</v>
          </cell>
        </row>
        <row r="555">
          <cell r="G555">
            <v>78400.979999999894</v>
          </cell>
          <cell r="I555">
            <v>1676.23</v>
          </cell>
          <cell r="J555">
            <v>8003.2799999999897</v>
          </cell>
          <cell r="K555">
            <v>0</v>
          </cell>
          <cell r="L555">
            <v>9679.51</v>
          </cell>
          <cell r="M555">
            <v>92644.36</v>
          </cell>
          <cell r="N555">
            <v>17013.799999999901</v>
          </cell>
          <cell r="O555">
            <v>0</v>
          </cell>
          <cell r="R555">
            <v>372.23</v>
          </cell>
        </row>
        <row r="556">
          <cell r="G556">
            <v>17422.4399999999</v>
          </cell>
          <cell r="I556">
            <v>372.5</v>
          </cell>
          <cell r="J556">
            <v>2076.2399999999898</v>
          </cell>
          <cell r="K556">
            <v>0</v>
          </cell>
          <cell r="L556">
            <v>2448.7399999999898</v>
          </cell>
          <cell r="M556">
            <v>20879.810000000001</v>
          </cell>
          <cell r="N556">
            <v>3355.3899999999899</v>
          </cell>
          <cell r="O556">
            <v>0</v>
          </cell>
          <cell r="R556">
            <v>82.709999999999894</v>
          </cell>
        </row>
        <row r="557">
          <cell r="G557">
            <v>8711.2199999999903</v>
          </cell>
          <cell r="I557">
            <v>186.259999999999</v>
          </cell>
          <cell r="J557">
            <v>689.88</v>
          </cell>
          <cell r="K557">
            <v>0</v>
          </cell>
          <cell r="L557">
            <v>876.13999999999896</v>
          </cell>
          <cell r="M557">
            <v>10091.68</v>
          </cell>
          <cell r="N557">
            <v>2025.92</v>
          </cell>
          <cell r="O557">
            <v>0</v>
          </cell>
          <cell r="R557">
            <v>41.35</v>
          </cell>
        </row>
        <row r="558">
          <cell r="G558">
            <v>28911.88</v>
          </cell>
          <cell r="I558">
            <v>558.75</v>
          </cell>
          <cell r="J558">
            <v>0</v>
          </cell>
          <cell r="K558">
            <v>0</v>
          </cell>
          <cell r="L558">
            <v>558.75</v>
          </cell>
          <cell r="M558">
            <v>30938.09</v>
          </cell>
          <cell r="N558">
            <v>4321.75</v>
          </cell>
          <cell r="O558">
            <v>0</v>
          </cell>
          <cell r="R558">
            <v>137.259999999999</v>
          </cell>
        </row>
        <row r="559">
          <cell r="G559">
            <v>5807.4799999999896</v>
          </cell>
          <cell r="I559">
            <v>124.17</v>
          </cell>
          <cell r="J559">
            <v>459.92</v>
          </cell>
          <cell r="K559">
            <v>0</v>
          </cell>
          <cell r="L559">
            <v>584.09</v>
          </cell>
          <cell r="M559">
            <v>6731.1499999999896</v>
          </cell>
          <cell r="N559">
            <v>1428.8499999999899</v>
          </cell>
          <cell r="O559">
            <v>0</v>
          </cell>
          <cell r="R559">
            <v>27.579999999999899</v>
          </cell>
        </row>
        <row r="560">
          <cell r="G560">
            <v>54445.139999999898</v>
          </cell>
          <cell r="I560">
            <v>1164.03</v>
          </cell>
          <cell r="J560">
            <v>4014.28</v>
          </cell>
          <cell r="K560">
            <v>0</v>
          </cell>
          <cell r="L560">
            <v>5178.3100000000004</v>
          </cell>
          <cell r="M560">
            <v>62708.589999999902</v>
          </cell>
          <cell r="N560">
            <v>11419.66</v>
          </cell>
          <cell r="O560">
            <v>0</v>
          </cell>
          <cell r="R560">
            <v>258.49</v>
          </cell>
        </row>
        <row r="561">
          <cell r="G561">
            <v>17422.4399999999</v>
          </cell>
          <cell r="I561">
            <v>372.5</v>
          </cell>
          <cell r="J561">
            <v>1379.76</v>
          </cell>
          <cell r="K561">
            <v>0</v>
          </cell>
          <cell r="L561">
            <v>1752.26</v>
          </cell>
          <cell r="M561">
            <v>20197.68</v>
          </cell>
          <cell r="N561">
            <v>4380.2399999999898</v>
          </cell>
          <cell r="O561">
            <v>0</v>
          </cell>
          <cell r="R561">
            <v>82.709999999999894</v>
          </cell>
        </row>
        <row r="562">
          <cell r="G562">
            <v>18148.38</v>
          </cell>
          <cell r="I562">
            <v>388.00999999999902</v>
          </cell>
          <cell r="J562">
            <v>2201.9899999999898</v>
          </cell>
          <cell r="K562">
            <v>0</v>
          </cell>
          <cell r="L562">
            <v>2590</v>
          </cell>
          <cell r="M562">
            <v>21775.73</v>
          </cell>
          <cell r="N562">
            <v>3149.27</v>
          </cell>
          <cell r="O562">
            <v>0</v>
          </cell>
          <cell r="R562">
            <v>86.15</v>
          </cell>
        </row>
        <row r="563">
          <cell r="G563">
            <v>34844.879999999903</v>
          </cell>
          <cell r="I563">
            <v>744.98</v>
          </cell>
          <cell r="J563">
            <v>0</v>
          </cell>
          <cell r="K563">
            <v>0</v>
          </cell>
          <cell r="L563">
            <v>744.98</v>
          </cell>
          <cell r="M563">
            <v>37521.120000000003</v>
          </cell>
          <cell r="N563">
            <v>8881.2000000000007</v>
          </cell>
          <cell r="O563">
            <v>0</v>
          </cell>
          <cell r="R563">
            <v>165.44</v>
          </cell>
        </row>
        <row r="564">
          <cell r="G564">
            <v>10163.09</v>
          </cell>
          <cell r="I564">
            <v>217.289999999999</v>
          </cell>
          <cell r="J564">
            <v>0</v>
          </cell>
          <cell r="K564">
            <v>0</v>
          </cell>
          <cell r="L564">
            <v>217.289999999999</v>
          </cell>
          <cell r="M564">
            <v>10946.77</v>
          </cell>
          <cell r="N564">
            <v>2662.3499999999899</v>
          </cell>
          <cell r="O564">
            <v>0</v>
          </cell>
          <cell r="R564">
            <v>48.24</v>
          </cell>
        </row>
        <row r="565">
          <cell r="G565">
            <v>26133.66</v>
          </cell>
          <cell r="I565">
            <v>558.75</v>
          </cell>
          <cell r="J565">
            <v>0</v>
          </cell>
          <cell r="K565">
            <v>0</v>
          </cell>
          <cell r="L565">
            <v>558.75</v>
          </cell>
          <cell r="M565">
            <v>28137.32</v>
          </cell>
          <cell r="N565">
            <v>6579.52</v>
          </cell>
          <cell r="O565">
            <v>0</v>
          </cell>
          <cell r="R565">
            <v>124.069999999999</v>
          </cell>
        </row>
        <row r="566">
          <cell r="G566">
            <v>72887.339999999895</v>
          </cell>
          <cell r="I566">
            <v>1489.98</v>
          </cell>
          <cell r="J566">
            <v>2950.8</v>
          </cell>
          <cell r="K566">
            <v>0</v>
          </cell>
          <cell r="L566">
            <v>4440.7799999999897</v>
          </cell>
          <cell r="M566">
            <v>81332.289999999906</v>
          </cell>
          <cell r="N566">
            <v>14877.709999999901</v>
          </cell>
          <cell r="O566">
            <v>0</v>
          </cell>
          <cell r="R566">
            <v>346.06</v>
          </cell>
        </row>
        <row r="567">
          <cell r="G567">
            <v>36296.76</v>
          </cell>
          <cell r="I567">
            <v>776.02999999999895</v>
          </cell>
          <cell r="J567">
            <v>3669.5999999999899</v>
          </cell>
          <cell r="K567">
            <v>0</v>
          </cell>
          <cell r="L567">
            <v>4445.63</v>
          </cell>
          <cell r="M567">
            <v>42802.529999999897</v>
          </cell>
          <cell r="N567">
            <v>6697.47</v>
          </cell>
          <cell r="O567">
            <v>0</v>
          </cell>
          <cell r="R567">
            <v>172.33</v>
          </cell>
        </row>
        <row r="568">
          <cell r="G568">
            <v>23229.9199999999</v>
          </cell>
          <cell r="I568">
            <v>496.64999999999901</v>
          </cell>
          <cell r="J568">
            <v>0</v>
          </cell>
          <cell r="K568">
            <v>0</v>
          </cell>
          <cell r="L568">
            <v>496.64999999999901</v>
          </cell>
          <cell r="M568">
            <v>25033.11</v>
          </cell>
          <cell r="N568">
            <v>6359.79</v>
          </cell>
          <cell r="O568">
            <v>0</v>
          </cell>
          <cell r="R568">
            <v>110.31</v>
          </cell>
        </row>
        <row r="569">
          <cell r="G569">
            <v>28311.47</v>
          </cell>
          <cell r="I569">
            <v>605.29999999999905</v>
          </cell>
          <cell r="J569">
            <v>926.39999999999895</v>
          </cell>
          <cell r="K569">
            <v>0</v>
          </cell>
          <cell r="L569">
            <v>1531.7</v>
          </cell>
          <cell r="M569">
            <v>31438.049999999901</v>
          </cell>
          <cell r="N569">
            <v>6882.7799999999897</v>
          </cell>
          <cell r="O569">
            <v>0</v>
          </cell>
          <cell r="R569">
            <v>134.41999999999899</v>
          </cell>
        </row>
        <row r="570">
          <cell r="G570">
            <v>20077.7</v>
          </cell>
          <cell r="I570">
            <v>388.00999999999902</v>
          </cell>
          <cell r="J570">
            <v>0</v>
          </cell>
          <cell r="K570">
            <v>0</v>
          </cell>
          <cell r="L570">
            <v>388.00999999999902</v>
          </cell>
          <cell r="M570">
            <v>21495.84</v>
          </cell>
          <cell r="N570">
            <v>3254.1599999999899</v>
          </cell>
          <cell r="O570">
            <v>0</v>
          </cell>
          <cell r="R570">
            <v>95.329999999999899</v>
          </cell>
        </row>
        <row r="571">
          <cell r="G571">
            <v>243914.179999999</v>
          </cell>
          <cell r="I571">
            <v>5214.8900000000003</v>
          </cell>
          <cell r="J571">
            <v>23206.2</v>
          </cell>
          <cell r="K571">
            <v>0</v>
          </cell>
          <cell r="L571">
            <v>28421.09</v>
          </cell>
          <cell r="M571">
            <v>286450.03999999899</v>
          </cell>
          <cell r="N571">
            <v>52692.519999999902</v>
          </cell>
          <cell r="O571">
            <v>0</v>
          </cell>
          <cell r="R571">
            <v>1158.0799999999899</v>
          </cell>
        </row>
        <row r="572">
          <cell r="G572">
            <v>39352.29</v>
          </cell>
          <cell r="I572">
            <v>760.5</v>
          </cell>
          <cell r="J572">
            <v>0</v>
          </cell>
          <cell r="K572">
            <v>0</v>
          </cell>
          <cell r="L572">
            <v>760.5</v>
          </cell>
          <cell r="M572">
            <v>42125.639999999898</v>
          </cell>
          <cell r="N572">
            <v>6238.8299999999899</v>
          </cell>
          <cell r="O572">
            <v>0</v>
          </cell>
          <cell r="R572">
            <v>186.83</v>
          </cell>
        </row>
        <row r="573">
          <cell r="G573">
            <v>25407.73</v>
          </cell>
          <cell r="I573">
            <v>543.21</v>
          </cell>
          <cell r="J573">
            <v>0</v>
          </cell>
          <cell r="K573">
            <v>0</v>
          </cell>
          <cell r="L573">
            <v>543.21</v>
          </cell>
          <cell r="M573">
            <v>27378.65</v>
          </cell>
          <cell r="N573">
            <v>6924.85</v>
          </cell>
          <cell r="O573">
            <v>0</v>
          </cell>
          <cell r="R573">
            <v>120.63</v>
          </cell>
        </row>
        <row r="574">
          <cell r="G574">
            <v>34844.879999999903</v>
          </cell>
          <cell r="I574">
            <v>744.98</v>
          </cell>
          <cell r="J574">
            <v>1902.48</v>
          </cell>
          <cell r="K574">
            <v>0</v>
          </cell>
          <cell r="L574">
            <v>2647.46</v>
          </cell>
          <cell r="M574">
            <v>39496.800000000003</v>
          </cell>
          <cell r="N574">
            <v>8664.95999999999</v>
          </cell>
          <cell r="O574">
            <v>0</v>
          </cell>
          <cell r="R574">
            <v>165.44</v>
          </cell>
        </row>
        <row r="575">
          <cell r="G575">
            <v>56965.099999999897</v>
          </cell>
          <cell r="I575">
            <v>1210.5999999999899</v>
          </cell>
          <cell r="J575">
            <v>0</v>
          </cell>
          <cell r="K575">
            <v>0</v>
          </cell>
          <cell r="L575">
            <v>1210.5999999999899</v>
          </cell>
          <cell r="M575">
            <v>61309.62</v>
          </cell>
          <cell r="N575">
            <v>13988.7</v>
          </cell>
          <cell r="O575">
            <v>0</v>
          </cell>
          <cell r="R575">
            <v>270.47000000000003</v>
          </cell>
        </row>
        <row r="576">
          <cell r="G576">
            <v>34844.879999999903</v>
          </cell>
          <cell r="I576">
            <v>744.98</v>
          </cell>
          <cell r="J576">
            <v>1542.72</v>
          </cell>
          <cell r="K576">
            <v>0</v>
          </cell>
          <cell r="L576">
            <v>2287.6999999999898</v>
          </cell>
          <cell r="M576">
            <v>39119.32</v>
          </cell>
          <cell r="N576">
            <v>8617.1599999999908</v>
          </cell>
          <cell r="O576">
            <v>0</v>
          </cell>
          <cell r="R576">
            <v>165.44</v>
          </cell>
        </row>
        <row r="577">
          <cell r="G577">
            <v>17422.4399999999</v>
          </cell>
          <cell r="I577">
            <v>372.5</v>
          </cell>
          <cell r="J577">
            <v>1542.72</v>
          </cell>
          <cell r="K577">
            <v>0</v>
          </cell>
          <cell r="L577">
            <v>1915.22</v>
          </cell>
          <cell r="M577">
            <v>20350.38</v>
          </cell>
          <cell r="N577">
            <v>3982.7399999999898</v>
          </cell>
          <cell r="O577">
            <v>0</v>
          </cell>
          <cell r="R577">
            <v>82.709999999999894</v>
          </cell>
        </row>
        <row r="578">
          <cell r="G578">
            <v>18148.38</v>
          </cell>
          <cell r="I578">
            <v>388.00999999999902</v>
          </cell>
          <cell r="J578">
            <v>924.40999999999894</v>
          </cell>
          <cell r="K578">
            <v>0</v>
          </cell>
          <cell r="L578">
            <v>1312.42</v>
          </cell>
          <cell r="M578">
            <v>20487.7599999999</v>
          </cell>
          <cell r="N578">
            <v>4187.2399999999898</v>
          </cell>
          <cell r="O578">
            <v>0</v>
          </cell>
          <cell r="R578">
            <v>86.15</v>
          </cell>
        </row>
        <row r="579">
          <cell r="G579">
            <v>17422.4399999999</v>
          </cell>
          <cell r="I579">
            <v>372.5</v>
          </cell>
          <cell r="J579">
            <v>0</v>
          </cell>
          <cell r="K579">
            <v>0</v>
          </cell>
          <cell r="L579">
            <v>372.5</v>
          </cell>
          <cell r="M579">
            <v>18791.779999999901</v>
          </cell>
          <cell r="N579">
            <v>5159.5</v>
          </cell>
          <cell r="O579">
            <v>0</v>
          </cell>
          <cell r="R579">
            <v>82.709999999999894</v>
          </cell>
        </row>
        <row r="580">
          <cell r="G580">
            <v>3131.8499999999899</v>
          </cell>
          <cell r="I580">
            <v>62.03</v>
          </cell>
          <cell r="J580">
            <v>0</v>
          </cell>
          <cell r="K580">
            <v>0</v>
          </cell>
          <cell r="L580">
            <v>62.03</v>
          </cell>
          <cell r="M580">
            <v>3372.4299999999898</v>
          </cell>
          <cell r="N580">
            <v>918.85</v>
          </cell>
          <cell r="O580">
            <v>0</v>
          </cell>
          <cell r="R580">
            <v>14.8699999999999</v>
          </cell>
        </row>
        <row r="581">
          <cell r="G581">
            <v>104.02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104.02</v>
          </cell>
          <cell r="N581">
            <v>24015.98</v>
          </cell>
          <cell r="O581">
            <v>0</v>
          </cell>
          <cell r="R581">
            <v>0</v>
          </cell>
        </row>
        <row r="582">
          <cell r="G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-241.19999999999899</v>
          </cell>
          <cell r="O582">
            <v>0</v>
          </cell>
          <cell r="R582">
            <v>0</v>
          </cell>
        </row>
        <row r="583">
          <cell r="G583">
            <v>77069.47</v>
          </cell>
          <cell r="I583">
            <v>1880.68</v>
          </cell>
          <cell r="J583">
            <v>0</v>
          </cell>
          <cell r="K583">
            <v>0</v>
          </cell>
          <cell r="L583">
            <v>1880.68</v>
          </cell>
          <cell r="M583">
            <v>82860.139999999898</v>
          </cell>
          <cell r="N583">
            <v>13043.16</v>
          </cell>
          <cell r="O583">
            <v>0</v>
          </cell>
          <cell r="R583">
            <v>23.41</v>
          </cell>
        </row>
        <row r="584">
          <cell r="G584">
            <v>26520.33</v>
          </cell>
          <cell r="I584">
            <v>706.73</v>
          </cell>
          <cell r="J584">
            <v>0</v>
          </cell>
          <cell r="K584">
            <v>0</v>
          </cell>
          <cell r="L584">
            <v>706.73</v>
          </cell>
          <cell r="M584">
            <v>28677.209999999901</v>
          </cell>
          <cell r="N584">
            <v>6891.51</v>
          </cell>
          <cell r="O584">
            <v>0</v>
          </cell>
          <cell r="R584">
            <v>8.06</v>
          </cell>
        </row>
        <row r="585">
          <cell r="G585">
            <v>70720.839999999895</v>
          </cell>
          <cell r="I585">
            <v>1884.6099999999899</v>
          </cell>
          <cell r="J585">
            <v>4770</v>
          </cell>
          <cell r="K585">
            <v>0</v>
          </cell>
          <cell r="L585">
            <v>6654.6099999999897</v>
          </cell>
          <cell r="M585">
            <v>81360.38</v>
          </cell>
          <cell r="N585">
            <v>16380.82</v>
          </cell>
          <cell r="O585">
            <v>0</v>
          </cell>
          <cell r="R585">
            <v>21.489999999999899</v>
          </cell>
        </row>
        <row r="586">
          <cell r="G586">
            <v>98210.41</v>
          </cell>
          <cell r="I586">
            <v>2395.0300000000002</v>
          </cell>
          <cell r="J586">
            <v>0</v>
          </cell>
          <cell r="K586">
            <v>0</v>
          </cell>
          <cell r="L586">
            <v>2395.0300000000002</v>
          </cell>
          <cell r="M586">
            <v>105586.14</v>
          </cell>
          <cell r="N586">
            <v>16577.7599999999</v>
          </cell>
          <cell r="O586">
            <v>0</v>
          </cell>
          <cell r="R586">
            <v>29.85</v>
          </cell>
        </row>
        <row r="587">
          <cell r="G587">
            <v>17680.209999999901</v>
          </cell>
          <cell r="I587">
            <v>471.14999999999901</v>
          </cell>
          <cell r="J587">
            <v>1300.8</v>
          </cell>
          <cell r="K587">
            <v>0</v>
          </cell>
          <cell r="L587">
            <v>1771.95</v>
          </cell>
          <cell r="M587">
            <v>20458.8499999999</v>
          </cell>
          <cell r="N587">
            <v>4232.1099999999897</v>
          </cell>
          <cell r="O587">
            <v>0</v>
          </cell>
          <cell r="R587">
            <v>5.37</v>
          </cell>
        </row>
        <row r="588">
          <cell r="G588">
            <v>17680.209999999901</v>
          </cell>
          <cell r="I588">
            <v>471.14999999999901</v>
          </cell>
          <cell r="J588">
            <v>898.79999999999905</v>
          </cell>
          <cell r="K588">
            <v>0</v>
          </cell>
          <cell r="L588">
            <v>1369.95</v>
          </cell>
          <cell r="M588">
            <v>20056.8499999999</v>
          </cell>
          <cell r="N588">
            <v>4634.1099999999897</v>
          </cell>
          <cell r="O588">
            <v>0</v>
          </cell>
          <cell r="R588">
            <v>5.37</v>
          </cell>
        </row>
        <row r="589">
          <cell r="G589">
            <v>44182.669999999896</v>
          </cell>
          <cell r="I589">
            <v>1177.8800000000001</v>
          </cell>
          <cell r="J589">
            <v>5190.6000000000004</v>
          </cell>
          <cell r="K589">
            <v>0</v>
          </cell>
          <cell r="L589">
            <v>6368.4799999999896</v>
          </cell>
          <cell r="M589">
            <v>53062</v>
          </cell>
          <cell r="N589">
            <v>8523.2000000000007</v>
          </cell>
          <cell r="O589">
            <v>0</v>
          </cell>
          <cell r="R589">
            <v>13.43</v>
          </cell>
        </row>
        <row r="590">
          <cell r="G590">
            <v>8840.11</v>
          </cell>
          <cell r="I590">
            <v>235.58</v>
          </cell>
          <cell r="J590">
            <v>0</v>
          </cell>
          <cell r="K590">
            <v>0</v>
          </cell>
          <cell r="L590">
            <v>235.58</v>
          </cell>
          <cell r="M590">
            <v>9558.5599999999904</v>
          </cell>
          <cell r="N590">
            <v>2285.8000000000002</v>
          </cell>
          <cell r="O590">
            <v>0</v>
          </cell>
          <cell r="R590">
            <v>2.6899999999999902</v>
          </cell>
        </row>
        <row r="591">
          <cell r="G591">
            <v>17710.07</v>
          </cell>
          <cell r="I591">
            <v>431.88999999999902</v>
          </cell>
          <cell r="J591">
            <v>0</v>
          </cell>
          <cell r="K591">
            <v>0</v>
          </cell>
          <cell r="L591">
            <v>431.88999999999902</v>
          </cell>
          <cell r="M591">
            <v>19031.639999999901</v>
          </cell>
          <cell r="N591">
            <v>2791.04</v>
          </cell>
          <cell r="O591">
            <v>0</v>
          </cell>
          <cell r="R591">
            <v>5.3799999999999901</v>
          </cell>
        </row>
        <row r="592">
          <cell r="G592">
            <v>35784.120000000003</v>
          </cell>
          <cell r="I592">
            <v>942.28999999999905</v>
          </cell>
          <cell r="J592">
            <v>2635.92</v>
          </cell>
          <cell r="K592">
            <v>0</v>
          </cell>
          <cell r="L592">
            <v>3578.21</v>
          </cell>
          <cell r="M592">
            <v>41349.989999999903</v>
          </cell>
          <cell r="N592">
            <v>7402.4099999999899</v>
          </cell>
          <cell r="O592">
            <v>0</v>
          </cell>
          <cell r="R592">
            <v>10.88</v>
          </cell>
        </row>
        <row r="593">
          <cell r="G593">
            <v>38560.400000000001</v>
          </cell>
          <cell r="I593">
            <v>942.29999999999905</v>
          </cell>
          <cell r="J593">
            <v>0</v>
          </cell>
          <cell r="K593">
            <v>0</v>
          </cell>
          <cell r="L593">
            <v>942.29999999999905</v>
          </cell>
          <cell r="M593">
            <v>41453.72</v>
          </cell>
          <cell r="N593">
            <v>6400.6</v>
          </cell>
          <cell r="O593">
            <v>0</v>
          </cell>
          <cell r="R593">
            <v>11.71</v>
          </cell>
        </row>
        <row r="594">
          <cell r="G594">
            <v>10303.040000000001</v>
          </cell>
          <cell r="I594">
            <v>274.85000000000002</v>
          </cell>
          <cell r="J594">
            <v>0</v>
          </cell>
          <cell r="K594">
            <v>0</v>
          </cell>
          <cell r="L594">
            <v>274.85000000000002</v>
          </cell>
          <cell r="M594">
            <v>11135.6</v>
          </cell>
          <cell r="N594">
            <v>2544.2199999999898</v>
          </cell>
          <cell r="O594">
            <v>0</v>
          </cell>
          <cell r="R594">
            <v>3.14</v>
          </cell>
        </row>
        <row r="595">
          <cell r="G595">
            <v>970387.58999999904</v>
          </cell>
          <cell r="I595">
            <v>25824.99</v>
          </cell>
          <cell r="J595">
            <v>0</v>
          </cell>
          <cell r="K595">
            <v>0</v>
          </cell>
          <cell r="L595">
            <v>25824.99</v>
          </cell>
          <cell r="M595">
            <v>1049632.23</v>
          </cell>
          <cell r="N595">
            <v>260616.62</v>
          </cell>
          <cell r="O595">
            <v>0</v>
          </cell>
          <cell r="R595">
            <v>294.83999999999901</v>
          </cell>
        </row>
        <row r="596">
          <cell r="G596">
            <v>8840.11</v>
          </cell>
          <cell r="I596">
            <v>235.58</v>
          </cell>
          <cell r="J596">
            <v>965.75999999999897</v>
          </cell>
          <cell r="K596">
            <v>0</v>
          </cell>
          <cell r="L596">
            <v>1201.3399999999899</v>
          </cell>
          <cell r="M596">
            <v>10536.95</v>
          </cell>
          <cell r="N596">
            <v>1617.3699999999899</v>
          </cell>
          <cell r="O596">
            <v>0</v>
          </cell>
          <cell r="R596">
            <v>2.6899999999999902</v>
          </cell>
        </row>
        <row r="597">
          <cell r="G597">
            <v>17680.209999999901</v>
          </cell>
          <cell r="I597">
            <v>471.14999999999901</v>
          </cell>
          <cell r="J597">
            <v>1518.96</v>
          </cell>
          <cell r="K597">
            <v>0</v>
          </cell>
          <cell r="L597">
            <v>1990.1099999999899</v>
          </cell>
          <cell r="M597">
            <v>20680.04</v>
          </cell>
          <cell r="N597">
            <v>4085.5599999999899</v>
          </cell>
          <cell r="O597">
            <v>0</v>
          </cell>
          <cell r="R597">
            <v>5.37</v>
          </cell>
        </row>
        <row r="598">
          <cell r="G598">
            <v>57960.239999999903</v>
          </cell>
          <cell r="I598">
            <v>1413.45</v>
          </cell>
          <cell r="J598">
            <v>0</v>
          </cell>
          <cell r="K598">
            <v>0</v>
          </cell>
          <cell r="L598">
            <v>1413.45</v>
          </cell>
          <cell r="M598">
            <v>62314.989999999903</v>
          </cell>
          <cell r="N598">
            <v>9828.0499999999902</v>
          </cell>
          <cell r="O598">
            <v>0</v>
          </cell>
          <cell r="R598">
            <v>17.6099999999999</v>
          </cell>
        </row>
        <row r="599">
          <cell r="G599">
            <v>54513.989999999903</v>
          </cell>
          <cell r="I599">
            <v>1452.72</v>
          </cell>
          <cell r="J599">
            <v>4560.3900000000003</v>
          </cell>
          <cell r="K599">
            <v>0</v>
          </cell>
          <cell r="L599">
            <v>6013.1099999999897</v>
          </cell>
          <cell r="M599">
            <v>63575</v>
          </cell>
          <cell r="N599">
            <v>11182.85</v>
          </cell>
          <cell r="O599">
            <v>0</v>
          </cell>
          <cell r="R599">
            <v>16.57</v>
          </cell>
        </row>
        <row r="600">
          <cell r="G600">
            <v>114921.39</v>
          </cell>
          <cell r="I600">
            <v>3062.4899999999898</v>
          </cell>
          <cell r="J600">
            <v>0</v>
          </cell>
          <cell r="K600">
            <v>0</v>
          </cell>
          <cell r="L600">
            <v>3062.4899999999898</v>
          </cell>
          <cell r="M600">
            <v>124312.02</v>
          </cell>
          <cell r="N600">
            <v>30900.18</v>
          </cell>
          <cell r="O600">
            <v>0</v>
          </cell>
          <cell r="R600">
            <v>34.909999999999897</v>
          </cell>
        </row>
        <row r="601">
          <cell r="G601">
            <v>17680.209999999901</v>
          </cell>
          <cell r="I601">
            <v>471.14999999999901</v>
          </cell>
          <cell r="J601">
            <v>0</v>
          </cell>
          <cell r="K601">
            <v>0</v>
          </cell>
          <cell r="L601">
            <v>471.14999999999901</v>
          </cell>
          <cell r="M601">
            <v>19120.049999999901</v>
          </cell>
          <cell r="N601">
            <v>4639.9499999999898</v>
          </cell>
          <cell r="O601">
            <v>0</v>
          </cell>
          <cell r="R601">
            <v>5.37</v>
          </cell>
        </row>
        <row r="602">
          <cell r="G602">
            <v>19320.080000000002</v>
          </cell>
          <cell r="I602">
            <v>471.14999999999901</v>
          </cell>
          <cell r="J602">
            <v>0</v>
          </cell>
          <cell r="K602">
            <v>0</v>
          </cell>
          <cell r="L602">
            <v>471.14999999999901</v>
          </cell>
          <cell r="M602">
            <v>20764.84</v>
          </cell>
          <cell r="N602">
            <v>3113.96</v>
          </cell>
          <cell r="O602">
            <v>0</v>
          </cell>
          <cell r="R602">
            <v>5.87</v>
          </cell>
        </row>
        <row r="603">
          <cell r="G603">
            <v>5893.3999999999896</v>
          </cell>
          <cell r="I603">
            <v>157.039999999999</v>
          </cell>
          <cell r="J603">
            <v>0</v>
          </cell>
          <cell r="K603">
            <v>0</v>
          </cell>
          <cell r="L603">
            <v>157.039999999999</v>
          </cell>
          <cell r="M603">
            <v>6371.09</v>
          </cell>
          <cell r="N603">
            <v>1493.47</v>
          </cell>
          <cell r="O603">
            <v>0</v>
          </cell>
          <cell r="R603">
            <v>1.79</v>
          </cell>
        </row>
        <row r="604">
          <cell r="G604">
            <v>162805.29</v>
          </cell>
          <cell r="I604">
            <v>4338.5200000000004</v>
          </cell>
          <cell r="J604">
            <v>14262.639999999899</v>
          </cell>
          <cell r="K604">
            <v>0</v>
          </cell>
          <cell r="L604">
            <v>18601.16</v>
          </cell>
          <cell r="M604">
            <v>190603.709999999</v>
          </cell>
          <cell r="N604">
            <v>34980.269999999902</v>
          </cell>
          <cell r="O604">
            <v>0</v>
          </cell>
          <cell r="R604">
            <v>49.46</v>
          </cell>
        </row>
        <row r="605">
          <cell r="G605">
            <v>499586.97999999899</v>
          </cell>
          <cell r="I605">
            <v>12387.35</v>
          </cell>
          <cell r="J605">
            <v>0</v>
          </cell>
          <cell r="K605">
            <v>0</v>
          </cell>
          <cell r="L605">
            <v>12387.35</v>
          </cell>
          <cell r="M605">
            <v>537577.43000000005</v>
          </cell>
          <cell r="N605">
            <v>90402.559999999896</v>
          </cell>
          <cell r="O605">
            <v>0</v>
          </cell>
          <cell r="R605">
            <v>151.78</v>
          </cell>
        </row>
        <row r="606">
          <cell r="G606">
            <v>44255.239999999903</v>
          </cell>
          <cell r="I606">
            <v>1079.73</v>
          </cell>
          <cell r="J606">
            <v>0</v>
          </cell>
          <cell r="K606">
            <v>0</v>
          </cell>
          <cell r="L606">
            <v>1079.73</v>
          </cell>
          <cell r="M606">
            <v>47567.629999999903</v>
          </cell>
          <cell r="N606">
            <v>7193.88</v>
          </cell>
          <cell r="O606">
            <v>0</v>
          </cell>
          <cell r="R606">
            <v>13.4499999999999</v>
          </cell>
        </row>
        <row r="607">
          <cell r="G607">
            <v>8840.11</v>
          </cell>
          <cell r="I607">
            <v>235.58</v>
          </cell>
          <cell r="J607">
            <v>946.08</v>
          </cell>
          <cell r="K607">
            <v>0</v>
          </cell>
          <cell r="L607">
            <v>1181.6600000000001</v>
          </cell>
          <cell r="M607">
            <v>10521.54</v>
          </cell>
          <cell r="N607">
            <v>1737.0599999999899</v>
          </cell>
          <cell r="O607">
            <v>0</v>
          </cell>
          <cell r="R607">
            <v>2.6899999999999902</v>
          </cell>
        </row>
        <row r="608">
          <cell r="G608">
            <v>27993.6699999999</v>
          </cell>
          <cell r="I608">
            <v>745.99</v>
          </cell>
          <cell r="J608">
            <v>0</v>
          </cell>
          <cell r="K608">
            <v>0</v>
          </cell>
          <cell r="L608">
            <v>745.99</v>
          </cell>
          <cell r="M608">
            <v>30291.4399999999</v>
          </cell>
          <cell r="N608">
            <v>7769.96</v>
          </cell>
          <cell r="O608">
            <v>0</v>
          </cell>
          <cell r="R608">
            <v>8.5099999999999891</v>
          </cell>
        </row>
        <row r="609">
          <cell r="G609">
            <v>20125.080000000002</v>
          </cell>
          <cell r="I609">
            <v>490.77999999999901</v>
          </cell>
          <cell r="J609">
            <v>0</v>
          </cell>
          <cell r="K609">
            <v>0</v>
          </cell>
          <cell r="L609">
            <v>490.77999999999901</v>
          </cell>
          <cell r="M609">
            <v>21633.040000000001</v>
          </cell>
          <cell r="N609">
            <v>3316.0599999999899</v>
          </cell>
          <cell r="O609">
            <v>0</v>
          </cell>
          <cell r="R609">
            <v>6.12</v>
          </cell>
        </row>
        <row r="610">
          <cell r="G610">
            <v>40250.160000000003</v>
          </cell>
          <cell r="I610">
            <v>981.55999999999904</v>
          </cell>
          <cell r="J610">
            <v>0</v>
          </cell>
          <cell r="K610">
            <v>0</v>
          </cell>
          <cell r="L610">
            <v>981.55999999999904</v>
          </cell>
          <cell r="M610">
            <v>43267.15</v>
          </cell>
          <cell r="N610">
            <v>6656.1</v>
          </cell>
          <cell r="O610">
            <v>0</v>
          </cell>
          <cell r="R610">
            <v>12.22</v>
          </cell>
        </row>
        <row r="611">
          <cell r="G611">
            <v>72787.38</v>
          </cell>
          <cell r="I611">
            <v>1923.8699999999899</v>
          </cell>
          <cell r="J611">
            <v>6138.5</v>
          </cell>
          <cell r="K611">
            <v>0</v>
          </cell>
          <cell r="L611">
            <v>8062.3699999999899</v>
          </cell>
          <cell r="M611">
            <v>84939.419999999896</v>
          </cell>
          <cell r="N611">
            <v>15370.26</v>
          </cell>
          <cell r="O611">
            <v>0</v>
          </cell>
          <cell r="R611">
            <v>22.1099999999999</v>
          </cell>
        </row>
        <row r="612">
          <cell r="G612">
            <v>37921.879999999903</v>
          </cell>
          <cell r="I612">
            <v>942.29999999999905</v>
          </cell>
          <cell r="J612">
            <v>0</v>
          </cell>
          <cell r="K612">
            <v>0</v>
          </cell>
          <cell r="L612">
            <v>942.29999999999905</v>
          </cell>
          <cell r="M612">
            <v>39840.69</v>
          </cell>
          <cell r="N612">
            <v>-15889.41</v>
          </cell>
          <cell r="O612">
            <v>0</v>
          </cell>
          <cell r="R612">
            <v>11.5299999999999</v>
          </cell>
        </row>
        <row r="613">
          <cell r="G613">
            <v>38692.029999999897</v>
          </cell>
          <cell r="I613">
            <v>912.84</v>
          </cell>
          <cell r="J613">
            <v>0</v>
          </cell>
          <cell r="K613">
            <v>0</v>
          </cell>
          <cell r="L613">
            <v>912.84</v>
          </cell>
          <cell r="M613">
            <v>41493.11</v>
          </cell>
          <cell r="N613">
            <v>4819.6400000000003</v>
          </cell>
          <cell r="O613">
            <v>0</v>
          </cell>
          <cell r="R613">
            <v>11.76</v>
          </cell>
        </row>
        <row r="614">
          <cell r="G614">
            <v>68760.05</v>
          </cell>
          <cell r="I614">
            <v>1806.0899999999899</v>
          </cell>
          <cell r="J614">
            <v>0</v>
          </cell>
          <cell r="K614">
            <v>0</v>
          </cell>
          <cell r="L614">
            <v>1806.0899999999899</v>
          </cell>
          <cell r="M614">
            <v>74242.91</v>
          </cell>
          <cell r="N614">
            <v>15938.17</v>
          </cell>
          <cell r="O614">
            <v>0</v>
          </cell>
          <cell r="R614">
            <v>20.8799999999999</v>
          </cell>
        </row>
        <row r="615">
          <cell r="G615">
            <v>26520.32</v>
          </cell>
          <cell r="I615">
            <v>706.73</v>
          </cell>
          <cell r="J615">
            <v>428.39999999999901</v>
          </cell>
          <cell r="K615">
            <v>0</v>
          </cell>
          <cell r="L615">
            <v>1135.1300000000001</v>
          </cell>
          <cell r="M615">
            <v>29107.13</v>
          </cell>
          <cell r="N615">
            <v>6498.31</v>
          </cell>
          <cell r="O615">
            <v>0</v>
          </cell>
          <cell r="R615">
            <v>8.06</v>
          </cell>
        </row>
        <row r="616">
          <cell r="G616">
            <v>35360.419999999896</v>
          </cell>
          <cell r="I616">
            <v>942.29999999999905</v>
          </cell>
          <cell r="J616">
            <v>4047.36</v>
          </cell>
          <cell r="K616">
            <v>0</v>
          </cell>
          <cell r="L616">
            <v>4989.6599999999899</v>
          </cell>
          <cell r="M616">
            <v>42359.389999999898</v>
          </cell>
          <cell r="N616">
            <v>6923.17</v>
          </cell>
          <cell r="O616">
            <v>0</v>
          </cell>
          <cell r="R616">
            <v>10.74</v>
          </cell>
        </row>
        <row r="617">
          <cell r="G617">
            <v>10313.459999999901</v>
          </cell>
          <cell r="I617">
            <v>274.85000000000002</v>
          </cell>
          <cell r="J617">
            <v>0</v>
          </cell>
          <cell r="K617">
            <v>0</v>
          </cell>
          <cell r="L617">
            <v>274.85000000000002</v>
          </cell>
          <cell r="M617">
            <v>11157.91</v>
          </cell>
          <cell r="N617">
            <v>2813.67</v>
          </cell>
          <cell r="O617">
            <v>0</v>
          </cell>
          <cell r="R617">
            <v>3.14</v>
          </cell>
        </row>
        <row r="618">
          <cell r="G618">
            <v>31677.049999999901</v>
          </cell>
          <cell r="I618">
            <v>844.13999999999896</v>
          </cell>
          <cell r="J618">
            <v>0</v>
          </cell>
          <cell r="K618">
            <v>0</v>
          </cell>
          <cell r="L618">
            <v>844.13999999999896</v>
          </cell>
          <cell r="M618">
            <v>34283.129999999903</v>
          </cell>
          <cell r="N618">
            <v>8931.8700000000008</v>
          </cell>
          <cell r="O618">
            <v>0</v>
          </cell>
          <cell r="R618">
            <v>9.6199999999999903</v>
          </cell>
        </row>
        <row r="619">
          <cell r="G619">
            <v>221563.019999999</v>
          </cell>
          <cell r="I619">
            <v>5850.14</v>
          </cell>
          <cell r="J619">
            <v>18474.22</v>
          </cell>
          <cell r="K619">
            <v>0</v>
          </cell>
          <cell r="L619">
            <v>24324.36</v>
          </cell>
          <cell r="M619">
            <v>258212.989999999</v>
          </cell>
          <cell r="N619">
            <v>44102.389999999898</v>
          </cell>
          <cell r="O619">
            <v>0</v>
          </cell>
          <cell r="R619">
            <v>67.31</v>
          </cell>
        </row>
        <row r="620">
          <cell r="G620">
            <v>113323.21</v>
          </cell>
          <cell r="I620">
            <v>2964.32</v>
          </cell>
          <cell r="J620">
            <v>0</v>
          </cell>
          <cell r="K620">
            <v>0</v>
          </cell>
          <cell r="L620">
            <v>2964.32</v>
          </cell>
          <cell r="M620">
            <v>122417.56</v>
          </cell>
          <cell r="N620">
            <v>27937.24</v>
          </cell>
          <cell r="O620">
            <v>0</v>
          </cell>
          <cell r="R620">
            <v>34.450000000000003</v>
          </cell>
        </row>
        <row r="621">
          <cell r="G621">
            <v>24243.15</v>
          </cell>
          <cell r="I621">
            <v>569.30999999999904</v>
          </cell>
          <cell r="J621">
            <v>0</v>
          </cell>
          <cell r="K621">
            <v>0</v>
          </cell>
          <cell r="L621">
            <v>569.30999999999904</v>
          </cell>
          <cell r="M621">
            <v>25992.41</v>
          </cell>
          <cell r="N621">
            <v>2948.59</v>
          </cell>
          <cell r="O621">
            <v>0</v>
          </cell>
          <cell r="R621">
            <v>7.37</v>
          </cell>
        </row>
        <row r="622">
          <cell r="G622">
            <v>35898.19</v>
          </cell>
          <cell r="I622">
            <v>942.29999999999905</v>
          </cell>
          <cell r="J622">
            <v>1360.8</v>
          </cell>
          <cell r="K622">
            <v>0</v>
          </cell>
          <cell r="L622">
            <v>2303.0999999999899</v>
          </cell>
          <cell r="M622">
            <v>40162.79</v>
          </cell>
          <cell r="N622">
            <v>7948.09</v>
          </cell>
          <cell r="O622">
            <v>0</v>
          </cell>
          <cell r="R622">
            <v>10.9</v>
          </cell>
        </row>
        <row r="623">
          <cell r="G623">
            <v>91089.899999999907</v>
          </cell>
          <cell r="I623">
            <v>2355.77</v>
          </cell>
          <cell r="J623">
            <v>5754</v>
          </cell>
          <cell r="K623">
            <v>0</v>
          </cell>
          <cell r="L623">
            <v>8109.77</v>
          </cell>
          <cell r="M623">
            <v>104190.03</v>
          </cell>
          <cell r="N623">
            <v>18209.97</v>
          </cell>
          <cell r="O623">
            <v>0</v>
          </cell>
          <cell r="R623">
            <v>27.68</v>
          </cell>
        </row>
        <row r="624">
          <cell r="G624">
            <v>18416.889999999901</v>
          </cell>
          <cell r="I624">
            <v>490.77999999999901</v>
          </cell>
          <cell r="J624">
            <v>2280.36</v>
          </cell>
          <cell r="K624">
            <v>0</v>
          </cell>
          <cell r="L624">
            <v>2771.1399999999899</v>
          </cell>
          <cell r="M624">
            <v>22222.57</v>
          </cell>
          <cell r="N624">
            <v>3152.4299999999898</v>
          </cell>
          <cell r="O624">
            <v>0</v>
          </cell>
          <cell r="R624">
            <v>5.5899999999999901</v>
          </cell>
        </row>
        <row r="625">
          <cell r="G625">
            <v>17680.209999999901</v>
          </cell>
          <cell r="I625">
            <v>471.14999999999901</v>
          </cell>
          <cell r="J625">
            <v>1094.8800000000001</v>
          </cell>
          <cell r="K625">
            <v>0</v>
          </cell>
          <cell r="L625">
            <v>1566.03</v>
          </cell>
          <cell r="M625">
            <v>20258.97</v>
          </cell>
          <cell r="N625">
            <v>4581.0299999999897</v>
          </cell>
          <cell r="O625">
            <v>0</v>
          </cell>
          <cell r="R625">
            <v>5.37</v>
          </cell>
        </row>
        <row r="626">
          <cell r="G626">
            <v>27537.18</v>
          </cell>
          <cell r="I626">
            <v>706.73</v>
          </cell>
          <cell r="J626">
            <v>2917.1999999999898</v>
          </cell>
          <cell r="K626">
            <v>0</v>
          </cell>
          <cell r="L626">
            <v>3623.9299999999898</v>
          </cell>
          <cell r="M626">
            <v>32669.869999999901</v>
          </cell>
          <cell r="N626">
            <v>4335.7299999999896</v>
          </cell>
          <cell r="O626">
            <v>0</v>
          </cell>
          <cell r="R626">
            <v>8.3699999999999903</v>
          </cell>
        </row>
        <row r="627">
          <cell r="G627">
            <v>189510.5</v>
          </cell>
          <cell r="I627">
            <v>5025.6199999999899</v>
          </cell>
          <cell r="J627">
            <v>12532.84</v>
          </cell>
          <cell r="K627">
            <v>0</v>
          </cell>
          <cell r="L627">
            <v>17558.459999999901</v>
          </cell>
          <cell r="M627">
            <v>217688.459999999</v>
          </cell>
          <cell r="N627">
            <v>42780.779999999897</v>
          </cell>
          <cell r="O627">
            <v>0</v>
          </cell>
          <cell r="R627">
            <v>57.59</v>
          </cell>
        </row>
        <row r="628">
          <cell r="G628">
            <v>362850.72999999899</v>
          </cell>
          <cell r="I628">
            <v>8915.5400000000009</v>
          </cell>
          <cell r="J628">
            <v>0</v>
          </cell>
          <cell r="K628">
            <v>0</v>
          </cell>
          <cell r="L628">
            <v>8915.5400000000009</v>
          </cell>
          <cell r="M628">
            <v>390260.609999999</v>
          </cell>
          <cell r="N628">
            <v>63357.199999999903</v>
          </cell>
          <cell r="O628">
            <v>0</v>
          </cell>
          <cell r="R628">
            <v>110.239999999999</v>
          </cell>
        </row>
        <row r="629">
          <cell r="G629">
            <v>76620.850000000006</v>
          </cell>
          <cell r="I629">
            <v>1982.75</v>
          </cell>
          <cell r="J629">
            <v>4509.3999999999896</v>
          </cell>
          <cell r="K629">
            <v>0</v>
          </cell>
          <cell r="L629">
            <v>6492.1499999999896</v>
          </cell>
          <cell r="M629">
            <v>87287.05</v>
          </cell>
          <cell r="N629">
            <v>15092.15</v>
          </cell>
          <cell r="O629">
            <v>0</v>
          </cell>
          <cell r="R629">
            <v>23.28</v>
          </cell>
        </row>
        <row r="630">
          <cell r="G630">
            <v>132092.34</v>
          </cell>
          <cell r="I630">
            <v>3219.52</v>
          </cell>
          <cell r="J630">
            <v>0</v>
          </cell>
          <cell r="K630">
            <v>0</v>
          </cell>
          <cell r="L630">
            <v>3219.52</v>
          </cell>
          <cell r="M630">
            <v>141973.679999999</v>
          </cell>
          <cell r="N630">
            <v>21424.11</v>
          </cell>
          <cell r="O630">
            <v>0</v>
          </cell>
          <cell r="R630">
            <v>40.130000000000003</v>
          </cell>
        </row>
        <row r="631">
          <cell r="G631">
            <v>40152.129999999903</v>
          </cell>
          <cell r="I631">
            <v>1001.19</v>
          </cell>
          <cell r="J631">
            <v>1345.53</v>
          </cell>
          <cell r="K631">
            <v>0</v>
          </cell>
          <cell r="L631">
            <v>2346.7199999999898</v>
          </cell>
          <cell r="M631">
            <v>44574.65</v>
          </cell>
          <cell r="N631">
            <v>6339.05</v>
          </cell>
          <cell r="O631">
            <v>0</v>
          </cell>
          <cell r="R631">
            <v>12.1999999999999</v>
          </cell>
        </row>
        <row r="632">
          <cell r="G632">
            <v>17680.22</v>
          </cell>
          <cell r="I632">
            <v>471.14999999999901</v>
          </cell>
          <cell r="J632">
            <v>1731.8399999999899</v>
          </cell>
          <cell r="K632">
            <v>0</v>
          </cell>
          <cell r="L632">
            <v>2202.9899999999898</v>
          </cell>
          <cell r="M632">
            <v>20889.900000000001</v>
          </cell>
          <cell r="N632">
            <v>3801.0599999999899</v>
          </cell>
          <cell r="O632">
            <v>0</v>
          </cell>
          <cell r="R632">
            <v>5.37</v>
          </cell>
        </row>
        <row r="633">
          <cell r="G633">
            <v>8840.11</v>
          </cell>
          <cell r="I633">
            <v>235.58</v>
          </cell>
          <cell r="J633">
            <v>0</v>
          </cell>
          <cell r="K633">
            <v>0</v>
          </cell>
          <cell r="L633">
            <v>235.58</v>
          </cell>
          <cell r="M633">
            <v>9555.2199999999903</v>
          </cell>
          <cell r="N633">
            <v>2205.98</v>
          </cell>
          <cell r="O633">
            <v>0</v>
          </cell>
          <cell r="R633">
            <v>2.6899999999999902</v>
          </cell>
        </row>
        <row r="634">
          <cell r="G634">
            <v>36097.099999999897</v>
          </cell>
          <cell r="I634">
            <v>961.94</v>
          </cell>
          <cell r="J634">
            <v>1114.5799999999899</v>
          </cell>
          <cell r="K634">
            <v>0</v>
          </cell>
          <cell r="L634">
            <v>2076.52</v>
          </cell>
          <cell r="M634">
            <v>40176.879999999903</v>
          </cell>
          <cell r="N634">
            <v>8958.1200000000008</v>
          </cell>
          <cell r="O634">
            <v>0</v>
          </cell>
          <cell r="R634">
            <v>10.97</v>
          </cell>
        </row>
        <row r="635">
          <cell r="G635">
            <v>7366.76</v>
          </cell>
          <cell r="I635">
            <v>196.3</v>
          </cell>
          <cell r="J635">
            <v>0</v>
          </cell>
          <cell r="K635">
            <v>0</v>
          </cell>
          <cell r="L635">
            <v>196.3</v>
          </cell>
          <cell r="M635">
            <v>7961.42</v>
          </cell>
          <cell r="N635">
            <v>1809.88</v>
          </cell>
          <cell r="O635">
            <v>0</v>
          </cell>
          <cell r="R635">
            <v>2.25</v>
          </cell>
        </row>
        <row r="636">
          <cell r="G636">
            <v>37835.15</v>
          </cell>
          <cell r="I636">
            <v>922.66999999999905</v>
          </cell>
          <cell r="J636">
            <v>0</v>
          </cell>
          <cell r="K636">
            <v>0</v>
          </cell>
          <cell r="L636">
            <v>922.66999999999905</v>
          </cell>
          <cell r="M636">
            <v>40661.25</v>
          </cell>
          <cell r="N636">
            <v>6025.8999999999896</v>
          </cell>
          <cell r="O636">
            <v>0</v>
          </cell>
          <cell r="R636">
            <v>11.5</v>
          </cell>
        </row>
        <row r="637">
          <cell r="G637">
            <v>35360.419999999896</v>
          </cell>
          <cell r="I637">
            <v>942.29999999999905</v>
          </cell>
          <cell r="J637">
            <v>4152.4799999999896</v>
          </cell>
          <cell r="K637">
            <v>0</v>
          </cell>
          <cell r="L637">
            <v>5094.7799999999897</v>
          </cell>
          <cell r="M637">
            <v>42480.68</v>
          </cell>
          <cell r="N637">
            <v>7199.3199999999897</v>
          </cell>
          <cell r="O637">
            <v>0</v>
          </cell>
          <cell r="R637">
            <v>10.74</v>
          </cell>
        </row>
        <row r="638">
          <cell r="G638">
            <v>17680.209999999901</v>
          </cell>
          <cell r="I638">
            <v>471.14999999999901</v>
          </cell>
          <cell r="J638">
            <v>2076.2399999999898</v>
          </cell>
          <cell r="K638">
            <v>0</v>
          </cell>
          <cell r="L638">
            <v>2547.3899999999899</v>
          </cell>
          <cell r="M638">
            <v>21237.32</v>
          </cell>
          <cell r="N638">
            <v>3528.28</v>
          </cell>
          <cell r="O638">
            <v>0</v>
          </cell>
          <cell r="R638">
            <v>5.37</v>
          </cell>
        </row>
        <row r="639">
          <cell r="G639">
            <v>195955.69</v>
          </cell>
          <cell r="I639">
            <v>5221.92</v>
          </cell>
          <cell r="J639">
            <v>19748.16</v>
          </cell>
          <cell r="K639">
            <v>0</v>
          </cell>
          <cell r="L639">
            <v>24970.080000000002</v>
          </cell>
          <cell r="M639">
            <v>231946.899999999</v>
          </cell>
          <cell r="N639">
            <v>38372.9</v>
          </cell>
          <cell r="O639">
            <v>0</v>
          </cell>
          <cell r="R639">
            <v>59.5399999999999</v>
          </cell>
        </row>
        <row r="640">
          <cell r="G640">
            <v>9660.0400000000009</v>
          </cell>
          <cell r="I640">
            <v>235.58</v>
          </cell>
          <cell r="J640">
            <v>0</v>
          </cell>
          <cell r="K640">
            <v>0</v>
          </cell>
          <cell r="L640">
            <v>235.58</v>
          </cell>
          <cell r="M640">
            <v>10383.879999999899</v>
          </cell>
          <cell r="N640">
            <v>1591.76</v>
          </cell>
          <cell r="O640">
            <v>0</v>
          </cell>
          <cell r="R640">
            <v>2.9399999999999902</v>
          </cell>
        </row>
        <row r="641">
          <cell r="G641">
            <v>35360.419999999896</v>
          </cell>
          <cell r="I641">
            <v>942.29999999999905</v>
          </cell>
          <cell r="J641">
            <v>3227.28</v>
          </cell>
          <cell r="K641">
            <v>0</v>
          </cell>
          <cell r="L641">
            <v>4169.5799999999899</v>
          </cell>
          <cell r="M641">
            <v>41552.459999999897</v>
          </cell>
          <cell r="N641">
            <v>8053.14</v>
          </cell>
          <cell r="O641">
            <v>0</v>
          </cell>
          <cell r="R641">
            <v>10.74</v>
          </cell>
        </row>
        <row r="642">
          <cell r="G642">
            <v>48945.68</v>
          </cell>
          <cell r="I642">
            <v>1197.5</v>
          </cell>
          <cell r="J642">
            <v>0</v>
          </cell>
          <cell r="K642">
            <v>0</v>
          </cell>
          <cell r="L642">
            <v>1197.5</v>
          </cell>
          <cell r="M642">
            <v>52631.239999999903</v>
          </cell>
          <cell r="N642">
            <v>8395.4799999999905</v>
          </cell>
          <cell r="O642">
            <v>0</v>
          </cell>
          <cell r="R642">
            <v>14.8699999999999</v>
          </cell>
        </row>
        <row r="643">
          <cell r="G643">
            <v>53776.889999999898</v>
          </cell>
          <cell r="I643">
            <v>1433.0799999999899</v>
          </cell>
          <cell r="J643">
            <v>6459.2399999999898</v>
          </cell>
          <cell r="K643">
            <v>0</v>
          </cell>
          <cell r="L643">
            <v>7892.3199999999897</v>
          </cell>
          <cell r="M643">
            <v>64708.089999999902</v>
          </cell>
          <cell r="N643">
            <v>9828.27</v>
          </cell>
          <cell r="O643">
            <v>0</v>
          </cell>
          <cell r="R643">
            <v>16.34</v>
          </cell>
        </row>
        <row r="644">
          <cell r="G644">
            <v>17680.209999999901</v>
          </cell>
          <cell r="I644">
            <v>471.14999999999901</v>
          </cell>
          <cell r="J644">
            <v>0</v>
          </cell>
          <cell r="K644">
            <v>0</v>
          </cell>
          <cell r="L644">
            <v>471.14999999999901</v>
          </cell>
          <cell r="M644">
            <v>19134.79</v>
          </cell>
          <cell r="N644">
            <v>4985.21</v>
          </cell>
          <cell r="O644">
            <v>0</v>
          </cell>
          <cell r="R644">
            <v>5.37</v>
          </cell>
        </row>
        <row r="645">
          <cell r="G645">
            <v>0</v>
          </cell>
          <cell r="I645">
            <v>0</v>
          </cell>
          <cell r="J645">
            <v>201664.739999999</v>
          </cell>
          <cell r="K645">
            <v>0</v>
          </cell>
          <cell r="L645">
            <v>201664.739999999</v>
          </cell>
          <cell r="M645">
            <v>201664.739999999</v>
          </cell>
          <cell r="N645">
            <v>-201664.739999999</v>
          </cell>
          <cell r="O645">
            <v>0</v>
          </cell>
          <cell r="R645">
            <v>0</v>
          </cell>
        </row>
        <row r="646">
          <cell r="G646">
            <v>35360.419999999896</v>
          </cell>
          <cell r="I646">
            <v>942.29999999999905</v>
          </cell>
          <cell r="J646">
            <v>1109.04</v>
          </cell>
          <cell r="K646">
            <v>0</v>
          </cell>
          <cell r="L646">
            <v>2051.34</v>
          </cell>
          <cell r="M646">
            <v>39362.699999999903</v>
          </cell>
          <cell r="N646">
            <v>8489.94</v>
          </cell>
          <cell r="O646">
            <v>0</v>
          </cell>
          <cell r="R646">
            <v>10.74</v>
          </cell>
        </row>
        <row r="647">
          <cell r="G647">
            <v>246911.209999999</v>
          </cell>
          <cell r="I647">
            <v>5850.14</v>
          </cell>
          <cell r="J647">
            <v>0</v>
          </cell>
          <cell r="K647">
            <v>0</v>
          </cell>
          <cell r="L647">
            <v>5850.14</v>
          </cell>
          <cell r="M647">
            <v>264902.13</v>
          </cell>
          <cell r="N647">
            <v>32879.309999999903</v>
          </cell>
          <cell r="O647">
            <v>0</v>
          </cell>
          <cell r="R647">
            <v>75.03</v>
          </cell>
        </row>
        <row r="648">
          <cell r="G648">
            <v>17680.209999999901</v>
          </cell>
          <cell r="I648">
            <v>471.14999999999901</v>
          </cell>
          <cell r="J648">
            <v>1090.5599999999899</v>
          </cell>
          <cell r="K648">
            <v>0</v>
          </cell>
          <cell r="L648">
            <v>1561.71</v>
          </cell>
          <cell r="M648">
            <v>20229.98</v>
          </cell>
          <cell r="N648">
            <v>4005.2199999999898</v>
          </cell>
          <cell r="O648">
            <v>0</v>
          </cell>
          <cell r="R648">
            <v>5.37</v>
          </cell>
        </row>
        <row r="649">
          <cell r="G649">
            <v>41990.51</v>
          </cell>
          <cell r="I649">
            <v>1118.99</v>
          </cell>
          <cell r="J649">
            <v>3624.77</v>
          </cell>
          <cell r="K649">
            <v>0</v>
          </cell>
          <cell r="L649">
            <v>4743.76</v>
          </cell>
          <cell r="M649">
            <v>49085.98</v>
          </cell>
          <cell r="N649">
            <v>8595.17</v>
          </cell>
          <cell r="O649">
            <v>0</v>
          </cell>
          <cell r="R649">
            <v>12.76</v>
          </cell>
        </row>
        <row r="650">
          <cell r="G650">
            <v>20125.080000000002</v>
          </cell>
          <cell r="I650">
            <v>490.77999999999901</v>
          </cell>
          <cell r="J650">
            <v>0</v>
          </cell>
          <cell r="K650">
            <v>0</v>
          </cell>
          <cell r="L650">
            <v>490.77999999999901</v>
          </cell>
          <cell r="M650">
            <v>21633.040000000001</v>
          </cell>
          <cell r="N650">
            <v>3315.96</v>
          </cell>
          <cell r="O650">
            <v>0</v>
          </cell>
          <cell r="R650">
            <v>6.12</v>
          </cell>
        </row>
        <row r="651">
          <cell r="G651">
            <v>40250.160000000003</v>
          </cell>
          <cell r="I651">
            <v>981.55999999999904</v>
          </cell>
          <cell r="J651">
            <v>0</v>
          </cell>
          <cell r="K651">
            <v>0</v>
          </cell>
          <cell r="L651">
            <v>981.55999999999904</v>
          </cell>
          <cell r="M651">
            <v>43272.44</v>
          </cell>
          <cell r="N651">
            <v>6781.51</v>
          </cell>
          <cell r="O651">
            <v>0</v>
          </cell>
          <cell r="R651">
            <v>12.22</v>
          </cell>
        </row>
        <row r="652">
          <cell r="G652">
            <v>54513.989999999903</v>
          </cell>
          <cell r="I652">
            <v>1452.72</v>
          </cell>
          <cell r="J652">
            <v>3960.0599999999899</v>
          </cell>
          <cell r="K652">
            <v>0</v>
          </cell>
          <cell r="L652">
            <v>5412.7799999999897</v>
          </cell>
          <cell r="M652">
            <v>62930.9</v>
          </cell>
          <cell r="N652">
            <v>10753.28</v>
          </cell>
          <cell r="O652">
            <v>0</v>
          </cell>
          <cell r="R652">
            <v>16.57</v>
          </cell>
        </row>
        <row r="653">
          <cell r="G653">
            <v>58420.209999999897</v>
          </cell>
          <cell r="I653">
            <v>1413.46</v>
          </cell>
          <cell r="J653">
            <v>0</v>
          </cell>
          <cell r="K653">
            <v>0</v>
          </cell>
          <cell r="L653">
            <v>1413.46</v>
          </cell>
          <cell r="M653">
            <v>62772.160000000003</v>
          </cell>
          <cell r="N653">
            <v>9302.20999999999</v>
          </cell>
          <cell r="O653">
            <v>0</v>
          </cell>
          <cell r="R653">
            <v>17.75</v>
          </cell>
        </row>
        <row r="654">
          <cell r="G654">
            <v>102265.679999999</v>
          </cell>
          <cell r="I654">
            <v>2591.34</v>
          </cell>
          <cell r="J654">
            <v>3607.52</v>
          </cell>
          <cell r="K654">
            <v>0</v>
          </cell>
          <cell r="L654">
            <v>6198.8599999999897</v>
          </cell>
          <cell r="M654">
            <v>114074.39</v>
          </cell>
          <cell r="N654">
            <v>23519.29</v>
          </cell>
          <cell r="O654">
            <v>0</v>
          </cell>
          <cell r="R654">
            <v>31.07</v>
          </cell>
        </row>
        <row r="655">
          <cell r="G655">
            <v>44200.529999999897</v>
          </cell>
          <cell r="I655">
            <v>1177.8800000000001</v>
          </cell>
          <cell r="J655">
            <v>3405.84</v>
          </cell>
          <cell r="K655">
            <v>0</v>
          </cell>
          <cell r="L655">
            <v>4583.72</v>
          </cell>
          <cell r="M655">
            <v>51241.839999999902</v>
          </cell>
          <cell r="N655">
            <v>9036.2000000000007</v>
          </cell>
          <cell r="O655">
            <v>0</v>
          </cell>
          <cell r="R655">
            <v>13.43</v>
          </cell>
        </row>
        <row r="656">
          <cell r="G656">
            <v>17680.209999999901</v>
          </cell>
          <cell r="I656">
            <v>471.14999999999901</v>
          </cell>
          <cell r="J656">
            <v>1518.96</v>
          </cell>
          <cell r="K656">
            <v>0</v>
          </cell>
          <cell r="L656">
            <v>1990.1099999999899</v>
          </cell>
          <cell r="M656">
            <v>20680.04</v>
          </cell>
          <cell r="N656">
            <v>4085.5599999999899</v>
          </cell>
          <cell r="O656">
            <v>0</v>
          </cell>
          <cell r="R656">
            <v>5.37</v>
          </cell>
        </row>
        <row r="657">
          <cell r="G657">
            <v>35360.419999999896</v>
          </cell>
          <cell r="I657">
            <v>942.29999999999905</v>
          </cell>
          <cell r="J657">
            <v>3137.76</v>
          </cell>
          <cell r="K657">
            <v>0</v>
          </cell>
          <cell r="L657">
            <v>4080.0599999999899</v>
          </cell>
          <cell r="M657">
            <v>41453.83</v>
          </cell>
          <cell r="N657">
            <v>7928.09</v>
          </cell>
          <cell r="O657">
            <v>0</v>
          </cell>
          <cell r="R657">
            <v>10.74</v>
          </cell>
        </row>
        <row r="658">
          <cell r="G658">
            <v>41253.82</v>
          </cell>
          <cell r="I658">
            <v>1099.3499999999899</v>
          </cell>
          <cell r="J658">
            <v>2556.96</v>
          </cell>
          <cell r="K658">
            <v>0</v>
          </cell>
          <cell r="L658">
            <v>3656.3099999999899</v>
          </cell>
          <cell r="M658">
            <v>47220.459999999897</v>
          </cell>
          <cell r="N658">
            <v>9447.1399999999903</v>
          </cell>
          <cell r="O658">
            <v>0</v>
          </cell>
          <cell r="R658">
            <v>12.5399999999999</v>
          </cell>
        </row>
        <row r="659">
          <cell r="G659">
            <v>40167.08</v>
          </cell>
          <cell r="I659">
            <v>981.55999999999904</v>
          </cell>
          <cell r="J659">
            <v>0</v>
          </cell>
          <cell r="K659">
            <v>0</v>
          </cell>
          <cell r="L659">
            <v>981.55999999999904</v>
          </cell>
          <cell r="M659">
            <v>43173.760000000002</v>
          </cell>
          <cell r="N659">
            <v>6498.2399999999898</v>
          </cell>
          <cell r="O659">
            <v>0</v>
          </cell>
          <cell r="R659">
            <v>12.1999999999999</v>
          </cell>
        </row>
        <row r="660">
          <cell r="G660">
            <v>41055.169999999896</v>
          </cell>
          <cell r="I660">
            <v>1001.19</v>
          </cell>
          <cell r="J660">
            <v>0</v>
          </cell>
          <cell r="K660">
            <v>0</v>
          </cell>
          <cell r="L660">
            <v>1001.19</v>
          </cell>
          <cell r="M660">
            <v>44128.209999999897</v>
          </cell>
          <cell r="N660">
            <v>6689.4899999999898</v>
          </cell>
          <cell r="O660">
            <v>0</v>
          </cell>
          <cell r="R660">
            <v>12.47</v>
          </cell>
        </row>
        <row r="661">
          <cell r="G661">
            <v>39780.480000000003</v>
          </cell>
          <cell r="I661">
            <v>1060.0799999999899</v>
          </cell>
          <cell r="J661">
            <v>975.6</v>
          </cell>
          <cell r="K661">
            <v>0</v>
          </cell>
          <cell r="L661">
            <v>2035.68</v>
          </cell>
          <cell r="M661">
            <v>43990.809999999903</v>
          </cell>
          <cell r="N661">
            <v>9347.27</v>
          </cell>
          <cell r="O661">
            <v>0</v>
          </cell>
          <cell r="R661">
            <v>12.09</v>
          </cell>
        </row>
        <row r="662">
          <cell r="G662">
            <v>44200.54</v>
          </cell>
          <cell r="I662">
            <v>1177.8800000000001</v>
          </cell>
          <cell r="J662">
            <v>0</v>
          </cell>
          <cell r="K662">
            <v>0</v>
          </cell>
          <cell r="L662">
            <v>1177.8800000000001</v>
          </cell>
          <cell r="M662">
            <v>47822.349999999897</v>
          </cell>
          <cell r="N662">
            <v>12120.799999999899</v>
          </cell>
          <cell r="O662">
            <v>0</v>
          </cell>
          <cell r="R662">
            <v>13.43</v>
          </cell>
        </row>
        <row r="663">
          <cell r="G663">
            <v>4420.05</v>
          </cell>
          <cell r="I663">
            <v>117.79</v>
          </cell>
          <cell r="J663">
            <v>0</v>
          </cell>
          <cell r="K663">
            <v>0</v>
          </cell>
          <cell r="L663">
            <v>117.79</v>
          </cell>
          <cell r="M663">
            <v>4781.96</v>
          </cell>
          <cell r="N663">
            <v>1205.8599999999899</v>
          </cell>
          <cell r="O663">
            <v>0</v>
          </cell>
          <cell r="R663">
            <v>1.34</v>
          </cell>
        </row>
        <row r="664">
          <cell r="G664">
            <v>8840.11</v>
          </cell>
          <cell r="I664">
            <v>235.58</v>
          </cell>
          <cell r="J664">
            <v>0</v>
          </cell>
          <cell r="K664">
            <v>0</v>
          </cell>
          <cell r="L664">
            <v>235.58</v>
          </cell>
          <cell r="M664">
            <v>9560.0499999999902</v>
          </cell>
          <cell r="N664">
            <v>2319.9499999999898</v>
          </cell>
          <cell r="O664">
            <v>0</v>
          </cell>
          <cell r="R664">
            <v>2.6899999999999902</v>
          </cell>
        </row>
        <row r="665">
          <cell r="G665">
            <v>53040.629999999903</v>
          </cell>
          <cell r="I665">
            <v>1413.45</v>
          </cell>
          <cell r="J665">
            <v>4257.3599999999897</v>
          </cell>
          <cell r="K665">
            <v>0</v>
          </cell>
          <cell r="L665">
            <v>5670.81</v>
          </cell>
          <cell r="M665">
            <v>61747.65</v>
          </cell>
          <cell r="N665">
            <v>12722.67</v>
          </cell>
          <cell r="O665">
            <v>0</v>
          </cell>
          <cell r="R665">
            <v>16.12</v>
          </cell>
        </row>
        <row r="666">
          <cell r="G666">
            <v>36435.959999999897</v>
          </cell>
          <cell r="I666">
            <v>942.29999999999905</v>
          </cell>
          <cell r="J666">
            <v>2677.44</v>
          </cell>
          <cell r="K666">
            <v>0</v>
          </cell>
          <cell r="L666">
            <v>3619.7399999999898</v>
          </cell>
          <cell r="M666">
            <v>42069.05</v>
          </cell>
          <cell r="N666">
            <v>7312.8699999999899</v>
          </cell>
          <cell r="O666">
            <v>0</v>
          </cell>
          <cell r="R666">
            <v>11.08</v>
          </cell>
        </row>
        <row r="667">
          <cell r="G667">
            <v>381287.51</v>
          </cell>
          <cell r="I667">
            <v>10679.44</v>
          </cell>
          <cell r="J667">
            <v>0</v>
          </cell>
          <cell r="K667">
            <v>0</v>
          </cell>
          <cell r="L667">
            <v>10679.44</v>
          </cell>
          <cell r="M667">
            <v>407548.739999999</v>
          </cell>
          <cell r="N667">
            <v>-25366.98</v>
          </cell>
          <cell r="O667">
            <v>0</v>
          </cell>
          <cell r="R667">
            <v>115.849999999999</v>
          </cell>
        </row>
        <row r="668">
          <cell r="G668">
            <v>55250.669999999896</v>
          </cell>
          <cell r="I668">
            <v>1472.3499999999899</v>
          </cell>
          <cell r="J668">
            <v>5828.05</v>
          </cell>
          <cell r="K668">
            <v>0</v>
          </cell>
          <cell r="L668">
            <v>7300.3999999999896</v>
          </cell>
          <cell r="M668">
            <v>65631.979999999894</v>
          </cell>
          <cell r="N668">
            <v>9934.52</v>
          </cell>
          <cell r="O668">
            <v>0</v>
          </cell>
          <cell r="R668">
            <v>16.78</v>
          </cell>
        </row>
        <row r="669">
          <cell r="G669">
            <v>17680.209999999901</v>
          </cell>
          <cell r="I669">
            <v>471.14999999999901</v>
          </cell>
          <cell r="J669">
            <v>0</v>
          </cell>
          <cell r="K669">
            <v>0</v>
          </cell>
          <cell r="L669">
            <v>471.14999999999901</v>
          </cell>
          <cell r="M669">
            <v>19113.2599999999</v>
          </cell>
          <cell r="N669">
            <v>4480.42</v>
          </cell>
          <cell r="O669">
            <v>0</v>
          </cell>
          <cell r="R669">
            <v>5.37</v>
          </cell>
        </row>
        <row r="670">
          <cell r="G670">
            <v>15470.19</v>
          </cell>
          <cell r="I670">
            <v>412.25</v>
          </cell>
          <cell r="J670">
            <v>0</v>
          </cell>
          <cell r="K670">
            <v>0</v>
          </cell>
          <cell r="L670">
            <v>412.25</v>
          </cell>
          <cell r="M670">
            <v>16727.52</v>
          </cell>
          <cell r="N670">
            <v>4000.11</v>
          </cell>
          <cell r="O670">
            <v>0</v>
          </cell>
          <cell r="R670">
            <v>4.7</v>
          </cell>
        </row>
        <row r="671">
          <cell r="G671">
            <v>45217.389999999898</v>
          </cell>
          <cell r="I671">
            <v>1177.8800000000001</v>
          </cell>
          <cell r="J671">
            <v>2526.84</v>
          </cell>
          <cell r="K671">
            <v>0</v>
          </cell>
          <cell r="L671">
            <v>3704.7199999999898</v>
          </cell>
          <cell r="M671">
            <v>51390.129999999903</v>
          </cell>
          <cell r="N671">
            <v>9143.9899999999907</v>
          </cell>
          <cell r="O671">
            <v>0</v>
          </cell>
          <cell r="R671">
            <v>13.74</v>
          </cell>
        </row>
        <row r="672">
          <cell r="G672">
            <v>41798.54</v>
          </cell>
          <cell r="I672">
            <v>981.55999999999904</v>
          </cell>
          <cell r="J672">
            <v>0</v>
          </cell>
          <cell r="K672">
            <v>0</v>
          </cell>
          <cell r="L672">
            <v>981.55999999999904</v>
          </cell>
          <cell r="M672">
            <v>44808.339999999902</v>
          </cell>
          <cell r="N672">
            <v>4938.9099999999899</v>
          </cell>
          <cell r="O672">
            <v>0</v>
          </cell>
          <cell r="R672">
            <v>12.71</v>
          </cell>
        </row>
        <row r="673">
          <cell r="G673">
            <v>17680.209999999901</v>
          </cell>
          <cell r="I673">
            <v>471.14999999999901</v>
          </cell>
          <cell r="J673">
            <v>1090.5599999999899</v>
          </cell>
          <cell r="K673">
            <v>0</v>
          </cell>
          <cell r="L673">
            <v>1561.71</v>
          </cell>
          <cell r="M673">
            <v>20251.639999999901</v>
          </cell>
          <cell r="N673">
            <v>4513.96</v>
          </cell>
          <cell r="O673">
            <v>0</v>
          </cell>
          <cell r="R673">
            <v>5.37</v>
          </cell>
        </row>
        <row r="674">
          <cell r="G674">
            <v>18217.98</v>
          </cell>
          <cell r="I674">
            <v>471.14999999999901</v>
          </cell>
          <cell r="J674">
            <v>1210.5599999999899</v>
          </cell>
          <cell r="K674">
            <v>0</v>
          </cell>
          <cell r="L674">
            <v>1681.71</v>
          </cell>
          <cell r="M674">
            <v>20912.4199999999</v>
          </cell>
          <cell r="N674">
            <v>3927.5799999999899</v>
          </cell>
          <cell r="O674">
            <v>0</v>
          </cell>
          <cell r="R674">
            <v>5.53</v>
          </cell>
        </row>
        <row r="675">
          <cell r="G675">
            <v>171373.81</v>
          </cell>
          <cell r="I675">
            <v>4515.1999999999898</v>
          </cell>
          <cell r="J675">
            <v>7566.1</v>
          </cell>
          <cell r="K675">
            <v>0</v>
          </cell>
          <cell r="L675">
            <v>12081.299999999899</v>
          </cell>
          <cell r="M675">
            <v>192866.19</v>
          </cell>
          <cell r="N675">
            <v>37964.9</v>
          </cell>
          <cell r="O675">
            <v>0</v>
          </cell>
          <cell r="R675">
            <v>52.07</v>
          </cell>
        </row>
        <row r="676">
          <cell r="G676">
            <v>9814.93</v>
          </cell>
          <cell r="I676">
            <v>235.58</v>
          </cell>
          <cell r="J676">
            <v>0</v>
          </cell>
          <cell r="K676">
            <v>0</v>
          </cell>
          <cell r="L676">
            <v>235.58</v>
          </cell>
          <cell r="M676">
            <v>10540.74</v>
          </cell>
          <cell r="N676">
            <v>1483.14</v>
          </cell>
          <cell r="O676">
            <v>0</v>
          </cell>
          <cell r="R676">
            <v>2.99</v>
          </cell>
        </row>
        <row r="677">
          <cell r="G677">
            <v>54513.989999999903</v>
          </cell>
          <cell r="I677">
            <v>1452.72</v>
          </cell>
          <cell r="J677">
            <v>3605.5</v>
          </cell>
          <cell r="K677">
            <v>0</v>
          </cell>
          <cell r="L677">
            <v>5058.22</v>
          </cell>
          <cell r="M677">
            <v>62588.099999999897</v>
          </cell>
          <cell r="N677">
            <v>11384.709999999901</v>
          </cell>
          <cell r="O677">
            <v>0</v>
          </cell>
          <cell r="R677">
            <v>16.57</v>
          </cell>
        </row>
        <row r="678">
          <cell r="G678">
            <v>107554.62</v>
          </cell>
          <cell r="I678">
            <v>2866.1799999999898</v>
          </cell>
          <cell r="J678">
            <v>0</v>
          </cell>
          <cell r="K678">
            <v>0</v>
          </cell>
          <cell r="L678">
            <v>2866.1799999999898</v>
          </cell>
          <cell r="M678">
            <v>116354.34</v>
          </cell>
          <cell r="N678">
            <v>29180.240000000002</v>
          </cell>
          <cell r="O678">
            <v>0</v>
          </cell>
          <cell r="R678">
            <v>32.68</v>
          </cell>
        </row>
        <row r="679">
          <cell r="G679">
            <v>17680.209999999901</v>
          </cell>
          <cell r="I679">
            <v>471.14999999999901</v>
          </cell>
          <cell r="J679">
            <v>1637.28</v>
          </cell>
          <cell r="K679">
            <v>0</v>
          </cell>
          <cell r="L679">
            <v>2108.4299999999898</v>
          </cell>
          <cell r="M679">
            <v>20794.2599999999</v>
          </cell>
          <cell r="N679">
            <v>3871.98</v>
          </cell>
          <cell r="O679">
            <v>0</v>
          </cell>
          <cell r="R679">
            <v>5.37</v>
          </cell>
        </row>
        <row r="680">
          <cell r="G680">
            <v>17680.209999999901</v>
          </cell>
          <cell r="I680">
            <v>471.14999999999901</v>
          </cell>
          <cell r="J680">
            <v>1300.8</v>
          </cell>
          <cell r="K680">
            <v>0</v>
          </cell>
          <cell r="L680">
            <v>1771.95</v>
          </cell>
          <cell r="M680">
            <v>20443.240000000002</v>
          </cell>
          <cell r="N680">
            <v>3865.4</v>
          </cell>
          <cell r="O680">
            <v>0</v>
          </cell>
          <cell r="R680">
            <v>5.37</v>
          </cell>
        </row>
        <row r="681">
          <cell r="G681">
            <v>28175.11</v>
          </cell>
          <cell r="I681">
            <v>687.1</v>
          </cell>
          <cell r="J681">
            <v>0</v>
          </cell>
          <cell r="K681">
            <v>0</v>
          </cell>
          <cell r="L681">
            <v>687.1</v>
          </cell>
          <cell r="M681">
            <v>30282.0099999999</v>
          </cell>
          <cell r="N681">
            <v>4541.2399999999898</v>
          </cell>
          <cell r="O681">
            <v>0</v>
          </cell>
          <cell r="R681">
            <v>8.56</v>
          </cell>
        </row>
        <row r="682">
          <cell r="G682">
            <v>306829.78999999899</v>
          </cell>
          <cell r="I682">
            <v>8029.21</v>
          </cell>
          <cell r="J682">
            <v>28937.15</v>
          </cell>
          <cell r="K682">
            <v>0</v>
          </cell>
          <cell r="L682">
            <v>36966.36</v>
          </cell>
          <cell r="M682">
            <v>360901.4</v>
          </cell>
          <cell r="N682">
            <v>58647.199999999903</v>
          </cell>
          <cell r="O682">
            <v>0</v>
          </cell>
          <cell r="R682">
            <v>93.219999999999899</v>
          </cell>
        </row>
        <row r="683">
          <cell r="G683">
            <v>127738.34</v>
          </cell>
          <cell r="I683">
            <v>3141.02</v>
          </cell>
          <cell r="J683">
            <v>6342.2399999999898</v>
          </cell>
          <cell r="K683">
            <v>0</v>
          </cell>
          <cell r="L683">
            <v>9483.26</v>
          </cell>
          <cell r="M683">
            <v>143873.85</v>
          </cell>
          <cell r="N683">
            <v>19287.580000000002</v>
          </cell>
          <cell r="O683">
            <v>0</v>
          </cell>
          <cell r="R683">
            <v>38.81</v>
          </cell>
        </row>
        <row r="684">
          <cell r="G684">
            <v>22100.27</v>
          </cell>
          <cell r="I684">
            <v>588.92999999999904</v>
          </cell>
          <cell r="J684">
            <v>0</v>
          </cell>
          <cell r="K684">
            <v>0</v>
          </cell>
          <cell r="L684">
            <v>588.92999999999904</v>
          </cell>
          <cell r="M684">
            <v>23906.1699999999</v>
          </cell>
          <cell r="N684">
            <v>5942.3299999999899</v>
          </cell>
          <cell r="O684">
            <v>0</v>
          </cell>
          <cell r="R684">
            <v>6.71999999999999</v>
          </cell>
        </row>
        <row r="685">
          <cell r="G685">
            <v>17680.209999999901</v>
          </cell>
          <cell r="I685">
            <v>471.14999999999901</v>
          </cell>
          <cell r="J685">
            <v>977.51999999999896</v>
          </cell>
          <cell r="K685">
            <v>0</v>
          </cell>
          <cell r="L685">
            <v>1448.67</v>
          </cell>
          <cell r="M685">
            <v>20128.48</v>
          </cell>
          <cell r="N685">
            <v>4388.72</v>
          </cell>
          <cell r="O685">
            <v>0</v>
          </cell>
          <cell r="R685">
            <v>5.37</v>
          </cell>
        </row>
        <row r="686">
          <cell r="G686">
            <v>17680.209999999901</v>
          </cell>
          <cell r="I686">
            <v>471.14999999999901</v>
          </cell>
          <cell r="J686">
            <v>0</v>
          </cell>
          <cell r="K686">
            <v>0</v>
          </cell>
          <cell r="L686">
            <v>471.14999999999901</v>
          </cell>
          <cell r="M686">
            <v>19107.5099999999</v>
          </cell>
          <cell r="N686">
            <v>4343.6099999999897</v>
          </cell>
          <cell r="O686">
            <v>0</v>
          </cell>
          <cell r="R686">
            <v>5.37</v>
          </cell>
        </row>
        <row r="687">
          <cell r="G687">
            <v>45673.879999999903</v>
          </cell>
          <cell r="I687">
            <v>1217.1400000000001</v>
          </cell>
          <cell r="J687">
            <v>1484.88</v>
          </cell>
          <cell r="K687">
            <v>0</v>
          </cell>
          <cell r="L687">
            <v>2702.02</v>
          </cell>
          <cell r="M687">
            <v>50912.099999999897</v>
          </cell>
          <cell r="N687">
            <v>11294.4</v>
          </cell>
          <cell r="O687">
            <v>0</v>
          </cell>
          <cell r="R687">
            <v>13.8699999999999</v>
          </cell>
        </row>
        <row r="688">
          <cell r="G688">
            <v>18697.07</v>
          </cell>
          <cell r="I688">
            <v>471.14999999999901</v>
          </cell>
          <cell r="J688">
            <v>1056.48</v>
          </cell>
          <cell r="K688">
            <v>0</v>
          </cell>
          <cell r="L688">
            <v>1527.63</v>
          </cell>
          <cell r="M688">
            <v>21227.299999999901</v>
          </cell>
          <cell r="N688">
            <v>3364.3</v>
          </cell>
          <cell r="O688">
            <v>0</v>
          </cell>
          <cell r="R688">
            <v>5.6799999999999899</v>
          </cell>
        </row>
        <row r="689">
          <cell r="G689">
            <v>17680.209999999901</v>
          </cell>
          <cell r="I689">
            <v>471.14999999999901</v>
          </cell>
          <cell r="J689">
            <v>1424.64</v>
          </cell>
          <cell r="K689">
            <v>0</v>
          </cell>
          <cell r="L689">
            <v>1895.79</v>
          </cell>
          <cell r="M689">
            <v>20588.73</v>
          </cell>
          <cell r="N689">
            <v>4251.2700000000004</v>
          </cell>
          <cell r="O689">
            <v>0</v>
          </cell>
          <cell r="R689">
            <v>5.37</v>
          </cell>
        </row>
        <row r="690">
          <cell r="G690">
            <v>57105.379999999903</v>
          </cell>
          <cell r="I690">
            <v>1393.8199999999899</v>
          </cell>
          <cell r="J690">
            <v>0</v>
          </cell>
          <cell r="K690">
            <v>0</v>
          </cell>
          <cell r="L690">
            <v>1393.8199999999899</v>
          </cell>
          <cell r="M690">
            <v>61401.129999999903</v>
          </cell>
          <cell r="N690">
            <v>9776.1299999999901</v>
          </cell>
          <cell r="O690">
            <v>0</v>
          </cell>
          <cell r="R690">
            <v>17.350000000000001</v>
          </cell>
        </row>
        <row r="691">
          <cell r="G691">
            <v>20125.080000000002</v>
          </cell>
          <cell r="I691">
            <v>490.77999999999901</v>
          </cell>
          <cell r="J691">
            <v>0</v>
          </cell>
          <cell r="K691">
            <v>0</v>
          </cell>
          <cell r="L691">
            <v>490.77999999999901</v>
          </cell>
          <cell r="M691">
            <v>21640.25</v>
          </cell>
          <cell r="N691">
            <v>3484.75</v>
          </cell>
          <cell r="O691">
            <v>0</v>
          </cell>
          <cell r="R691">
            <v>6.12</v>
          </cell>
        </row>
        <row r="692">
          <cell r="G692">
            <v>9576.7800000000007</v>
          </cell>
          <cell r="I692">
            <v>255.19999999999899</v>
          </cell>
          <cell r="J692">
            <v>0</v>
          </cell>
          <cell r="K692">
            <v>0</v>
          </cell>
          <cell r="L692">
            <v>255.19999999999899</v>
          </cell>
          <cell r="M692">
            <v>10357.639999999899</v>
          </cell>
          <cell r="N692">
            <v>2537.4499999999898</v>
          </cell>
          <cell r="O692">
            <v>0</v>
          </cell>
          <cell r="R692">
            <v>2.91</v>
          </cell>
        </row>
        <row r="693">
          <cell r="G693">
            <v>18416.889999999901</v>
          </cell>
          <cell r="I693">
            <v>490.77999999999901</v>
          </cell>
          <cell r="J693">
            <v>924.40999999999894</v>
          </cell>
          <cell r="K693">
            <v>0</v>
          </cell>
          <cell r="L693">
            <v>1415.19</v>
          </cell>
          <cell r="M693">
            <v>20859.38</v>
          </cell>
          <cell r="N693">
            <v>4337.8699999999899</v>
          </cell>
          <cell r="O693">
            <v>0</v>
          </cell>
          <cell r="R693">
            <v>5.5899999999999901</v>
          </cell>
        </row>
        <row r="694">
          <cell r="G694">
            <v>25046.97</v>
          </cell>
          <cell r="I694">
            <v>667.48</v>
          </cell>
          <cell r="J694">
            <v>0</v>
          </cell>
          <cell r="K694">
            <v>0</v>
          </cell>
          <cell r="L694">
            <v>667.48</v>
          </cell>
          <cell r="M694">
            <v>27095.139999999901</v>
          </cell>
          <cell r="N694">
            <v>6769.3999999999896</v>
          </cell>
          <cell r="O694">
            <v>0</v>
          </cell>
          <cell r="R694">
            <v>7.61</v>
          </cell>
        </row>
        <row r="695">
          <cell r="G695">
            <v>20899.27</v>
          </cell>
          <cell r="I695">
            <v>490.77999999999901</v>
          </cell>
          <cell r="J695">
            <v>0</v>
          </cell>
          <cell r="K695">
            <v>0</v>
          </cell>
          <cell r="L695">
            <v>490.77999999999901</v>
          </cell>
          <cell r="M695">
            <v>22407.23</v>
          </cell>
          <cell r="N695">
            <v>2541.77</v>
          </cell>
          <cell r="O695">
            <v>0</v>
          </cell>
          <cell r="R695">
            <v>6.3499999999999899</v>
          </cell>
        </row>
        <row r="696">
          <cell r="G696">
            <v>-462.18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-462.18</v>
          </cell>
          <cell r="N696">
            <v>462.18</v>
          </cell>
          <cell r="O696">
            <v>0</v>
          </cell>
          <cell r="R696">
            <v>0</v>
          </cell>
        </row>
        <row r="697">
          <cell r="G697">
            <v>17526.22</v>
          </cell>
          <cell r="I697">
            <v>0</v>
          </cell>
          <cell r="J697">
            <v>1833.8399999999899</v>
          </cell>
          <cell r="K697">
            <v>0</v>
          </cell>
          <cell r="L697">
            <v>1833.8399999999899</v>
          </cell>
          <cell r="M697">
            <v>20650.07</v>
          </cell>
          <cell r="N697">
            <v>4549.93</v>
          </cell>
          <cell r="O697">
            <v>0</v>
          </cell>
          <cell r="R697">
            <v>0</v>
          </cell>
        </row>
        <row r="698">
          <cell r="G698">
            <v>6408.55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6826.3</v>
          </cell>
          <cell r="N698">
            <v>1333.7</v>
          </cell>
          <cell r="O698">
            <v>0</v>
          </cell>
          <cell r="R698">
            <v>0</v>
          </cell>
        </row>
        <row r="699">
          <cell r="G699">
            <v>26289.33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28141.5</v>
          </cell>
          <cell r="N699">
            <v>8038.5</v>
          </cell>
          <cell r="O699">
            <v>0</v>
          </cell>
          <cell r="R699">
            <v>0</v>
          </cell>
        </row>
        <row r="700">
          <cell r="G700">
            <v>35052.44</v>
          </cell>
          <cell r="I700">
            <v>0</v>
          </cell>
          <cell r="J700">
            <v>3556.5599999999899</v>
          </cell>
          <cell r="K700">
            <v>0</v>
          </cell>
          <cell r="L700">
            <v>3556.5599999999899</v>
          </cell>
          <cell r="M700">
            <v>41180.04</v>
          </cell>
          <cell r="N700">
            <v>9043.5599999999904</v>
          </cell>
          <cell r="O700">
            <v>0</v>
          </cell>
          <cell r="R700">
            <v>0</v>
          </cell>
        </row>
        <row r="701">
          <cell r="G701">
            <v>17526.22</v>
          </cell>
          <cell r="I701">
            <v>0</v>
          </cell>
          <cell r="J701">
            <v>2325.36</v>
          </cell>
          <cell r="K701">
            <v>0</v>
          </cell>
          <cell r="L701">
            <v>2325.36</v>
          </cell>
          <cell r="M701">
            <v>21141.59</v>
          </cell>
          <cell r="N701">
            <v>4058.4099999999899</v>
          </cell>
          <cell r="O701">
            <v>0</v>
          </cell>
          <cell r="R701">
            <v>0</v>
          </cell>
        </row>
        <row r="702">
          <cell r="G702">
            <v>17526.22</v>
          </cell>
          <cell r="I702">
            <v>0</v>
          </cell>
          <cell r="J702">
            <v>2163.36</v>
          </cell>
          <cell r="K702">
            <v>0</v>
          </cell>
          <cell r="L702">
            <v>2163.36</v>
          </cell>
          <cell r="M702">
            <v>20979.59</v>
          </cell>
          <cell r="N702">
            <v>4220.4099999999899</v>
          </cell>
          <cell r="O702">
            <v>0</v>
          </cell>
          <cell r="R702">
            <v>0</v>
          </cell>
        </row>
        <row r="703">
          <cell r="G703">
            <v>17526.22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18752.310000000001</v>
          </cell>
          <cell r="N703">
            <v>5198.97</v>
          </cell>
          <cell r="O703">
            <v>0</v>
          </cell>
          <cell r="R703">
            <v>0</v>
          </cell>
        </row>
        <row r="704">
          <cell r="G704">
            <v>30440.59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32424.779999999901</v>
          </cell>
          <cell r="N704">
            <v>6335.22</v>
          </cell>
          <cell r="O704">
            <v>0</v>
          </cell>
          <cell r="R704">
            <v>0</v>
          </cell>
        </row>
        <row r="705">
          <cell r="G705">
            <v>36849.139999999898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39234.269999999902</v>
          </cell>
          <cell r="N705">
            <v>7357.29</v>
          </cell>
          <cell r="O705">
            <v>0</v>
          </cell>
          <cell r="R705">
            <v>0</v>
          </cell>
        </row>
        <row r="706">
          <cell r="G706">
            <v>20427.240000000002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21749.49</v>
          </cell>
          <cell r="N706">
            <v>4078.44</v>
          </cell>
          <cell r="O706">
            <v>0</v>
          </cell>
          <cell r="R706">
            <v>0</v>
          </cell>
        </row>
        <row r="707">
          <cell r="G707">
            <v>17526.22</v>
          </cell>
          <cell r="I707">
            <v>0</v>
          </cell>
          <cell r="J707">
            <v>1701.1199999999899</v>
          </cell>
          <cell r="K707">
            <v>0</v>
          </cell>
          <cell r="L707">
            <v>1701.1199999999899</v>
          </cell>
          <cell r="M707">
            <v>20498.9199999999</v>
          </cell>
          <cell r="N707">
            <v>4341.0799999999899</v>
          </cell>
          <cell r="O707">
            <v>0</v>
          </cell>
          <cell r="R707">
            <v>0</v>
          </cell>
        </row>
        <row r="708">
          <cell r="G708">
            <v>19225.639999999901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20478.84</v>
          </cell>
          <cell r="N708">
            <v>4001.1599999999899</v>
          </cell>
          <cell r="O708">
            <v>0</v>
          </cell>
          <cell r="R708">
            <v>0</v>
          </cell>
        </row>
        <row r="709">
          <cell r="G709">
            <v>17526.22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18752.310000000001</v>
          </cell>
          <cell r="N709">
            <v>5198.97</v>
          </cell>
          <cell r="O709">
            <v>0</v>
          </cell>
          <cell r="R709">
            <v>0</v>
          </cell>
        </row>
        <row r="710">
          <cell r="G710">
            <v>878528.06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940795.12</v>
          </cell>
          <cell r="N710">
            <v>275545.44</v>
          </cell>
          <cell r="O710">
            <v>0</v>
          </cell>
          <cell r="R710">
            <v>0</v>
          </cell>
        </row>
        <row r="711">
          <cell r="G711">
            <v>40894.51</v>
          </cell>
          <cell r="I711">
            <v>0</v>
          </cell>
          <cell r="J711">
            <v>1833.8399999999899</v>
          </cell>
          <cell r="K711">
            <v>0</v>
          </cell>
          <cell r="L711">
            <v>1833.8399999999899</v>
          </cell>
          <cell r="M711">
            <v>45644.169999999896</v>
          </cell>
          <cell r="N711">
            <v>11314.469999999899</v>
          </cell>
          <cell r="O711">
            <v>0</v>
          </cell>
          <cell r="R711">
            <v>0</v>
          </cell>
        </row>
        <row r="712">
          <cell r="G712">
            <v>112104.85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119623.17</v>
          </cell>
          <cell r="N712">
            <v>27241.529999999901</v>
          </cell>
          <cell r="O712">
            <v>0</v>
          </cell>
          <cell r="R712">
            <v>0</v>
          </cell>
        </row>
        <row r="713">
          <cell r="G713">
            <v>36223.300000000003</v>
          </cell>
          <cell r="I713">
            <v>0</v>
          </cell>
          <cell r="J713">
            <v>1589.52</v>
          </cell>
          <cell r="K713">
            <v>0</v>
          </cell>
          <cell r="L713">
            <v>1589.52</v>
          </cell>
          <cell r="M713">
            <v>40301.65</v>
          </cell>
          <cell r="N713">
            <v>8315.8700000000008</v>
          </cell>
          <cell r="O713">
            <v>0</v>
          </cell>
          <cell r="R713">
            <v>0</v>
          </cell>
        </row>
        <row r="714">
          <cell r="G714">
            <v>26289.33</v>
          </cell>
          <cell r="I714">
            <v>0</v>
          </cell>
          <cell r="J714">
            <v>1788.1199999999899</v>
          </cell>
          <cell r="K714">
            <v>0</v>
          </cell>
          <cell r="L714">
            <v>1788.1199999999899</v>
          </cell>
          <cell r="M714">
            <v>29998.959999999901</v>
          </cell>
          <cell r="N714">
            <v>7536.4399999999896</v>
          </cell>
          <cell r="O714">
            <v>0</v>
          </cell>
          <cell r="R714">
            <v>0</v>
          </cell>
        </row>
        <row r="715">
          <cell r="G715">
            <v>35052.44</v>
          </cell>
          <cell r="I715">
            <v>0</v>
          </cell>
          <cell r="J715">
            <v>3985.44</v>
          </cell>
          <cell r="K715">
            <v>0</v>
          </cell>
          <cell r="L715">
            <v>3985.44</v>
          </cell>
          <cell r="M715">
            <v>41617.980000000003</v>
          </cell>
          <cell r="N715">
            <v>8782.02</v>
          </cell>
          <cell r="O715">
            <v>0</v>
          </cell>
          <cell r="R715">
            <v>0</v>
          </cell>
        </row>
        <row r="716">
          <cell r="G716">
            <v>51118.139999999898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54747.62</v>
          </cell>
          <cell r="N716">
            <v>16152.58</v>
          </cell>
          <cell r="O716">
            <v>0</v>
          </cell>
          <cell r="R716">
            <v>0</v>
          </cell>
        </row>
        <row r="717">
          <cell r="G717">
            <v>70104.88</v>
          </cell>
          <cell r="I717">
            <v>0</v>
          </cell>
          <cell r="J717">
            <v>1780.8</v>
          </cell>
          <cell r="K717">
            <v>0</v>
          </cell>
          <cell r="L717">
            <v>1780.8</v>
          </cell>
          <cell r="M717">
            <v>76871.369999999893</v>
          </cell>
          <cell r="N717">
            <v>20519.91</v>
          </cell>
          <cell r="O717">
            <v>0</v>
          </cell>
          <cell r="R717">
            <v>0</v>
          </cell>
        </row>
        <row r="718">
          <cell r="G718">
            <v>57676.919999999896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61418.949999999903</v>
          </cell>
          <cell r="N718">
            <v>11678.33</v>
          </cell>
          <cell r="O718">
            <v>0</v>
          </cell>
          <cell r="R718">
            <v>0</v>
          </cell>
        </row>
        <row r="719">
          <cell r="G719">
            <v>60358.79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64457.57</v>
          </cell>
          <cell r="N719">
            <v>15608.35</v>
          </cell>
          <cell r="O719">
            <v>0</v>
          </cell>
          <cell r="R719">
            <v>0</v>
          </cell>
        </row>
        <row r="720">
          <cell r="G720">
            <v>17526.22</v>
          </cell>
          <cell r="I720">
            <v>0</v>
          </cell>
          <cell r="J720">
            <v>2325.36</v>
          </cell>
          <cell r="K720">
            <v>0</v>
          </cell>
          <cell r="L720">
            <v>2325.36</v>
          </cell>
          <cell r="M720">
            <v>21141.59</v>
          </cell>
          <cell r="N720">
            <v>4058.4099999999899</v>
          </cell>
          <cell r="O720">
            <v>0</v>
          </cell>
          <cell r="R720">
            <v>0</v>
          </cell>
        </row>
        <row r="721">
          <cell r="G721">
            <v>9300.8999999999905</v>
          </cell>
          <cell r="I721">
            <v>0</v>
          </cell>
          <cell r="J721">
            <v>1146.72</v>
          </cell>
          <cell r="K721">
            <v>0</v>
          </cell>
          <cell r="L721">
            <v>1146.72</v>
          </cell>
          <cell r="M721">
            <v>11097.54</v>
          </cell>
          <cell r="N721">
            <v>1598.46</v>
          </cell>
          <cell r="O721">
            <v>0</v>
          </cell>
          <cell r="R721">
            <v>0</v>
          </cell>
        </row>
        <row r="722">
          <cell r="G722">
            <v>17526.459999999901</v>
          </cell>
          <cell r="I722">
            <v>0</v>
          </cell>
          <cell r="J722">
            <v>1980.72</v>
          </cell>
          <cell r="K722">
            <v>0</v>
          </cell>
          <cell r="L722">
            <v>1980.72</v>
          </cell>
          <cell r="M722">
            <v>20769.9199999999</v>
          </cell>
          <cell r="N722">
            <v>3896.32</v>
          </cell>
          <cell r="O722">
            <v>0</v>
          </cell>
          <cell r="R722">
            <v>0</v>
          </cell>
        </row>
        <row r="723">
          <cell r="G723">
            <v>64262.8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68825.639999999898</v>
          </cell>
          <cell r="N723">
            <v>20306.04</v>
          </cell>
          <cell r="O723">
            <v>0</v>
          </cell>
          <cell r="R723">
            <v>0</v>
          </cell>
        </row>
        <row r="724">
          <cell r="G724">
            <v>17526.22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18752.310000000001</v>
          </cell>
          <cell r="N724">
            <v>5198.97</v>
          </cell>
          <cell r="O724">
            <v>0</v>
          </cell>
          <cell r="R724">
            <v>0</v>
          </cell>
        </row>
        <row r="725">
          <cell r="G725">
            <v>17526.22</v>
          </cell>
          <cell r="I725">
            <v>0</v>
          </cell>
          <cell r="J725">
            <v>1094.8800000000001</v>
          </cell>
          <cell r="K725">
            <v>0</v>
          </cell>
          <cell r="L725">
            <v>1094.8800000000001</v>
          </cell>
          <cell r="M725">
            <v>19911.11</v>
          </cell>
          <cell r="N725">
            <v>5288.89</v>
          </cell>
          <cell r="O725">
            <v>0</v>
          </cell>
          <cell r="R725">
            <v>0</v>
          </cell>
        </row>
        <row r="726">
          <cell r="G726">
            <v>3343.88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3552.73</v>
          </cell>
          <cell r="N726">
            <v>527.26999999999896</v>
          </cell>
          <cell r="O726">
            <v>0</v>
          </cell>
          <cell r="R726">
            <v>0</v>
          </cell>
        </row>
        <row r="727">
          <cell r="G727">
            <v>35052.44</v>
          </cell>
          <cell r="I727">
            <v>0</v>
          </cell>
          <cell r="J727">
            <v>4444.5600000000004</v>
          </cell>
          <cell r="K727">
            <v>0</v>
          </cell>
          <cell r="L727">
            <v>4444.5600000000004</v>
          </cell>
          <cell r="M727">
            <v>42058.65</v>
          </cell>
          <cell r="N727">
            <v>7981.35</v>
          </cell>
          <cell r="O727">
            <v>0</v>
          </cell>
          <cell r="R727">
            <v>0</v>
          </cell>
        </row>
        <row r="728">
          <cell r="G728">
            <v>8763.11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9380.5300000000007</v>
          </cell>
          <cell r="N728">
            <v>2679.4699999999898</v>
          </cell>
          <cell r="O728">
            <v>0</v>
          </cell>
          <cell r="R728">
            <v>0</v>
          </cell>
        </row>
        <row r="729">
          <cell r="G729">
            <v>161248.53</v>
          </cell>
          <cell r="I729">
            <v>0</v>
          </cell>
          <cell r="J729">
            <v>12955.92</v>
          </cell>
          <cell r="K729">
            <v>0</v>
          </cell>
          <cell r="L729">
            <v>12955.92</v>
          </cell>
          <cell r="M729">
            <v>185715.13</v>
          </cell>
          <cell r="N729">
            <v>39137.51</v>
          </cell>
          <cell r="O729">
            <v>0</v>
          </cell>
          <cell r="R729">
            <v>0</v>
          </cell>
        </row>
        <row r="730">
          <cell r="G730">
            <v>231587.56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247113.519999999</v>
          </cell>
          <cell r="N730">
            <v>56174.3</v>
          </cell>
          <cell r="O730">
            <v>0</v>
          </cell>
          <cell r="R730">
            <v>0</v>
          </cell>
        </row>
        <row r="731">
          <cell r="G731">
            <v>107743.66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114717.53</v>
          </cell>
          <cell r="N731">
            <v>21512.139999999901</v>
          </cell>
          <cell r="O731">
            <v>0</v>
          </cell>
          <cell r="R731">
            <v>0</v>
          </cell>
        </row>
        <row r="732">
          <cell r="G732">
            <v>21735.24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23083.4</v>
          </cell>
          <cell r="N732">
            <v>3250.96</v>
          </cell>
          <cell r="O732">
            <v>0</v>
          </cell>
          <cell r="R732">
            <v>0</v>
          </cell>
        </row>
        <row r="733">
          <cell r="G733">
            <v>65493.029999999897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67463.339999999895</v>
          </cell>
          <cell r="N733">
            <v>18927.900000000001</v>
          </cell>
          <cell r="O733">
            <v>0</v>
          </cell>
          <cell r="R733">
            <v>0</v>
          </cell>
        </row>
        <row r="734">
          <cell r="G734">
            <v>14419.23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15352.52</v>
          </cell>
          <cell r="N734">
            <v>2878.96</v>
          </cell>
          <cell r="O734">
            <v>0</v>
          </cell>
          <cell r="R734">
            <v>0</v>
          </cell>
        </row>
        <row r="735">
          <cell r="G735">
            <v>17526.22</v>
          </cell>
          <cell r="I735">
            <v>0</v>
          </cell>
          <cell r="J735">
            <v>1212.48</v>
          </cell>
          <cell r="K735">
            <v>0</v>
          </cell>
          <cell r="L735">
            <v>1212.48</v>
          </cell>
          <cell r="M735">
            <v>18738.7</v>
          </cell>
          <cell r="N735">
            <v>5927.54</v>
          </cell>
          <cell r="O735">
            <v>0</v>
          </cell>
          <cell r="R735">
            <v>0</v>
          </cell>
        </row>
        <row r="736">
          <cell r="G736">
            <v>16021.36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17065.639999999901</v>
          </cell>
          <cell r="N736">
            <v>3334.36</v>
          </cell>
          <cell r="O736">
            <v>0</v>
          </cell>
          <cell r="R736">
            <v>0</v>
          </cell>
        </row>
        <row r="737">
          <cell r="G737">
            <v>23368.29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23368.29</v>
          </cell>
          <cell r="N737">
            <v>9271.70999999999</v>
          </cell>
          <cell r="O737">
            <v>0</v>
          </cell>
          <cell r="R737">
            <v>0</v>
          </cell>
        </row>
        <row r="738">
          <cell r="G738">
            <v>0</v>
          </cell>
          <cell r="I738">
            <v>0</v>
          </cell>
          <cell r="J738">
            <v>213959.92</v>
          </cell>
          <cell r="K738">
            <v>0</v>
          </cell>
          <cell r="L738">
            <v>213959.92</v>
          </cell>
          <cell r="M738">
            <v>213959.92</v>
          </cell>
          <cell r="N738">
            <v>-213959.92</v>
          </cell>
          <cell r="O738">
            <v>0</v>
          </cell>
          <cell r="R738">
            <v>0</v>
          </cell>
        </row>
        <row r="739">
          <cell r="G739">
            <v>497970.45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529300.03</v>
          </cell>
          <cell r="N739">
            <v>82699.97</v>
          </cell>
          <cell r="O739">
            <v>0</v>
          </cell>
          <cell r="R739">
            <v>0</v>
          </cell>
        </row>
        <row r="740">
          <cell r="G740">
            <v>31336.22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33254.669999999896</v>
          </cell>
          <cell r="N740">
            <v>4221.1499999999896</v>
          </cell>
          <cell r="O740">
            <v>0</v>
          </cell>
          <cell r="R740">
            <v>0</v>
          </cell>
        </row>
        <row r="741">
          <cell r="G741">
            <v>20026.7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21332.09</v>
          </cell>
          <cell r="N741">
            <v>4167.9099999999899</v>
          </cell>
          <cell r="O741">
            <v>0</v>
          </cell>
          <cell r="R741">
            <v>0</v>
          </cell>
        </row>
        <row r="742">
          <cell r="G742">
            <v>44545.809999999903</v>
          </cell>
          <cell r="I742">
            <v>0</v>
          </cell>
          <cell r="J742">
            <v>3324.9899999999898</v>
          </cell>
          <cell r="K742">
            <v>0</v>
          </cell>
          <cell r="L742">
            <v>3324.9899999999898</v>
          </cell>
          <cell r="M742">
            <v>47870.8</v>
          </cell>
          <cell r="N742">
            <v>14350.549999999899</v>
          </cell>
          <cell r="O742">
            <v>0</v>
          </cell>
          <cell r="R742">
            <v>0</v>
          </cell>
        </row>
        <row r="743">
          <cell r="G743">
            <v>21735.24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23092.82</v>
          </cell>
          <cell r="N743">
            <v>3427.1799999999898</v>
          </cell>
          <cell r="O743">
            <v>0</v>
          </cell>
          <cell r="R743">
            <v>0</v>
          </cell>
        </row>
        <row r="744">
          <cell r="G744">
            <v>144697.209999999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149181.519999999</v>
          </cell>
          <cell r="N744">
            <v>48641.66</v>
          </cell>
          <cell r="O744">
            <v>0</v>
          </cell>
          <cell r="R744">
            <v>0</v>
          </cell>
        </row>
        <row r="745">
          <cell r="G745">
            <v>249748.6</v>
          </cell>
          <cell r="I745">
            <v>0</v>
          </cell>
          <cell r="J745">
            <v>24841.119999999901</v>
          </cell>
          <cell r="K745">
            <v>0</v>
          </cell>
          <cell r="L745">
            <v>24841.119999999901</v>
          </cell>
          <cell r="M745">
            <v>274589.71999999898</v>
          </cell>
          <cell r="N745">
            <v>75204.460000000006</v>
          </cell>
          <cell r="O745">
            <v>0</v>
          </cell>
          <cell r="R745">
            <v>0</v>
          </cell>
        </row>
        <row r="746">
          <cell r="G746">
            <v>18601.810000000001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19837.68</v>
          </cell>
          <cell r="N746">
            <v>4304.1599999999899</v>
          </cell>
          <cell r="O746">
            <v>0</v>
          </cell>
          <cell r="R746">
            <v>0</v>
          </cell>
        </row>
        <row r="747">
          <cell r="G747">
            <v>17526.22</v>
          </cell>
          <cell r="I747">
            <v>0</v>
          </cell>
          <cell r="J747">
            <v>1701.1199999999899</v>
          </cell>
          <cell r="K747">
            <v>0</v>
          </cell>
          <cell r="L747">
            <v>1701.1199999999899</v>
          </cell>
          <cell r="M747">
            <v>19227.34</v>
          </cell>
          <cell r="N747">
            <v>5972.6599999999899</v>
          </cell>
          <cell r="O747">
            <v>0</v>
          </cell>
          <cell r="R747">
            <v>0</v>
          </cell>
        </row>
        <row r="748">
          <cell r="G748">
            <v>8763.11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8763.11</v>
          </cell>
          <cell r="N748">
            <v>3212.53</v>
          </cell>
          <cell r="O748">
            <v>0</v>
          </cell>
          <cell r="R748">
            <v>0</v>
          </cell>
        </row>
        <row r="749">
          <cell r="G749">
            <v>18601.79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19837.66</v>
          </cell>
          <cell r="N749">
            <v>4304.18</v>
          </cell>
          <cell r="O749">
            <v>0</v>
          </cell>
          <cell r="R749">
            <v>0</v>
          </cell>
        </row>
        <row r="750">
          <cell r="G750">
            <v>11684.15</v>
          </cell>
          <cell r="I750">
            <v>0</v>
          </cell>
          <cell r="J750">
            <v>1030.24</v>
          </cell>
          <cell r="K750">
            <v>0</v>
          </cell>
          <cell r="L750">
            <v>1030.24</v>
          </cell>
          <cell r="M750">
            <v>12714.389999999899</v>
          </cell>
          <cell r="N750">
            <v>4085.61</v>
          </cell>
          <cell r="O750">
            <v>0</v>
          </cell>
          <cell r="R750">
            <v>0</v>
          </cell>
        </row>
        <row r="751">
          <cell r="G751">
            <v>19225.639999999901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20470.080000000002</v>
          </cell>
          <cell r="N751">
            <v>3838.5599999999899</v>
          </cell>
          <cell r="O751">
            <v>0</v>
          </cell>
          <cell r="R751">
            <v>0</v>
          </cell>
        </row>
        <row r="752">
          <cell r="G752">
            <v>26289.33</v>
          </cell>
          <cell r="I752">
            <v>0</v>
          </cell>
          <cell r="J752">
            <v>2495.88</v>
          </cell>
          <cell r="K752">
            <v>0</v>
          </cell>
          <cell r="L752">
            <v>2495.88</v>
          </cell>
          <cell r="M752">
            <v>28785.209999999901</v>
          </cell>
          <cell r="N752">
            <v>8838.3899999999903</v>
          </cell>
          <cell r="O752">
            <v>0</v>
          </cell>
          <cell r="R752">
            <v>0</v>
          </cell>
        </row>
        <row r="753">
          <cell r="G753">
            <v>20026.7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21322.959999999901</v>
          </cell>
          <cell r="N753">
            <v>3998.54</v>
          </cell>
          <cell r="O753">
            <v>0</v>
          </cell>
          <cell r="R753">
            <v>0</v>
          </cell>
        </row>
        <row r="754">
          <cell r="G754">
            <v>17526.22</v>
          </cell>
          <cell r="I754">
            <v>0</v>
          </cell>
          <cell r="J754">
            <v>1992.72</v>
          </cell>
          <cell r="K754">
            <v>0</v>
          </cell>
          <cell r="L754">
            <v>1992.72</v>
          </cell>
          <cell r="M754">
            <v>19518.9399999999</v>
          </cell>
          <cell r="N754">
            <v>5504.6599999999899</v>
          </cell>
          <cell r="O754">
            <v>0</v>
          </cell>
          <cell r="R754">
            <v>0</v>
          </cell>
        </row>
        <row r="755">
          <cell r="G755">
            <v>27749.8499999999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27749.8499999999</v>
          </cell>
          <cell r="N755">
            <v>10831.65</v>
          </cell>
          <cell r="O755">
            <v>0</v>
          </cell>
          <cell r="R755">
            <v>0</v>
          </cell>
        </row>
        <row r="756">
          <cell r="G756">
            <v>18697.07</v>
          </cell>
          <cell r="I756">
            <v>0</v>
          </cell>
          <cell r="J756">
            <v>1662.96</v>
          </cell>
          <cell r="K756">
            <v>0</v>
          </cell>
          <cell r="L756">
            <v>1662.96</v>
          </cell>
          <cell r="M756">
            <v>20360.029999999901</v>
          </cell>
          <cell r="N756">
            <v>4839.97</v>
          </cell>
          <cell r="O756">
            <v>0</v>
          </cell>
          <cell r="R756">
            <v>0</v>
          </cell>
        </row>
        <row r="757">
          <cell r="G757">
            <v>54683.169999999896</v>
          </cell>
          <cell r="I757">
            <v>0</v>
          </cell>
          <cell r="J757">
            <v>2369.1599999999899</v>
          </cell>
          <cell r="K757">
            <v>0</v>
          </cell>
          <cell r="L757">
            <v>2369.1599999999899</v>
          </cell>
          <cell r="M757">
            <v>57731.139999999898</v>
          </cell>
          <cell r="N757">
            <v>18528.86</v>
          </cell>
          <cell r="O757">
            <v>0</v>
          </cell>
          <cell r="R757">
            <v>0</v>
          </cell>
        </row>
        <row r="758">
          <cell r="G758">
            <v>9612.8199999999906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10226.83</v>
          </cell>
          <cell r="N758">
            <v>1927.49</v>
          </cell>
          <cell r="O758">
            <v>0</v>
          </cell>
          <cell r="R758">
            <v>0</v>
          </cell>
        </row>
        <row r="759">
          <cell r="G759">
            <v>17526.22</v>
          </cell>
          <cell r="I759">
            <v>0</v>
          </cell>
          <cell r="J759">
            <v>1886.64</v>
          </cell>
          <cell r="K759">
            <v>0</v>
          </cell>
          <cell r="L759">
            <v>1886.64</v>
          </cell>
          <cell r="M759">
            <v>19412.86</v>
          </cell>
          <cell r="N759">
            <v>5787.14</v>
          </cell>
          <cell r="O759">
            <v>0</v>
          </cell>
          <cell r="R759">
            <v>0</v>
          </cell>
        </row>
        <row r="760">
          <cell r="G760">
            <v>129505.46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137964.42000000001</v>
          </cell>
          <cell r="N760">
            <v>27275.58</v>
          </cell>
          <cell r="O760">
            <v>0</v>
          </cell>
          <cell r="R760">
            <v>0</v>
          </cell>
        </row>
        <row r="761">
          <cell r="G761">
            <v>17526.22</v>
          </cell>
          <cell r="I761">
            <v>0</v>
          </cell>
          <cell r="J761">
            <v>1833.8399999999899</v>
          </cell>
          <cell r="K761">
            <v>0</v>
          </cell>
          <cell r="L761">
            <v>1833.8399999999899</v>
          </cell>
          <cell r="M761">
            <v>19360.060000000001</v>
          </cell>
          <cell r="N761">
            <v>5663.54</v>
          </cell>
          <cell r="O761">
            <v>0</v>
          </cell>
          <cell r="R761">
            <v>0</v>
          </cell>
        </row>
        <row r="762">
          <cell r="G762">
            <v>67183.839999999895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67183.839999999895</v>
          </cell>
          <cell r="N762">
            <v>25999.279999999901</v>
          </cell>
          <cell r="O762">
            <v>0</v>
          </cell>
          <cell r="R762">
            <v>0</v>
          </cell>
        </row>
        <row r="763">
          <cell r="G763">
            <v>20026.7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21322.959999999901</v>
          </cell>
          <cell r="N763">
            <v>3998.54</v>
          </cell>
          <cell r="O763">
            <v>0</v>
          </cell>
          <cell r="R763">
            <v>0</v>
          </cell>
        </row>
        <row r="764">
          <cell r="G764">
            <v>40053.4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42664.160000000003</v>
          </cell>
          <cell r="N764">
            <v>8335.84</v>
          </cell>
          <cell r="O764">
            <v>0</v>
          </cell>
          <cell r="R764">
            <v>0</v>
          </cell>
        </row>
        <row r="765">
          <cell r="G765">
            <v>17526.22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17526.22</v>
          </cell>
          <cell r="N765">
            <v>6425.06</v>
          </cell>
          <cell r="O765">
            <v>0</v>
          </cell>
          <cell r="R765">
            <v>0</v>
          </cell>
        </row>
        <row r="766">
          <cell r="G766">
            <v>35052.44</v>
          </cell>
          <cell r="I766">
            <v>0</v>
          </cell>
          <cell r="J766">
            <v>4238.3999999999896</v>
          </cell>
          <cell r="K766">
            <v>0</v>
          </cell>
          <cell r="L766">
            <v>4238.3999999999896</v>
          </cell>
          <cell r="M766">
            <v>39290.839999999902</v>
          </cell>
          <cell r="N766">
            <v>10399</v>
          </cell>
          <cell r="O766">
            <v>0</v>
          </cell>
          <cell r="R766">
            <v>0</v>
          </cell>
        </row>
        <row r="767">
          <cell r="G767">
            <v>252669.67</v>
          </cell>
          <cell r="I767">
            <v>0</v>
          </cell>
          <cell r="J767">
            <v>25281.040000000001</v>
          </cell>
          <cell r="K767">
            <v>0</v>
          </cell>
          <cell r="L767">
            <v>25281.040000000001</v>
          </cell>
          <cell r="M767">
            <v>277950.71000000002</v>
          </cell>
          <cell r="N767">
            <v>83740.089999999895</v>
          </cell>
          <cell r="O767">
            <v>0</v>
          </cell>
          <cell r="R767">
            <v>0</v>
          </cell>
        </row>
        <row r="768">
          <cell r="G768">
            <v>60186.51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64041.68</v>
          </cell>
          <cell r="N768">
            <v>11266.959999999901</v>
          </cell>
          <cell r="O768">
            <v>0</v>
          </cell>
          <cell r="R768">
            <v>0</v>
          </cell>
        </row>
        <row r="769">
          <cell r="G769">
            <v>35052.44</v>
          </cell>
          <cell r="I769">
            <v>0</v>
          </cell>
          <cell r="J769">
            <v>1242.24</v>
          </cell>
          <cell r="K769">
            <v>0</v>
          </cell>
          <cell r="L769">
            <v>1242.24</v>
          </cell>
          <cell r="M769">
            <v>36294.68</v>
          </cell>
          <cell r="N769">
            <v>12680.2</v>
          </cell>
          <cell r="O769">
            <v>0</v>
          </cell>
          <cell r="R769">
            <v>0</v>
          </cell>
        </row>
        <row r="770">
          <cell r="G770">
            <v>10059.85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10477.6</v>
          </cell>
          <cell r="N770">
            <v>2746.6999999999898</v>
          </cell>
          <cell r="O770">
            <v>0</v>
          </cell>
          <cell r="R770">
            <v>0</v>
          </cell>
        </row>
        <row r="771">
          <cell r="G771">
            <v>35052.44</v>
          </cell>
          <cell r="I771">
            <v>0</v>
          </cell>
          <cell r="J771">
            <v>3325.92</v>
          </cell>
          <cell r="K771">
            <v>0</v>
          </cell>
          <cell r="L771">
            <v>3325.92</v>
          </cell>
          <cell r="M771">
            <v>38378.36</v>
          </cell>
          <cell r="N771">
            <v>12021.639999999899</v>
          </cell>
          <cell r="O771">
            <v>0</v>
          </cell>
          <cell r="R771">
            <v>0</v>
          </cell>
        </row>
        <row r="772">
          <cell r="G772">
            <v>18601.799999999901</v>
          </cell>
          <cell r="I772">
            <v>0</v>
          </cell>
          <cell r="J772">
            <v>1567.68</v>
          </cell>
          <cell r="K772">
            <v>0</v>
          </cell>
          <cell r="L772">
            <v>1567.68</v>
          </cell>
          <cell r="M772">
            <v>21469.34</v>
          </cell>
          <cell r="N772">
            <v>3922.6599999999899</v>
          </cell>
          <cell r="O772">
            <v>0</v>
          </cell>
          <cell r="R772">
            <v>0</v>
          </cell>
        </row>
        <row r="773">
          <cell r="G773">
            <v>17526.22</v>
          </cell>
          <cell r="I773">
            <v>0</v>
          </cell>
          <cell r="J773">
            <v>2119.1999999999898</v>
          </cell>
          <cell r="K773">
            <v>0</v>
          </cell>
          <cell r="L773">
            <v>2119.1999999999898</v>
          </cell>
          <cell r="M773">
            <v>19645.4199999999</v>
          </cell>
          <cell r="N773">
            <v>5378.18</v>
          </cell>
          <cell r="O773">
            <v>0</v>
          </cell>
          <cell r="R773">
            <v>0</v>
          </cell>
        </row>
        <row r="774">
          <cell r="G774">
            <v>40097.43</v>
          </cell>
          <cell r="I774">
            <v>0</v>
          </cell>
          <cell r="J774">
            <v>1727.76</v>
          </cell>
          <cell r="K774">
            <v>0</v>
          </cell>
          <cell r="L774">
            <v>1727.76</v>
          </cell>
          <cell r="M774">
            <v>43225.139999999898</v>
          </cell>
          <cell r="N774">
            <v>9322.0799999999908</v>
          </cell>
          <cell r="O774">
            <v>0</v>
          </cell>
          <cell r="R774">
            <v>0</v>
          </cell>
        </row>
        <row r="775">
          <cell r="G775">
            <v>10223.620000000001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10223.620000000001</v>
          </cell>
          <cell r="N775">
            <v>3956.42</v>
          </cell>
          <cell r="O775">
            <v>0</v>
          </cell>
          <cell r="R775">
            <v>0</v>
          </cell>
        </row>
        <row r="776">
          <cell r="G776">
            <v>20447.77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21724.97</v>
          </cell>
          <cell r="N776">
            <v>3224.03</v>
          </cell>
          <cell r="O776">
            <v>0</v>
          </cell>
          <cell r="R776">
            <v>0</v>
          </cell>
        </row>
        <row r="777">
          <cell r="G777">
            <v>154814.95000000001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154814.95000000001</v>
          </cell>
          <cell r="N777">
            <v>59911.37</v>
          </cell>
          <cell r="O777">
            <v>0</v>
          </cell>
          <cell r="R777">
            <v>0</v>
          </cell>
        </row>
        <row r="778">
          <cell r="G778">
            <v>17526.22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17526.22</v>
          </cell>
          <cell r="N778">
            <v>6782.42</v>
          </cell>
          <cell r="O778">
            <v>0</v>
          </cell>
          <cell r="R778">
            <v>0</v>
          </cell>
        </row>
        <row r="779">
          <cell r="G779">
            <v>0</v>
          </cell>
          <cell r="I779">
            <v>144</v>
          </cell>
          <cell r="J779">
            <v>0</v>
          </cell>
          <cell r="K779">
            <v>0</v>
          </cell>
          <cell r="L779">
            <v>144</v>
          </cell>
          <cell r="M779">
            <v>144</v>
          </cell>
          <cell r="N779">
            <v>-144</v>
          </cell>
          <cell r="O779">
            <v>0</v>
          </cell>
          <cell r="R779">
            <v>0</v>
          </cell>
        </row>
        <row r="780">
          <cell r="G780">
            <v>0</v>
          </cell>
          <cell r="I780">
            <v>6866.3999999999896</v>
          </cell>
          <cell r="J780">
            <v>0</v>
          </cell>
          <cell r="K780">
            <v>0</v>
          </cell>
          <cell r="L780">
            <v>6866.3999999999896</v>
          </cell>
          <cell r="M780">
            <v>6866.3999999999896</v>
          </cell>
          <cell r="N780">
            <v>-6866.3999999999896</v>
          </cell>
          <cell r="O780">
            <v>0</v>
          </cell>
          <cell r="R780">
            <v>0</v>
          </cell>
        </row>
        <row r="781">
          <cell r="G781">
            <v>0</v>
          </cell>
          <cell r="I781">
            <v>8544.6</v>
          </cell>
          <cell r="J781">
            <v>0</v>
          </cell>
          <cell r="K781">
            <v>0</v>
          </cell>
          <cell r="L781">
            <v>8544.6</v>
          </cell>
          <cell r="M781">
            <v>8544.6</v>
          </cell>
          <cell r="N781">
            <v>-8544.6</v>
          </cell>
          <cell r="O781">
            <v>0</v>
          </cell>
          <cell r="R781">
            <v>0</v>
          </cell>
        </row>
        <row r="782">
          <cell r="G782">
            <v>0</v>
          </cell>
          <cell r="I782">
            <v>144</v>
          </cell>
          <cell r="J782">
            <v>0</v>
          </cell>
          <cell r="K782">
            <v>0</v>
          </cell>
          <cell r="L782">
            <v>144</v>
          </cell>
          <cell r="M782">
            <v>144</v>
          </cell>
          <cell r="N782">
            <v>-144</v>
          </cell>
          <cell r="O782">
            <v>0</v>
          </cell>
          <cell r="R782">
            <v>0</v>
          </cell>
        </row>
        <row r="783">
          <cell r="G783">
            <v>-365.29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-365.29</v>
          </cell>
          <cell r="N783">
            <v>365.29</v>
          </cell>
          <cell r="O783">
            <v>0</v>
          </cell>
          <cell r="R783">
            <v>0</v>
          </cell>
        </row>
        <row r="784">
          <cell r="G784">
            <v>9508.51</v>
          </cell>
          <cell r="I784">
            <v>150.09</v>
          </cell>
          <cell r="J784">
            <v>0</v>
          </cell>
          <cell r="K784">
            <v>2.9999999999999898E-2</v>
          </cell>
          <cell r="L784">
            <v>150.12</v>
          </cell>
          <cell r="M784">
            <v>10017.73</v>
          </cell>
          <cell r="N784">
            <v>1254.23</v>
          </cell>
          <cell r="O784">
            <v>0</v>
          </cell>
          <cell r="R784">
            <v>22.07</v>
          </cell>
        </row>
        <row r="785">
          <cell r="G785">
            <v>6791.79</v>
          </cell>
          <cell r="I785">
            <v>107.209999999999</v>
          </cell>
          <cell r="J785">
            <v>0</v>
          </cell>
          <cell r="K785">
            <v>0.02</v>
          </cell>
          <cell r="L785">
            <v>107.23</v>
          </cell>
          <cell r="M785">
            <v>7155.51</v>
          </cell>
          <cell r="N785">
            <v>895.88999999999896</v>
          </cell>
          <cell r="O785">
            <v>0</v>
          </cell>
          <cell r="R785">
            <v>15.74</v>
          </cell>
        </row>
        <row r="786">
          <cell r="G786">
            <v>7226.7799999999897</v>
          </cell>
          <cell r="I786">
            <v>128.65</v>
          </cell>
          <cell r="J786">
            <v>907.91999999999905</v>
          </cell>
          <cell r="K786">
            <v>0.02</v>
          </cell>
          <cell r="L786">
            <v>1036.5899999999899</v>
          </cell>
          <cell r="M786">
            <v>8582.2000000000007</v>
          </cell>
          <cell r="N786">
            <v>1427.24</v>
          </cell>
          <cell r="O786">
            <v>0</v>
          </cell>
          <cell r="R786">
            <v>16.760000000000002</v>
          </cell>
        </row>
        <row r="787">
          <cell r="G787">
            <v>365.29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365.29</v>
          </cell>
          <cell r="N787">
            <v>-365.29</v>
          </cell>
          <cell r="O787">
            <v>0</v>
          </cell>
          <cell r="R787">
            <v>0.83999999999999897</v>
          </cell>
        </row>
        <row r="788">
          <cell r="G788">
            <v>14453.549999999899</v>
          </cell>
          <cell r="I788">
            <v>257.31999999999903</v>
          </cell>
          <cell r="J788">
            <v>1253.52</v>
          </cell>
          <cell r="K788">
            <v>0.04</v>
          </cell>
          <cell r="L788">
            <v>1510.88</v>
          </cell>
          <cell r="M788">
            <v>16602.7599999999</v>
          </cell>
          <cell r="N788">
            <v>3436.28</v>
          </cell>
          <cell r="O788">
            <v>0</v>
          </cell>
          <cell r="R788">
            <v>33.53</v>
          </cell>
        </row>
        <row r="789">
          <cell r="G789">
            <v>14453.559999999899</v>
          </cell>
          <cell r="I789">
            <v>257.31999999999903</v>
          </cell>
          <cell r="J789">
            <v>822.6</v>
          </cell>
          <cell r="K789">
            <v>0.04</v>
          </cell>
          <cell r="L789">
            <v>1079.96</v>
          </cell>
          <cell r="M789">
            <v>16176.799999999899</v>
          </cell>
          <cell r="N789">
            <v>4018.5999999999899</v>
          </cell>
          <cell r="O789">
            <v>0</v>
          </cell>
          <cell r="R789">
            <v>33.53</v>
          </cell>
        </row>
        <row r="790">
          <cell r="G790">
            <v>14453.559999999899</v>
          </cell>
          <cell r="I790">
            <v>257.31999999999903</v>
          </cell>
          <cell r="J790">
            <v>1999.3199999999899</v>
          </cell>
          <cell r="K790">
            <v>0.04</v>
          </cell>
          <cell r="L790">
            <v>2256.6799999999898</v>
          </cell>
          <cell r="M790">
            <v>17350.5099999999</v>
          </cell>
          <cell r="N790">
            <v>2749.01</v>
          </cell>
          <cell r="O790">
            <v>0</v>
          </cell>
          <cell r="R790">
            <v>33.53</v>
          </cell>
        </row>
        <row r="791">
          <cell r="G791">
            <v>21680.33</v>
          </cell>
          <cell r="I791">
            <v>385.97</v>
          </cell>
          <cell r="J791">
            <v>1739.88</v>
          </cell>
          <cell r="K791">
            <v>5.9999999999999901E-2</v>
          </cell>
          <cell r="L791">
            <v>2125.9099999999899</v>
          </cell>
          <cell r="M791">
            <v>24761.81</v>
          </cell>
          <cell r="N791">
            <v>5236.2700000000004</v>
          </cell>
          <cell r="O791">
            <v>0</v>
          </cell>
          <cell r="R791">
            <v>50.2899999999999</v>
          </cell>
        </row>
        <row r="792">
          <cell r="G792">
            <v>120446.25999999901</v>
          </cell>
          <cell r="I792">
            <v>2144.25</v>
          </cell>
          <cell r="J792">
            <v>0</v>
          </cell>
          <cell r="K792">
            <v>0.35999999999999899</v>
          </cell>
          <cell r="L792">
            <v>2144.61</v>
          </cell>
          <cell r="M792">
            <v>127684.19</v>
          </cell>
          <cell r="N792">
            <v>32209.81</v>
          </cell>
          <cell r="O792">
            <v>0</v>
          </cell>
          <cell r="R792">
            <v>279.45999999999901</v>
          </cell>
        </row>
        <row r="793">
          <cell r="G793">
            <v>14453.549999999899</v>
          </cell>
          <cell r="I793">
            <v>257.31999999999903</v>
          </cell>
          <cell r="J793">
            <v>0</v>
          </cell>
          <cell r="K793">
            <v>0.04</v>
          </cell>
          <cell r="L793">
            <v>257.36</v>
          </cell>
          <cell r="M793">
            <v>15315.09</v>
          </cell>
          <cell r="N793">
            <v>3650.4299999999898</v>
          </cell>
          <cell r="O793">
            <v>0</v>
          </cell>
          <cell r="R793">
            <v>33.53</v>
          </cell>
        </row>
        <row r="794">
          <cell r="G794">
            <v>21680.33</v>
          </cell>
          <cell r="I794">
            <v>385.97</v>
          </cell>
          <cell r="J794">
            <v>842.27999999999895</v>
          </cell>
          <cell r="K794">
            <v>5.9999999999999901E-2</v>
          </cell>
          <cell r="L794">
            <v>1228.3099999999899</v>
          </cell>
          <cell r="M794">
            <v>23817.82</v>
          </cell>
          <cell r="N794">
            <v>4723.1000000000004</v>
          </cell>
          <cell r="O794">
            <v>0</v>
          </cell>
          <cell r="R794">
            <v>50.2899999999999</v>
          </cell>
        </row>
        <row r="795">
          <cell r="G795">
            <v>16300.29</v>
          </cell>
          <cell r="I795">
            <v>257.31999999999903</v>
          </cell>
          <cell r="J795">
            <v>0</v>
          </cell>
          <cell r="K795">
            <v>0.04</v>
          </cell>
          <cell r="L795">
            <v>257.36</v>
          </cell>
          <cell r="M795">
            <v>17172.580000000002</v>
          </cell>
          <cell r="N795">
            <v>2131.34</v>
          </cell>
          <cell r="O795">
            <v>0</v>
          </cell>
          <cell r="R795">
            <v>37.799999999999898</v>
          </cell>
        </row>
        <row r="796">
          <cell r="G796">
            <v>16300.29</v>
          </cell>
          <cell r="I796">
            <v>257.31999999999903</v>
          </cell>
          <cell r="J796">
            <v>0</v>
          </cell>
          <cell r="K796">
            <v>0.04</v>
          </cell>
          <cell r="L796">
            <v>257.36</v>
          </cell>
          <cell r="M796">
            <v>17172.580000000002</v>
          </cell>
          <cell r="N796">
            <v>2131.34</v>
          </cell>
          <cell r="O796">
            <v>0</v>
          </cell>
          <cell r="R796">
            <v>37.799999999999898</v>
          </cell>
        </row>
        <row r="797">
          <cell r="G797">
            <v>60080.239999999903</v>
          </cell>
          <cell r="I797">
            <v>1050.69</v>
          </cell>
          <cell r="J797">
            <v>0</v>
          </cell>
          <cell r="K797">
            <v>0.17</v>
          </cell>
          <cell r="L797">
            <v>1050.8599999999899</v>
          </cell>
          <cell r="M797">
            <v>63565.739999999903</v>
          </cell>
          <cell r="N797">
            <v>12864.459999999901</v>
          </cell>
          <cell r="O797">
            <v>0</v>
          </cell>
          <cell r="R797">
            <v>139.38999999999899</v>
          </cell>
        </row>
        <row r="798">
          <cell r="G798">
            <v>137673.929999999</v>
          </cell>
          <cell r="I798">
            <v>2444.44</v>
          </cell>
          <cell r="J798">
            <v>9930.92</v>
          </cell>
          <cell r="K798">
            <v>0.40999999999999898</v>
          </cell>
          <cell r="L798">
            <v>12375.77</v>
          </cell>
          <cell r="M798">
            <v>156027.73000000001</v>
          </cell>
          <cell r="N798">
            <v>31641.1899999999</v>
          </cell>
          <cell r="O798">
            <v>0</v>
          </cell>
          <cell r="R798">
            <v>319.44</v>
          </cell>
        </row>
        <row r="799">
          <cell r="G799">
            <v>107895.75999999901</v>
          </cell>
          <cell r="I799">
            <v>1747.5699999999899</v>
          </cell>
          <cell r="J799">
            <v>0</v>
          </cell>
          <cell r="K799">
            <v>0.28999999999999898</v>
          </cell>
          <cell r="L799">
            <v>1747.8599999999899</v>
          </cell>
          <cell r="M799">
            <v>113800.78</v>
          </cell>
          <cell r="N799">
            <v>16704.799999999901</v>
          </cell>
          <cell r="O799">
            <v>0</v>
          </cell>
          <cell r="R799">
            <v>250.31</v>
          </cell>
        </row>
        <row r="800">
          <cell r="G800">
            <v>98481.02</v>
          </cell>
          <cell r="I800">
            <v>1554.5899999999899</v>
          </cell>
          <cell r="J800">
            <v>0</v>
          </cell>
          <cell r="K800">
            <v>0.26</v>
          </cell>
          <cell r="L800">
            <v>1554.8499999999899</v>
          </cell>
          <cell r="M800">
            <v>103750.52</v>
          </cell>
          <cell r="N800">
            <v>12863.559999999899</v>
          </cell>
          <cell r="O800">
            <v>0</v>
          </cell>
          <cell r="R800">
            <v>228.49</v>
          </cell>
        </row>
        <row r="801">
          <cell r="G801">
            <v>28907.0999999999</v>
          </cell>
          <cell r="I801">
            <v>514.62</v>
          </cell>
          <cell r="J801">
            <v>3794.6399999999899</v>
          </cell>
          <cell r="K801">
            <v>8.99999999999999E-2</v>
          </cell>
          <cell r="L801">
            <v>4309.3500000000004</v>
          </cell>
          <cell r="M801">
            <v>34458.33</v>
          </cell>
          <cell r="N801">
            <v>4529.1899999999896</v>
          </cell>
          <cell r="O801">
            <v>0</v>
          </cell>
          <cell r="R801">
            <v>67.079999999999899</v>
          </cell>
        </row>
        <row r="802">
          <cell r="G802">
            <v>4817.8500000000004</v>
          </cell>
          <cell r="I802">
            <v>85.769999999999897</v>
          </cell>
          <cell r="J802">
            <v>0</v>
          </cell>
          <cell r="K802">
            <v>0.01</v>
          </cell>
          <cell r="L802">
            <v>85.78</v>
          </cell>
          <cell r="M802">
            <v>5107.3299999999899</v>
          </cell>
          <cell r="N802">
            <v>1288.43</v>
          </cell>
          <cell r="O802">
            <v>0</v>
          </cell>
          <cell r="R802">
            <v>11.17</v>
          </cell>
        </row>
        <row r="803">
          <cell r="G803">
            <v>33724.889999999898</v>
          </cell>
          <cell r="I803">
            <v>600.38999999999896</v>
          </cell>
          <cell r="J803">
            <v>2773.36</v>
          </cell>
          <cell r="K803">
            <v>0.1</v>
          </cell>
          <cell r="L803">
            <v>3373.8499999999899</v>
          </cell>
          <cell r="M803">
            <v>38566.22</v>
          </cell>
          <cell r="N803">
            <v>7502.18</v>
          </cell>
          <cell r="O803">
            <v>0</v>
          </cell>
          <cell r="R803">
            <v>78.25</v>
          </cell>
        </row>
        <row r="804">
          <cell r="G804">
            <v>6791.79</v>
          </cell>
          <cell r="I804">
            <v>107.209999999999</v>
          </cell>
          <cell r="J804">
            <v>0</v>
          </cell>
          <cell r="K804">
            <v>0.02</v>
          </cell>
          <cell r="L804">
            <v>107.23</v>
          </cell>
          <cell r="M804">
            <v>7158.8599999999897</v>
          </cell>
          <cell r="N804">
            <v>997.84</v>
          </cell>
          <cell r="O804">
            <v>0</v>
          </cell>
          <cell r="R804">
            <v>15.74</v>
          </cell>
        </row>
        <row r="805">
          <cell r="G805">
            <v>68654.36</v>
          </cell>
          <cell r="I805">
            <v>1222.22</v>
          </cell>
          <cell r="J805">
            <v>7657.6199999999899</v>
          </cell>
          <cell r="K805">
            <v>0.2</v>
          </cell>
          <cell r="L805">
            <v>8880.0400000000009</v>
          </cell>
          <cell r="M805">
            <v>80566.309999999896</v>
          </cell>
          <cell r="N805">
            <v>14615.45</v>
          </cell>
          <cell r="O805">
            <v>0</v>
          </cell>
          <cell r="R805">
            <v>159.289999999999</v>
          </cell>
        </row>
        <row r="806">
          <cell r="G806">
            <v>23092.080000000002</v>
          </cell>
          <cell r="I806">
            <v>364.51999999999902</v>
          </cell>
          <cell r="J806">
            <v>0</v>
          </cell>
          <cell r="K806">
            <v>5.9999999999999901E-2</v>
          </cell>
          <cell r="L806">
            <v>364.57999999999902</v>
          </cell>
          <cell r="M806">
            <v>24327.7</v>
          </cell>
          <cell r="N806">
            <v>3016.28</v>
          </cell>
          <cell r="O806">
            <v>0</v>
          </cell>
          <cell r="R806">
            <v>53.579999999999899</v>
          </cell>
        </row>
        <row r="807">
          <cell r="G807">
            <v>14904.34</v>
          </cell>
          <cell r="I807">
            <v>264.27999999999901</v>
          </cell>
          <cell r="J807">
            <v>1200.96</v>
          </cell>
          <cell r="K807">
            <v>0.04</v>
          </cell>
          <cell r="L807">
            <v>1465.28</v>
          </cell>
          <cell r="M807">
            <v>17023.6699999999</v>
          </cell>
          <cell r="N807">
            <v>3508.2199999999898</v>
          </cell>
          <cell r="O807">
            <v>0</v>
          </cell>
          <cell r="R807">
            <v>34.590000000000003</v>
          </cell>
        </row>
        <row r="808">
          <cell r="G808">
            <v>30987.6899999999</v>
          </cell>
          <cell r="I808">
            <v>546.78999999999905</v>
          </cell>
          <cell r="J808">
            <v>0</v>
          </cell>
          <cell r="K808">
            <v>0.1</v>
          </cell>
          <cell r="L808">
            <v>546.88999999999896</v>
          </cell>
          <cell r="M808">
            <v>32847.01</v>
          </cell>
          <cell r="N808">
            <v>8355.26</v>
          </cell>
          <cell r="O808">
            <v>0</v>
          </cell>
          <cell r="R808">
            <v>71.89</v>
          </cell>
        </row>
        <row r="809">
          <cell r="G809">
            <v>6022.31</v>
          </cell>
          <cell r="I809">
            <v>107.209999999999</v>
          </cell>
          <cell r="J809">
            <v>0</v>
          </cell>
          <cell r="K809">
            <v>0.02</v>
          </cell>
          <cell r="L809">
            <v>107.23</v>
          </cell>
          <cell r="M809">
            <v>6380.3</v>
          </cell>
          <cell r="N809">
            <v>1490.2</v>
          </cell>
          <cell r="O809">
            <v>0</v>
          </cell>
          <cell r="R809">
            <v>13.98</v>
          </cell>
        </row>
        <row r="810">
          <cell r="G810">
            <v>7226.7799999999897</v>
          </cell>
          <cell r="I810">
            <v>128.65</v>
          </cell>
          <cell r="J810">
            <v>0</v>
          </cell>
          <cell r="K810">
            <v>0.02</v>
          </cell>
          <cell r="L810">
            <v>128.66999999999899</v>
          </cell>
          <cell r="M810">
            <v>7656.3199999999897</v>
          </cell>
          <cell r="N810">
            <v>1788.28</v>
          </cell>
          <cell r="O810">
            <v>0</v>
          </cell>
          <cell r="R810">
            <v>16.760000000000002</v>
          </cell>
        </row>
        <row r="811">
          <cell r="G811">
            <v>22884.79</v>
          </cell>
          <cell r="I811">
            <v>407.39999999999901</v>
          </cell>
          <cell r="J811">
            <v>1779.1199999999899</v>
          </cell>
          <cell r="K811">
            <v>7.0000000000000007E-2</v>
          </cell>
          <cell r="L811">
            <v>2186.59</v>
          </cell>
          <cell r="M811">
            <v>26058.13</v>
          </cell>
          <cell r="N811">
            <v>4918.97</v>
          </cell>
          <cell r="O811">
            <v>0</v>
          </cell>
          <cell r="R811">
            <v>53.1</v>
          </cell>
        </row>
        <row r="812">
          <cell r="G812">
            <v>14453.549999999899</v>
          </cell>
          <cell r="I812">
            <v>257.31999999999903</v>
          </cell>
          <cell r="J812">
            <v>0</v>
          </cell>
          <cell r="K812">
            <v>0.04</v>
          </cell>
          <cell r="L812">
            <v>257.36</v>
          </cell>
          <cell r="M812">
            <v>15323.45</v>
          </cell>
          <cell r="N812">
            <v>3905.1399999999899</v>
          </cell>
          <cell r="O812">
            <v>0</v>
          </cell>
          <cell r="R812">
            <v>33.53</v>
          </cell>
        </row>
        <row r="813">
          <cell r="G813">
            <v>49425.73</v>
          </cell>
          <cell r="I813">
            <v>804.11</v>
          </cell>
          <cell r="J813">
            <v>0</v>
          </cell>
          <cell r="K813">
            <v>0.14000000000000001</v>
          </cell>
          <cell r="L813">
            <v>804.25</v>
          </cell>
          <cell r="M813">
            <v>52140</v>
          </cell>
          <cell r="N813">
            <v>7820.25</v>
          </cell>
          <cell r="O813">
            <v>0</v>
          </cell>
          <cell r="R813">
            <v>114.68</v>
          </cell>
        </row>
        <row r="814">
          <cell r="G814">
            <v>16300.29</v>
          </cell>
          <cell r="I814">
            <v>257.31999999999903</v>
          </cell>
          <cell r="J814">
            <v>0</v>
          </cell>
          <cell r="K814">
            <v>0.04</v>
          </cell>
          <cell r="L814">
            <v>257.36</v>
          </cell>
          <cell r="M814">
            <v>17170.73</v>
          </cell>
          <cell r="N814">
            <v>2074.8699999999899</v>
          </cell>
          <cell r="O814">
            <v>0</v>
          </cell>
          <cell r="R814">
            <v>37.799999999999898</v>
          </cell>
        </row>
        <row r="815">
          <cell r="G815">
            <v>71063.289999999906</v>
          </cell>
          <cell r="I815">
            <v>1265.1199999999899</v>
          </cell>
          <cell r="J815">
            <v>5416.18</v>
          </cell>
          <cell r="K815">
            <v>0.20999999999999899</v>
          </cell>
          <cell r="L815">
            <v>6681.51</v>
          </cell>
          <cell r="M815">
            <v>80823.05</v>
          </cell>
          <cell r="N815">
            <v>15813.67</v>
          </cell>
          <cell r="O815">
            <v>0</v>
          </cell>
          <cell r="R815">
            <v>164.87</v>
          </cell>
        </row>
        <row r="816">
          <cell r="G816">
            <v>21884.240000000002</v>
          </cell>
          <cell r="I816">
            <v>343.06999999999903</v>
          </cell>
          <cell r="J816">
            <v>0</v>
          </cell>
          <cell r="K816">
            <v>5.9999999999999901E-2</v>
          </cell>
          <cell r="L816">
            <v>343.13</v>
          </cell>
          <cell r="M816">
            <v>23042.279999999901</v>
          </cell>
          <cell r="N816">
            <v>2540.7600000000002</v>
          </cell>
          <cell r="O816">
            <v>0</v>
          </cell>
          <cell r="R816">
            <v>50.799999999999898</v>
          </cell>
        </row>
        <row r="817">
          <cell r="G817">
            <v>34676.54</v>
          </cell>
          <cell r="I817">
            <v>536.05999999999904</v>
          </cell>
          <cell r="J817">
            <v>0</v>
          </cell>
          <cell r="K817">
            <v>8.99999999999999E-2</v>
          </cell>
          <cell r="L817">
            <v>536.14999999999895</v>
          </cell>
          <cell r="M817">
            <v>36479.849999999897</v>
          </cell>
          <cell r="N817">
            <v>3298.9</v>
          </cell>
          <cell r="O817">
            <v>0</v>
          </cell>
          <cell r="R817">
            <v>80.45</v>
          </cell>
        </row>
        <row r="818">
          <cell r="G818">
            <v>16979.47</v>
          </cell>
          <cell r="I818">
            <v>268.04000000000002</v>
          </cell>
          <cell r="J818">
            <v>0</v>
          </cell>
          <cell r="K818">
            <v>0.04</v>
          </cell>
          <cell r="L818">
            <v>268.07999999999902</v>
          </cell>
          <cell r="M818">
            <v>17888.080000000002</v>
          </cell>
          <cell r="N818">
            <v>2220.17</v>
          </cell>
          <cell r="O818">
            <v>0</v>
          </cell>
          <cell r="R818">
            <v>39.399999999999899</v>
          </cell>
        </row>
        <row r="819">
          <cell r="G819">
            <v>18031.799999999901</v>
          </cell>
          <cell r="I819">
            <v>278.75999999999902</v>
          </cell>
          <cell r="J819">
            <v>0</v>
          </cell>
          <cell r="K819">
            <v>0.05</v>
          </cell>
          <cell r="L819">
            <v>278.81</v>
          </cell>
          <cell r="M819">
            <v>18972.75</v>
          </cell>
          <cell r="N819">
            <v>1813.47</v>
          </cell>
          <cell r="O819">
            <v>0</v>
          </cell>
          <cell r="R819">
            <v>41.85</v>
          </cell>
        </row>
        <row r="820">
          <cell r="G820">
            <v>59937.339999999902</v>
          </cell>
          <cell r="I820">
            <v>1029.24</v>
          </cell>
          <cell r="J820">
            <v>0</v>
          </cell>
          <cell r="K820">
            <v>0.17999999999999899</v>
          </cell>
          <cell r="L820">
            <v>1029.42</v>
          </cell>
          <cell r="M820">
            <v>63373.559999999903</v>
          </cell>
          <cell r="N820">
            <v>12183.719999999899</v>
          </cell>
          <cell r="O820">
            <v>0</v>
          </cell>
          <cell r="R820">
            <v>139.08000000000001</v>
          </cell>
        </row>
        <row r="821">
          <cell r="G821">
            <v>49311.519999999902</v>
          </cell>
          <cell r="I821">
            <v>868.40999999999894</v>
          </cell>
          <cell r="J821">
            <v>2275.6199999999899</v>
          </cell>
          <cell r="K821">
            <v>0.14000000000000001</v>
          </cell>
          <cell r="L821">
            <v>3144.17</v>
          </cell>
          <cell r="M821">
            <v>54580.47</v>
          </cell>
          <cell r="N821">
            <v>12121.41</v>
          </cell>
          <cell r="O821">
            <v>0</v>
          </cell>
          <cell r="R821">
            <v>114.42</v>
          </cell>
        </row>
        <row r="822">
          <cell r="G822">
            <v>8192.9799999999905</v>
          </cell>
          <cell r="I822">
            <v>128.65</v>
          </cell>
          <cell r="J822">
            <v>0</v>
          </cell>
          <cell r="K822">
            <v>0.02</v>
          </cell>
          <cell r="L822">
            <v>128.66999999999899</v>
          </cell>
          <cell r="M822">
            <v>8631.2399999999907</v>
          </cell>
          <cell r="N822">
            <v>1088.76</v>
          </cell>
          <cell r="O822">
            <v>0</v>
          </cell>
          <cell r="R822">
            <v>19.010000000000002</v>
          </cell>
        </row>
        <row r="823">
          <cell r="G823">
            <v>26487.98</v>
          </cell>
          <cell r="I823">
            <v>418.12</v>
          </cell>
          <cell r="J823">
            <v>0</v>
          </cell>
          <cell r="K823">
            <v>7.0000000000000007E-2</v>
          </cell>
          <cell r="L823">
            <v>418.19</v>
          </cell>
          <cell r="M823">
            <v>27905.4199999999</v>
          </cell>
          <cell r="N823">
            <v>3463.4499999999898</v>
          </cell>
          <cell r="O823">
            <v>0</v>
          </cell>
          <cell r="R823">
            <v>61.46</v>
          </cell>
        </row>
        <row r="824">
          <cell r="G824">
            <v>14453.549999999899</v>
          </cell>
          <cell r="I824">
            <v>257.31999999999903</v>
          </cell>
          <cell r="J824">
            <v>2076.2399999999898</v>
          </cell>
          <cell r="K824">
            <v>0.04</v>
          </cell>
          <cell r="L824">
            <v>2333.5999999999899</v>
          </cell>
          <cell r="M824">
            <v>17427.4199999999</v>
          </cell>
          <cell r="N824">
            <v>2672.0999999999899</v>
          </cell>
          <cell r="O824">
            <v>0</v>
          </cell>
          <cell r="R824">
            <v>33.53</v>
          </cell>
        </row>
        <row r="825">
          <cell r="G825">
            <v>14453.549999999899</v>
          </cell>
          <cell r="I825">
            <v>257.31999999999903</v>
          </cell>
          <cell r="J825">
            <v>1779.1199999999899</v>
          </cell>
          <cell r="K825">
            <v>0.04</v>
          </cell>
          <cell r="L825">
            <v>2036.48</v>
          </cell>
          <cell r="M825">
            <v>17134.77</v>
          </cell>
          <cell r="N825">
            <v>3105.8699999999899</v>
          </cell>
          <cell r="O825">
            <v>0</v>
          </cell>
          <cell r="R825">
            <v>33.53</v>
          </cell>
        </row>
        <row r="826">
          <cell r="G826">
            <v>8150.1499999999896</v>
          </cell>
          <cell r="I826">
            <v>128.65</v>
          </cell>
          <cell r="J826">
            <v>0</v>
          </cell>
          <cell r="K826">
            <v>0.02</v>
          </cell>
          <cell r="L826">
            <v>128.66999999999899</v>
          </cell>
          <cell r="M826">
            <v>8588.4099999999908</v>
          </cell>
          <cell r="N826">
            <v>1131.5899999999899</v>
          </cell>
          <cell r="O826">
            <v>0</v>
          </cell>
          <cell r="R826">
            <v>18.920000000000002</v>
          </cell>
        </row>
        <row r="827">
          <cell r="G827">
            <v>7226.7799999999897</v>
          </cell>
          <cell r="I827">
            <v>128.65</v>
          </cell>
          <cell r="J827">
            <v>0</v>
          </cell>
          <cell r="K827">
            <v>0.02</v>
          </cell>
          <cell r="L827">
            <v>128.66999999999899</v>
          </cell>
          <cell r="M827">
            <v>7663.84</v>
          </cell>
          <cell r="N827">
            <v>2017.16</v>
          </cell>
          <cell r="O827">
            <v>0</v>
          </cell>
          <cell r="R827">
            <v>16.760000000000002</v>
          </cell>
        </row>
        <row r="828">
          <cell r="G828">
            <v>28907.0999999999</v>
          </cell>
          <cell r="I828">
            <v>514.62</v>
          </cell>
          <cell r="J828">
            <v>0</v>
          </cell>
          <cell r="K828">
            <v>8.99999999999999E-2</v>
          </cell>
          <cell r="L828">
            <v>514.71</v>
          </cell>
          <cell r="M828">
            <v>30662.81</v>
          </cell>
          <cell r="N828">
            <v>8294.9500000000007</v>
          </cell>
          <cell r="O828">
            <v>0</v>
          </cell>
          <cell r="R828">
            <v>67.079999999999899</v>
          </cell>
        </row>
        <row r="829">
          <cell r="G829">
            <v>484815.32</v>
          </cell>
          <cell r="I829">
            <v>8341.1399999999903</v>
          </cell>
          <cell r="J829">
            <v>11999.54</v>
          </cell>
          <cell r="K829">
            <v>1.3899999999999899</v>
          </cell>
          <cell r="L829">
            <v>20342.07</v>
          </cell>
          <cell r="M829">
            <v>525256.51</v>
          </cell>
          <cell r="N829">
            <v>105717.47</v>
          </cell>
          <cell r="O829">
            <v>0</v>
          </cell>
          <cell r="R829">
            <v>1124.8499999999899</v>
          </cell>
        </row>
        <row r="830">
          <cell r="G830">
            <v>437193.34</v>
          </cell>
          <cell r="I830">
            <v>6770.4899999999898</v>
          </cell>
          <cell r="J830">
            <v>0</v>
          </cell>
          <cell r="K830">
            <v>1.1299999999999899</v>
          </cell>
          <cell r="L830">
            <v>6771.6199999999899</v>
          </cell>
          <cell r="M830">
            <v>461147.179999999</v>
          </cell>
          <cell r="N830">
            <v>78254.080000000002</v>
          </cell>
          <cell r="O830">
            <v>0</v>
          </cell>
          <cell r="R830">
            <v>1014.37</v>
          </cell>
        </row>
        <row r="831">
          <cell r="G831">
            <v>3395.8899999999899</v>
          </cell>
          <cell r="I831">
            <v>53.6</v>
          </cell>
          <cell r="J831">
            <v>0</v>
          </cell>
          <cell r="K831">
            <v>0.01</v>
          </cell>
          <cell r="L831">
            <v>53.6099999999999</v>
          </cell>
          <cell r="M831">
            <v>3577.76</v>
          </cell>
          <cell r="N831">
            <v>447.94</v>
          </cell>
          <cell r="O831">
            <v>0</v>
          </cell>
          <cell r="R831">
            <v>7.87</v>
          </cell>
        </row>
        <row r="832">
          <cell r="G832">
            <v>29968.6699999999</v>
          </cell>
          <cell r="I832">
            <v>514.63999999999896</v>
          </cell>
          <cell r="J832">
            <v>0</v>
          </cell>
          <cell r="K832">
            <v>0.08</v>
          </cell>
          <cell r="L832">
            <v>514.72</v>
          </cell>
          <cell r="M832">
            <v>31688.65</v>
          </cell>
          <cell r="N832">
            <v>6147.1099999999897</v>
          </cell>
          <cell r="O832">
            <v>0</v>
          </cell>
          <cell r="R832">
            <v>69.53</v>
          </cell>
        </row>
        <row r="833">
          <cell r="G833">
            <v>7226.7799999999897</v>
          </cell>
          <cell r="I833">
            <v>128.65</v>
          </cell>
          <cell r="J833">
            <v>650.39999999999895</v>
          </cell>
          <cell r="K833">
            <v>0.02</v>
          </cell>
          <cell r="L833">
            <v>779.07</v>
          </cell>
          <cell r="M833">
            <v>8332.42</v>
          </cell>
          <cell r="N833">
            <v>1918.94</v>
          </cell>
          <cell r="O833">
            <v>0</v>
          </cell>
          <cell r="R833">
            <v>16.760000000000002</v>
          </cell>
        </row>
        <row r="834">
          <cell r="G834">
            <v>1239254.3600000001</v>
          </cell>
          <cell r="I834">
            <v>21244.2599999999</v>
          </cell>
          <cell r="J834">
            <v>41843.349999999897</v>
          </cell>
          <cell r="K834">
            <v>3.54</v>
          </cell>
          <cell r="L834">
            <v>63091.15</v>
          </cell>
          <cell r="M834">
            <v>1354969.81</v>
          </cell>
          <cell r="N834">
            <v>297066.989999999</v>
          </cell>
          <cell r="O834">
            <v>0</v>
          </cell>
          <cell r="R834">
            <v>2875.29</v>
          </cell>
        </row>
        <row r="835">
          <cell r="G835">
            <v>181873.85</v>
          </cell>
          <cell r="I835">
            <v>3237.8099999999899</v>
          </cell>
          <cell r="J835">
            <v>19793.7599999999</v>
          </cell>
          <cell r="K835">
            <v>0.54</v>
          </cell>
          <cell r="L835">
            <v>23032.11</v>
          </cell>
          <cell r="M835">
            <v>212829.38</v>
          </cell>
          <cell r="N835">
            <v>35910.58</v>
          </cell>
          <cell r="O835">
            <v>0</v>
          </cell>
          <cell r="R835">
            <v>422</v>
          </cell>
        </row>
        <row r="836">
          <cell r="G836">
            <v>15621.12</v>
          </cell>
          <cell r="I836">
            <v>246.59</v>
          </cell>
          <cell r="J836">
            <v>0</v>
          </cell>
          <cell r="K836">
            <v>0.04</v>
          </cell>
          <cell r="L836">
            <v>246.63</v>
          </cell>
          <cell r="M836">
            <v>16455.2599999999</v>
          </cell>
          <cell r="N836">
            <v>1988.44</v>
          </cell>
          <cell r="O836">
            <v>0</v>
          </cell>
          <cell r="R836">
            <v>36.25</v>
          </cell>
        </row>
        <row r="837">
          <cell r="G837">
            <v>14453.549999999899</v>
          </cell>
          <cell r="I837">
            <v>257.31999999999903</v>
          </cell>
          <cell r="J837">
            <v>1518.96</v>
          </cell>
          <cell r="K837">
            <v>0.04</v>
          </cell>
          <cell r="L837">
            <v>1776.3199999999899</v>
          </cell>
          <cell r="M837">
            <v>16868.2</v>
          </cell>
          <cell r="N837">
            <v>3170.84</v>
          </cell>
          <cell r="O837">
            <v>0</v>
          </cell>
          <cell r="R837">
            <v>33.53</v>
          </cell>
        </row>
        <row r="838">
          <cell r="G838">
            <v>102838.66</v>
          </cell>
          <cell r="I838">
            <v>1811.91</v>
          </cell>
          <cell r="J838">
            <v>780.48</v>
          </cell>
          <cell r="K838">
            <v>0.29999999999999899</v>
          </cell>
          <cell r="L838">
            <v>2592.69</v>
          </cell>
          <cell r="M838">
            <v>109701.27</v>
          </cell>
          <cell r="N838">
            <v>24343.98</v>
          </cell>
          <cell r="O838">
            <v>0</v>
          </cell>
          <cell r="R838">
            <v>238.62</v>
          </cell>
        </row>
        <row r="839">
          <cell r="G839">
            <v>6791.79</v>
          </cell>
          <cell r="I839">
            <v>107.209999999999</v>
          </cell>
          <cell r="J839">
            <v>0</v>
          </cell>
          <cell r="K839">
            <v>0.02</v>
          </cell>
          <cell r="L839">
            <v>107.23</v>
          </cell>
          <cell r="M839">
            <v>7155.21</v>
          </cell>
          <cell r="N839">
            <v>888.09</v>
          </cell>
          <cell r="O839">
            <v>0</v>
          </cell>
          <cell r="R839">
            <v>15.74</v>
          </cell>
        </row>
        <row r="840">
          <cell r="G840">
            <v>28907.0999999999</v>
          </cell>
          <cell r="I840">
            <v>514.62</v>
          </cell>
          <cell r="J840">
            <v>3558.2399999999898</v>
          </cell>
          <cell r="K840">
            <v>8.99999999999999E-2</v>
          </cell>
          <cell r="L840">
            <v>4072.9499999999898</v>
          </cell>
          <cell r="M840">
            <v>34269.61</v>
          </cell>
          <cell r="N840">
            <v>6211.67</v>
          </cell>
          <cell r="O840">
            <v>0</v>
          </cell>
          <cell r="R840">
            <v>67.079999999999899</v>
          </cell>
        </row>
        <row r="841">
          <cell r="G841">
            <v>7226.7799999999897</v>
          </cell>
          <cell r="I841">
            <v>128.65</v>
          </cell>
          <cell r="J841">
            <v>409.92</v>
          </cell>
          <cell r="K841">
            <v>0.02</v>
          </cell>
          <cell r="L841">
            <v>538.59</v>
          </cell>
          <cell r="M841">
            <v>8085.51</v>
          </cell>
          <cell r="N841">
            <v>1964.25</v>
          </cell>
          <cell r="O841">
            <v>0</v>
          </cell>
          <cell r="R841">
            <v>16.760000000000002</v>
          </cell>
        </row>
        <row r="842">
          <cell r="G842">
            <v>31829.0999999999</v>
          </cell>
          <cell r="I842">
            <v>493.19</v>
          </cell>
          <cell r="J842">
            <v>0</v>
          </cell>
          <cell r="K842">
            <v>8.99999999999999E-2</v>
          </cell>
          <cell r="L842">
            <v>493.27999999999901</v>
          </cell>
          <cell r="M842">
            <v>33493.809999999903</v>
          </cell>
          <cell r="N842">
            <v>3281.8099999999899</v>
          </cell>
          <cell r="O842">
            <v>0</v>
          </cell>
          <cell r="R842">
            <v>73.849999999999895</v>
          </cell>
        </row>
        <row r="843">
          <cell r="G843">
            <v>14453.549999999899</v>
          </cell>
          <cell r="I843">
            <v>257.31999999999903</v>
          </cell>
          <cell r="J843">
            <v>1779.1199999999899</v>
          </cell>
          <cell r="K843">
            <v>0.04</v>
          </cell>
          <cell r="L843">
            <v>2036.48</v>
          </cell>
          <cell r="M843">
            <v>17132.22</v>
          </cell>
          <cell r="N843">
            <v>3027.78</v>
          </cell>
          <cell r="O843">
            <v>0</v>
          </cell>
          <cell r="R843">
            <v>33.53</v>
          </cell>
        </row>
        <row r="844">
          <cell r="G844">
            <v>7226.7799999999897</v>
          </cell>
          <cell r="I844">
            <v>128.65</v>
          </cell>
          <cell r="J844">
            <v>0</v>
          </cell>
          <cell r="K844">
            <v>0.02</v>
          </cell>
          <cell r="L844">
            <v>128.66999999999899</v>
          </cell>
          <cell r="M844">
            <v>7655.38</v>
          </cell>
          <cell r="N844">
            <v>1760.66</v>
          </cell>
          <cell r="O844">
            <v>0</v>
          </cell>
          <cell r="R844">
            <v>16.760000000000002</v>
          </cell>
        </row>
        <row r="845">
          <cell r="G845">
            <v>14453.549999999899</v>
          </cell>
          <cell r="I845">
            <v>257.31999999999903</v>
          </cell>
          <cell r="J845">
            <v>0</v>
          </cell>
          <cell r="K845">
            <v>0.04</v>
          </cell>
          <cell r="L845">
            <v>257.36</v>
          </cell>
          <cell r="M845">
            <v>15312.62</v>
          </cell>
          <cell r="N845">
            <v>3576.5799999999899</v>
          </cell>
          <cell r="O845">
            <v>0</v>
          </cell>
          <cell r="R845">
            <v>33.53</v>
          </cell>
        </row>
        <row r="846">
          <cell r="G846">
            <v>15515.12</v>
          </cell>
          <cell r="I846">
            <v>257.31999999999903</v>
          </cell>
          <cell r="J846">
            <v>0</v>
          </cell>
          <cell r="K846">
            <v>0.04</v>
          </cell>
          <cell r="L846">
            <v>257.36</v>
          </cell>
          <cell r="M846">
            <v>16380.28</v>
          </cell>
          <cell r="N846">
            <v>2699.7199999999898</v>
          </cell>
          <cell r="O846">
            <v>0</v>
          </cell>
          <cell r="R846">
            <v>36</v>
          </cell>
        </row>
        <row r="847">
          <cell r="G847">
            <v>17338.27</v>
          </cell>
          <cell r="I847">
            <v>268.04000000000002</v>
          </cell>
          <cell r="J847">
            <v>0</v>
          </cell>
          <cell r="K847">
            <v>0.04</v>
          </cell>
          <cell r="L847">
            <v>268.07999999999902</v>
          </cell>
          <cell r="M847">
            <v>18243.0099999999</v>
          </cell>
          <cell r="N847">
            <v>1743.74</v>
          </cell>
          <cell r="O847">
            <v>0</v>
          </cell>
          <cell r="R847">
            <v>40.229999999999897</v>
          </cell>
        </row>
        <row r="848">
          <cell r="G848">
            <v>18725.330000000002</v>
          </cell>
          <cell r="I848">
            <v>289.47000000000003</v>
          </cell>
          <cell r="J848">
            <v>0</v>
          </cell>
          <cell r="K848">
            <v>0.05</v>
          </cell>
          <cell r="L848">
            <v>289.51999999999902</v>
          </cell>
          <cell r="M848">
            <v>19707.330000000002</v>
          </cell>
          <cell r="N848">
            <v>2031.45</v>
          </cell>
          <cell r="O848">
            <v>0</v>
          </cell>
          <cell r="R848">
            <v>43.45</v>
          </cell>
        </row>
        <row r="849">
          <cell r="G849">
            <v>206025.899999999</v>
          </cell>
          <cell r="I849">
            <v>3495.1399999999899</v>
          </cell>
          <cell r="J849">
            <v>6028.79</v>
          </cell>
          <cell r="K849">
            <v>0.58999999999999897</v>
          </cell>
          <cell r="L849">
            <v>9524.52</v>
          </cell>
          <cell r="M849">
            <v>223880.26</v>
          </cell>
          <cell r="N849">
            <v>37620.889999999898</v>
          </cell>
          <cell r="O849">
            <v>0</v>
          </cell>
          <cell r="R849">
            <v>477.99</v>
          </cell>
        </row>
        <row r="850">
          <cell r="G850">
            <v>29509.33</v>
          </cell>
          <cell r="I850">
            <v>525.35</v>
          </cell>
          <cell r="J850">
            <v>2936.1999999999898</v>
          </cell>
          <cell r="K850">
            <v>8.99999999999999E-2</v>
          </cell>
          <cell r="L850">
            <v>3461.6399999999899</v>
          </cell>
          <cell r="M850">
            <v>34269.01</v>
          </cell>
          <cell r="N850">
            <v>6479.39</v>
          </cell>
          <cell r="O850">
            <v>0</v>
          </cell>
          <cell r="R850">
            <v>68.469999999999899</v>
          </cell>
        </row>
        <row r="851">
          <cell r="G851">
            <v>20643.11</v>
          </cell>
          <cell r="I851">
            <v>353.8</v>
          </cell>
          <cell r="J851">
            <v>0</v>
          </cell>
          <cell r="K851">
            <v>5.9999999999999901E-2</v>
          </cell>
          <cell r="L851">
            <v>353.86</v>
          </cell>
          <cell r="M851">
            <v>21838.0999999999</v>
          </cell>
          <cell r="N851">
            <v>4568.71</v>
          </cell>
          <cell r="O851">
            <v>0</v>
          </cell>
          <cell r="R851">
            <v>47.869999999999898</v>
          </cell>
        </row>
        <row r="852">
          <cell r="G852">
            <v>7226.7799999999897</v>
          </cell>
          <cell r="I852">
            <v>128.65</v>
          </cell>
          <cell r="J852">
            <v>600.48</v>
          </cell>
          <cell r="K852">
            <v>0.02</v>
          </cell>
          <cell r="L852">
            <v>729.14999999999895</v>
          </cell>
          <cell r="M852">
            <v>8272.84</v>
          </cell>
          <cell r="N852">
            <v>1676.1199999999899</v>
          </cell>
          <cell r="O852">
            <v>0</v>
          </cell>
          <cell r="R852">
            <v>16.760000000000002</v>
          </cell>
        </row>
        <row r="853">
          <cell r="G853">
            <v>14453.549999999899</v>
          </cell>
          <cell r="I853">
            <v>257.31999999999903</v>
          </cell>
          <cell r="J853">
            <v>0</v>
          </cell>
          <cell r="K853">
            <v>0.04</v>
          </cell>
          <cell r="L853">
            <v>257.36</v>
          </cell>
          <cell r="M853">
            <v>15310.799999999899</v>
          </cell>
          <cell r="N853">
            <v>3521.28</v>
          </cell>
          <cell r="O853">
            <v>0</v>
          </cell>
          <cell r="R853">
            <v>33.53</v>
          </cell>
        </row>
        <row r="854">
          <cell r="G854">
            <v>14453.549999999899</v>
          </cell>
          <cell r="I854">
            <v>257.31999999999903</v>
          </cell>
          <cell r="J854">
            <v>0</v>
          </cell>
          <cell r="K854">
            <v>0.04</v>
          </cell>
          <cell r="L854">
            <v>257.36</v>
          </cell>
          <cell r="M854">
            <v>15310.799999999899</v>
          </cell>
          <cell r="N854">
            <v>3521.28</v>
          </cell>
          <cell r="O854">
            <v>0</v>
          </cell>
          <cell r="R854">
            <v>33.53</v>
          </cell>
        </row>
        <row r="855">
          <cell r="G855">
            <v>15055.78</v>
          </cell>
          <cell r="I855">
            <v>268.04000000000002</v>
          </cell>
          <cell r="J855">
            <v>2021.39</v>
          </cell>
          <cell r="K855">
            <v>0.04</v>
          </cell>
          <cell r="L855">
            <v>2289.4699999999898</v>
          </cell>
          <cell r="M855">
            <v>18007.5099999999</v>
          </cell>
          <cell r="N855">
            <v>2782.4899999999898</v>
          </cell>
          <cell r="O855">
            <v>0</v>
          </cell>
          <cell r="R855">
            <v>34.92</v>
          </cell>
        </row>
        <row r="856">
          <cell r="G856">
            <v>93948.08</v>
          </cell>
          <cell r="I856">
            <v>1672.53</v>
          </cell>
          <cell r="J856">
            <v>10926</v>
          </cell>
          <cell r="K856">
            <v>0.28000000000000003</v>
          </cell>
          <cell r="L856">
            <v>12598.809999999899</v>
          </cell>
          <cell r="M856">
            <v>110691.84</v>
          </cell>
          <cell r="N856">
            <v>19430.88</v>
          </cell>
          <cell r="O856">
            <v>0</v>
          </cell>
          <cell r="R856">
            <v>217.979999999999</v>
          </cell>
        </row>
        <row r="857">
          <cell r="G857">
            <v>36063.599999999897</v>
          </cell>
          <cell r="I857">
            <v>557.50999999999897</v>
          </cell>
          <cell r="J857">
            <v>0</v>
          </cell>
          <cell r="K857">
            <v>8.99999999999999E-2</v>
          </cell>
          <cell r="L857">
            <v>557.6</v>
          </cell>
          <cell r="M857">
            <v>37945.47</v>
          </cell>
          <cell r="N857">
            <v>3626.9699999999898</v>
          </cell>
          <cell r="O857">
            <v>0</v>
          </cell>
          <cell r="R857">
            <v>83.67</v>
          </cell>
        </row>
        <row r="858">
          <cell r="G858">
            <v>14453.549999999899</v>
          </cell>
          <cell r="I858">
            <v>257.31999999999903</v>
          </cell>
          <cell r="J858">
            <v>977.51999999999896</v>
          </cell>
          <cell r="K858">
            <v>0.04</v>
          </cell>
          <cell r="L858">
            <v>1234.8800000000001</v>
          </cell>
          <cell r="M858">
            <v>16326.139999999899</v>
          </cell>
          <cell r="N858">
            <v>3692.7399999999898</v>
          </cell>
          <cell r="O858">
            <v>0</v>
          </cell>
          <cell r="R858">
            <v>33.53</v>
          </cell>
        </row>
        <row r="859">
          <cell r="G859">
            <v>6022.31</v>
          </cell>
          <cell r="I859">
            <v>107.209999999999</v>
          </cell>
          <cell r="J859">
            <v>788.39999999999895</v>
          </cell>
          <cell r="K859">
            <v>0.02</v>
          </cell>
          <cell r="L859">
            <v>895.63</v>
          </cell>
          <cell r="M859">
            <v>7183.64</v>
          </cell>
          <cell r="N859">
            <v>1157.5599999999899</v>
          </cell>
          <cell r="O859">
            <v>0</v>
          </cell>
          <cell r="R859">
            <v>13.98</v>
          </cell>
        </row>
        <row r="860">
          <cell r="G860">
            <v>86721.3</v>
          </cell>
          <cell r="I860">
            <v>1543.8599999999899</v>
          </cell>
          <cell r="J860">
            <v>6969.6</v>
          </cell>
          <cell r="K860">
            <v>0.26</v>
          </cell>
          <cell r="L860">
            <v>8513.7199999999903</v>
          </cell>
          <cell r="M860">
            <v>99002.72</v>
          </cell>
          <cell r="N860">
            <v>19277.4399999999</v>
          </cell>
          <cell r="O860">
            <v>0</v>
          </cell>
          <cell r="R860">
            <v>201.19999999999899</v>
          </cell>
        </row>
        <row r="861">
          <cell r="G861">
            <v>6827.4899999999898</v>
          </cell>
          <cell r="I861">
            <v>107.209999999999</v>
          </cell>
          <cell r="J861">
            <v>0</v>
          </cell>
          <cell r="K861">
            <v>0.02</v>
          </cell>
          <cell r="L861">
            <v>107.23</v>
          </cell>
          <cell r="M861">
            <v>7191.21</v>
          </cell>
          <cell r="N861">
            <v>860.19</v>
          </cell>
          <cell r="O861">
            <v>0</v>
          </cell>
          <cell r="R861">
            <v>15.85</v>
          </cell>
        </row>
        <row r="862">
          <cell r="G862">
            <v>28907.0999999999</v>
          </cell>
          <cell r="I862">
            <v>514.62</v>
          </cell>
          <cell r="J862">
            <v>2969.76</v>
          </cell>
          <cell r="K862">
            <v>8.99999999999999E-2</v>
          </cell>
          <cell r="L862">
            <v>3484.4699999999898</v>
          </cell>
          <cell r="M862">
            <v>33669.529999999897</v>
          </cell>
          <cell r="N862">
            <v>6448.8699999999899</v>
          </cell>
          <cell r="O862">
            <v>0</v>
          </cell>
          <cell r="R862">
            <v>67.079999999999899</v>
          </cell>
        </row>
        <row r="863">
          <cell r="G863">
            <v>14453.549999999899</v>
          </cell>
          <cell r="I863">
            <v>257.31999999999903</v>
          </cell>
          <cell r="J863">
            <v>0</v>
          </cell>
          <cell r="K863">
            <v>0.04</v>
          </cell>
          <cell r="L863">
            <v>257.36</v>
          </cell>
          <cell r="M863">
            <v>15314.459999999901</v>
          </cell>
          <cell r="N863">
            <v>3632.0999999999899</v>
          </cell>
          <cell r="O863">
            <v>0</v>
          </cell>
          <cell r="R863">
            <v>33.53</v>
          </cell>
        </row>
        <row r="864">
          <cell r="G864">
            <v>20475.86</v>
          </cell>
          <cell r="I864">
            <v>364.56999999999903</v>
          </cell>
          <cell r="J864">
            <v>1827.1199999999899</v>
          </cell>
          <cell r="K864">
            <v>5.9999999999999901E-2</v>
          </cell>
          <cell r="L864">
            <v>2191.75</v>
          </cell>
          <cell r="M864">
            <v>23558.81</v>
          </cell>
          <cell r="N864">
            <v>4418.59</v>
          </cell>
          <cell r="O864">
            <v>0</v>
          </cell>
          <cell r="R864">
            <v>47.509999999999899</v>
          </cell>
        </row>
        <row r="865">
          <cell r="G865">
            <v>29139.799999999901</v>
          </cell>
          <cell r="I865">
            <v>1025.53</v>
          </cell>
          <cell r="J865">
            <v>3274.5599999999899</v>
          </cell>
          <cell r="K865">
            <v>0</v>
          </cell>
          <cell r="L865">
            <v>4300.09</v>
          </cell>
          <cell r="M865">
            <v>35149.839999999902</v>
          </cell>
          <cell r="N865">
            <v>5935.76</v>
          </cell>
          <cell r="O865">
            <v>0</v>
          </cell>
          <cell r="R865">
            <v>138.349999999999</v>
          </cell>
        </row>
        <row r="866">
          <cell r="G866">
            <v>14569.9</v>
          </cell>
          <cell r="I866">
            <v>512.75</v>
          </cell>
          <cell r="J866">
            <v>1484.88</v>
          </cell>
          <cell r="K866">
            <v>0</v>
          </cell>
          <cell r="L866">
            <v>1997.63</v>
          </cell>
          <cell r="M866">
            <v>17425.48</v>
          </cell>
          <cell r="N866">
            <v>3189.32</v>
          </cell>
          <cell r="O866">
            <v>0</v>
          </cell>
          <cell r="R866">
            <v>69.17</v>
          </cell>
        </row>
        <row r="867">
          <cell r="G867">
            <v>121415.81</v>
          </cell>
          <cell r="I867">
            <v>4272.9799999999896</v>
          </cell>
          <cell r="J867">
            <v>0</v>
          </cell>
          <cell r="K867">
            <v>0</v>
          </cell>
          <cell r="L867">
            <v>4272.9799999999896</v>
          </cell>
          <cell r="M867">
            <v>132493.87</v>
          </cell>
          <cell r="N867">
            <v>31014.13</v>
          </cell>
          <cell r="O867">
            <v>0</v>
          </cell>
          <cell r="R867">
            <v>576.47</v>
          </cell>
        </row>
        <row r="868">
          <cell r="G868">
            <v>16373.58</v>
          </cell>
          <cell r="I868">
            <v>512.75</v>
          </cell>
          <cell r="J868">
            <v>0</v>
          </cell>
          <cell r="K868">
            <v>0</v>
          </cell>
          <cell r="L868">
            <v>512.75</v>
          </cell>
          <cell r="M868">
            <v>17697.23</v>
          </cell>
          <cell r="N868">
            <v>1785.97</v>
          </cell>
          <cell r="O868">
            <v>0</v>
          </cell>
          <cell r="R868">
            <v>77.719999999999899</v>
          </cell>
        </row>
        <row r="869">
          <cell r="G869">
            <v>45419.629999999903</v>
          </cell>
          <cell r="I869">
            <v>1538.25</v>
          </cell>
          <cell r="J869">
            <v>0</v>
          </cell>
          <cell r="K869">
            <v>0</v>
          </cell>
          <cell r="L869">
            <v>1538.25</v>
          </cell>
          <cell r="M869">
            <v>49330.949999999903</v>
          </cell>
          <cell r="N869">
            <v>7688.97</v>
          </cell>
          <cell r="O869">
            <v>0</v>
          </cell>
          <cell r="R869">
            <v>215.63</v>
          </cell>
        </row>
        <row r="870">
          <cell r="G870">
            <v>27925.639999999901</v>
          </cell>
          <cell r="I870">
            <v>982.78999999999905</v>
          </cell>
          <cell r="J870">
            <v>3206.6199999999899</v>
          </cell>
          <cell r="K870">
            <v>0</v>
          </cell>
          <cell r="L870">
            <v>4189.4099999999899</v>
          </cell>
          <cell r="M870">
            <v>33732.629999999903</v>
          </cell>
          <cell r="N870">
            <v>5134.47</v>
          </cell>
          <cell r="O870">
            <v>0</v>
          </cell>
          <cell r="R870">
            <v>132.599999999999</v>
          </cell>
        </row>
        <row r="871">
          <cell r="G871">
            <v>91610.539999999906</v>
          </cell>
          <cell r="I871">
            <v>2884.25</v>
          </cell>
          <cell r="J871">
            <v>0</v>
          </cell>
          <cell r="K871">
            <v>0</v>
          </cell>
          <cell r="L871">
            <v>2884.25</v>
          </cell>
          <cell r="M871">
            <v>99055.339999999895</v>
          </cell>
          <cell r="N871">
            <v>10522.08</v>
          </cell>
          <cell r="O871">
            <v>0</v>
          </cell>
          <cell r="R871">
            <v>434.93</v>
          </cell>
        </row>
        <row r="872">
          <cell r="G872">
            <v>16373.58</v>
          </cell>
          <cell r="I872">
            <v>512.75</v>
          </cell>
          <cell r="J872">
            <v>0</v>
          </cell>
          <cell r="K872">
            <v>0</v>
          </cell>
          <cell r="L872">
            <v>512.75</v>
          </cell>
          <cell r="M872">
            <v>17702.9399999999</v>
          </cell>
          <cell r="N872">
            <v>1918.02</v>
          </cell>
          <cell r="O872">
            <v>0</v>
          </cell>
          <cell r="R872">
            <v>77.719999999999899</v>
          </cell>
        </row>
        <row r="873">
          <cell r="G873">
            <v>7284.9499999999898</v>
          </cell>
          <cell r="I873">
            <v>256.37</v>
          </cell>
          <cell r="J873">
            <v>0</v>
          </cell>
          <cell r="K873">
            <v>0</v>
          </cell>
          <cell r="L873">
            <v>256.37</v>
          </cell>
          <cell r="M873">
            <v>7954.93</v>
          </cell>
          <cell r="N873">
            <v>1983.47</v>
          </cell>
          <cell r="O873">
            <v>0</v>
          </cell>
          <cell r="R873">
            <v>34.590000000000003</v>
          </cell>
        </row>
        <row r="874">
          <cell r="G874">
            <v>7284.9499999999898</v>
          </cell>
          <cell r="I874">
            <v>256.37</v>
          </cell>
          <cell r="J874">
            <v>600.48</v>
          </cell>
          <cell r="K874">
            <v>0</v>
          </cell>
          <cell r="L874">
            <v>856.85</v>
          </cell>
          <cell r="M874">
            <v>8558.35</v>
          </cell>
          <cell r="N874">
            <v>1451.0899999999899</v>
          </cell>
          <cell r="O874">
            <v>0</v>
          </cell>
          <cell r="R874">
            <v>34.590000000000003</v>
          </cell>
        </row>
        <row r="875">
          <cell r="G875">
            <v>25924.84</v>
          </cell>
          <cell r="I875">
            <v>811.86</v>
          </cell>
          <cell r="J875">
            <v>0</v>
          </cell>
          <cell r="K875">
            <v>0</v>
          </cell>
          <cell r="L875">
            <v>811.86</v>
          </cell>
          <cell r="M875">
            <v>28023.45</v>
          </cell>
          <cell r="N875">
            <v>2893.8299999999899</v>
          </cell>
          <cell r="O875">
            <v>0</v>
          </cell>
          <cell r="R875">
            <v>123.08</v>
          </cell>
        </row>
        <row r="876">
          <cell r="G876">
            <v>14569.9</v>
          </cell>
          <cell r="I876">
            <v>512.75</v>
          </cell>
          <cell r="J876">
            <v>1566.3599999999899</v>
          </cell>
          <cell r="K876">
            <v>0</v>
          </cell>
          <cell r="L876">
            <v>2079.11</v>
          </cell>
          <cell r="M876">
            <v>17495.5099999999</v>
          </cell>
          <cell r="N876">
            <v>2843.29</v>
          </cell>
          <cell r="O876">
            <v>0</v>
          </cell>
          <cell r="R876">
            <v>69.17</v>
          </cell>
        </row>
        <row r="877">
          <cell r="G877">
            <v>34054.949999999903</v>
          </cell>
          <cell r="I877">
            <v>1046.8599999999899</v>
          </cell>
          <cell r="J877">
            <v>0</v>
          </cell>
          <cell r="K877">
            <v>0</v>
          </cell>
          <cell r="L877">
            <v>1046.8599999999899</v>
          </cell>
          <cell r="M877">
            <v>36759.870000000003</v>
          </cell>
          <cell r="N877">
            <v>3077.3699999999899</v>
          </cell>
          <cell r="O877">
            <v>0</v>
          </cell>
          <cell r="R877">
            <v>161.69</v>
          </cell>
        </row>
        <row r="878">
          <cell r="G878">
            <v>16447.16</v>
          </cell>
          <cell r="I878">
            <v>512.75</v>
          </cell>
          <cell r="J878">
            <v>0</v>
          </cell>
          <cell r="K878">
            <v>0</v>
          </cell>
          <cell r="L878">
            <v>512.75</v>
          </cell>
          <cell r="M878">
            <v>17770.810000000001</v>
          </cell>
          <cell r="N878">
            <v>1712.39</v>
          </cell>
          <cell r="O878">
            <v>0</v>
          </cell>
          <cell r="R878">
            <v>78.099999999999895</v>
          </cell>
        </row>
        <row r="879">
          <cell r="G879">
            <v>19426.529999999901</v>
          </cell>
          <cell r="I879">
            <v>683.66999999999905</v>
          </cell>
          <cell r="J879">
            <v>0</v>
          </cell>
          <cell r="K879">
            <v>0</v>
          </cell>
          <cell r="L879">
            <v>683.66999999999905</v>
          </cell>
          <cell r="M879">
            <v>21174.799999999901</v>
          </cell>
          <cell r="N879">
            <v>4405.04</v>
          </cell>
          <cell r="O879">
            <v>0</v>
          </cell>
          <cell r="R879">
            <v>92.219999999999899</v>
          </cell>
        </row>
        <row r="880">
          <cell r="G880">
            <v>15784.049999999899</v>
          </cell>
          <cell r="I880">
            <v>555.49</v>
          </cell>
          <cell r="J880">
            <v>0</v>
          </cell>
          <cell r="K880">
            <v>0</v>
          </cell>
          <cell r="L880">
            <v>555.49</v>
          </cell>
          <cell r="M880">
            <v>17215.32</v>
          </cell>
          <cell r="N880">
            <v>3827.52</v>
          </cell>
          <cell r="O880">
            <v>0</v>
          </cell>
          <cell r="R880">
            <v>74.95</v>
          </cell>
        </row>
        <row r="881">
          <cell r="G881">
            <v>7284.9499999999898</v>
          </cell>
          <cell r="I881">
            <v>256.37</v>
          </cell>
          <cell r="J881">
            <v>946.08</v>
          </cell>
          <cell r="K881">
            <v>0</v>
          </cell>
          <cell r="L881">
            <v>1202.45</v>
          </cell>
          <cell r="M881">
            <v>8911.8899999999903</v>
          </cell>
          <cell r="N881">
            <v>1288.1099999999899</v>
          </cell>
          <cell r="O881">
            <v>0</v>
          </cell>
          <cell r="R881">
            <v>34.590000000000003</v>
          </cell>
        </row>
        <row r="882">
          <cell r="G882">
            <v>14569.9</v>
          </cell>
          <cell r="I882">
            <v>512.75</v>
          </cell>
          <cell r="J882">
            <v>0</v>
          </cell>
          <cell r="K882">
            <v>0</v>
          </cell>
          <cell r="L882">
            <v>512.75</v>
          </cell>
          <cell r="M882">
            <v>15884.299999999899</v>
          </cell>
          <cell r="N882">
            <v>3377.86</v>
          </cell>
          <cell r="O882">
            <v>0</v>
          </cell>
          <cell r="R882">
            <v>69.17</v>
          </cell>
        </row>
        <row r="883">
          <cell r="G883">
            <v>14569.9</v>
          </cell>
          <cell r="I883">
            <v>512.75</v>
          </cell>
          <cell r="J883">
            <v>1542.72</v>
          </cell>
          <cell r="K883">
            <v>0</v>
          </cell>
          <cell r="L883">
            <v>2055.4699999999898</v>
          </cell>
          <cell r="M883">
            <v>17465.88</v>
          </cell>
          <cell r="N883">
            <v>2730.1199999999899</v>
          </cell>
          <cell r="O883">
            <v>0</v>
          </cell>
          <cell r="R883">
            <v>69.17</v>
          </cell>
        </row>
        <row r="884">
          <cell r="G884">
            <v>16685.889999999901</v>
          </cell>
          <cell r="I884">
            <v>555.48</v>
          </cell>
          <cell r="J884">
            <v>0</v>
          </cell>
          <cell r="K884">
            <v>0</v>
          </cell>
          <cell r="L884">
            <v>555.48</v>
          </cell>
          <cell r="M884">
            <v>18120.080000000002</v>
          </cell>
          <cell r="N884">
            <v>2991.6399999999899</v>
          </cell>
          <cell r="O884">
            <v>0</v>
          </cell>
          <cell r="R884">
            <v>79.2</v>
          </cell>
        </row>
        <row r="885">
          <cell r="G885">
            <v>16998.22</v>
          </cell>
          <cell r="I885">
            <v>598.21</v>
          </cell>
          <cell r="J885">
            <v>2016</v>
          </cell>
          <cell r="K885">
            <v>0</v>
          </cell>
          <cell r="L885">
            <v>2614.21</v>
          </cell>
          <cell r="M885">
            <v>20596.54</v>
          </cell>
          <cell r="N885">
            <v>3048.76</v>
          </cell>
          <cell r="O885">
            <v>0</v>
          </cell>
          <cell r="R885">
            <v>80.73</v>
          </cell>
        </row>
        <row r="886">
          <cell r="G886">
            <v>17055.810000000001</v>
          </cell>
          <cell r="I886">
            <v>534.11</v>
          </cell>
          <cell r="J886">
            <v>0</v>
          </cell>
          <cell r="K886">
            <v>0</v>
          </cell>
          <cell r="L886">
            <v>534.11</v>
          </cell>
          <cell r="M886">
            <v>18434.5999999999</v>
          </cell>
          <cell r="N886">
            <v>1860.4</v>
          </cell>
          <cell r="O886">
            <v>0</v>
          </cell>
          <cell r="R886">
            <v>80.98</v>
          </cell>
        </row>
        <row r="887">
          <cell r="G887">
            <v>7284.9499999999898</v>
          </cell>
          <cell r="I887">
            <v>256.37</v>
          </cell>
          <cell r="J887">
            <v>913.55999999999904</v>
          </cell>
          <cell r="K887">
            <v>0</v>
          </cell>
          <cell r="L887">
            <v>1169.93</v>
          </cell>
          <cell r="M887">
            <v>8878.1599999999908</v>
          </cell>
          <cell r="N887">
            <v>1291.24</v>
          </cell>
          <cell r="O887">
            <v>0</v>
          </cell>
          <cell r="R887">
            <v>34.590000000000003</v>
          </cell>
        </row>
        <row r="888">
          <cell r="G888">
            <v>15612.66</v>
          </cell>
          <cell r="I888">
            <v>512.75</v>
          </cell>
          <cell r="J888">
            <v>0</v>
          </cell>
          <cell r="K888">
            <v>0</v>
          </cell>
          <cell r="L888">
            <v>512.75</v>
          </cell>
          <cell r="M888">
            <v>16921.4399999999</v>
          </cell>
          <cell r="N888">
            <v>2205.36</v>
          </cell>
          <cell r="O888">
            <v>0</v>
          </cell>
          <cell r="R888">
            <v>74.1099999999999</v>
          </cell>
        </row>
        <row r="889">
          <cell r="G889">
            <v>60528.349999999897</v>
          </cell>
          <cell r="I889">
            <v>2029.66</v>
          </cell>
          <cell r="J889">
            <v>2460.1199999999899</v>
          </cell>
          <cell r="K889">
            <v>0</v>
          </cell>
          <cell r="L889">
            <v>4489.7799999999897</v>
          </cell>
          <cell r="M889">
            <v>68323.75</v>
          </cell>
          <cell r="N889">
            <v>11101.57</v>
          </cell>
          <cell r="O889">
            <v>0</v>
          </cell>
          <cell r="R889">
            <v>287.38</v>
          </cell>
        </row>
        <row r="890">
          <cell r="G890">
            <v>14569.9</v>
          </cell>
          <cell r="I890">
            <v>512.75</v>
          </cell>
          <cell r="J890">
            <v>2124.2399999999898</v>
          </cell>
          <cell r="K890">
            <v>0</v>
          </cell>
          <cell r="L890">
            <v>2636.9899999999898</v>
          </cell>
          <cell r="M890">
            <v>18053.389999999901</v>
          </cell>
          <cell r="N890">
            <v>2285.4099999999899</v>
          </cell>
          <cell r="O890">
            <v>0</v>
          </cell>
          <cell r="R890">
            <v>69.17</v>
          </cell>
        </row>
        <row r="891">
          <cell r="G891">
            <v>22461.93</v>
          </cell>
          <cell r="I891">
            <v>790.5</v>
          </cell>
          <cell r="J891">
            <v>3261.82</v>
          </cell>
          <cell r="K891">
            <v>0</v>
          </cell>
          <cell r="L891">
            <v>4052.32</v>
          </cell>
          <cell r="M891">
            <v>27802.7599999999</v>
          </cell>
          <cell r="N891">
            <v>3156.3899999999899</v>
          </cell>
          <cell r="O891">
            <v>0</v>
          </cell>
          <cell r="R891">
            <v>106.65</v>
          </cell>
        </row>
        <row r="892">
          <cell r="G892">
            <v>0</v>
          </cell>
          <cell r="I892">
            <v>0</v>
          </cell>
          <cell r="J892">
            <v>19407.97</v>
          </cell>
          <cell r="K892">
            <v>0</v>
          </cell>
          <cell r="L892">
            <v>19407.97</v>
          </cell>
          <cell r="M892">
            <v>19407.97</v>
          </cell>
          <cell r="N892">
            <v>-19407.97</v>
          </cell>
          <cell r="O892">
            <v>0</v>
          </cell>
          <cell r="R892">
            <v>0</v>
          </cell>
        </row>
        <row r="893">
          <cell r="G893">
            <v>120808.74</v>
          </cell>
          <cell r="I893">
            <v>4251.6199999999899</v>
          </cell>
          <cell r="J893">
            <v>9081.6299999999901</v>
          </cell>
          <cell r="K893">
            <v>0</v>
          </cell>
          <cell r="L893">
            <v>13333.25</v>
          </cell>
          <cell r="M893">
            <v>141382.76</v>
          </cell>
          <cell r="N893">
            <v>32595.48</v>
          </cell>
          <cell r="O893">
            <v>0</v>
          </cell>
          <cell r="R893">
            <v>573.59</v>
          </cell>
        </row>
        <row r="894">
          <cell r="G894">
            <v>262215.429999999</v>
          </cell>
          <cell r="I894">
            <v>8109.0299999999897</v>
          </cell>
          <cell r="J894">
            <v>0</v>
          </cell>
          <cell r="K894">
            <v>0</v>
          </cell>
          <cell r="L894">
            <v>8109.0299999999897</v>
          </cell>
          <cell r="M894">
            <v>284044.66999999899</v>
          </cell>
          <cell r="N894">
            <v>45617.279999999897</v>
          </cell>
          <cell r="O894">
            <v>0</v>
          </cell>
          <cell r="R894">
            <v>1244.95</v>
          </cell>
        </row>
        <row r="895">
          <cell r="G895">
            <v>9860.3700000000008</v>
          </cell>
          <cell r="I895">
            <v>299.11</v>
          </cell>
          <cell r="J895">
            <v>0</v>
          </cell>
          <cell r="K895">
            <v>0</v>
          </cell>
          <cell r="L895">
            <v>299.11</v>
          </cell>
          <cell r="M895">
            <v>10632.459999999901</v>
          </cell>
          <cell r="N895">
            <v>732.74</v>
          </cell>
          <cell r="O895">
            <v>0</v>
          </cell>
          <cell r="R895">
            <v>46.82</v>
          </cell>
        </row>
        <row r="896">
          <cell r="G896">
            <v>17738.049999999901</v>
          </cell>
          <cell r="I896">
            <v>555.49</v>
          </cell>
          <cell r="J896">
            <v>0</v>
          </cell>
          <cell r="K896">
            <v>0</v>
          </cell>
          <cell r="L896">
            <v>555.49</v>
          </cell>
          <cell r="M896">
            <v>19189.7599999999</v>
          </cell>
          <cell r="N896">
            <v>2343.44</v>
          </cell>
          <cell r="O896">
            <v>0</v>
          </cell>
          <cell r="R896">
            <v>84.209999999999894</v>
          </cell>
        </row>
        <row r="897">
          <cell r="G897">
            <v>60948.279999999897</v>
          </cell>
          <cell r="I897">
            <v>2051.02</v>
          </cell>
          <cell r="J897">
            <v>4531.1999999999898</v>
          </cell>
          <cell r="K897">
            <v>0</v>
          </cell>
          <cell r="L897">
            <v>6582.22</v>
          </cell>
          <cell r="M897">
            <v>70882.479999999894</v>
          </cell>
          <cell r="N897">
            <v>9656.7199999999903</v>
          </cell>
          <cell r="O897">
            <v>0</v>
          </cell>
          <cell r="R897">
            <v>289.38999999999902</v>
          </cell>
        </row>
        <row r="898">
          <cell r="G898">
            <v>591347.32999999903</v>
          </cell>
          <cell r="I898">
            <v>19559.580000000002</v>
          </cell>
          <cell r="J898">
            <v>15249.12</v>
          </cell>
          <cell r="K898">
            <v>0</v>
          </cell>
          <cell r="L898">
            <v>34808.699999999903</v>
          </cell>
          <cell r="M898">
            <v>658745.25</v>
          </cell>
          <cell r="N898">
            <v>124289.52</v>
          </cell>
          <cell r="O898">
            <v>0</v>
          </cell>
          <cell r="R898">
            <v>2807.59</v>
          </cell>
        </row>
        <row r="899">
          <cell r="G899">
            <v>14569.9</v>
          </cell>
          <cell r="I899">
            <v>512.75</v>
          </cell>
          <cell r="J899">
            <v>1518.96</v>
          </cell>
          <cell r="K899">
            <v>0</v>
          </cell>
          <cell r="L899">
            <v>2031.71</v>
          </cell>
          <cell r="M899">
            <v>17448.11</v>
          </cell>
          <cell r="N899">
            <v>2890.69</v>
          </cell>
          <cell r="O899">
            <v>0</v>
          </cell>
          <cell r="R899">
            <v>69.17</v>
          </cell>
        </row>
        <row r="900">
          <cell r="G900">
            <v>51896.489999999903</v>
          </cell>
          <cell r="I900">
            <v>1794.63</v>
          </cell>
          <cell r="J900">
            <v>3369.1199999999899</v>
          </cell>
          <cell r="K900">
            <v>0</v>
          </cell>
          <cell r="L900">
            <v>5163.75</v>
          </cell>
          <cell r="M900">
            <v>59937.75</v>
          </cell>
          <cell r="N900">
            <v>9203.61</v>
          </cell>
          <cell r="O900">
            <v>0</v>
          </cell>
          <cell r="R900">
            <v>246.38999999999899</v>
          </cell>
        </row>
        <row r="901">
          <cell r="G901">
            <v>7284.9499999999898</v>
          </cell>
          <cell r="I901">
            <v>256.37</v>
          </cell>
          <cell r="J901">
            <v>0</v>
          </cell>
          <cell r="K901">
            <v>0</v>
          </cell>
          <cell r="L901">
            <v>256.37</v>
          </cell>
          <cell r="M901">
            <v>7942.13</v>
          </cell>
          <cell r="N901">
            <v>1688.95</v>
          </cell>
          <cell r="O901">
            <v>0</v>
          </cell>
          <cell r="R901">
            <v>34.590000000000003</v>
          </cell>
        </row>
        <row r="902">
          <cell r="G902">
            <v>7284.9499999999898</v>
          </cell>
          <cell r="I902">
            <v>256.37</v>
          </cell>
          <cell r="J902">
            <v>600.48</v>
          </cell>
          <cell r="K902">
            <v>0</v>
          </cell>
          <cell r="L902">
            <v>856.85</v>
          </cell>
          <cell r="M902">
            <v>8573.8299999999908</v>
          </cell>
          <cell r="N902">
            <v>1806.17</v>
          </cell>
          <cell r="O902">
            <v>0</v>
          </cell>
          <cell r="R902">
            <v>34.590000000000003</v>
          </cell>
        </row>
        <row r="903">
          <cell r="G903">
            <v>4111.79</v>
          </cell>
          <cell r="I903">
            <v>128.19</v>
          </cell>
          <cell r="J903">
            <v>0</v>
          </cell>
          <cell r="K903">
            <v>0</v>
          </cell>
          <cell r="L903">
            <v>128.19</v>
          </cell>
          <cell r="M903">
            <v>4442.6999999999898</v>
          </cell>
          <cell r="N903">
            <v>428.1</v>
          </cell>
          <cell r="O903">
            <v>0</v>
          </cell>
          <cell r="R903">
            <v>19.52</v>
          </cell>
        </row>
        <row r="904">
          <cell r="G904">
            <v>7284.9499999999898</v>
          </cell>
          <cell r="I904">
            <v>256.37</v>
          </cell>
          <cell r="J904">
            <v>842.27999999999895</v>
          </cell>
          <cell r="K904">
            <v>0</v>
          </cell>
          <cell r="L904">
            <v>1098.6500000000001</v>
          </cell>
          <cell r="M904">
            <v>8806.8799999999901</v>
          </cell>
          <cell r="N904">
            <v>1362.52</v>
          </cell>
          <cell r="O904">
            <v>0</v>
          </cell>
          <cell r="R904">
            <v>34.590000000000003</v>
          </cell>
        </row>
        <row r="905">
          <cell r="G905">
            <v>13010.549999999899</v>
          </cell>
          <cell r="I905">
            <v>427.3</v>
          </cell>
          <cell r="J905">
            <v>0</v>
          </cell>
          <cell r="K905">
            <v>0</v>
          </cell>
          <cell r="L905">
            <v>427.3</v>
          </cell>
          <cell r="M905">
            <v>14105.959999999901</v>
          </cell>
          <cell r="N905">
            <v>1945.8399999999899</v>
          </cell>
          <cell r="O905">
            <v>0</v>
          </cell>
          <cell r="R905">
            <v>61.78</v>
          </cell>
        </row>
        <row r="906">
          <cell r="G906">
            <v>14569.9</v>
          </cell>
          <cell r="I906">
            <v>512.75</v>
          </cell>
          <cell r="J906">
            <v>0</v>
          </cell>
          <cell r="K906">
            <v>0</v>
          </cell>
          <cell r="L906">
            <v>512.75</v>
          </cell>
          <cell r="M906">
            <v>15881.11</v>
          </cell>
          <cell r="N906">
            <v>3303.77</v>
          </cell>
          <cell r="O906">
            <v>0</v>
          </cell>
          <cell r="R906">
            <v>69.17</v>
          </cell>
        </row>
        <row r="907">
          <cell r="G907">
            <v>147784.519999999</v>
          </cell>
          <cell r="I907">
            <v>5127.59</v>
          </cell>
          <cell r="J907">
            <v>0</v>
          </cell>
          <cell r="K907">
            <v>0</v>
          </cell>
          <cell r="L907">
            <v>5127.59</v>
          </cell>
          <cell r="M907">
            <v>160911.1</v>
          </cell>
          <cell r="N907">
            <v>31284.98</v>
          </cell>
          <cell r="O907">
            <v>0</v>
          </cell>
          <cell r="R907">
            <v>701.66999999999905</v>
          </cell>
        </row>
        <row r="908">
          <cell r="G908">
            <v>25497.32</v>
          </cell>
          <cell r="I908">
            <v>897.33</v>
          </cell>
          <cell r="J908">
            <v>0</v>
          </cell>
          <cell r="K908">
            <v>0</v>
          </cell>
          <cell r="L908">
            <v>897.33</v>
          </cell>
          <cell r="M908">
            <v>27812.25</v>
          </cell>
          <cell r="N908">
            <v>6248.9099999999899</v>
          </cell>
          <cell r="O908">
            <v>0</v>
          </cell>
          <cell r="R908">
            <v>121.069999999999</v>
          </cell>
        </row>
        <row r="909">
          <cell r="G909">
            <v>15612.66</v>
          </cell>
          <cell r="I909">
            <v>512.75</v>
          </cell>
          <cell r="J909">
            <v>0</v>
          </cell>
          <cell r="K909">
            <v>0</v>
          </cell>
          <cell r="L909">
            <v>512.75</v>
          </cell>
          <cell r="M909">
            <v>16944.48</v>
          </cell>
          <cell r="N909">
            <v>2735.52</v>
          </cell>
          <cell r="O909">
            <v>0</v>
          </cell>
          <cell r="R909">
            <v>74.1099999999999</v>
          </cell>
        </row>
        <row r="910">
          <cell r="G910">
            <v>14569.9</v>
          </cell>
          <cell r="I910">
            <v>512.75</v>
          </cell>
          <cell r="J910">
            <v>0</v>
          </cell>
          <cell r="K910">
            <v>0</v>
          </cell>
          <cell r="L910">
            <v>512.75</v>
          </cell>
          <cell r="M910">
            <v>15881.11</v>
          </cell>
          <cell r="N910">
            <v>3303.77</v>
          </cell>
          <cell r="O910">
            <v>0</v>
          </cell>
          <cell r="R910">
            <v>69.17</v>
          </cell>
        </row>
        <row r="911">
          <cell r="G911">
            <v>71028.259999999893</v>
          </cell>
          <cell r="I911">
            <v>2499.69</v>
          </cell>
          <cell r="J911">
            <v>8671.67</v>
          </cell>
          <cell r="K911">
            <v>0</v>
          </cell>
          <cell r="L911">
            <v>11171.36</v>
          </cell>
          <cell r="M911">
            <v>86304.929999999906</v>
          </cell>
          <cell r="N911">
            <v>12335.34</v>
          </cell>
          <cell r="O911">
            <v>0</v>
          </cell>
          <cell r="R911">
            <v>337.22</v>
          </cell>
        </row>
        <row r="912">
          <cell r="G912">
            <v>8223.5799999999908</v>
          </cell>
          <cell r="I912">
            <v>256.37</v>
          </cell>
          <cell r="J912">
            <v>0</v>
          </cell>
          <cell r="K912">
            <v>0</v>
          </cell>
          <cell r="L912">
            <v>256.37</v>
          </cell>
          <cell r="M912">
            <v>8887.02</v>
          </cell>
          <cell r="N912">
            <v>893.94</v>
          </cell>
          <cell r="O912">
            <v>0</v>
          </cell>
          <cell r="R912">
            <v>39.03</v>
          </cell>
        </row>
        <row r="913">
          <cell r="G913">
            <v>14569.9</v>
          </cell>
          <cell r="I913">
            <v>512.75</v>
          </cell>
          <cell r="J913">
            <v>924.96</v>
          </cell>
          <cell r="K913">
            <v>0</v>
          </cell>
          <cell r="L913">
            <v>1437.71</v>
          </cell>
          <cell r="M913">
            <v>16848.119999999901</v>
          </cell>
          <cell r="N913">
            <v>3347.88</v>
          </cell>
          <cell r="O913">
            <v>0</v>
          </cell>
          <cell r="R913">
            <v>69.17</v>
          </cell>
        </row>
        <row r="914">
          <cell r="G914">
            <v>64297.72</v>
          </cell>
          <cell r="I914">
            <v>2072.3699999999899</v>
          </cell>
          <cell r="J914">
            <v>1118.52</v>
          </cell>
          <cell r="K914">
            <v>0</v>
          </cell>
          <cell r="L914">
            <v>3190.8899999999899</v>
          </cell>
          <cell r="M914">
            <v>70785.679999999906</v>
          </cell>
          <cell r="N914">
            <v>8433.6</v>
          </cell>
          <cell r="O914">
            <v>0</v>
          </cell>
          <cell r="R914">
            <v>305.26999999999902</v>
          </cell>
        </row>
        <row r="915">
          <cell r="G915">
            <v>29139.799999999901</v>
          </cell>
          <cell r="I915">
            <v>1025.53</v>
          </cell>
          <cell r="J915">
            <v>780.48</v>
          </cell>
          <cell r="K915">
            <v>0</v>
          </cell>
          <cell r="L915">
            <v>1806.01</v>
          </cell>
          <cell r="M915">
            <v>32586.41</v>
          </cell>
          <cell r="N915">
            <v>6832.39</v>
          </cell>
          <cell r="O915">
            <v>0</v>
          </cell>
          <cell r="R915">
            <v>138.349999999999</v>
          </cell>
        </row>
        <row r="916">
          <cell r="G916">
            <v>18517.709999999901</v>
          </cell>
          <cell r="I916">
            <v>619.82000000000005</v>
          </cell>
          <cell r="J916">
            <v>1516</v>
          </cell>
          <cell r="K916">
            <v>0</v>
          </cell>
          <cell r="L916">
            <v>2135.8200000000002</v>
          </cell>
          <cell r="M916">
            <v>21657.86</v>
          </cell>
          <cell r="N916">
            <v>2474.1799999999898</v>
          </cell>
          <cell r="O916">
            <v>0</v>
          </cell>
          <cell r="R916">
            <v>87.939999999999898</v>
          </cell>
        </row>
        <row r="917">
          <cell r="G917">
            <v>7462.97</v>
          </cell>
          <cell r="I917">
            <v>274.08999999999901</v>
          </cell>
          <cell r="J917">
            <v>515.03999999999905</v>
          </cell>
          <cell r="K917">
            <v>0</v>
          </cell>
          <cell r="L917">
            <v>789.13</v>
          </cell>
          <cell r="M917">
            <v>8666.69</v>
          </cell>
          <cell r="N917">
            <v>1502.71</v>
          </cell>
          <cell r="O917">
            <v>0</v>
          </cell>
          <cell r="R917">
            <v>2.27</v>
          </cell>
        </row>
        <row r="918">
          <cell r="G918">
            <v>14925.93</v>
          </cell>
          <cell r="I918">
            <v>548.17999999999904</v>
          </cell>
          <cell r="J918">
            <v>1931.52</v>
          </cell>
          <cell r="K918">
            <v>0</v>
          </cell>
          <cell r="L918">
            <v>2479.6999999999898</v>
          </cell>
          <cell r="M918">
            <v>18249.48</v>
          </cell>
          <cell r="N918">
            <v>2448.36</v>
          </cell>
          <cell r="O918">
            <v>0</v>
          </cell>
          <cell r="R918">
            <v>4.53</v>
          </cell>
        </row>
        <row r="919">
          <cell r="G919">
            <v>29851.86</v>
          </cell>
          <cell r="I919">
            <v>1096.3699999999899</v>
          </cell>
          <cell r="J919">
            <v>2533.44</v>
          </cell>
          <cell r="K919">
            <v>0</v>
          </cell>
          <cell r="L919">
            <v>3629.8099999999899</v>
          </cell>
          <cell r="M919">
            <v>35133.43</v>
          </cell>
          <cell r="N919">
            <v>5380.97</v>
          </cell>
          <cell r="O919">
            <v>0</v>
          </cell>
          <cell r="R919">
            <v>9.07</v>
          </cell>
        </row>
        <row r="920">
          <cell r="G920">
            <v>141796.34</v>
          </cell>
          <cell r="I920">
            <v>5207.7700000000004</v>
          </cell>
          <cell r="J920">
            <v>0</v>
          </cell>
          <cell r="K920">
            <v>0</v>
          </cell>
          <cell r="L920">
            <v>5207.7700000000004</v>
          </cell>
          <cell r="M920">
            <v>154759.37</v>
          </cell>
          <cell r="N920">
            <v>35457.11</v>
          </cell>
          <cell r="O920">
            <v>0</v>
          </cell>
          <cell r="R920">
            <v>43.079999999999899</v>
          </cell>
        </row>
        <row r="921">
          <cell r="G921">
            <v>14925.93</v>
          </cell>
          <cell r="I921">
            <v>548.17999999999904</v>
          </cell>
          <cell r="J921">
            <v>1684.5599999999899</v>
          </cell>
          <cell r="K921">
            <v>0</v>
          </cell>
          <cell r="L921">
            <v>2232.7399999999898</v>
          </cell>
          <cell r="M921">
            <v>17999.150000000001</v>
          </cell>
          <cell r="N921">
            <v>2615.65</v>
          </cell>
          <cell r="O921">
            <v>0</v>
          </cell>
          <cell r="R921">
            <v>4.53</v>
          </cell>
        </row>
        <row r="922">
          <cell r="G922">
            <v>53874.58</v>
          </cell>
          <cell r="I922">
            <v>1918.64</v>
          </cell>
          <cell r="J922">
            <v>0</v>
          </cell>
          <cell r="K922">
            <v>0</v>
          </cell>
          <cell r="L922">
            <v>1918.64</v>
          </cell>
          <cell r="M922">
            <v>58632.9</v>
          </cell>
          <cell r="N922">
            <v>11015.94</v>
          </cell>
          <cell r="O922">
            <v>0</v>
          </cell>
          <cell r="R922">
            <v>16.350000000000001</v>
          </cell>
        </row>
        <row r="923">
          <cell r="G923">
            <v>14925.93</v>
          </cell>
          <cell r="I923">
            <v>548.17999999999904</v>
          </cell>
          <cell r="J923">
            <v>0</v>
          </cell>
          <cell r="K923">
            <v>0</v>
          </cell>
          <cell r="L923">
            <v>548.17999999999904</v>
          </cell>
          <cell r="M923">
            <v>16276.49</v>
          </cell>
          <cell r="N923">
            <v>3403.51</v>
          </cell>
          <cell r="O923">
            <v>0</v>
          </cell>
          <cell r="R923">
            <v>4.53</v>
          </cell>
        </row>
        <row r="924">
          <cell r="G924">
            <v>92300.66</v>
          </cell>
          <cell r="I924">
            <v>3311.94</v>
          </cell>
          <cell r="J924">
            <v>0</v>
          </cell>
          <cell r="K924">
            <v>0</v>
          </cell>
          <cell r="L924">
            <v>3311.94</v>
          </cell>
          <cell r="M924">
            <v>100437.289999999</v>
          </cell>
          <cell r="N924">
            <v>17902.5099999999</v>
          </cell>
          <cell r="O924">
            <v>0</v>
          </cell>
          <cell r="R924">
            <v>28.02</v>
          </cell>
        </row>
        <row r="925">
          <cell r="G925">
            <v>45399.699999999903</v>
          </cell>
          <cell r="I925">
            <v>1667.4</v>
          </cell>
          <cell r="J925">
            <v>4713.04</v>
          </cell>
          <cell r="K925">
            <v>0</v>
          </cell>
          <cell r="L925">
            <v>6380.4399999999896</v>
          </cell>
          <cell r="M925">
            <v>54299.91</v>
          </cell>
          <cell r="N925">
            <v>7505.04</v>
          </cell>
          <cell r="O925">
            <v>0</v>
          </cell>
          <cell r="R925">
            <v>13.7899999999999</v>
          </cell>
        </row>
        <row r="926">
          <cell r="G926">
            <v>165850.59</v>
          </cell>
          <cell r="I926">
            <v>5687.43</v>
          </cell>
          <cell r="J926">
            <v>0</v>
          </cell>
          <cell r="K926">
            <v>0</v>
          </cell>
          <cell r="L926">
            <v>5687.43</v>
          </cell>
          <cell r="M926">
            <v>179930.26</v>
          </cell>
          <cell r="N926">
            <v>25908.45</v>
          </cell>
          <cell r="O926">
            <v>0</v>
          </cell>
          <cell r="R926">
            <v>50.399999999999899</v>
          </cell>
        </row>
        <row r="927">
          <cell r="G927">
            <v>16677.709999999901</v>
          </cell>
          <cell r="I927">
            <v>548.17999999999904</v>
          </cell>
          <cell r="J927">
            <v>0</v>
          </cell>
          <cell r="K927">
            <v>0</v>
          </cell>
          <cell r="L927">
            <v>548.17999999999904</v>
          </cell>
          <cell r="M927">
            <v>18037.23</v>
          </cell>
          <cell r="N927">
            <v>1862.6099999999899</v>
          </cell>
          <cell r="O927">
            <v>0</v>
          </cell>
          <cell r="R927">
            <v>5.07</v>
          </cell>
        </row>
        <row r="928">
          <cell r="G928">
            <v>29851.869999999901</v>
          </cell>
          <cell r="I928">
            <v>1096.3699999999899</v>
          </cell>
          <cell r="J928">
            <v>0</v>
          </cell>
          <cell r="K928">
            <v>0</v>
          </cell>
          <cell r="L928">
            <v>1096.3699999999899</v>
          </cell>
          <cell r="M928">
            <v>32575</v>
          </cell>
          <cell r="N928">
            <v>7324.64</v>
          </cell>
          <cell r="O928">
            <v>0</v>
          </cell>
          <cell r="R928">
            <v>9.07</v>
          </cell>
        </row>
        <row r="929">
          <cell r="G929">
            <v>15982.809999999899</v>
          </cell>
          <cell r="I929">
            <v>525.35</v>
          </cell>
          <cell r="J929">
            <v>0</v>
          </cell>
          <cell r="K929">
            <v>0</v>
          </cell>
          <cell r="L929">
            <v>525.35</v>
          </cell>
          <cell r="M929">
            <v>17284.38</v>
          </cell>
          <cell r="N929">
            <v>1753.67</v>
          </cell>
          <cell r="O929">
            <v>0</v>
          </cell>
          <cell r="R929">
            <v>4.8499999999999899</v>
          </cell>
        </row>
        <row r="930">
          <cell r="G930">
            <v>32596.93</v>
          </cell>
          <cell r="I930">
            <v>1119.2</v>
          </cell>
          <cell r="J930">
            <v>1567.68</v>
          </cell>
          <cell r="K930">
            <v>0</v>
          </cell>
          <cell r="L930">
            <v>2686.88</v>
          </cell>
          <cell r="M930">
            <v>36978.730000000003</v>
          </cell>
          <cell r="N930">
            <v>4593.5200000000004</v>
          </cell>
          <cell r="O930">
            <v>0</v>
          </cell>
          <cell r="R930">
            <v>9.89</v>
          </cell>
        </row>
        <row r="931">
          <cell r="G931">
            <v>29851.86</v>
          </cell>
          <cell r="I931">
            <v>1096.3699999999899</v>
          </cell>
          <cell r="J931">
            <v>3180</v>
          </cell>
          <cell r="K931">
            <v>0</v>
          </cell>
          <cell r="L931">
            <v>4276.3699999999899</v>
          </cell>
          <cell r="M931">
            <v>35815.949999999903</v>
          </cell>
          <cell r="N931">
            <v>5579.7299999999896</v>
          </cell>
          <cell r="O931">
            <v>0</v>
          </cell>
          <cell r="R931">
            <v>9.07</v>
          </cell>
        </row>
        <row r="932">
          <cell r="G932">
            <v>49112.599999999897</v>
          </cell>
          <cell r="I932">
            <v>1655.98</v>
          </cell>
          <cell r="J932">
            <v>0</v>
          </cell>
          <cell r="K932">
            <v>0</v>
          </cell>
          <cell r="L932">
            <v>1655.98</v>
          </cell>
          <cell r="M932">
            <v>53226.339999999902</v>
          </cell>
          <cell r="N932">
            <v>7056.97</v>
          </cell>
          <cell r="O932">
            <v>0</v>
          </cell>
          <cell r="R932">
            <v>14.91</v>
          </cell>
        </row>
        <row r="933">
          <cell r="G933">
            <v>37725.519999999902</v>
          </cell>
          <cell r="I933">
            <v>1405.16</v>
          </cell>
          <cell r="J933">
            <v>0</v>
          </cell>
          <cell r="K933">
            <v>0</v>
          </cell>
          <cell r="L933">
            <v>1405.16</v>
          </cell>
          <cell r="M933">
            <v>41138.389999999898</v>
          </cell>
          <cell r="N933">
            <v>8106.0799999999899</v>
          </cell>
          <cell r="O933">
            <v>0</v>
          </cell>
          <cell r="R933">
            <v>11.46</v>
          </cell>
        </row>
        <row r="934">
          <cell r="G934">
            <v>9950.6200000000008</v>
          </cell>
          <cell r="I934">
            <v>365.44999999999902</v>
          </cell>
          <cell r="J934">
            <v>946.08</v>
          </cell>
          <cell r="K934">
            <v>0</v>
          </cell>
          <cell r="L934">
            <v>1311.53</v>
          </cell>
          <cell r="M934">
            <v>11812.719999999899</v>
          </cell>
          <cell r="N934">
            <v>1692.0799999999899</v>
          </cell>
          <cell r="O934">
            <v>0</v>
          </cell>
          <cell r="R934">
            <v>3.02</v>
          </cell>
        </row>
        <row r="935">
          <cell r="G935">
            <v>31717.61</v>
          </cell>
          <cell r="I935">
            <v>1164.8900000000001</v>
          </cell>
          <cell r="J935">
            <v>0</v>
          </cell>
          <cell r="K935">
            <v>0</v>
          </cell>
          <cell r="L935">
            <v>1164.8900000000001</v>
          </cell>
          <cell r="M935">
            <v>34606.589999999902</v>
          </cell>
          <cell r="N935">
            <v>7680.52</v>
          </cell>
          <cell r="O935">
            <v>0</v>
          </cell>
          <cell r="R935">
            <v>9.64</v>
          </cell>
        </row>
        <row r="936">
          <cell r="G936">
            <v>46677</v>
          </cell>
          <cell r="I936">
            <v>1690.24</v>
          </cell>
          <cell r="J936">
            <v>0</v>
          </cell>
          <cell r="K936">
            <v>0</v>
          </cell>
          <cell r="L936">
            <v>1690.24</v>
          </cell>
          <cell r="M936">
            <v>50867.05</v>
          </cell>
          <cell r="N936">
            <v>10447.370000000001</v>
          </cell>
          <cell r="O936">
            <v>0</v>
          </cell>
          <cell r="R936">
            <v>14.18</v>
          </cell>
        </row>
        <row r="937">
          <cell r="G937">
            <v>15547.84</v>
          </cell>
          <cell r="I937">
            <v>571.01999999999896</v>
          </cell>
          <cell r="J937">
            <v>2280.36</v>
          </cell>
          <cell r="K937">
            <v>0</v>
          </cell>
          <cell r="L937">
            <v>2851.38</v>
          </cell>
          <cell r="M937">
            <v>19260.459999999901</v>
          </cell>
          <cell r="N937">
            <v>1864.54</v>
          </cell>
          <cell r="O937">
            <v>0</v>
          </cell>
          <cell r="R937">
            <v>4.71999999999999</v>
          </cell>
        </row>
        <row r="938">
          <cell r="G938">
            <v>144455.179999999</v>
          </cell>
          <cell r="I938">
            <v>5297.75</v>
          </cell>
          <cell r="J938">
            <v>4941.68</v>
          </cell>
          <cell r="K938">
            <v>0</v>
          </cell>
          <cell r="L938">
            <v>10239.43</v>
          </cell>
          <cell r="M938">
            <v>162443.179999999</v>
          </cell>
          <cell r="N938">
            <v>27611.709999999901</v>
          </cell>
          <cell r="O938">
            <v>0</v>
          </cell>
          <cell r="R938">
            <v>43.89</v>
          </cell>
        </row>
        <row r="939">
          <cell r="G939">
            <v>154957.95000000001</v>
          </cell>
          <cell r="I939">
            <v>5436.17</v>
          </cell>
          <cell r="J939">
            <v>925.91999999999905</v>
          </cell>
          <cell r="K939">
            <v>0</v>
          </cell>
          <cell r="L939">
            <v>6362.09</v>
          </cell>
          <cell r="M939">
            <v>169395.22</v>
          </cell>
          <cell r="N939">
            <v>28670.0999999999</v>
          </cell>
          <cell r="O939">
            <v>0</v>
          </cell>
          <cell r="R939">
            <v>47.07</v>
          </cell>
        </row>
        <row r="940">
          <cell r="G940">
            <v>14925.93</v>
          </cell>
          <cell r="I940">
            <v>548.17999999999904</v>
          </cell>
          <cell r="J940">
            <v>1590</v>
          </cell>
          <cell r="K940">
            <v>0</v>
          </cell>
          <cell r="L940">
            <v>2138.1799999999898</v>
          </cell>
          <cell r="M940">
            <v>17899.5</v>
          </cell>
          <cell r="N940">
            <v>2590.7399999999898</v>
          </cell>
          <cell r="O940">
            <v>0</v>
          </cell>
          <cell r="R940">
            <v>4.53</v>
          </cell>
        </row>
        <row r="941">
          <cell r="G941">
            <v>27333.5</v>
          </cell>
          <cell r="I941">
            <v>936.48</v>
          </cell>
          <cell r="J941">
            <v>0</v>
          </cell>
          <cell r="K941">
            <v>0</v>
          </cell>
          <cell r="L941">
            <v>936.48</v>
          </cell>
          <cell r="M941">
            <v>29650.619999999901</v>
          </cell>
          <cell r="N941">
            <v>4209.54</v>
          </cell>
          <cell r="O941">
            <v>0</v>
          </cell>
          <cell r="R941">
            <v>8.2899999999999903</v>
          </cell>
        </row>
        <row r="942">
          <cell r="G942">
            <v>15547.84</v>
          </cell>
          <cell r="I942">
            <v>571.01999999999896</v>
          </cell>
          <cell r="J942">
            <v>1345.53</v>
          </cell>
          <cell r="K942">
            <v>0</v>
          </cell>
          <cell r="L942">
            <v>1916.55</v>
          </cell>
          <cell r="M942">
            <v>18317.029999999901</v>
          </cell>
          <cell r="N942">
            <v>2596.7199999999898</v>
          </cell>
          <cell r="O942">
            <v>0</v>
          </cell>
          <cell r="R942">
            <v>4.71999999999999</v>
          </cell>
        </row>
        <row r="943">
          <cell r="G943">
            <v>14925.93</v>
          </cell>
          <cell r="I943">
            <v>548.17999999999904</v>
          </cell>
          <cell r="J943">
            <v>1779.1199999999899</v>
          </cell>
          <cell r="K943">
            <v>0</v>
          </cell>
          <cell r="L943">
            <v>2327.3000000000002</v>
          </cell>
          <cell r="M943">
            <v>18097.080000000002</v>
          </cell>
          <cell r="N943">
            <v>2600.7600000000002</v>
          </cell>
          <cell r="O943">
            <v>0</v>
          </cell>
          <cell r="R943">
            <v>4.53</v>
          </cell>
        </row>
        <row r="944">
          <cell r="G944">
            <v>39715.54</v>
          </cell>
          <cell r="I944">
            <v>1393.3</v>
          </cell>
          <cell r="J944">
            <v>0</v>
          </cell>
          <cell r="K944">
            <v>0</v>
          </cell>
          <cell r="L944">
            <v>1393.3</v>
          </cell>
          <cell r="M944">
            <v>43143.93</v>
          </cell>
          <cell r="N944">
            <v>6773.0299999999897</v>
          </cell>
          <cell r="O944">
            <v>0</v>
          </cell>
          <cell r="R944">
            <v>12.06</v>
          </cell>
        </row>
        <row r="945">
          <cell r="G945">
            <v>41333.5</v>
          </cell>
          <cell r="I945">
            <v>1438.97</v>
          </cell>
          <cell r="J945">
            <v>920.30999999999904</v>
          </cell>
          <cell r="K945">
            <v>0</v>
          </cell>
          <cell r="L945">
            <v>2359.2800000000002</v>
          </cell>
          <cell r="M945">
            <v>45821.11</v>
          </cell>
          <cell r="N945">
            <v>6381.96</v>
          </cell>
          <cell r="O945">
            <v>0</v>
          </cell>
          <cell r="R945">
            <v>12.55</v>
          </cell>
        </row>
        <row r="946">
          <cell r="G946">
            <v>37314.83</v>
          </cell>
          <cell r="I946">
            <v>1370.46</v>
          </cell>
          <cell r="J946">
            <v>5138.04</v>
          </cell>
          <cell r="K946">
            <v>0</v>
          </cell>
          <cell r="L946">
            <v>6508.5</v>
          </cell>
          <cell r="M946">
            <v>45918.43</v>
          </cell>
          <cell r="N946">
            <v>5469.6499999999896</v>
          </cell>
          <cell r="O946">
            <v>0</v>
          </cell>
          <cell r="R946">
            <v>11.33</v>
          </cell>
        </row>
        <row r="947">
          <cell r="G947">
            <v>25711.459999999901</v>
          </cell>
          <cell r="I947">
            <v>845.12</v>
          </cell>
          <cell r="J947">
            <v>0</v>
          </cell>
          <cell r="K947">
            <v>0</v>
          </cell>
          <cell r="L947">
            <v>845.12</v>
          </cell>
          <cell r="M947">
            <v>27811.08</v>
          </cell>
          <cell r="N947">
            <v>2958.67</v>
          </cell>
          <cell r="O947">
            <v>0</v>
          </cell>
          <cell r="R947">
            <v>7.82</v>
          </cell>
        </row>
        <row r="948">
          <cell r="G948">
            <v>8706.7900000000009</v>
          </cell>
          <cell r="I948">
            <v>319.76999999999902</v>
          </cell>
          <cell r="J948">
            <v>0</v>
          </cell>
          <cell r="K948">
            <v>0</v>
          </cell>
          <cell r="L948">
            <v>319.76999999999902</v>
          </cell>
          <cell r="M948">
            <v>9503.1499999999905</v>
          </cell>
          <cell r="N948">
            <v>2186.8499999999899</v>
          </cell>
          <cell r="O948">
            <v>0</v>
          </cell>
          <cell r="R948">
            <v>2.6499999999999901</v>
          </cell>
        </row>
        <row r="949">
          <cell r="G949">
            <v>0</v>
          </cell>
          <cell r="I949">
            <v>0</v>
          </cell>
          <cell r="J949">
            <v>34977.419999999896</v>
          </cell>
          <cell r="K949">
            <v>0</v>
          </cell>
          <cell r="L949">
            <v>34977.419999999896</v>
          </cell>
          <cell r="M949">
            <v>34977.419999999896</v>
          </cell>
          <cell r="N949">
            <v>-34977.419999999896</v>
          </cell>
          <cell r="O949">
            <v>0</v>
          </cell>
          <cell r="R949">
            <v>0</v>
          </cell>
        </row>
        <row r="950">
          <cell r="G950">
            <v>74629.649999999907</v>
          </cell>
          <cell r="I950">
            <v>2740.94</v>
          </cell>
          <cell r="J950">
            <v>0</v>
          </cell>
          <cell r="K950">
            <v>0</v>
          </cell>
          <cell r="L950">
            <v>2740.94</v>
          </cell>
          <cell r="M950">
            <v>81413.41</v>
          </cell>
          <cell r="N950">
            <v>17746.43</v>
          </cell>
          <cell r="O950">
            <v>0</v>
          </cell>
          <cell r="R950">
            <v>22.67</v>
          </cell>
        </row>
        <row r="951">
          <cell r="G951">
            <v>360947.27</v>
          </cell>
          <cell r="I951">
            <v>12334.17</v>
          </cell>
          <cell r="J951">
            <v>0</v>
          </cell>
          <cell r="K951">
            <v>0</v>
          </cell>
          <cell r="L951">
            <v>12334.17</v>
          </cell>
          <cell r="M951">
            <v>392103.15</v>
          </cell>
          <cell r="N951">
            <v>69545.61</v>
          </cell>
          <cell r="O951">
            <v>0</v>
          </cell>
          <cell r="R951">
            <v>109.67</v>
          </cell>
        </row>
        <row r="952">
          <cell r="G952">
            <v>17186.2599999999</v>
          </cell>
          <cell r="I952">
            <v>571.01999999999896</v>
          </cell>
          <cell r="J952">
            <v>0</v>
          </cell>
          <cell r="K952">
            <v>0</v>
          </cell>
          <cell r="L952">
            <v>571.01999999999896</v>
          </cell>
          <cell r="M952">
            <v>18602.4199999999</v>
          </cell>
          <cell r="N952">
            <v>2126.3299999999899</v>
          </cell>
          <cell r="O952">
            <v>0</v>
          </cell>
          <cell r="R952">
            <v>5.23</v>
          </cell>
        </row>
        <row r="953">
          <cell r="G953">
            <v>6949.05</v>
          </cell>
          <cell r="I953">
            <v>228.41</v>
          </cell>
          <cell r="J953">
            <v>0</v>
          </cell>
          <cell r="K953">
            <v>0</v>
          </cell>
          <cell r="L953">
            <v>228.41</v>
          </cell>
          <cell r="M953">
            <v>7516.8699999999899</v>
          </cell>
          <cell r="N953">
            <v>808.13</v>
          </cell>
          <cell r="O953">
            <v>0</v>
          </cell>
          <cell r="R953">
            <v>2.1099999999999901</v>
          </cell>
        </row>
        <row r="954">
          <cell r="G954">
            <v>29851.86</v>
          </cell>
          <cell r="I954">
            <v>1096.3699999999899</v>
          </cell>
          <cell r="J954">
            <v>1200.96</v>
          </cell>
          <cell r="K954">
            <v>0</v>
          </cell>
          <cell r="L954">
            <v>2297.3299999999899</v>
          </cell>
          <cell r="M954">
            <v>33781.459999999897</v>
          </cell>
          <cell r="N954">
            <v>6254.14</v>
          </cell>
          <cell r="O954">
            <v>0</v>
          </cell>
          <cell r="R954">
            <v>9.07</v>
          </cell>
        </row>
        <row r="955">
          <cell r="G955">
            <v>350326.82</v>
          </cell>
          <cell r="I955">
            <v>12265.67</v>
          </cell>
          <cell r="J955">
            <v>17710.9199999999</v>
          </cell>
          <cell r="K955">
            <v>0</v>
          </cell>
          <cell r="L955">
            <v>29976.59</v>
          </cell>
          <cell r="M955">
            <v>399403.049999999</v>
          </cell>
          <cell r="N955">
            <v>69064.809999999896</v>
          </cell>
          <cell r="O955">
            <v>0</v>
          </cell>
          <cell r="R955">
            <v>106.44</v>
          </cell>
        </row>
        <row r="956">
          <cell r="G956">
            <v>22388.9</v>
          </cell>
          <cell r="I956">
            <v>822.26999999999896</v>
          </cell>
          <cell r="J956">
            <v>1992.72</v>
          </cell>
          <cell r="K956">
            <v>0</v>
          </cell>
          <cell r="L956">
            <v>2814.9899999999898</v>
          </cell>
          <cell r="M956">
            <v>26441.54</v>
          </cell>
          <cell r="N956">
            <v>3914.86</v>
          </cell>
          <cell r="O956">
            <v>0</v>
          </cell>
          <cell r="R956">
            <v>6.7999999999999901</v>
          </cell>
        </row>
        <row r="957">
          <cell r="G957">
            <v>29851.86</v>
          </cell>
          <cell r="I957">
            <v>1096.3699999999899</v>
          </cell>
          <cell r="J957">
            <v>3037.92</v>
          </cell>
          <cell r="K957">
            <v>0</v>
          </cell>
          <cell r="L957">
            <v>4134.29</v>
          </cell>
          <cell r="M957">
            <v>35673.870000000003</v>
          </cell>
          <cell r="N957">
            <v>5721.81</v>
          </cell>
          <cell r="O957">
            <v>0</v>
          </cell>
          <cell r="R957">
            <v>9.07</v>
          </cell>
        </row>
        <row r="958">
          <cell r="G958">
            <v>115148.399999999</v>
          </cell>
          <cell r="I958">
            <v>4111.3900000000003</v>
          </cell>
          <cell r="J958">
            <v>4406.88</v>
          </cell>
          <cell r="K958">
            <v>0</v>
          </cell>
          <cell r="L958">
            <v>8518.27</v>
          </cell>
          <cell r="M958">
            <v>129786.74</v>
          </cell>
          <cell r="N958">
            <v>20322.9399999999</v>
          </cell>
          <cell r="O958">
            <v>0</v>
          </cell>
          <cell r="R958">
            <v>34.99</v>
          </cell>
        </row>
        <row r="959">
          <cell r="G959">
            <v>16677.709999999901</v>
          </cell>
          <cell r="I959">
            <v>548.17999999999904</v>
          </cell>
          <cell r="J959">
            <v>0</v>
          </cell>
          <cell r="K959">
            <v>0</v>
          </cell>
          <cell r="L959">
            <v>548.17999999999904</v>
          </cell>
          <cell r="M959">
            <v>18037.23</v>
          </cell>
          <cell r="N959">
            <v>1862.6099999999899</v>
          </cell>
          <cell r="O959">
            <v>0</v>
          </cell>
          <cell r="R959">
            <v>5.07</v>
          </cell>
        </row>
        <row r="960">
          <cell r="G960">
            <v>44777.79</v>
          </cell>
          <cell r="I960">
            <v>1644.55</v>
          </cell>
          <cell r="J960">
            <v>5337.3599999999897</v>
          </cell>
          <cell r="K960">
            <v>0</v>
          </cell>
          <cell r="L960">
            <v>6981.9099999999899</v>
          </cell>
          <cell r="M960">
            <v>54276.87</v>
          </cell>
          <cell r="N960">
            <v>7463.6099999999897</v>
          </cell>
          <cell r="O960">
            <v>0</v>
          </cell>
          <cell r="R960">
            <v>13.6</v>
          </cell>
        </row>
        <row r="961">
          <cell r="G961">
            <v>3731.48</v>
          </cell>
          <cell r="I961">
            <v>137.05000000000001</v>
          </cell>
          <cell r="J961">
            <v>0</v>
          </cell>
          <cell r="K961">
            <v>0</v>
          </cell>
          <cell r="L961">
            <v>137.05000000000001</v>
          </cell>
          <cell r="M961">
            <v>4071.3699999999899</v>
          </cell>
          <cell r="N961">
            <v>903.59</v>
          </cell>
          <cell r="O961">
            <v>0</v>
          </cell>
          <cell r="R961">
            <v>1.1399999999999899</v>
          </cell>
        </row>
        <row r="962">
          <cell r="G962">
            <v>14925.93</v>
          </cell>
          <cell r="I962">
            <v>548.17999999999904</v>
          </cell>
          <cell r="J962">
            <v>0</v>
          </cell>
          <cell r="K962">
            <v>0</v>
          </cell>
          <cell r="L962">
            <v>548.17999999999904</v>
          </cell>
          <cell r="M962">
            <v>16276.49</v>
          </cell>
          <cell r="N962">
            <v>3403.51</v>
          </cell>
          <cell r="O962">
            <v>0</v>
          </cell>
          <cell r="R962">
            <v>4.53</v>
          </cell>
        </row>
        <row r="963">
          <cell r="G963">
            <v>17939.740000000002</v>
          </cell>
          <cell r="I963">
            <v>593.88</v>
          </cell>
          <cell r="J963">
            <v>0</v>
          </cell>
          <cell r="K963">
            <v>0</v>
          </cell>
          <cell r="L963">
            <v>593.88</v>
          </cell>
          <cell r="M963">
            <v>19407.400000000001</v>
          </cell>
          <cell r="N963">
            <v>2020.24</v>
          </cell>
          <cell r="O963">
            <v>0</v>
          </cell>
          <cell r="R963">
            <v>5.46</v>
          </cell>
        </row>
        <row r="964">
          <cell r="G964">
            <v>65922.850000000006</v>
          </cell>
          <cell r="I964">
            <v>2421.15</v>
          </cell>
          <cell r="J964">
            <v>7999.77</v>
          </cell>
          <cell r="K964">
            <v>0</v>
          </cell>
          <cell r="L964">
            <v>10420.92</v>
          </cell>
          <cell r="M964">
            <v>79995.710000000006</v>
          </cell>
          <cell r="N964">
            <v>9576.3899999999903</v>
          </cell>
          <cell r="O964">
            <v>0</v>
          </cell>
          <cell r="R964">
            <v>20.0399999999999</v>
          </cell>
        </row>
        <row r="965">
          <cell r="G965">
            <v>6949.05</v>
          </cell>
          <cell r="I965">
            <v>228.41</v>
          </cell>
          <cell r="J965">
            <v>0</v>
          </cell>
          <cell r="K965">
            <v>0</v>
          </cell>
          <cell r="L965">
            <v>228.41</v>
          </cell>
          <cell r="M965">
            <v>7515.4899999999898</v>
          </cell>
          <cell r="N965">
            <v>776.11</v>
          </cell>
          <cell r="O965">
            <v>0</v>
          </cell>
          <cell r="R965">
            <v>2.1099999999999901</v>
          </cell>
        </row>
        <row r="966">
          <cell r="G966">
            <v>8338.85</v>
          </cell>
          <cell r="I966">
            <v>274.08999999999901</v>
          </cell>
          <cell r="J966">
            <v>0</v>
          </cell>
          <cell r="K966">
            <v>0</v>
          </cell>
          <cell r="L966">
            <v>274.08999999999901</v>
          </cell>
          <cell r="M966">
            <v>9016.1499999999905</v>
          </cell>
          <cell r="N966">
            <v>873.64999999999895</v>
          </cell>
          <cell r="O966">
            <v>0</v>
          </cell>
          <cell r="R966">
            <v>2.52999999999999</v>
          </cell>
        </row>
        <row r="967">
          <cell r="G967">
            <v>61679.44</v>
          </cell>
          <cell r="I967">
            <v>2192.7399999999898</v>
          </cell>
          <cell r="J967">
            <v>1597.92</v>
          </cell>
          <cell r="K967">
            <v>0</v>
          </cell>
          <cell r="L967">
            <v>3790.6599999999899</v>
          </cell>
          <cell r="M967">
            <v>68719.61</v>
          </cell>
          <cell r="N967">
            <v>10983.43</v>
          </cell>
          <cell r="O967">
            <v>0</v>
          </cell>
          <cell r="R967">
            <v>18.739999999999899</v>
          </cell>
        </row>
        <row r="968">
          <cell r="G968">
            <v>14925.93</v>
          </cell>
          <cell r="I968">
            <v>548.17999999999904</v>
          </cell>
          <cell r="J968">
            <v>0</v>
          </cell>
          <cell r="K968">
            <v>0</v>
          </cell>
          <cell r="L968">
            <v>548.17999999999904</v>
          </cell>
          <cell r="M968">
            <v>16276.49</v>
          </cell>
          <cell r="N968">
            <v>3403.51</v>
          </cell>
          <cell r="O968">
            <v>0</v>
          </cell>
          <cell r="R968">
            <v>4.53</v>
          </cell>
        </row>
        <row r="969">
          <cell r="G969">
            <v>22132.93</v>
          </cell>
          <cell r="I969">
            <v>776.59</v>
          </cell>
          <cell r="J969">
            <v>0</v>
          </cell>
          <cell r="K969">
            <v>0</v>
          </cell>
          <cell r="L969">
            <v>776.59</v>
          </cell>
          <cell r="M969">
            <v>24046.209999999901</v>
          </cell>
          <cell r="N969">
            <v>3833.79</v>
          </cell>
          <cell r="O969">
            <v>0</v>
          </cell>
          <cell r="R969">
            <v>6.71999999999999</v>
          </cell>
        </row>
        <row r="970">
          <cell r="G970">
            <v>23373.32</v>
          </cell>
          <cell r="I970">
            <v>776.59</v>
          </cell>
          <cell r="J970">
            <v>0</v>
          </cell>
          <cell r="K970">
            <v>0</v>
          </cell>
          <cell r="L970">
            <v>776.59</v>
          </cell>
          <cell r="M970">
            <v>25299.299999999901</v>
          </cell>
          <cell r="N970">
            <v>2891.8</v>
          </cell>
          <cell r="O970">
            <v>0</v>
          </cell>
          <cell r="R970">
            <v>7.0999999999999899</v>
          </cell>
        </row>
        <row r="971">
          <cell r="G971">
            <v>182713.95</v>
          </cell>
          <cell r="I971">
            <v>6601.05</v>
          </cell>
          <cell r="J971">
            <v>2734.8099999999899</v>
          </cell>
          <cell r="K971">
            <v>0</v>
          </cell>
          <cell r="L971">
            <v>9335.86</v>
          </cell>
          <cell r="M971">
            <v>201733.88</v>
          </cell>
          <cell r="N971">
            <v>35793.07</v>
          </cell>
          <cell r="O971">
            <v>0</v>
          </cell>
          <cell r="R971">
            <v>55.509999999999899</v>
          </cell>
        </row>
        <row r="972">
          <cell r="G972">
            <v>60325.629999999903</v>
          </cell>
          <cell r="I972">
            <v>2215.5799999999899</v>
          </cell>
          <cell r="J972">
            <v>7198.0299999999897</v>
          </cell>
          <cell r="K972">
            <v>0</v>
          </cell>
          <cell r="L972">
            <v>9413.61</v>
          </cell>
          <cell r="M972">
            <v>73098.22</v>
          </cell>
          <cell r="N972">
            <v>9288.68</v>
          </cell>
          <cell r="O972">
            <v>0</v>
          </cell>
          <cell r="R972">
            <v>18.32</v>
          </cell>
        </row>
        <row r="973">
          <cell r="G973">
            <v>62191.379999999903</v>
          </cell>
          <cell r="I973">
            <v>2284.11</v>
          </cell>
          <cell r="J973">
            <v>0</v>
          </cell>
          <cell r="K973">
            <v>0</v>
          </cell>
          <cell r="L973">
            <v>2284.11</v>
          </cell>
          <cell r="M973">
            <v>67846.199999999895</v>
          </cell>
          <cell r="N973">
            <v>14828.799999999899</v>
          </cell>
          <cell r="O973">
            <v>0</v>
          </cell>
          <cell r="R973">
            <v>18.89</v>
          </cell>
        </row>
        <row r="974">
          <cell r="G974">
            <v>17372.61</v>
          </cell>
          <cell r="I974">
            <v>571.01999999999896</v>
          </cell>
          <cell r="J974">
            <v>0</v>
          </cell>
          <cell r="K974">
            <v>0</v>
          </cell>
          <cell r="L974">
            <v>571.01999999999896</v>
          </cell>
          <cell r="M974">
            <v>18792.16</v>
          </cell>
          <cell r="N974">
            <v>2020.0899999999899</v>
          </cell>
          <cell r="O974">
            <v>0</v>
          </cell>
          <cell r="R974">
            <v>5.2699999999999898</v>
          </cell>
        </row>
        <row r="975">
          <cell r="G975">
            <v>14925.93</v>
          </cell>
          <cell r="I975">
            <v>548.17999999999904</v>
          </cell>
          <cell r="J975">
            <v>0</v>
          </cell>
          <cell r="K975">
            <v>0</v>
          </cell>
          <cell r="L975">
            <v>548.17999999999904</v>
          </cell>
          <cell r="M975">
            <v>16270.82</v>
          </cell>
          <cell r="N975">
            <v>3271.42</v>
          </cell>
          <cell r="O975">
            <v>0</v>
          </cell>
          <cell r="R975">
            <v>4.53</v>
          </cell>
        </row>
        <row r="976">
          <cell r="G976">
            <v>14925.93</v>
          </cell>
          <cell r="I976">
            <v>548.17999999999904</v>
          </cell>
          <cell r="J976">
            <v>2119.1999999999898</v>
          </cell>
          <cell r="K976">
            <v>0</v>
          </cell>
          <cell r="L976">
            <v>2667.38</v>
          </cell>
          <cell r="M976">
            <v>18433.79</v>
          </cell>
          <cell r="N976">
            <v>2181.0100000000002</v>
          </cell>
          <cell r="O976">
            <v>0</v>
          </cell>
          <cell r="R976">
            <v>4.53</v>
          </cell>
        </row>
        <row r="977">
          <cell r="G977">
            <v>89555.58</v>
          </cell>
          <cell r="I977">
            <v>3289.11</v>
          </cell>
          <cell r="J977">
            <v>10713.6</v>
          </cell>
          <cell r="K977">
            <v>0</v>
          </cell>
          <cell r="L977">
            <v>14002.709999999901</v>
          </cell>
          <cell r="M977">
            <v>108608.77</v>
          </cell>
          <cell r="N977">
            <v>15266.51</v>
          </cell>
          <cell r="O977">
            <v>0</v>
          </cell>
          <cell r="R977">
            <v>27.21</v>
          </cell>
        </row>
        <row r="978">
          <cell r="G978">
            <v>27498.02</v>
          </cell>
          <cell r="I978">
            <v>913.64999999999895</v>
          </cell>
          <cell r="J978">
            <v>0</v>
          </cell>
          <cell r="K978">
            <v>0</v>
          </cell>
          <cell r="L978">
            <v>913.64999999999895</v>
          </cell>
          <cell r="M978">
            <v>29768.959999999901</v>
          </cell>
          <cell r="N978">
            <v>3522.4899999999898</v>
          </cell>
          <cell r="O978">
            <v>0</v>
          </cell>
          <cell r="R978">
            <v>8.3499999999999908</v>
          </cell>
        </row>
        <row r="979">
          <cell r="G979">
            <v>64959.059999999903</v>
          </cell>
          <cell r="I979">
            <v>2192.73</v>
          </cell>
          <cell r="J979">
            <v>0</v>
          </cell>
          <cell r="K979">
            <v>0</v>
          </cell>
          <cell r="L979">
            <v>2192.73</v>
          </cell>
          <cell r="M979">
            <v>70370.179999999906</v>
          </cell>
          <cell r="N979">
            <v>8570.86</v>
          </cell>
          <cell r="O979">
            <v>0</v>
          </cell>
          <cell r="R979">
            <v>19.739999999999899</v>
          </cell>
        </row>
        <row r="980">
          <cell r="G980">
            <v>182877.22</v>
          </cell>
          <cell r="I980">
            <v>6578.22</v>
          </cell>
          <cell r="J980">
            <v>12740.879999999899</v>
          </cell>
          <cell r="K980">
            <v>0</v>
          </cell>
          <cell r="L980">
            <v>19319.0999999999</v>
          </cell>
          <cell r="M980">
            <v>212251.47</v>
          </cell>
          <cell r="N980">
            <v>34377.33</v>
          </cell>
          <cell r="O980">
            <v>0</v>
          </cell>
          <cell r="R980">
            <v>55.549999999999898</v>
          </cell>
        </row>
        <row r="981">
          <cell r="G981">
            <v>14925.93</v>
          </cell>
          <cell r="I981">
            <v>548.17999999999904</v>
          </cell>
          <cell r="J981">
            <v>0</v>
          </cell>
          <cell r="K981">
            <v>0</v>
          </cell>
          <cell r="L981">
            <v>548.17999999999904</v>
          </cell>
          <cell r="M981">
            <v>16276.49</v>
          </cell>
          <cell r="N981">
            <v>3403.51</v>
          </cell>
          <cell r="O981">
            <v>0</v>
          </cell>
          <cell r="R981">
            <v>4.53</v>
          </cell>
        </row>
        <row r="982">
          <cell r="G982">
            <v>25680.79</v>
          </cell>
          <cell r="I982">
            <v>845.12</v>
          </cell>
          <cell r="J982">
            <v>0</v>
          </cell>
          <cell r="K982">
            <v>0</v>
          </cell>
          <cell r="L982">
            <v>845.12</v>
          </cell>
          <cell r="M982">
            <v>27780.41</v>
          </cell>
          <cell r="N982">
            <v>2989.34</v>
          </cell>
          <cell r="O982">
            <v>0</v>
          </cell>
          <cell r="R982">
            <v>7.7999999999999901</v>
          </cell>
        </row>
        <row r="983">
          <cell r="G983">
            <v>3731.48</v>
          </cell>
          <cell r="I983">
            <v>137.05000000000001</v>
          </cell>
          <cell r="J983">
            <v>0</v>
          </cell>
          <cell r="K983">
            <v>0</v>
          </cell>
          <cell r="L983">
            <v>137.05000000000001</v>
          </cell>
          <cell r="M983">
            <v>4070.76</v>
          </cell>
          <cell r="N983">
            <v>889.13999999999896</v>
          </cell>
          <cell r="O983">
            <v>0</v>
          </cell>
          <cell r="R983">
            <v>1.1399999999999899</v>
          </cell>
        </row>
        <row r="984">
          <cell r="G984">
            <v>7462.97</v>
          </cell>
          <cell r="I984">
            <v>274.35000000000002</v>
          </cell>
          <cell r="J984">
            <v>0</v>
          </cell>
          <cell r="K984">
            <v>0</v>
          </cell>
          <cell r="L984">
            <v>274.35000000000002</v>
          </cell>
          <cell r="M984">
            <v>8135.68</v>
          </cell>
          <cell r="N984">
            <v>1635.44</v>
          </cell>
          <cell r="O984">
            <v>0</v>
          </cell>
          <cell r="R984">
            <v>2.27</v>
          </cell>
        </row>
        <row r="985">
          <cell r="G985">
            <v>120.47</v>
          </cell>
          <cell r="I985">
            <v>0</v>
          </cell>
          <cell r="J985">
            <v>180</v>
          </cell>
          <cell r="K985">
            <v>0</v>
          </cell>
          <cell r="L985">
            <v>180</v>
          </cell>
          <cell r="M985">
            <v>300.47000000000003</v>
          </cell>
          <cell r="N985">
            <v>-300.47000000000003</v>
          </cell>
          <cell r="O985">
            <v>0</v>
          </cell>
          <cell r="R985">
            <v>0</v>
          </cell>
        </row>
        <row r="986">
          <cell r="G986">
            <v>25054.0999999999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26620.58</v>
          </cell>
          <cell r="N986">
            <v>3979.42</v>
          </cell>
          <cell r="O986">
            <v>0</v>
          </cell>
          <cell r="R986">
            <v>0</v>
          </cell>
        </row>
        <row r="987">
          <cell r="G987">
            <v>7419.92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7932.88</v>
          </cell>
          <cell r="N987">
            <v>2087.1199999999899</v>
          </cell>
          <cell r="O987">
            <v>0</v>
          </cell>
          <cell r="R987">
            <v>0</v>
          </cell>
        </row>
        <row r="988">
          <cell r="G988">
            <v>59359.360000000001</v>
          </cell>
          <cell r="I988">
            <v>0</v>
          </cell>
          <cell r="J988">
            <v>6858.2399999999898</v>
          </cell>
          <cell r="K988">
            <v>0</v>
          </cell>
          <cell r="L988">
            <v>6858.2399999999898</v>
          </cell>
          <cell r="M988">
            <v>70512.059999999896</v>
          </cell>
          <cell r="N988">
            <v>13376.58</v>
          </cell>
          <cell r="O988">
            <v>0</v>
          </cell>
          <cell r="R988">
            <v>0</v>
          </cell>
        </row>
        <row r="989">
          <cell r="G989">
            <v>40579.32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43384.04</v>
          </cell>
          <cell r="N989">
            <v>11404.709999999901</v>
          </cell>
          <cell r="O989">
            <v>0</v>
          </cell>
          <cell r="R989">
            <v>0</v>
          </cell>
        </row>
        <row r="990">
          <cell r="G990">
            <v>8351.3700000000008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8869.86</v>
          </cell>
          <cell r="N990">
            <v>1258.74</v>
          </cell>
          <cell r="O990">
            <v>0</v>
          </cell>
          <cell r="R990">
            <v>0</v>
          </cell>
        </row>
        <row r="991">
          <cell r="G991">
            <v>51939.44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55504.91</v>
          </cell>
          <cell r="N991">
            <v>14144.53</v>
          </cell>
          <cell r="O991">
            <v>0</v>
          </cell>
          <cell r="R991">
            <v>0</v>
          </cell>
        </row>
        <row r="992">
          <cell r="G992">
            <v>24733.07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26430.95</v>
          </cell>
          <cell r="N992">
            <v>6735.4499999999898</v>
          </cell>
          <cell r="O992">
            <v>0</v>
          </cell>
          <cell r="R992">
            <v>0</v>
          </cell>
        </row>
        <row r="993">
          <cell r="G993">
            <v>44294.57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47276.04</v>
          </cell>
          <cell r="N993">
            <v>10963.41</v>
          </cell>
          <cell r="O993">
            <v>0</v>
          </cell>
          <cell r="R993">
            <v>0</v>
          </cell>
        </row>
        <row r="994">
          <cell r="G994">
            <v>14839.84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15876.799999999899</v>
          </cell>
          <cell r="N994">
            <v>4380.3999999999896</v>
          </cell>
          <cell r="O994">
            <v>0</v>
          </cell>
          <cell r="R994">
            <v>0</v>
          </cell>
        </row>
        <row r="995">
          <cell r="G995">
            <v>29679.68</v>
          </cell>
          <cell r="I995">
            <v>0</v>
          </cell>
          <cell r="J995">
            <v>3561.5999999999899</v>
          </cell>
          <cell r="K995">
            <v>0</v>
          </cell>
          <cell r="L995">
            <v>3561.5999999999899</v>
          </cell>
          <cell r="M995">
            <v>35403.660000000003</v>
          </cell>
          <cell r="N995">
            <v>6836.34</v>
          </cell>
          <cell r="O995">
            <v>0</v>
          </cell>
          <cell r="R995">
            <v>0</v>
          </cell>
        </row>
        <row r="996">
          <cell r="G996">
            <v>15424.66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16381.92</v>
          </cell>
          <cell r="N996">
            <v>2318.0799999999899</v>
          </cell>
          <cell r="O996">
            <v>0</v>
          </cell>
          <cell r="R996">
            <v>0</v>
          </cell>
        </row>
        <row r="997">
          <cell r="G997">
            <v>14839.84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15858.5</v>
          </cell>
          <cell r="N997">
            <v>4041.34</v>
          </cell>
          <cell r="O997">
            <v>0</v>
          </cell>
          <cell r="R997">
            <v>0</v>
          </cell>
        </row>
        <row r="998">
          <cell r="G998">
            <v>5564.9399999999896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5956.54</v>
          </cell>
          <cell r="N998">
            <v>1693.46</v>
          </cell>
          <cell r="O998">
            <v>0</v>
          </cell>
          <cell r="R998">
            <v>0</v>
          </cell>
        </row>
        <row r="999">
          <cell r="G999">
            <v>4946.6099999999897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5292.2399999999898</v>
          </cell>
          <cell r="N999">
            <v>1460.16</v>
          </cell>
          <cell r="O999">
            <v>0</v>
          </cell>
          <cell r="R999">
            <v>0</v>
          </cell>
        </row>
        <row r="1000">
          <cell r="G1000">
            <v>9893.2299999999905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10584.57</v>
          </cell>
          <cell r="N1000">
            <v>2920.23</v>
          </cell>
          <cell r="O1000">
            <v>0</v>
          </cell>
          <cell r="R1000">
            <v>0</v>
          </cell>
        </row>
        <row r="1001">
          <cell r="G1001">
            <v>16620.13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17657.09</v>
          </cell>
          <cell r="N1001">
            <v>2600.11</v>
          </cell>
          <cell r="O1001">
            <v>0</v>
          </cell>
          <cell r="R1001">
            <v>0</v>
          </cell>
        </row>
        <row r="1002">
          <cell r="G1002">
            <v>45397.8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48432.11</v>
          </cell>
          <cell r="N1002">
            <v>10841.79</v>
          </cell>
          <cell r="O1002">
            <v>0</v>
          </cell>
          <cell r="R1002">
            <v>0</v>
          </cell>
        </row>
        <row r="1003">
          <cell r="G1003">
            <v>18229.150000000001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19360.5099999999</v>
          </cell>
          <cell r="N1003">
            <v>2739.4899999999898</v>
          </cell>
          <cell r="O1003">
            <v>0</v>
          </cell>
          <cell r="R1003">
            <v>0</v>
          </cell>
        </row>
        <row r="1004">
          <cell r="G1004">
            <v>7419.92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7929.27</v>
          </cell>
          <cell r="N1004">
            <v>2020.65</v>
          </cell>
          <cell r="O1004">
            <v>0</v>
          </cell>
          <cell r="R1004">
            <v>0</v>
          </cell>
        </row>
        <row r="1005">
          <cell r="G1005">
            <v>65542.63</v>
          </cell>
          <cell r="I1005">
            <v>0</v>
          </cell>
          <cell r="J1005">
            <v>3200.03</v>
          </cell>
          <cell r="K1005">
            <v>0</v>
          </cell>
          <cell r="L1005">
            <v>3200.03</v>
          </cell>
          <cell r="M1005">
            <v>68742.66</v>
          </cell>
          <cell r="N1005">
            <v>21817.34</v>
          </cell>
          <cell r="O1005">
            <v>0</v>
          </cell>
          <cell r="R1005">
            <v>0</v>
          </cell>
        </row>
        <row r="1006">
          <cell r="G1006">
            <v>8351.3700000000008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8869.86</v>
          </cell>
          <cell r="N1006">
            <v>1258.74</v>
          </cell>
          <cell r="O1006">
            <v>0</v>
          </cell>
          <cell r="R1006">
            <v>0</v>
          </cell>
        </row>
        <row r="1007">
          <cell r="G1007">
            <v>0</v>
          </cell>
          <cell r="I1007">
            <v>0</v>
          </cell>
          <cell r="J1007">
            <v>93063.33</v>
          </cell>
          <cell r="K1007">
            <v>0</v>
          </cell>
          <cell r="L1007">
            <v>93063.33</v>
          </cell>
          <cell r="M1007">
            <v>93063.33</v>
          </cell>
          <cell r="N1007">
            <v>-93063.33</v>
          </cell>
          <cell r="O1007">
            <v>0</v>
          </cell>
          <cell r="R1007">
            <v>0</v>
          </cell>
        </row>
        <row r="1008">
          <cell r="G1008">
            <v>74199.199999999895</v>
          </cell>
          <cell r="I1008">
            <v>0</v>
          </cell>
          <cell r="J1008">
            <v>1589.52</v>
          </cell>
          <cell r="K1008">
            <v>0</v>
          </cell>
          <cell r="L1008">
            <v>1589.52</v>
          </cell>
          <cell r="M1008">
            <v>75788.72</v>
          </cell>
          <cell r="N1008">
            <v>25343.4399999999</v>
          </cell>
          <cell r="O1008">
            <v>0</v>
          </cell>
          <cell r="R1008">
            <v>0</v>
          </cell>
        </row>
        <row r="1009">
          <cell r="G1009">
            <v>1783504.96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1895608.2</v>
          </cell>
          <cell r="N1009">
            <v>294246.799999999</v>
          </cell>
          <cell r="O1009">
            <v>0</v>
          </cell>
          <cell r="R1009">
            <v>0</v>
          </cell>
        </row>
        <row r="1010">
          <cell r="G1010">
            <v>14839.84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14839.84</v>
          </cell>
          <cell r="N1010">
            <v>5200.1599999999899</v>
          </cell>
          <cell r="O1010">
            <v>0</v>
          </cell>
          <cell r="R1010">
            <v>0</v>
          </cell>
        </row>
        <row r="1011">
          <cell r="G1011">
            <v>463244.679999999</v>
          </cell>
          <cell r="I1011">
            <v>0</v>
          </cell>
          <cell r="J1011">
            <v>3167.04</v>
          </cell>
          <cell r="K1011">
            <v>0</v>
          </cell>
          <cell r="L1011">
            <v>3167.04</v>
          </cell>
          <cell r="M1011">
            <v>478379.71</v>
          </cell>
          <cell r="N1011">
            <v>146273.64000000001</v>
          </cell>
          <cell r="O1011">
            <v>0</v>
          </cell>
          <cell r="R1011">
            <v>0</v>
          </cell>
        </row>
        <row r="1012">
          <cell r="G1012">
            <v>15018.129999999899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16043.969999999899</v>
          </cell>
          <cell r="N1012">
            <v>3996.03</v>
          </cell>
          <cell r="O1012">
            <v>0</v>
          </cell>
          <cell r="R1012">
            <v>0</v>
          </cell>
        </row>
        <row r="1013">
          <cell r="G1013">
            <v>14839.84</v>
          </cell>
          <cell r="I1013">
            <v>0</v>
          </cell>
          <cell r="J1013">
            <v>0</v>
          </cell>
          <cell r="K1013">
            <v>0</v>
          </cell>
          <cell r="L1013">
            <v>0</v>
          </cell>
          <cell r="M1013">
            <v>14839.84</v>
          </cell>
          <cell r="N1013">
            <v>5060</v>
          </cell>
          <cell r="O1013">
            <v>0</v>
          </cell>
          <cell r="R1013">
            <v>0</v>
          </cell>
        </row>
        <row r="1014">
          <cell r="G1014">
            <v>14839.84</v>
          </cell>
          <cell r="I1014">
            <v>0</v>
          </cell>
          <cell r="J1014">
            <v>1701.1199999999899</v>
          </cell>
          <cell r="K1014">
            <v>0</v>
          </cell>
          <cell r="L1014">
            <v>1701.1199999999899</v>
          </cell>
          <cell r="M1014">
            <v>16540.959999999901</v>
          </cell>
          <cell r="N1014">
            <v>4579.04</v>
          </cell>
          <cell r="O1014">
            <v>0</v>
          </cell>
          <cell r="R1014">
            <v>0</v>
          </cell>
        </row>
        <row r="1015">
          <cell r="G1015">
            <v>67710.729999999894</v>
          </cell>
          <cell r="I1015">
            <v>0</v>
          </cell>
          <cell r="J1015">
            <v>1701.1199999999899</v>
          </cell>
          <cell r="K1015">
            <v>0</v>
          </cell>
          <cell r="L1015">
            <v>1701.1199999999899</v>
          </cell>
          <cell r="M1015">
            <v>69930.339999999895</v>
          </cell>
          <cell r="N1015">
            <v>20869.9399999999</v>
          </cell>
          <cell r="O1015">
            <v>0</v>
          </cell>
          <cell r="R1015">
            <v>0</v>
          </cell>
        </row>
        <row r="1016">
          <cell r="G1016">
            <v>43298.69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45372.75</v>
          </cell>
          <cell r="N1016">
            <v>8646.4500000000007</v>
          </cell>
          <cell r="O1016">
            <v>0</v>
          </cell>
          <cell r="R1016">
            <v>0</v>
          </cell>
        </row>
        <row r="1017">
          <cell r="G1017">
            <v>8351.3700000000008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8869.86</v>
          </cell>
          <cell r="N1017">
            <v>1258.74</v>
          </cell>
          <cell r="O1017">
            <v>0</v>
          </cell>
          <cell r="R1017">
            <v>0</v>
          </cell>
        </row>
        <row r="1018">
          <cell r="G1018">
            <v>22435.869999999901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23818.549999999901</v>
          </cell>
          <cell r="N1018">
            <v>3191.05</v>
          </cell>
          <cell r="O1018">
            <v>0</v>
          </cell>
          <cell r="R1018">
            <v>0</v>
          </cell>
        </row>
        <row r="1019">
          <cell r="G1019">
            <v>14839.84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14839.84</v>
          </cell>
          <cell r="N1019">
            <v>5200.1599999999899</v>
          </cell>
          <cell r="O1019">
            <v>0</v>
          </cell>
          <cell r="R1019">
            <v>0</v>
          </cell>
        </row>
        <row r="1020">
          <cell r="G1020">
            <v>17528.029999999901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18608.27</v>
          </cell>
          <cell r="N1020">
            <v>2492.98</v>
          </cell>
          <cell r="O1020">
            <v>0</v>
          </cell>
          <cell r="R1020">
            <v>0</v>
          </cell>
        </row>
        <row r="1021">
          <cell r="G1021">
            <v>29679.68</v>
          </cell>
          <cell r="I1021">
            <v>0</v>
          </cell>
          <cell r="J1021">
            <v>2325.36</v>
          </cell>
          <cell r="K1021">
            <v>0</v>
          </cell>
          <cell r="L1021">
            <v>2325.36</v>
          </cell>
          <cell r="M1021">
            <v>32005.040000000001</v>
          </cell>
          <cell r="N1021">
            <v>8866.95999999999</v>
          </cell>
          <cell r="O1021">
            <v>0</v>
          </cell>
          <cell r="R1021">
            <v>0</v>
          </cell>
        </row>
        <row r="1022">
          <cell r="G1022">
            <v>33405.459999999897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35494.120000000003</v>
          </cell>
          <cell r="N1022">
            <v>5305.88</v>
          </cell>
          <cell r="O1022">
            <v>0</v>
          </cell>
          <cell r="R1022">
            <v>0</v>
          </cell>
        </row>
        <row r="1023">
          <cell r="G1023">
            <v>14839.84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14839.84</v>
          </cell>
          <cell r="N1023">
            <v>5417.3599999999897</v>
          </cell>
          <cell r="O1023">
            <v>0</v>
          </cell>
          <cell r="R1023">
            <v>0</v>
          </cell>
        </row>
        <row r="1024">
          <cell r="G1024">
            <v>4946.6099999999897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4946.6099999999897</v>
          </cell>
          <cell r="N1024">
            <v>1805.79</v>
          </cell>
          <cell r="O1024">
            <v>0</v>
          </cell>
          <cell r="R1024">
            <v>0</v>
          </cell>
        </row>
        <row r="1025">
          <cell r="G1025">
            <v>14839.84</v>
          </cell>
          <cell r="I1025">
            <v>0</v>
          </cell>
          <cell r="J1025">
            <v>1344.96</v>
          </cell>
          <cell r="K1025">
            <v>0</v>
          </cell>
          <cell r="L1025">
            <v>1344.96</v>
          </cell>
          <cell r="M1025">
            <v>16184.799999999899</v>
          </cell>
          <cell r="N1025">
            <v>4430</v>
          </cell>
          <cell r="O1025">
            <v>0</v>
          </cell>
          <cell r="R1025">
            <v>0</v>
          </cell>
        </row>
        <row r="1026">
          <cell r="G1026">
            <v>14839.84</v>
          </cell>
          <cell r="I1026">
            <v>0</v>
          </cell>
          <cell r="J1026">
            <v>2033.76</v>
          </cell>
          <cell r="K1026">
            <v>0</v>
          </cell>
          <cell r="L1026">
            <v>2033.76</v>
          </cell>
          <cell r="M1026">
            <v>16873.5999999999</v>
          </cell>
          <cell r="N1026">
            <v>4246.3999999999896</v>
          </cell>
          <cell r="O1026">
            <v>0</v>
          </cell>
          <cell r="R1026">
            <v>0</v>
          </cell>
        </row>
        <row r="1027">
          <cell r="G1027">
            <v>24114.74</v>
          </cell>
          <cell r="I1027">
            <v>0</v>
          </cell>
          <cell r="J1027">
            <v>1833.8399999999899</v>
          </cell>
          <cell r="K1027">
            <v>0</v>
          </cell>
          <cell r="L1027">
            <v>1833.8399999999899</v>
          </cell>
          <cell r="M1027">
            <v>25948.58</v>
          </cell>
          <cell r="N1027">
            <v>7696.42</v>
          </cell>
          <cell r="O1027">
            <v>0</v>
          </cell>
          <cell r="R1027">
            <v>0</v>
          </cell>
        </row>
        <row r="1028">
          <cell r="G1028">
            <v>4946.6099999999897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4946.6099999999897</v>
          </cell>
          <cell r="N1028">
            <v>1805.79</v>
          </cell>
          <cell r="O1028">
            <v>0</v>
          </cell>
          <cell r="R1028">
            <v>0</v>
          </cell>
        </row>
        <row r="1029">
          <cell r="G1029">
            <v>44519.519999999902</v>
          </cell>
          <cell r="I1029">
            <v>0</v>
          </cell>
          <cell r="J1029">
            <v>4988.88</v>
          </cell>
          <cell r="K1029">
            <v>0</v>
          </cell>
          <cell r="L1029">
            <v>4988.88</v>
          </cell>
          <cell r="M1029">
            <v>49508.4</v>
          </cell>
          <cell r="N1029">
            <v>13851.6</v>
          </cell>
          <cell r="O1029">
            <v>0</v>
          </cell>
          <cell r="R1029">
            <v>0</v>
          </cell>
        </row>
        <row r="1030">
          <cell r="G1030">
            <v>7419.92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7419.92</v>
          </cell>
          <cell r="N1030">
            <v>2530</v>
          </cell>
          <cell r="O1030">
            <v>0</v>
          </cell>
          <cell r="R1030">
            <v>0</v>
          </cell>
        </row>
        <row r="1031">
          <cell r="G1031">
            <v>0</v>
          </cell>
          <cell r="I1031">
            <v>0</v>
          </cell>
          <cell r="J1031">
            <v>1794.0799999999899</v>
          </cell>
          <cell r="K1031">
            <v>0</v>
          </cell>
          <cell r="L1031">
            <v>1794.0799999999899</v>
          </cell>
          <cell r="M1031">
            <v>1794.0799999999899</v>
          </cell>
          <cell r="N1031">
            <v>-1794.0799999999899</v>
          </cell>
          <cell r="O1031">
            <v>0</v>
          </cell>
          <cell r="R1031">
            <v>0</v>
          </cell>
        </row>
        <row r="1032">
          <cell r="G1032">
            <v>16280.049999999899</v>
          </cell>
          <cell r="I1032">
            <v>214.94999999999899</v>
          </cell>
          <cell r="J1032">
            <v>0</v>
          </cell>
          <cell r="K1032">
            <v>0.04</v>
          </cell>
          <cell r="L1032">
            <v>214.99</v>
          </cell>
          <cell r="M1032">
            <v>17120.43</v>
          </cell>
          <cell r="N1032">
            <v>2513.0100000000002</v>
          </cell>
          <cell r="O1032">
            <v>0</v>
          </cell>
          <cell r="R1032">
            <v>37.770000000000003</v>
          </cell>
        </row>
        <row r="1033">
          <cell r="G1033">
            <v>79587.05</v>
          </cell>
          <cell r="I1033">
            <v>1074.73</v>
          </cell>
          <cell r="J1033">
            <v>5619.3599999999897</v>
          </cell>
          <cell r="K1033">
            <v>0.20999999999999899</v>
          </cell>
          <cell r="L1033">
            <v>6694.3</v>
          </cell>
          <cell r="M1033">
            <v>89591.669999999896</v>
          </cell>
          <cell r="N1033">
            <v>14330.73</v>
          </cell>
          <cell r="O1033">
            <v>0</v>
          </cell>
          <cell r="R1033">
            <v>184.63999999999899</v>
          </cell>
        </row>
        <row r="1034">
          <cell r="G1034">
            <v>63229</v>
          </cell>
          <cell r="I1034">
            <v>859.79999999999905</v>
          </cell>
          <cell r="J1034">
            <v>6192.2399999999898</v>
          </cell>
          <cell r="K1034">
            <v>0.17</v>
          </cell>
          <cell r="L1034">
            <v>7052.21</v>
          </cell>
          <cell r="M1034">
            <v>72884.33</v>
          </cell>
          <cell r="N1034">
            <v>8833.27</v>
          </cell>
          <cell r="O1034">
            <v>0</v>
          </cell>
          <cell r="R1034">
            <v>146.72</v>
          </cell>
        </row>
        <row r="1035">
          <cell r="G1035">
            <v>47666.54</v>
          </cell>
          <cell r="I1035">
            <v>644.84</v>
          </cell>
          <cell r="J1035">
            <v>5048.1599999999899</v>
          </cell>
          <cell r="K1035">
            <v>0.13</v>
          </cell>
          <cell r="L1035">
            <v>5693.13</v>
          </cell>
          <cell r="M1035">
            <v>55291.87</v>
          </cell>
          <cell r="N1035">
            <v>5365.97</v>
          </cell>
          <cell r="O1035">
            <v>0</v>
          </cell>
          <cell r="R1035">
            <v>110.59</v>
          </cell>
        </row>
        <row r="1036">
          <cell r="G1036">
            <v>81400.25</v>
          </cell>
          <cell r="I1036">
            <v>1074.73</v>
          </cell>
          <cell r="J1036">
            <v>8273.2800000000007</v>
          </cell>
          <cell r="K1036">
            <v>0.20999999999999899</v>
          </cell>
          <cell r="L1036">
            <v>9348.2199999999903</v>
          </cell>
          <cell r="M1036">
            <v>94029.639999999898</v>
          </cell>
          <cell r="N1036">
            <v>8975</v>
          </cell>
          <cell r="O1036">
            <v>0</v>
          </cell>
          <cell r="R1036">
            <v>188.87</v>
          </cell>
        </row>
        <row r="1037">
          <cell r="G1037">
            <v>11827.62</v>
          </cell>
          <cell r="I1037">
            <v>161.22</v>
          </cell>
          <cell r="J1037">
            <v>0</v>
          </cell>
          <cell r="K1037">
            <v>2.9999999999999898E-2</v>
          </cell>
          <cell r="L1037">
            <v>161.25</v>
          </cell>
          <cell r="M1037">
            <v>12456.15</v>
          </cell>
          <cell r="N1037">
            <v>2213.8499999999899</v>
          </cell>
          <cell r="O1037">
            <v>0</v>
          </cell>
          <cell r="R1037">
            <v>27.44</v>
          </cell>
        </row>
        <row r="1038">
          <cell r="G1038">
            <v>79918.979999999894</v>
          </cell>
          <cell r="I1038">
            <v>1074.73</v>
          </cell>
          <cell r="J1038">
            <v>2118.2399999999898</v>
          </cell>
          <cell r="K1038">
            <v>0.22</v>
          </cell>
          <cell r="L1038">
            <v>3193.19</v>
          </cell>
          <cell r="M1038">
            <v>86296.33</v>
          </cell>
          <cell r="N1038">
            <v>13663.67</v>
          </cell>
          <cell r="O1038">
            <v>0</v>
          </cell>
          <cell r="R1038">
            <v>185.43</v>
          </cell>
        </row>
        <row r="1039">
          <cell r="G1039">
            <v>32197.459999999901</v>
          </cell>
          <cell r="I1039">
            <v>429.89999999999901</v>
          </cell>
          <cell r="J1039">
            <v>0</v>
          </cell>
          <cell r="K1039">
            <v>0.08</v>
          </cell>
          <cell r="L1039">
            <v>429.98</v>
          </cell>
          <cell r="M1039">
            <v>33877.82</v>
          </cell>
          <cell r="N1039">
            <v>5375.6199999999899</v>
          </cell>
          <cell r="O1039">
            <v>0</v>
          </cell>
          <cell r="R1039">
            <v>74.7</v>
          </cell>
        </row>
        <row r="1040">
          <cell r="G1040">
            <v>31540.32</v>
          </cell>
          <cell r="I1040">
            <v>429.88999999999902</v>
          </cell>
          <cell r="J1040">
            <v>0</v>
          </cell>
          <cell r="K1040">
            <v>8.99999999999999E-2</v>
          </cell>
          <cell r="L1040">
            <v>429.98</v>
          </cell>
          <cell r="M1040">
            <v>33216.419999999896</v>
          </cell>
          <cell r="N1040">
            <v>5903.5799999999899</v>
          </cell>
          <cell r="O1040">
            <v>0</v>
          </cell>
          <cell r="R1040">
            <v>73.17</v>
          </cell>
        </row>
        <row r="1041">
          <cell r="G1041">
            <v>16280.049999999899</v>
          </cell>
          <cell r="I1041">
            <v>214.94999999999899</v>
          </cell>
          <cell r="J1041">
            <v>1360.8</v>
          </cell>
          <cell r="K1041">
            <v>0.04</v>
          </cell>
          <cell r="L1041">
            <v>1575.79</v>
          </cell>
          <cell r="M1041">
            <v>18504.04</v>
          </cell>
          <cell r="N1041">
            <v>1845.0799999999899</v>
          </cell>
          <cell r="O1041">
            <v>0</v>
          </cell>
          <cell r="R1041">
            <v>37.770000000000003</v>
          </cell>
        </row>
        <row r="1042">
          <cell r="G1042">
            <v>32560.0999999999</v>
          </cell>
          <cell r="I1042">
            <v>429.88999999999902</v>
          </cell>
          <cell r="J1042">
            <v>0</v>
          </cell>
          <cell r="K1042">
            <v>8.99999999999999E-2</v>
          </cell>
          <cell r="L1042">
            <v>429.98</v>
          </cell>
          <cell r="M1042">
            <v>34221.79</v>
          </cell>
          <cell r="N1042">
            <v>4446.05</v>
          </cell>
          <cell r="O1042">
            <v>0</v>
          </cell>
          <cell r="R1042">
            <v>75.540000000000006</v>
          </cell>
        </row>
        <row r="1043">
          <cell r="G1043">
            <v>65120.199999999903</v>
          </cell>
          <cell r="I1043">
            <v>859.77999999999895</v>
          </cell>
          <cell r="J1043">
            <v>0</v>
          </cell>
          <cell r="K1043">
            <v>0.17</v>
          </cell>
          <cell r="L1043">
            <v>859.95</v>
          </cell>
          <cell r="M1043">
            <v>68665.979999999894</v>
          </cell>
          <cell r="N1043">
            <v>15650.82</v>
          </cell>
          <cell r="O1043">
            <v>0</v>
          </cell>
          <cell r="R1043">
            <v>151.09</v>
          </cell>
        </row>
        <row r="1044">
          <cell r="G1044">
            <v>15770.16</v>
          </cell>
          <cell r="I1044">
            <v>214.94999999999899</v>
          </cell>
          <cell r="J1044">
            <v>0</v>
          </cell>
          <cell r="K1044">
            <v>0.04</v>
          </cell>
          <cell r="L1044">
            <v>214.99</v>
          </cell>
          <cell r="M1044">
            <v>16614.47</v>
          </cell>
          <cell r="N1044">
            <v>3141.13</v>
          </cell>
          <cell r="O1044">
            <v>0</v>
          </cell>
          <cell r="R1044">
            <v>36.6099999999999</v>
          </cell>
        </row>
        <row r="1045">
          <cell r="G1045">
            <v>15770.16</v>
          </cell>
          <cell r="I1045">
            <v>214.94999999999899</v>
          </cell>
          <cell r="J1045">
            <v>1166.8800000000001</v>
          </cell>
          <cell r="K1045">
            <v>0.04</v>
          </cell>
          <cell r="L1045">
            <v>1381.8699999999899</v>
          </cell>
          <cell r="M1045">
            <v>17794.16</v>
          </cell>
          <cell r="N1045">
            <v>2364.1599999999899</v>
          </cell>
          <cell r="O1045">
            <v>0</v>
          </cell>
          <cell r="R1045">
            <v>36.6099999999999</v>
          </cell>
        </row>
        <row r="1046">
          <cell r="G1046">
            <v>72936.990000000005</v>
          </cell>
          <cell r="I1046">
            <v>994.13</v>
          </cell>
          <cell r="J1046">
            <v>5260.8299999999899</v>
          </cell>
          <cell r="K1046">
            <v>0.2</v>
          </cell>
          <cell r="L1046">
            <v>6255.1599999999899</v>
          </cell>
          <cell r="M1046">
            <v>82219.55</v>
          </cell>
          <cell r="N1046">
            <v>12819.73</v>
          </cell>
          <cell r="O1046">
            <v>0</v>
          </cell>
          <cell r="R1046">
            <v>169.229999999999</v>
          </cell>
        </row>
        <row r="1047">
          <cell r="G1047">
            <v>17094.060000000001</v>
          </cell>
          <cell r="I1047">
            <v>225.69</v>
          </cell>
          <cell r="J1047">
            <v>0</v>
          </cell>
          <cell r="K1047">
            <v>0.05</v>
          </cell>
          <cell r="L1047">
            <v>225.74</v>
          </cell>
          <cell r="M1047">
            <v>17978.45</v>
          </cell>
          <cell r="N1047">
            <v>2698.9099999999899</v>
          </cell>
          <cell r="O1047">
            <v>0</v>
          </cell>
          <cell r="R1047">
            <v>39.659999999999897</v>
          </cell>
        </row>
        <row r="1048">
          <cell r="G1048">
            <v>47310.48</v>
          </cell>
          <cell r="I1048">
            <v>644.84</v>
          </cell>
          <cell r="J1048">
            <v>5913.3599999999897</v>
          </cell>
          <cell r="K1048">
            <v>0.13</v>
          </cell>
          <cell r="L1048">
            <v>6558.3299999999899</v>
          </cell>
          <cell r="M1048">
            <v>55975.43</v>
          </cell>
          <cell r="N1048">
            <v>10158.01</v>
          </cell>
          <cell r="O1048">
            <v>0</v>
          </cell>
          <cell r="R1048">
            <v>109.77</v>
          </cell>
        </row>
        <row r="1049">
          <cell r="G1049">
            <v>95333.08</v>
          </cell>
          <cell r="I1049">
            <v>1289.67</v>
          </cell>
          <cell r="J1049">
            <v>1851.3599999999899</v>
          </cell>
          <cell r="K1049">
            <v>0.26</v>
          </cell>
          <cell r="L1049">
            <v>3141.29</v>
          </cell>
          <cell r="M1049">
            <v>102342.59</v>
          </cell>
          <cell r="N1049">
            <v>19091.889999999901</v>
          </cell>
          <cell r="O1049">
            <v>0</v>
          </cell>
          <cell r="R1049">
            <v>221.18</v>
          </cell>
        </row>
        <row r="1050">
          <cell r="G1050">
            <v>31540.32</v>
          </cell>
          <cell r="I1050">
            <v>429.88999999999902</v>
          </cell>
          <cell r="J1050">
            <v>1272</v>
          </cell>
          <cell r="K1050">
            <v>8.99999999999999E-2</v>
          </cell>
          <cell r="L1050">
            <v>1701.98</v>
          </cell>
          <cell r="M1050">
            <v>34547.839999999902</v>
          </cell>
          <cell r="N1050">
            <v>6436</v>
          </cell>
          <cell r="O1050">
            <v>0</v>
          </cell>
          <cell r="R1050">
            <v>73.17</v>
          </cell>
        </row>
        <row r="1051">
          <cell r="G1051">
            <v>202810.17</v>
          </cell>
          <cell r="I1051">
            <v>2731.61</v>
          </cell>
          <cell r="J1051">
            <v>5349.6</v>
          </cell>
          <cell r="K1051">
            <v>0.54</v>
          </cell>
          <cell r="L1051">
            <v>8081.75</v>
          </cell>
          <cell r="M1051">
            <v>218975.73</v>
          </cell>
          <cell r="N1051">
            <v>34800.19</v>
          </cell>
          <cell r="O1051">
            <v>0</v>
          </cell>
          <cell r="R1051">
            <v>470.54</v>
          </cell>
        </row>
        <row r="1052">
          <cell r="G1052">
            <v>15441.62</v>
          </cell>
          <cell r="I1052">
            <v>210.479999999999</v>
          </cell>
          <cell r="J1052">
            <v>0</v>
          </cell>
          <cell r="K1052">
            <v>0.04</v>
          </cell>
          <cell r="L1052">
            <v>210.52</v>
          </cell>
          <cell r="M1052">
            <v>16262.23</v>
          </cell>
          <cell r="N1052">
            <v>2890.27</v>
          </cell>
          <cell r="O1052">
            <v>0</v>
          </cell>
          <cell r="R1052">
            <v>35.829999999999899</v>
          </cell>
        </row>
        <row r="1053">
          <cell r="G1053">
            <v>22999.31</v>
          </cell>
          <cell r="I1053">
            <v>304.50999999999902</v>
          </cell>
          <cell r="J1053">
            <v>0</v>
          </cell>
          <cell r="K1053">
            <v>5.9999999999999901E-2</v>
          </cell>
          <cell r="L1053">
            <v>304.56999999999903</v>
          </cell>
          <cell r="M1053">
            <v>24188.080000000002</v>
          </cell>
          <cell r="N1053">
            <v>3570.96</v>
          </cell>
          <cell r="O1053">
            <v>0</v>
          </cell>
          <cell r="R1053">
            <v>53.3599999999999</v>
          </cell>
        </row>
        <row r="1054">
          <cell r="G1054">
            <v>32560.0999999999</v>
          </cell>
          <cell r="I1054">
            <v>429.88999999999902</v>
          </cell>
          <cell r="J1054">
            <v>0</v>
          </cell>
          <cell r="K1054">
            <v>8.99999999999999E-2</v>
          </cell>
          <cell r="L1054">
            <v>429.98</v>
          </cell>
          <cell r="M1054">
            <v>34242.779999999897</v>
          </cell>
          <cell r="N1054">
            <v>5083.38</v>
          </cell>
          <cell r="O1054">
            <v>0</v>
          </cell>
          <cell r="R1054">
            <v>75.540000000000006</v>
          </cell>
        </row>
        <row r="1055">
          <cell r="G1055">
            <v>16126.219999999899</v>
          </cell>
          <cell r="I1055">
            <v>214.94999999999899</v>
          </cell>
          <cell r="J1055">
            <v>0</v>
          </cell>
          <cell r="K1055">
            <v>0.04</v>
          </cell>
          <cell r="L1055">
            <v>214.99</v>
          </cell>
          <cell r="M1055">
            <v>16970.529999999901</v>
          </cell>
          <cell r="N1055">
            <v>2785.07</v>
          </cell>
          <cell r="O1055">
            <v>0</v>
          </cell>
          <cell r="R1055">
            <v>37.42</v>
          </cell>
        </row>
        <row r="1056">
          <cell r="G1056">
            <v>143970.959999999</v>
          </cell>
          <cell r="I1056">
            <v>1934.51</v>
          </cell>
          <cell r="J1056">
            <v>2774.88</v>
          </cell>
          <cell r="K1056">
            <v>0.38</v>
          </cell>
          <cell r="L1056">
            <v>4709.7700000000004</v>
          </cell>
          <cell r="M1056">
            <v>154364.38</v>
          </cell>
          <cell r="N1056">
            <v>24063.619999999901</v>
          </cell>
          <cell r="O1056">
            <v>0</v>
          </cell>
          <cell r="R1056">
            <v>334.04</v>
          </cell>
        </row>
        <row r="1057">
          <cell r="G1057">
            <v>7885.0799999999899</v>
          </cell>
          <cell r="I1057">
            <v>107.48</v>
          </cell>
          <cell r="J1057">
            <v>650.39999999999895</v>
          </cell>
          <cell r="K1057">
            <v>0.02</v>
          </cell>
          <cell r="L1057">
            <v>757.89999999999895</v>
          </cell>
          <cell r="M1057">
            <v>8964.01</v>
          </cell>
          <cell r="N1057">
            <v>1115.1500000000001</v>
          </cell>
          <cell r="O1057">
            <v>0</v>
          </cell>
          <cell r="R1057">
            <v>18.3</v>
          </cell>
        </row>
        <row r="1058">
          <cell r="G1058">
            <v>16126.219999999899</v>
          </cell>
          <cell r="I1058">
            <v>214.94999999999899</v>
          </cell>
          <cell r="J1058">
            <v>1166.8800000000001</v>
          </cell>
          <cell r="K1058">
            <v>0.04</v>
          </cell>
          <cell r="L1058">
            <v>1381.8699999999899</v>
          </cell>
          <cell r="M1058">
            <v>18165.57</v>
          </cell>
          <cell r="N1058">
            <v>2474.4299999999898</v>
          </cell>
          <cell r="O1058">
            <v>0</v>
          </cell>
          <cell r="R1058">
            <v>37.42</v>
          </cell>
        </row>
        <row r="1059">
          <cell r="G1059">
            <v>32050.209999999901</v>
          </cell>
          <cell r="I1059">
            <v>429.89999999999901</v>
          </cell>
          <cell r="J1059">
            <v>2561.7600000000002</v>
          </cell>
          <cell r="K1059">
            <v>0.08</v>
          </cell>
          <cell r="L1059">
            <v>2991.7399999999898</v>
          </cell>
          <cell r="M1059">
            <v>36354.18</v>
          </cell>
          <cell r="N1059">
            <v>4841.34</v>
          </cell>
          <cell r="O1059">
            <v>0</v>
          </cell>
          <cell r="R1059">
            <v>74.379999999999896</v>
          </cell>
        </row>
        <row r="1060">
          <cell r="G1060">
            <v>16280.049999999899</v>
          </cell>
          <cell r="I1060">
            <v>214.94999999999899</v>
          </cell>
          <cell r="J1060">
            <v>1360.8</v>
          </cell>
          <cell r="K1060">
            <v>0.04</v>
          </cell>
          <cell r="L1060">
            <v>1575.79</v>
          </cell>
          <cell r="M1060">
            <v>18524.119999999901</v>
          </cell>
          <cell r="N1060">
            <v>2453.8000000000002</v>
          </cell>
          <cell r="O1060">
            <v>0</v>
          </cell>
          <cell r="R1060">
            <v>37.770000000000003</v>
          </cell>
        </row>
        <row r="1061">
          <cell r="G1061">
            <v>32560.0999999999</v>
          </cell>
          <cell r="I1061">
            <v>429.88999999999902</v>
          </cell>
          <cell r="J1061">
            <v>0</v>
          </cell>
          <cell r="K1061">
            <v>8.99999999999999E-2</v>
          </cell>
          <cell r="L1061">
            <v>429.98</v>
          </cell>
          <cell r="M1061">
            <v>34252.849999999897</v>
          </cell>
          <cell r="N1061">
            <v>5389.39</v>
          </cell>
          <cell r="O1061">
            <v>0</v>
          </cell>
          <cell r="R1061">
            <v>75.540000000000006</v>
          </cell>
        </row>
        <row r="1062">
          <cell r="G1062">
            <v>128095.48</v>
          </cell>
          <cell r="I1062">
            <v>1719.5699999999899</v>
          </cell>
          <cell r="J1062">
            <v>8162.88</v>
          </cell>
          <cell r="K1062">
            <v>0.34</v>
          </cell>
          <cell r="L1062">
            <v>9882.7900000000009</v>
          </cell>
          <cell r="M1062">
            <v>143242.299999999</v>
          </cell>
          <cell r="N1062">
            <v>22009.9399999999</v>
          </cell>
          <cell r="O1062">
            <v>0</v>
          </cell>
          <cell r="R1062">
            <v>297.20999999999901</v>
          </cell>
        </row>
        <row r="1063">
          <cell r="G1063">
            <v>255072.72</v>
          </cell>
          <cell r="I1063">
            <v>3432</v>
          </cell>
          <cell r="J1063">
            <v>6327.3599999999897</v>
          </cell>
          <cell r="K1063">
            <v>0.68999999999999895</v>
          </cell>
          <cell r="L1063">
            <v>9760.0499999999902</v>
          </cell>
          <cell r="M1063">
            <v>275222.71999999898</v>
          </cell>
          <cell r="N1063">
            <v>50949.739999999903</v>
          </cell>
          <cell r="O1063">
            <v>0</v>
          </cell>
          <cell r="R1063">
            <v>591.79999999999905</v>
          </cell>
        </row>
        <row r="1064">
          <cell r="G1064">
            <v>15770.16</v>
          </cell>
          <cell r="I1064">
            <v>215.039999999999</v>
          </cell>
          <cell r="J1064">
            <v>1931.52</v>
          </cell>
          <cell r="K1064">
            <v>0.04</v>
          </cell>
          <cell r="L1064">
            <v>2146.5999999999899</v>
          </cell>
          <cell r="M1064">
            <v>18558.889999999901</v>
          </cell>
          <cell r="N1064">
            <v>1599.43</v>
          </cell>
          <cell r="O1064">
            <v>0</v>
          </cell>
          <cell r="R1064">
            <v>36.6099999999999</v>
          </cell>
        </row>
        <row r="1065">
          <cell r="G1065">
            <v>14483.28</v>
          </cell>
          <cell r="I1065">
            <v>270.69999999999902</v>
          </cell>
          <cell r="J1065">
            <v>1979.52</v>
          </cell>
          <cell r="K1065">
            <v>0</v>
          </cell>
          <cell r="L1065">
            <v>2250.2199999999898</v>
          </cell>
          <cell r="M1065">
            <v>17604.88</v>
          </cell>
          <cell r="N1065">
            <v>3332.2399999999898</v>
          </cell>
          <cell r="O1065">
            <v>0</v>
          </cell>
          <cell r="R1065">
            <v>68.75</v>
          </cell>
        </row>
        <row r="1066">
          <cell r="G1066">
            <v>15086.76</v>
          </cell>
          <cell r="I1066">
            <v>281.95999999999901</v>
          </cell>
          <cell r="J1066">
            <v>1426.97</v>
          </cell>
          <cell r="K1066">
            <v>0</v>
          </cell>
          <cell r="L1066">
            <v>1708.93</v>
          </cell>
          <cell r="M1066">
            <v>17682.6699999999</v>
          </cell>
          <cell r="N1066">
            <v>3628.0799999999899</v>
          </cell>
          <cell r="O1066">
            <v>0</v>
          </cell>
          <cell r="R1066">
            <v>71.629999999999896</v>
          </cell>
        </row>
        <row r="1067">
          <cell r="G1067">
            <v>30468.889999999901</v>
          </cell>
          <cell r="I1067">
            <v>541.39999999999895</v>
          </cell>
          <cell r="J1067">
            <v>2554.3200000000002</v>
          </cell>
          <cell r="K1067">
            <v>0</v>
          </cell>
          <cell r="L1067">
            <v>3095.7199999999898</v>
          </cell>
          <cell r="M1067">
            <v>35301.239999999903</v>
          </cell>
          <cell r="N1067">
            <v>6425.88</v>
          </cell>
          <cell r="O1067">
            <v>0</v>
          </cell>
          <cell r="R1067">
            <v>144.66</v>
          </cell>
        </row>
        <row r="1068">
          <cell r="G1068">
            <v>28966.560000000001</v>
          </cell>
          <cell r="I1068">
            <v>541.38999999999896</v>
          </cell>
          <cell r="J1068">
            <v>3421.44</v>
          </cell>
          <cell r="K1068">
            <v>0</v>
          </cell>
          <cell r="L1068">
            <v>3962.8299999999899</v>
          </cell>
          <cell r="M1068">
            <v>34620.68</v>
          </cell>
          <cell r="N1068">
            <v>6016.1199999999899</v>
          </cell>
          <cell r="O1068">
            <v>0</v>
          </cell>
          <cell r="R1068">
            <v>137.53</v>
          </cell>
        </row>
        <row r="1069">
          <cell r="G1069">
            <v>14483.29</v>
          </cell>
          <cell r="I1069">
            <v>270.69999999999902</v>
          </cell>
          <cell r="J1069">
            <v>0</v>
          </cell>
          <cell r="K1069">
            <v>0</v>
          </cell>
          <cell r="L1069">
            <v>270.69999999999902</v>
          </cell>
          <cell r="M1069">
            <v>15580.51</v>
          </cell>
          <cell r="N1069">
            <v>4279.7299999999896</v>
          </cell>
          <cell r="O1069">
            <v>0</v>
          </cell>
          <cell r="R1069">
            <v>68.75</v>
          </cell>
        </row>
        <row r="1070">
          <cell r="G1070">
            <v>65842.949999999895</v>
          </cell>
          <cell r="I1070">
            <v>1184.3</v>
          </cell>
          <cell r="J1070">
            <v>6658.4399999999896</v>
          </cell>
          <cell r="K1070">
            <v>0</v>
          </cell>
          <cell r="L1070">
            <v>7842.7399999999898</v>
          </cell>
          <cell r="M1070">
            <v>77433.199999999895</v>
          </cell>
          <cell r="N1070">
            <v>12609.549999999899</v>
          </cell>
          <cell r="O1070">
            <v>0</v>
          </cell>
          <cell r="R1070">
            <v>312.58999999999901</v>
          </cell>
        </row>
        <row r="1071">
          <cell r="G1071">
            <v>45958.599999999897</v>
          </cell>
          <cell r="I1071">
            <v>778.25999999999897</v>
          </cell>
          <cell r="J1071">
            <v>0</v>
          </cell>
          <cell r="K1071">
            <v>0</v>
          </cell>
          <cell r="L1071">
            <v>778.25999999999897</v>
          </cell>
          <cell r="M1071">
            <v>49089.4</v>
          </cell>
          <cell r="N1071">
            <v>7436.1</v>
          </cell>
          <cell r="O1071">
            <v>0</v>
          </cell>
          <cell r="R1071">
            <v>218.19999999999899</v>
          </cell>
        </row>
        <row r="1072">
          <cell r="G1072">
            <v>37710.529999999897</v>
          </cell>
          <cell r="I1072">
            <v>676.75</v>
          </cell>
          <cell r="J1072">
            <v>3211.5599999999899</v>
          </cell>
          <cell r="K1072">
            <v>0</v>
          </cell>
          <cell r="L1072">
            <v>3888.3099999999899</v>
          </cell>
          <cell r="M1072">
            <v>43757.459999999897</v>
          </cell>
          <cell r="N1072">
            <v>8109.54</v>
          </cell>
          <cell r="O1072">
            <v>0</v>
          </cell>
          <cell r="R1072">
            <v>179.069999999999</v>
          </cell>
        </row>
        <row r="1073">
          <cell r="G1073">
            <v>7241.64</v>
          </cell>
          <cell r="I1073">
            <v>135.349999999999</v>
          </cell>
          <cell r="J1073">
            <v>0</v>
          </cell>
          <cell r="K1073">
            <v>0</v>
          </cell>
          <cell r="L1073">
            <v>135.349999999999</v>
          </cell>
          <cell r="M1073">
            <v>7786.1</v>
          </cell>
          <cell r="N1073">
            <v>2044.42</v>
          </cell>
          <cell r="O1073">
            <v>0</v>
          </cell>
          <cell r="R1073">
            <v>34.380000000000003</v>
          </cell>
        </row>
        <row r="1074">
          <cell r="G1074">
            <v>60937.779999999897</v>
          </cell>
          <cell r="I1074">
            <v>1082.78</v>
          </cell>
          <cell r="J1074">
            <v>2420.4</v>
          </cell>
          <cell r="K1074">
            <v>0</v>
          </cell>
          <cell r="L1074">
            <v>3503.1799999999898</v>
          </cell>
          <cell r="M1074">
            <v>67842.460000000006</v>
          </cell>
          <cell r="N1074">
            <v>13888.1</v>
          </cell>
          <cell r="O1074">
            <v>0</v>
          </cell>
          <cell r="R1074">
            <v>289.31</v>
          </cell>
        </row>
        <row r="1075">
          <cell r="G1075">
            <v>14483.29</v>
          </cell>
          <cell r="I1075">
            <v>270.69999999999902</v>
          </cell>
          <cell r="J1075">
            <v>0</v>
          </cell>
          <cell r="K1075">
            <v>0</v>
          </cell>
          <cell r="L1075">
            <v>270.69999999999902</v>
          </cell>
          <cell r="M1075">
            <v>15572.29</v>
          </cell>
          <cell r="N1075">
            <v>4088.75</v>
          </cell>
          <cell r="O1075">
            <v>0</v>
          </cell>
          <cell r="R1075">
            <v>68.75</v>
          </cell>
        </row>
        <row r="1076">
          <cell r="G1076">
            <v>16280.059999999899</v>
          </cell>
          <cell r="I1076">
            <v>270.69999999999902</v>
          </cell>
          <cell r="J1076">
            <v>1075.68</v>
          </cell>
          <cell r="K1076">
            <v>0</v>
          </cell>
          <cell r="L1076">
            <v>1346.38</v>
          </cell>
          <cell r="M1076">
            <v>18505.7599999999</v>
          </cell>
          <cell r="N1076">
            <v>2622.6399999999899</v>
          </cell>
          <cell r="O1076">
            <v>0</v>
          </cell>
          <cell r="R1076">
            <v>77.290000000000006</v>
          </cell>
        </row>
        <row r="1077">
          <cell r="G1077">
            <v>15985.6</v>
          </cell>
          <cell r="I1077">
            <v>270.69999999999902</v>
          </cell>
          <cell r="J1077">
            <v>1109.04</v>
          </cell>
          <cell r="K1077">
            <v>0</v>
          </cell>
          <cell r="L1077">
            <v>1379.74</v>
          </cell>
          <cell r="M1077">
            <v>18224.3499999999</v>
          </cell>
          <cell r="N1077">
            <v>2415.65</v>
          </cell>
          <cell r="O1077">
            <v>0</v>
          </cell>
          <cell r="R1077">
            <v>75.909999999999897</v>
          </cell>
        </row>
        <row r="1078">
          <cell r="G1078">
            <v>14483.29</v>
          </cell>
          <cell r="I1078">
            <v>270.69999999999902</v>
          </cell>
          <cell r="J1078">
            <v>0</v>
          </cell>
          <cell r="K1078">
            <v>0</v>
          </cell>
          <cell r="L1078">
            <v>270.69999999999902</v>
          </cell>
          <cell r="M1078">
            <v>15577.209999999901</v>
          </cell>
          <cell r="N1078">
            <v>4203.3500000000004</v>
          </cell>
          <cell r="O1078">
            <v>0</v>
          </cell>
          <cell r="R1078">
            <v>68.75</v>
          </cell>
        </row>
        <row r="1079">
          <cell r="G1079">
            <v>15086.76</v>
          </cell>
          <cell r="I1079">
            <v>281.95999999999901</v>
          </cell>
          <cell r="J1079">
            <v>1098.18</v>
          </cell>
          <cell r="K1079">
            <v>0</v>
          </cell>
          <cell r="L1079">
            <v>1380.14</v>
          </cell>
          <cell r="M1079">
            <v>17370.5999999999</v>
          </cell>
          <cell r="N1079">
            <v>4344.3999999999896</v>
          </cell>
          <cell r="O1079">
            <v>0</v>
          </cell>
          <cell r="R1079">
            <v>71.629999999999896</v>
          </cell>
        </row>
        <row r="1080">
          <cell r="G1080">
            <v>43449.86</v>
          </cell>
          <cell r="I1080">
            <v>812.1</v>
          </cell>
          <cell r="J1080">
            <v>5069.3999999999896</v>
          </cell>
          <cell r="K1080">
            <v>0</v>
          </cell>
          <cell r="L1080">
            <v>5881.5</v>
          </cell>
          <cell r="M1080">
            <v>51927.139999999898</v>
          </cell>
          <cell r="N1080">
            <v>10443.1</v>
          </cell>
          <cell r="O1080">
            <v>0</v>
          </cell>
          <cell r="R1080">
            <v>206.28</v>
          </cell>
        </row>
        <row r="1081">
          <cell r="G1081">
            <v>123377.87</v>
          </cell>
          <cell r="I1081">
            <v>2165.59</v>
          </cell>
          <cell r="J1081">
            <v>2076.2399999999898</v>
          </cell>
          <cell r="K1081">
            <v>0</v>
          </cell>
          <cell r="L1081">
            <v>4241.8299999999899</v>
          </cell>
          <cell r="M1081">
            <v>134404.329999999</v>
          </cell>
          <cell r="N1081">
            <v>28613.5099999999</v>
          </cell>
          <cell r="O1081">
            <v>0</v>
          </cell>
          <cell r="R1081">
            <v>585.77999999999895</v>
          </cell>
        </row>
        <row r="1082">
          <cell r="G1082">
            <v>7241.64</v>
          </cell>
          <cell r="I1082">
            <v>135.349999999999</v>
          </cell>
          <cell r="J1082">
            <v>0</v>
          </cell>
          <cell r="K1082">
            <v>0</v>
          </cell>
          <cell r="L1082">
            <v>135.349999999999</v>
          </cell>
          <cell r="M1082">
            <v>7786.1</v>
          </cell>
          <cell r="N1082">
            <v>2044.42</v>
          </cell>
          <cell r="O1082">
            <v>0</v>
          </cell>
          <cell r="R1082">
            <v>34.380000000000003</v>
          </cell>
        </row>
        <row r="1083">
          <cell r="G1083">
            <v>53433.099999999897</v>
          </cell>
          <cell r="I1083">
            <v>947.45</v>
          </cell>
          <cell r="J1083">
            <v>1184.6400000000001</v>
          </cell>
          <cell r="K1083">
            <v>0</v>
          </cell>
          <cell r="L1083">
            <v>2132.09</v>
          </cell>
          <cell r="M1083">
            <v>58618.269999999902</v>
          </cell>
          <cell r="N1083">
            <v>14742.049999999899</v>
          </cell>
          <cell r="O1083">
            <v>0</v>
          </cell>
          <cell r="R1083">
            <v>253.72</v>
          </cell>
        </row>
        <row r="1084">
          <cell r="G1084">
            <v>80865.029999999897</v>
          </cell>
          <cell r="I1084">
            <v>1511.38</v>
          </cell>
          <cell r="J1084">
            <v>2947.1999999999898</v>
          </cell>
          <cell r="K1084">
            <v>0</v>
          </cell>
          <cell r="L1084">
            <v>4458.5799999999899</v>
          </cell>
          <cell r="M1084">
            <v>90002.919999999896</v>
          </cell>
          <cell r="N1084">
            <v>22428.38</v>
          </cell>
          <cell r="O1084">
            <v>0</v>
          </cell>
          <cell r="R1084">
            <v>383.95999999999901</v>
          </cell>
        </row>
        <row r="1085">
          <cell r="G1085">
            <v>28664.8499999999</v>
          </cell>
          <cell r="I1085">
            <v>535.75</v>
          </cell>
          <cell r="J1085">
            <v>0</v>
          </cell>
          <cell r="K1085">
            <v>0</v>
          </cell>
          <cell r="L1085">
            <v>535.75</v>
          </cell>
          <cell r="M1085">
            <v>30825.02</v>
          </cell>
          <cell r="N1085">
            <v>8205.7299999999905</v>
          </cell>
          <cell r="O1085">
            <v>0</v>
          </cell>
          <cell r="R1085">
            <v>136.069999999999</v>
          </cell>
        </row>
        <row r="1086">
          <cell r="G1086">
            <v>14483.29</v>
          </cell>
          <cell r="I1086">
            <v>270.69999999999902</v>
          </cell>
          <cell r="J1086">
            <v>0</v>
          </cell>
          <cell r="K1086">
            <v>0</v>
          </cell>
          <cell r="L1086">
            <v>270.69999999999902</v>
          </cell>
          <cell r="M1086">
            <v>15588.84</v>
          </cell>
          <cell r="N1086">
            <v>4470.6000000000004</v>
          </cell>
          <cell r="O1086">
            <v>0</v>
          </cell>
          <cell r="R1086">
            <v>68.75</v>
          </cell>
        </row>
        <row r="1087">
          <cell r="G1087">
            <v>14483.29</v>
          </cell>
          <cell r="I1087">
            <v>270.69999999999902</v>
          </cell>
          <cell r="J1087">
            <v>0</v>
          </cell>
          <cell r="K1087">
            <v>0</v>
          </cell>
          <cell r="L1087">
            <v>270.69999999999902</v>
          </cell>
          <cell r="M1087">
            <v>15583</v>
          </cell>
          <cell r="N1087">
            <v>4337</v>
          </cell>
          <cell r="O1087">
            <v>0</v>
          </cell>
          <cell r="R1087">
            <v>68.75</v>
          </cell>
        </row>
        <row r="1088">
          <cell r="G1088">
            <v>44952.18</v>
          </cell>
          <cell r="I1088">
            <v>812.09</v>
          </cell>
          <cell r="J1088">
            <v>0</v>
          </cell>
          <cell r="K1088">
            <v>0</v>
          </cell>
          <cell r="L1088">
            <v>812.09</v>
          </cell>
          <cell r="M1088">
            <v>48233.199999999903</v>
          </cell>
          <cell r="N1088">
            <v>11088.559999999899</v>
          </cell>
          <cell r="O1088">
            <v>0</v>
          </cell>
          <cell r="R1088">
            <v>213.44</v>
          </cell>
        </row>
        <row r="1089">
          <cell r="G1089">
            <v>162320.81</v>
          </cell>
          <cell r="I1089">
            <v>2977.67</v>
          </cell>
          <cell r="J1089">
            <v>0</v>
          </cell>
          <cell r="K1089">
            <v>0</v>
          </cell>
          <cell r="L1089">
            <v>2977.67</v>
          </cell>
          <cell r="M1089">
            <v>174330.959999999</v>
          </cell>
          <cell r="N1089">
            <v>42697.440000000002</v>
          </cell>
          <cell r="O1089">
            <v>0</v>
          </cell>
          <cell r="R1089">
            <v>770.63999999999896</v>
          </cell>
        </row>
        <row r="1090">
          <cell r="G1090">
            <v>8448.59</v>
          </cell>
          <cell r="I1090">
            <v>157.9</v>
          </cell>
          <cell r="J1090">
            <v>1080.8</v>
          </cell>
          <cell r="K1090">
            <v>0</v>
          </cell>
          <cell r="L1090">
            <v>1238.7</v>
          </cell>
          <cell r="M1090">
            <v>10190.51</v>
          </cell>
          <cell r="N1090">
            <v>1900.3099999999899</v>
          </cell>
          <cell r="O1090">
            <v>0</v>
          </cell>
          <cell r="R1090">
            <v>40.090000000000003</v>
          </cell>
        </row>
        <row r="1091">
          <cell r="G1091">
            <v>30468.889999999901</v>
          </cell>
          <cell r="I1091">
            <v>541.39999999999895</v>
          </cell>
          <cell r="J1091">
            <v>0</v>
          </cell>
          <cell r="K1091">
            <v>0</v>
          </cell>
          <cell r="L1091">
            <v>541.39999999999895</v>
          </cell>
          <cell r="M1091">
            <v>32657.63</v>
          </cell>
          <cell r="N1091">
            <v>6923.4099999999899</v>
          </cell>
          <cell r="O1091">
            <v>0</v>
          </cell>
          <cell r="R1091">
            <v>144.66</v>
          </cell>
        </row>
        <row r="1092">
          <cell r="G1092">
            <v>390217.77</v>
          </cell>
          <cell r="I1092">
            <v>6705.2799999999897</v>
          </cell>
          <cell r="J1092">
            <v>15753.469999999899</v>
          </cell>
          <cell r="K1092">
            <v>0</v>
          </cell>
          <cell r="L1092">
            <v>22458.75</v>
          </cell>
          <cell r="M1092">
            <v>433886</v>
          </cell>
          <cell r="N1092">
            <v>75724.059999999896</v>
          </cell>
          <cell r="O1092">
            <v>0</v>
          </cell>
          <cell r="R1092">
            <v>1852.71</v>
          </cell>
        </row>
        <row r="1093">
          <cell r="G1093">
            <v>78612.850000000006</v>
          </cell>
          <cell r="I1093">
            <v>1353.49</v>
          </cell>
          <cell r="J1093">
            <v>4092.7199999999898</v>
          </cell>
          <cell r="K1093">
            <v>0</v>
          </cell>
          <cell r="L1093">
            <v>5446.21</v>
          </cell>
          <cell r="M1093">
            <v>88462.36</v>
          </cell>
          <cell r="N1093">
            <v>17338.04</v>
          </cell>
          <cell r="O1093">
            <v>0</v>
          </cell>
          <cell r="R1093">
            <v>373.24</v>
          </cell>
        </row>
        <row r="1094">
          <cell r="G1094">
            <v>7767.63</v>
          </cell>
          <cell r="I1094">
            <v>81.64</v>
          </cell>
          <cell r="J1094">
            <v>0</v>
          </cell>
          <cell r="K1094">
            <v>0</v>
          </cell>
          <cell r="L1094">
            <v>81.64</v>
          </cell>
          <cell r="M1094">
            <v>8262.6599999999908</v>
          </cell>
          <cell r="N1094">
            <v>1877.3399999999899</v>
          </cell>
          <cell r="O1094">
            <v>0</v>
          </cell>
          <cell r="R1094">
            <v>2.35</v>
          </cell>
        </row>
        <row r="1095">
          <cell r="G1095">
            <v>31070.5</v>
          </cell>
          <cell r="I1095">
            <v>326.57999999999902</v>
          </cell>
          <cell r="J1095">
            <v>2328.48</v>
          </cell>
          <cell r="K1095">
            <v>0</v>
          </cell>
          <cell r="L1095">
            <v>2655.0599999999899</v>
          </cell>
          <cell r="M1095">
            <v>35437.93</v>
          </cell>
          <cell r="N1095">
            <v>6562.0699999999897</v>
          </cell>
          <cell r="O1095">
            <v>0</v>
          </cell>
          <cell r="R1095">
            <v>9.4499999999999904</v>
          </cell>
        </row>
        <row r="1096">
          <cell r="G1096">
            <v>15535.25</v>
          </cell>
          <cell r="I1096">
            <v>163.289999999999</v>
          </cell>
          <cell r="J1096">
            <v>1065.5999999999899</v>
          </cell>
          <cell r="K1096">
            <v>0</v>
          </cell>
          <cell r="L1096">
            <v>1228.8900000000001</v>
          </cell>
          <cell r="M1096">
            <v>17623.72</v>
          </cell>
          <cell r="N1096">
            <v>3458.5999999999899</v>
          </cell>
          <cell r="O1096">
            <v>0</v>
          </cell>
          <cell r="R1096">
            <v>4.71999999999999</v>
          </cell>
        </row>
        <row r="1097">
          <cell r="G1097">
            <v>15535.25</v>
          </cell>
          <cell r="I1097">
            <v>163.289999999999</v>
          </cell>
          <cell r="J1097">
            <v>0</v>
          </cell>
          <cell r="K1097">
            <v>0</v>
          </cell>
          <cell r="L1097">
            <v>163.289999999999</v>
          </cell>
          <cell r="M1097">
            <v>16519.61</v>
          </cell>
          <cell r="N1097">
            <v>3618.55</v>
          </cell>
          <cell r="O1097">
            <v>0</v>
          </cell>
          <cell r="R1097">
            <v>4.71999999999999</v>
          </cell>
        </row>
        <row r="1098">
          <cell r="G1098">
            <v>46605.75</v>
          </cell>
          <cell r="I1098">
            <v>489.86</v>
          </cell>
          <cell r="J1098">
            <v>5310</v>
          </cell>
          <cell r="K1098">
            <v>0</v>
          </cell>
          <cell r="L1098">
            <v>5799.8599999999897</v>
          </cell>
          <cell r="M1098">
            <v>54999.94</v>
          </cell>
          <cell r="N1098">
            <v>8631.5</v>
          </cell>
          <cell r="O1098">
            <v>0</v>
          </cell>
          <cell r="R1098">
            <v>14.16</v>
          </cell>
        </row>
        <row r="1099">
          <cell r="G1099">
            <v>62329.07</v>
          </cell>
          <cell r="I1099">
            <v>662.97</v>
          </cell>
          <cell r="J1099">
            <v>0</v>
          </cell>
          <cell r="K1099">
            <v>0</v>
          </cell>
          <cell r="L1099">
            <v>662.97</v>
          </cell>
          <cell r="M1099">
            <v>66280.979999999894</v>
          </cell>
          <cell r="N1099">
            <v>14390.219999999899</v>
          </cell>
          <cell r="O1099">
            <v>0</v>
          </cell>
          <cell r="R1099">
            <v>18.940000000000001</v>
          </cell>
        </row>
        <row r="1100">
          <cell r="G1100">
            <v>32048.66</v>
          </cell>
          <cell r="I1100">
            <v>326.57999999999902</v>
          </cell>
          <cell r="J1100">
            <v>1724.64</v>
          </cell>
          <cell r="K1100">
            <v>0</v>
          </cell>
          <cell r="L1100">
            <v>2051.2199999999898</v>
          </cell>
          <cell r="M1100">
            <v>35841.65</v>
          </cell>
          <cell r="N1100">
            <v>6878.35</v>
          </cell>
          <cell r="O1100">
            <v>0</v>
          </cell>
          <cell r="R1100">
            <v>9.74</v>
          </cell>
        </row>
        <row r="1101">
          <cell r="G1101">
            <v>7767.63</v>
          </cell>
          <cell r="I1101">
            <v>81.64</v>
          </cell>
          <cell r="J1101">
            <v>0</v>
          </cell>
          <cell r="K1101">
            <v>0</v>
          </cell>
          <cell r="L1101">
            <v>81.64</v>
          </cell>
          <cell r="M1101">
            <v>8260.2000000000007</v>
          </cell>
          <cell r="N1101">
            <v>1818.96</v>
          </cell>
          <cell r="O1101">
            <v>0</v>
          </cell>
          <cell r="R1101">
            <v>2.35</v>
          </cell>
        </row>
        <row r="1102">
          <cell r="G1102">
            <v>16266.75</v>
          </cell>
          <cell r="I1102">
            <v>163.289999999999</v>
          </cell>
          <cell r="J1102">
            <v>0</v>
          </cell>
          <cell r="K1102">
            <v>0</v>
          </cell>
          <cell r="L1102">
            <v>163.289999999999</v>
          </cell>
          <cell r="M1102">
            <v>17246.139999999901</v>
          </cell>
          <cell r="N1102">
            <v>2770.34</v>
          </cell>
          <cell r="O1102">
            <v>0</v>
          </cell>
          <cell r="R1102">
            <v>4.9400000000000004</v>
          </cell>
        </row>
        <row r="1103">
          <cell r="G1103">
            <v>261748.769999999</v>
          </cell>
          <cell r="I1103">
            <v>2828.4299999999898</v>
          </cell>
          <cell r="J1103">
            <v>2685.84</v>
          </cell>
          <cell r="K1103">
            <v>0</v>
          </cell>
          <cell r="L1103">
            <v>5514.27</v>
          </cell>
          <cell r="M1103">
            <v>281107.31</v>
          </cell>
          <cell r="N1103">
            <v>58456.54</v>
          </cell>
          <cell r="O1103">
            <v>0</v>
          </cell>
          <cell r="R1103">
            <v>79.53</v>
          </cell>
        </row>
        <row r="1104">
          <cell r="G1104">
            <v>15535.25</v>
          </cell>
          <cell r="I1104">
            <v>163.289999999999</v>
          </cell>
          <cell r="J1104">
            <v>0</v>
          </cell>
          <cell r="K1104">
            <v>0</v>
          </cell>
          <cell r="L1104">
            <v>163.289999999999</v>
          </cell>
          <cell r="M1104">
            <v>16519.61</v>
          </cell>
          <cell r="N1104">
            <v>3618.55</v>
          </cell>
          <cell r="O1104">
            <v>0</v>
          </cell>
          <cell r="R1104">
            <v>4.71999999999999</v>
          </cell>
        </row>
        <row r="1105">
          <cell r="G1105">
            <v>46605.75</v>
          </cell>
          <cell r="I1105">
            <v>489.86</v>
          </cell>
          <cell r="J1105">
            <v>3532.92</v>
          </cell>
          <cell r="K1105">
            <v>0</v>
          </cell>
          <cell r="L1105">
            <v>4022.78</v>
          </cell>
          <cell r="M1105">
            <v>53220.23</v>
          </cell>
          <cell r="N1105">
            <v>10346.98</v>
          </cell>
          <cell r="O1105">
            <v>0</v>
          </cell>
          <cell r="R1105">
            <v>14.16</v>
          </cell>
        </row>
        <row r="1106">
          <cell r="G1106">
            <v>16266.75</v>
          </cell>
          <cell r="I1106">
            <v>163.289999999999</v>
          </cell>
          <cell r="J1106">
            <v>0</v>
          </cell>
          <cell r="K1106">
            <v>0</v>
          </cell>
          <cell r="L1106">
            <v>163.289999999999</v>
          </cell>
          <cell r="M1106">
            <v>17248.5999999999</v>
          </cell>
          <cell r="N1106">
            <v>2828.5999999999899</v>
          </cell>
          <cell r="O1106">
            <v>0</v>
          </cell>
          <cell r="R1106">
            <v>4.9400000000000004</v>
          </cell>
        </row>
        <row r="1107">
          <cell r="G1107">
            <v>15535.25</v>
          </cell>
          <cell r="I1107">
            <v>163.289999999999</v>
          </cell>
          <cell r="J1107">
            <v>1056.48</v>
          </cell>
          <cell r="K1107">
            <v>0</v>
          </cell>
          <cell r="L1107">
            <v>1219.77</v>
          </cell>
          <cell r="M1107">
            <v>17620.639999999901</v>
          </cell>
          <cell r="N1107">
            <v>3611.1999999999898</v>
          </cell>
          <cell r="O1107">
            <v>0</v>
          </cell>
          <cell r="R1107">
            <v>4.71999999999999</v>
          </cell>
        </row>
        <row r="1108">
          <cell r="G1108">
            <v>118708.88</v>
          </cell>
          <cell r="I1108">
            <v>1224.67</v>
          </cell>
          <cell r="J1108">
            <v>9707.52</v>
          </cell>
          <cell r="K1108">
            <v>0</v>
          </cell>
          <cell r="L1108">
            <v>10932.19</v>
          </cell>
          <cell r="M1108">
            <v>136046.98000000001</v>
          </cell>
          <cell r="N1108">
            <v>21073.459999999901</v>
          </cell>
          <cell r="O1108">
            <v>0</v>
          </cell>
          <cell r="R1108">
            <v>36.07</v>
          </cell>
        </row>
        <row r="1109">
          <cell r="G1109">
            <v>110456.41</v>
          </cell>
          <cell r="I1109">
            <v>1143.03</v>
          </cell>
          <cell r="J1109">
            <v>2829.36</v>
          </cell>
          <cell r="K1109">
            <v>0</v>
          </cell>
          <cell r="L1109">
            <v>3972.3899999999899</v>
          </cell>
          <cell r="M1109">
            <v>120334.25999999901</v>
          </cell>
          <cell r="N1109">
            <v>24511.5</v>
          </cell>
          <cell r="O1109">
            <v>0</v>
          </cell>
          <cell r="R1109">
            <v>33.549999999999898</v>
          </cell>
        </row>
        <row r="1110">
          <cell r="G1110">
            <v>15535.25</v>
          </cell>
          <cell r="I1110">
            <v>163.289999999999</v>
          </cell>
          <cell r="J1110">
            <v>0</v>
          </cell>
          <cell r="K1110">
            <v>0</v>
          </cell>
          <cell r="L1110">
            <v>163.289999999999</v>
          </cell>
          <cell r="M1110">
            <v>16520.400000000001</v>
          </cell>
          <cell r="N1110">
            <v>3637.92</v>
          </cell>
          <cell r="O1110">
            <v>0</v>
          </cell>
          <cell r="R1110">
            <v>4.71999999999999</v>
          </cell>
        </row>
        <row r="1111">
          <cell r="G1111">
            <v>31801.9</v>
          </cell>
          <cell r="I1111">
            <v>326.57999999999902</v>
          </cell>
          <cell r="J1111">
            <v>449.39999999999901</v>
          </cell>
          <cell r="K1111">
            <v>0</v>
          </cell>
          <cell r="L1111">
            <v>775.98</v>
          </cell>
          <cell r="M1111">
            <v>34325.160000000003</v>
          </cell>
          <cell r="N1111">
            <v>8531.0400000000009</v>
          </cell>
          <cell r="O1111">
            <v>0</v>
          </cell>
          <cell r="R1111">
            <v>9.66</v>
          </cell>
        </row>
        <row r="1112">
          <cell r="G1112">
            <v>7767.63</v>
          </cell>
          <cell r="I1112">
            <v>81.64</v>
          </cell>
          <cell r="J1112">
            <v>742.44</v>
          </cell>
          <cell r="K1112">
            <v>0</v>
          </cell>
          <cell r="L1112">
            <v>824.08</v>
          </cell>
          <cell r="M1112">
            <v>9027.1399999999903</v>
          </cell>
          <cell r="N1112">
            <v>1652.8599999999899</v>
          </cell>
          <cell r="O1112">
            <v>0</v>
          </cell>
          <cell r="R1112">
            <v>2.35</v>
          </cell>
        </row>
        <row r="1113">
          <cell r="G1113">
            <v>119440.39</v>
          </cell>
          <cell r="I1113">
            <v>1224.67</v>
          </cell>
          <cell r="J1113">
            <v>4152.4799999999896</v>
          </cell>
          <cell r="K1113">
            <v>0</v>
          </cell>
          <cell r="L1113">
            <v>5377.1499999999896</v>
          </cell>
          <cell r="M1113">
            <v>131046.12</v>
          </cell>
          <cell r="N1113">
            <v>21726</v>
          </cell>
          <cell r="O1113">
            <v>0</v>
          </cell>
          <cell r="R1113">
            <v>36.28</v>
          </cell>
        </row>
        <row r="1114">
          <cell r="G1114">
            <v>1531856.3899999899</v>
          </cell>
          <cell r="I1114">
            <v>16893.619999999901</v>
          </cell>
          <cell r="J1114">
            <v>0</v>
          </cell>
          <cell r="K1114">
            <v>0</v>
          </cell>
          <cell r="L1114">
            <v>16893.619999999901</v>
          </cell>
          <cell r="M1114">
            <v>1612758.9399999899</v>
          </cell>
          <cell r="N1114">
            <v>-42782.87</v>
          </cell>
          <cell r="O1114">
            <v>0</v>
          </cell>
          <cell r="R1114">
            <v>465.42</v>
          </cell>
        </row>
        <row r="1115">
          <cell r="G1115">
            <v>16266.75</v>
          </cell>
          <cell r="I1115">
            <v>163.289999999999</v>
          </cell>
          <cell r="J1115">
            <v>0</v>
          </cell>
          <cell r="K1115">
            <v>0</v>
          </cell>
          <cell r="L1115">
            <v>163.289999999999</v>
          </cell>
          <cell r="M1115">
            <v>17248.5999999999</v>
          </cell>
          <cell r="N1115">
            <v>2828.5999999999899</v>
          </cell>
          <cell r="O1115">
            <v>0</v>
          </cell>
          <cell r="R1115">
            <v>4.9400000000000004</v>
          </cell>
        </row>
        <row r="1116">
          <cell r="G1116">
            <v>15535.25</v>
          </cell>
          <cell r="I1116">
            <v>163.289999999999</v>
          </cell>
          <cell r="J1116">
            <v>0</v>
          </cell>
          <cell r="K1116">
            <v>0</v>
          </cell>
          <cell r="L1116">
            <v>163.289999999999</v>
          </cell>
          <cell r="M1116">
            <v>16519.61</v>
          </cell>
          <cell r="N1116">
            <v>3618.55</v>
          </cell>
          <cell r="O1116">
            <v>0</v>
          </cell>
          <cell r="R1116">
            <v>4.71999999999999</v>
          </cell>
        </row>
        <row r="1117">
          <cell r="G1117">
            <v>15535.25</v>
          </cell>
          <cell r="I1117">
            <v>163.289999999999</v>
          </cell>
          <cell r="J1117">
            <v>1148.4000000000001</v>
          </cell>
          <cell r="K1117">
            <v>0</v>
          </cell>
          <cell r="L1117">
            <v>1311.69</v>
          </cell>
          <cell r="M1117">
            <v>17712.560000000001</v>
          </cell>
          <cell r="N1117">
            <v>3519.28</v>
          </cell>
          <cell r="O1117">
            <v>0</v>
          </cell>
          <cell r="R1117">
            <v>4.71999999999999</v>
          </cell>
        </row>
        <row r="1118">
          <cell r="G1118">
            <v>260960.149999999</v>
          </cell>
          <cell r="I1118">
            <v>2688.94</v>
          </cell>
          <cell r="J1118">
            <v>9566.0400000000009</v>
          </cell>
          <cell r="K1118">
            <v>0</v>
          </cell>
          <cell r="L1118">
            <v>12254.98</v>
          </cell>
          <cell r="M1118">
            <v>286895.489999999</v>
          </cell>
          <cell r="N1118">
            <v>48652.07</v>
          </cell>
          <cell r="O1118">
            <v>0</v>
          </cell>
          <cell r="R1118">
            <v>79.290000000000006</v>
          </cell>
        </row>
        <row r="1119">
          <cell r="G1119">
            <v>15535.26</v>
          </cell>
          <cell r="I1119">
            <v>163.289999999999</v>
          </cell>
          <cell r="J1119">
            <v>1685.28</v>
          </cell>
          <cell r="K1119">
            <v>0</v>
          </cell>
          <cell r="L1119">
            <v>1848.5699999999899</v>
          </cell>
          <cell r="M1119">
            <v>18243.41</v>
          </cell>
          <cell r="N1119">
            <v>2838.9099999999899</v>
          </cell>
          <cell r="O1119">
            <v>0</v>
          </cell>
          <cell r="R1119">
            <v>4.71999999999999</v>
          </cell>
        </row>
        <row r="1120">
          <cell r="G1120">
            <v>47253.059999999903</v>
          </cell>
          <cell r="I1120">
            <v>496.67</v>
          </cell>
          <cell r="J1120">
            <v>1130.8199999999899</v>
          </cell>
          <cell r="K1120">
            <v>0</v>
          </cell>
          <cell r="L1120">
            <v>1627.49</v>
          </cell>
          <cell r="M1120">
            <v>51410.269999999902</v>
          </cell>
          <cell r="N1120">
            <v>10636.209999999901</v>
          </cell>
          <cell r="O1120">
            <v>0</v>
          </cell>
          <cell r="R1120">
            <v>14.3599999999999</v>
          </cell>
        </row>
        <row r="1121">
          <cell r="G1121">
            <v>577161.78</v>
          </cell>
          <cell r="I1121">
            <v>5851.13</v>
          </cell>
          <cell r="J1121">
            <v>25876.2</v>
          </cell>
          <cell r="K1121">
            <v>0</v>
          </cell>
          <cell r="L1121">
            <v>31727.33</v>
          </cell>
          <cell r="M1121">
            <v>639403.08999999904</v>
          </cell>
          <cell r="N1121">
            <v>109028.23</v>
          </cell>
          <cell r="O1121">
            <v>0</v>
          </cell>
          <cell r="R1121">
            <v>175.36</v>
          </cell>
        </row>
        <row r="1122">
          <cell r="G1122">
            <v>48072.989999999903</v>
          </cell>
          <cell r="I1122">
            <v>489.86</v>
          </cell>
          <cell r="J1122">
            <v>3260.1599999999899</v>
          </cell>
          <cell r="K1122">
            <v>0</v>
          </cell>
          <cell r="L1122">
            <v>3750.02</v>
          </cell>
          <cell r="M1122">
            <v>54454.76</v>
          </cell>
          <cell r="N1122">
            <v>10095.639999999899</v>
          </cell>
          <cell r="O1122">
            <v>0</v>
          </cell>
          <cell r="R1122">
            <v>14.6099999999999</v>
          </cell>
        </row>
        <row r="1123">
          <cell r="G1123">
            <v>7873.2399999999898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8401.5499999999902</v>
          </cell>
          <cell r="N1123">
            <v>1918.45</v>
          </cell>
          <cell r="O1123">
            <v>0</v>
          </cell>
          <cell r="R1123">
            <v>0</v>
          </cell>
        </row>
        <row r="1124">
          <cell r="G1124">
            <v>15746.469999999899</v>
          </cell>
          <cell r="I1124">
            <v>0</v>
          </cell>
          <cell r="J1124">
            <v>1992.72</v>
          </cell>
          <cell r="K1124">
            <v>0</v>
          </cell>
          <cell r="L1124">
            <v>1992.72</v>
          </cell>
          <cell r="M1124">
            <v>18851.09</v>
          </cell>
          <cell r="N1124">
            <v>2868.9099999999899</v>
          </cell>
          <cell r="O1124">
            <v>0</v>
          </cell>
          <cell r="R1124">
            <v>0</v>
          </cell>
        </row>
        <row r="1125">
          <cell r="G1125">
            <v>16081.25</v>
          </cell>
          <cell r="I1125">
            <v>0</v>
          </cell>
          <cell r="J1125">
            <v>1138.0799999999899</v>
          </cell>
          <cell r="K1125">
            <v>0</v>
          </cell>
          <cell r="L1125">
            <v>1138.0799999999899</v>
          </cell>
          <cell r="M1125">
            <v>18331.23</v>
          </cell>
          <cell r="N1125">
            <v>3388.77</v>
          </cell>
          <cell r="O1125">
            <v>0</v>
          </cell>
          <cell r="R1125">
            <v>0</v>
          </cell>
        </row>
        <row r="1126">
          <cell r="G1126">
            <v>6905.63</v>
          </cell>
          <cell r="I1126">
            <v>0</v>
          </cell>
          <cell r="J1126">
            <v>623.1</v>
          </cell>
          <cell r="K1126">
            <v>0</v>
          </cell>
          <cell r="L1126">
            <v>623.1</v>
          </cell>
          <cell r="M1126">
            <v>7984.35</v>
          </cell>
          <cell r="N1126">
            <v>915.64999999999895</v>
          </cell>
          <cell r="O1126">
            <v>0</v>
          </cell>
          <cell r="R1126">
            <v>0</v>
          </cell>
        </row>
        <row r="1127">
          <cell r="G1127">
            <v>64325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68521.83</v>
          </cell>
          <cell r="N1127">
            <v>13460.25</v>
          </cell>
          <cell r="O1127">
            <v>0</v>
          </cell>
          <cell r="R1127">
            <v>0</v>
          </cell>
        </row>
        <row r="1128">
          <cell r="G1128">
            <v>15746.469999999899</v>
          </cell>
          <cell r="I1128">
            <v>0</v>
          </cell>
          <cell r="J1128">
            <v>1183.2</v>
          </cell>
          <cell r="K1128">
            <v>0</v>
          </cell>
          <cell r="L1128">
            <v>1183.2</v>
          </cell>
          <cell r="M1128">
            <v>18033.79</v>
          </cell>
          <cell r="N1128">
            <v>3534.29</v>
          </cell>
          <cell r="O1128">
            <v>0</v>
          </cell>
          <cell r="R1128">
            <v>0</v>
          </cell>
        </row>
        <row r="1129">
          <cell r="G1129">
            <v>16573.5099999999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17622.68</v>
          </cell>
          <cell r="N1129">
            <v>2872.84</v>
          </cell>
          <cell r="O1129">
            <v>0</v>
          </cell>
          <cell r="R1129">
            <v>0</v>
          </cell>
        </row>
        <row r="1130">
          <cell r="G1130">
            <v>16081.25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17130.4199999999</v>
          </cell>
          <cell r="N1130">
            <v>3365.0999999999899</v>
          </cell>
          <cell r="O1130">
            <v>0</v>
          </cell>
          <cell r="R1130">
            <v>0</v>
          </cell>
        </row>
        <row r="1131">
          <cell r="G1131">
            <v>31827.6699999999</v>
          </cell>
          <cell r="I1131">
            <v>0</v>
          </cell>
          <cell r="J1131">
            <v>2462.88</v>
          </cell>
          <cell r="K1131">
            <v>0</v>
          </cell>
          <cell r="L1131">
            <v>2462.88</v>
          </cell>
          <cell r="M1131">
            <v>35402.449999999903</v>
          </cell>
          <cell r="N1131">
            <v>7528.0299999999897</v>
          </cell>
          <cell r="O1131">
            <v>0</v>
          </cell>
          <cell r="R1131">
            <v>0</v>
          </cell>
        </row>
        <row r="1132">
          <cell r="G1132">
            <v>9841.5499999999902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9841.5499999999902</v>
          </cell>
          <cell r="N1132">
            <v>2968.15</v>
          </cell>
          <cell r="O1132">
            <v>0</v>
          </cell>
          <cell r="R1132">
            <v>0</v>
          </cell>
        </row>
        <row r="1133">
          <cell r="G1133">
            <v>49228.269999999902</v>
          </cell>
          <cell r="I1133">
            <v>0</v>
          </cell>
          <cell r="J1133">
            <v>1050.96</v>
          </cell>
          <cell r="K1133">
            <v>0</v>
          </cell>
          <cell r="L1133">
            <v>1050.96</v>
          </cell>
          <cell r="M1133">
            <v>51438.169999999896</v>
          </cell>
          <cell r="N1133">
            <v>13947.67</v>
          </cell>
          <cell r="O1133">
            <v>0</v>
          </cell>
          <cell r="R1133">
            <v>0</v>
          </cell>
        </row>
        <row r="1134">
          <cell r="G1134">
            <v>15746.469999999899</v>
          </cell>
          <cell r="I1134">
            <v>0</v>
          </cell>
          <cell r="J1134">
            <v>1153.68</v>
          </cell>
          <cell r="K1134">
            <v>0</v>
          </cell>
          <cell r="L1134">
            <v>1153.68</v>
          </cell>
          <cell r="M1134">
            <v>16900.150000000001</v>
          </cell>
          <cell r="N1134">
            <v>4310.3299999999899</v>
          </cell>
          <cell r="O1134">
            <v>0</v>
          </cell>
          <cell r="R1134">
            <v>0</v>
          </cell>
        </row>
        <row r="1135">
          <cell r="G1135">
            <v>32162.5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34260.959999999897</v>
          </cell>
          <cell r="N1135">
            <v>6730.0799999999899</v>
          </cell>
          <cell r="O1135">
            <v>0</v>
          </cell>
          <cell r="R1135">
            <v>0</v>
          </cell>
        </row>
        <row r="1136">
          <cell r="G1136">
            <v>15746.469999999899</v>
          </cell>
          <cell r="I1136">
            <v>0</v>
          </cell>
          <cell r="J1136">
            <v>1212.48</v>
          </cell>
          <cell r="K1136">
            <v>0</v>
          </cell>
          <cell r="L1136">
            <v>1212.48</v>
          </cell>
          <cell r="M1136">
            <v>16958.95</v>
          </cell>
          <cell r="N1136">
            <v>4609.13</v>
          </cell>
          <cell r="O1136">
            <v>0</v>
          </cell>
          <cell r="R1136">
            <v>0</v>
          </cell>
        </row>
        <row r="1137">
          <cell r="G1137">
            <v>32319.98</v>
          </cell>
          <cell r="I1137">
            <v>0</v>
          </cell>
          <cell r="J1137">
            <v>2517.36</v>
          </cell>
          <cell r="K1137">
            <v>0</v>
          </cell>
          <cell r="L1137">
            <v>2517.36</v>
          </cell>
          <cell r="M1137">
            <v>34837.339999999902</v>
          </cell>
          <cell r="N1137">
            <v>8242.6599999999908</v>
          </cell>
          <cell r="O1137">
            <v>0</v>
          </cell>
          <cell r="R1137">
            <v>0</v>
          </cell>
        </row>
        <row r="1138">
          <cell r="G1138">
            <v>31492.9399999999</v>
          </cell>
          <cell r="I1138">
            <v>0</v>
          </cell>
          <cell r="J1138">
            <v>3234.96</v>
          </cell>
          <cell r="K1138">
            <v>0</v>
          </cell>
          <cell r="L1138">
            <v>3234.96</v>
          </cell>
          <cell r="M1138">
            <v>34727.9</v>
          </cell>
          <cell r="N1138">
            <v>7986.5799999999899</v>
          </cell>
          <cell r="O1138">
            <v>0</v>
          </cell>
          <cell r="R1138">
            <v>0</v>
          </cell>
        </row>
        <row r="1139">
          <cell r="G1139">
            <v>16081.25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17130.4199999999</v>
          </cell>
          <cell r="N1139">
            <v>3365.0999999999899</v>
          </cell>
          <cell r="O1139">
            <v>0</v>
          </cell>
          <cell r="R1139">
            <v>0</v>
          </cell>
        </row>
        <row r="1140">
          <cell r="G1140">
            <v>63812.919999999896</v>
          </cell>
          <cell r="I1140">
            <v>0</v>
          </cell>
          <cell r="J1140">
            <v>3920.4</v>
          </cell>
          <cell r="K1140">
            <v>0</v>
          </cell>
          <cell r="L1140">
            <v>3920.4</v>
          </cell>
          <cell r="M1140">
            <v>67733.320000000007</v>
          </cell>
          <cell r="N1140">
            <v>18405.080000000002</v>
          </cell>
          <cell r="O1140">
            <v>0</v>
          </cell>
          <cell r="R1140">
            <v>0</v>
          </cell>
        </row>
        <row r="1141">
          <cell r="G1141">
            <v>48243.75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51457.93</v>
          </cell>
          <cell r="N1141">
            <v>11328.95</v>
          </cell>
          <cell r="O1141">
            <v>0</v>
          </cell>
          <cell r="R1141">
            <v>0</v>
          </cell>
        </row>
        <row r="1142">
          <cell r="G1142">
            <v>16573.5099999999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16573.5099999999</v>
          </cell>
          <cell r="N1142">
            <v>3922.01</v>
          </cell>
          <cell r="O1142">
            <v>0</v>
          </cell>
          <cell r="R1142">
            <v>0</v>
          </cell>
        </row>
        <row r="1143">
          <cell r="G1143">
            <v>1049.76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1049.76</v>
          </cell>
          <cell r="N1143">
            <v>518.24</v>
          </cell>
          <cell r="O1143">
            <v>0</v>
          </cell>
          <cell r="R1143">
            <v>0</v>
          </cell>
        </row>
        <row r="1144">
          <cell r="G1144">
            <v>0</v>
          </cell>
          <cell r="I1144">
            <v>144</v>
          </cell>
          <cell r="J1144">
            <v>0</v>
          </cell>
          <cell r="K1144">
            <v>0</v>
          </cell>
          <cell r="L1144">
            <v>144</v>
          </cell>
          <cell r="M1144">
            <v>144</v>
          </cell>
          <cell r="N1144">
            <v>-144</v>
          </cell>
          <cell r="O1144">
            <v>0</v>
          </cell>
          <cell r="R1144">
            <v>0</v>
          </cell>
        </row>
        <row r="1145">
          <cell r="G1145">
            <v>859.82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859.82</v>
          </cell>
          <cell r="N1145">
            <v>-859.82</v>
          </cell>
          <cell r="O1145">
            <v>0</v>
          </cell>
          <cell r="R1145">
            <v>0</v>
          </cell>
        </row>
        <row r="1146">
          <cell r="G1146">
            <v>57394.93</v>
          </cell>
          <cell r="I1146">
            <v>1015.4</v>
          </cell>
          <cell r="J1146">
            <v>6456</v>
          </cell>
          <cell r="K1146">
            <v>0.17</v>
          </cell>
          <cell r="L1146">
            <v>7471.5699999999897</v>
          </cell>
          <cell r="M1146">
            <v>67447.27</v>
          </cell>
          <cell r="N1146">
            <v>13571.45</v>
          </cell>
          <cell r="O1146">
            <v>0</v>
          </cell>
          <cell r="R1146">
            <v>133.15</v>
          </cell>
        </row>
        <row r="1147">
          <cell r="G1147">
            <v>9481.93</v>
          </cell>
          <cell r="I1147">
            <v>148.08000000000001</v>
          </cell>
          <cell r="J1147">
            <v>0</v>
          </cell>
          <cell r="K1147">
            <v>2.9999999999999898E-2</v>
          </cell>
          <cell r="L1147">
            <v>148.11000000000001</v>
          </cell>
          <cell r="M1147">
            <v>9994.9899999999907</v>
          </cell>
          <cell r="N1147">
            <v>1460.65</v>
          </cell>
          <cell r="O1147">
            <v>0</v>
          </cell>
          <cell r="R1147">
            <v>22.01</v>
          </cell>
        </row>
        <row r="1148">
          <cell r="G1148">
            <v>14348.73</v>
          </cell>
          <cell r="I1148">
            <v>253.86</v>
          </cell>
          <cell r="J1148">
            <v>1253.52</v>
          </cell>
          <cell r="K1148">
            <v>0.04</v>
          </cell>
          <cell r="L1148">
            <v>1507.42</v>
          </cell>
          <cell r="M1148">
            <v>16498.279999999901</v>
          </cell>
          <cell r="N1148">
            <v>3660.04</v>
          </cell>
          <cell r="O1148">
            <v>0</v>
          </cell>
          <cell r="R1148">
            <v>33.2899999999999</v>
          </cell>
        </row>
        <row r="1149">
          <cell r="G1149">
            <v>14946.6</v>
          </cell>
          <cell r="I1149">
            <v>264.44</v>
          </cell>
          <cell r="J1149">
            <v>1390.18</v>
          </cell>
          <cell r="K1149">
            <v>0.04</v>
          </cell>
          <cell r="L1149">
            <v>1654.66</v>
          </cell>
          <cell r="M1149">
            <v>17265.45</v>
          </cell>
          <cell r="N1149">
            <v>3584.8</v>
          </cell>
          <cell r="O1149">
            <v>0</v>
          </cell>
          <cell r="R1149">
            <v>34.67</v>
          </cell>
        </row>
        <row r="1150">
          <cell r="G1150">
            <v>16254.73</v>
          </cell>
          <cell r="I1150">
            <v>253.86</v>
          </cell>
          <cell r="J1150">
            <v>0</v>
          </cell>
          <cell r="K1150">
            <v>0.04</v>
          </cell>
          <cell r="L1150">
            <v>253.9</v>
          </cell>
          <cell r="M1150">
            <v>17127.36</v>
          </cell>
          <cell r="N1150">
            <v>2295.84</v>
          </cell>
          <cell r="O1150">
            <v>0</v>
          </cell>
          <cell r="R1150">
            <v>37.719999999999899</v>
          </cell>
        </row>
        <row r="1151">
          <cell r="G1151">
            <v>14348.73</v>
          </cell>
          <cell r="I1151">
            <v>253.86</v>
          </cell>
          <cell r="J1151">
            <v>0</v>
          </cell>
          <cell r="K1151">
            <v>0.04</v>
          </cell>
          <cell r="L1151">
            <v>253.9</v>
          </cell>
          <cell r="M1151">
            <v>15210</v>
          </cell>
          <cell r="N1151">
            <v>3855.5999999999899</v>
          </cell>
          <cell r="O1151">
            <v>0</v>
          </cell>
          <cell r="R1151">
            <v>33.2899999999999</v>
          </cell>
        </row>
        <row r="1152">
          <cell r="G1152">
            <v>149465.97</v>
          </cell>
          <cell r="I1152">
            <v>2644.3099999999899</v>
          </cell>
          <cell r="J1152">
            <v>0</v>
          </cell>
          <cell r="K1152">
            <v>0.45</v>
          </cell>
          <cell r="L1152">
            <v>2644.76</v>
          </cell>
          <cell r="M1152">
            <v>158536.12</v>
          </cell>
          <cell r="N1152">
            <v>43176.379999999903</v>
          </cell>
          <cell r="O1152">
            <v>0</v>
          </cell>
          <cell r="R1152">
            <v>346.77999999999901</v>
          </cell>
        </row>
        <row r="1153">
          <cell r="G1153">
            <v>43046.19</v>
          </cell>
          <cell r="I1153">
            <v>761.55999999999904</v>
          </cell>
          <cell r="J1153">
            <v>5676.4799999999896</v>
          </cell>
          <cell r="K1153">
            <v>0.13</v>
          </cell>
          <cell r="L1153">
            <v>6438.17</v>
          </cell>
          <cell r="M1153">
            <v>51436.65</v>
          </cell>
          <cell r="N1153">
            <v>9852.6299999999901</v>
          </cell>
          <cell r="O1153">
            <v>0</v>
          </cell>
          <cell r="R1153">
            <v>99.879999999999896</v>
          </cell>
        </row>
        <row r="1154">
          <cell r="G1154">
            <v>32509.459999999901</v>
          </cell>
          <cell r="I1154">
            <v>507.69999999999902</v>
          </cell>
          <cell r="J1154">
            <v>0</v>
          </cell>
          <cell r="K1154">
            <v>8.99999999999999E-2</v>
          </cell>
          <cell r="L1154">
            <v>507.79</v>
          </cell>
          <cell r="M1154">
            <v>34263.370000000003</v>
          </cell>
          <cell r="N1154">
            <v>4856.63</v>
          </cell>
          <cell r="O1154">
            <v>0</v>
          </cell>
          <cell r="R1154">
            <v>75.430000000000007</v>
          </cell>
        </row>
        <row r="1155">
          <cell r="G1155">
            <v>14946.6</v>
          </cell>
          <cell r="I1155">
            <v>264.44</v>
          </cell>
          <cell r="J1155">
            <v>1855.01</v>
          </cell>
          <cell r="K1155">
            <v>0.04</v>
          </cell>
          <cell r="L1155">
            <v>2119.4899999999898</v>
          </cell>
          <cell r="M1155">
            <v>17732.2599999999</v>
          </cell>
          <cell r="N1155">
            <v>3181.4899999999898</v>
          </cell>
          <cell r="O1155">
            <v>0</v>
          </cell>
          <cell r="R1155">
            <v>34.67</v>
          </cell>
        </row>
        <row r="1156">
          <cell r="G1156">
            <v>418621.609999999</v>
          </cell>
          <cell r="I1156">
            <v>7393.4899999999898</v>
          </cell>
          <cell r="J1156">
            <v>0</v>
          </cell>
          <cell r="K1156">
            <v>1.25</v>
          </cell>
          <cell r="L1156">
            <v>7394.7399999999898</v>
          </cell>
          <cell r="M1156">
            <v>443945.03999999899</v>
          </cell>
          <cell r="N1156">
            <v>118892.91</v>
          </cell>
          <cell r="O1156">
            <v>0</v>
          </cell>
          <cell r="R1156">
            <v>971.26999999999896</v>
          </cell>
        </row>
        <row r="1157">
          <cell r="G1157">
            <v>94462.49</v>
          </cell>
          <cell r="I1157">
            <v>1671.19</v>
          </cell>
          <cell r="J1157">
            <v>6946.26</v>
          </cell>
          <cell r="K1157">
            <v>0.28000000000000003</v>
          </cell>
          <cell r="L1157">
            <v>8617.7299999999905</v>
          </cell>
          <cell r="M1157">
            <v>107217.09</v>
          </cell>
          <cell r="N1157">
            <v>22651.99</v>
          </cell>
          <cell r="O1157">
            <v>0</v>
          </cell>
          <cell r="R1157">
            <v>219.18</v>
          </cell>
        </row>
        <row r="1158">
          <cell r="G1158">
            <v>164175.89000000001</v>
          </cell>
          <cell r="I1158">
            <v>2728.92</v>
          </cell>
          <cell r="J1158">
            <v>0</v>
          </cell>
          <cell r="K1158">
            <v>0.46</v>
          </cell>
          <cell r="L1158">
            <v>2729.38</v>
          </cell>
          <cell r="M1158">
            <v>173537.929999999</v>
          </cell>
          <cell r="N1158">
            <v>34681.4</v>
          </cell>
          <cell r="O1158">
            <v>0</v>
          </cell>
          <cell r="R1158">
            <v>380.91</v>
          </cell>
        </row>
        <row r="1159">
          <cell r="G1159">
            <v>28697.459999999901</v>
          </cell>
          <cell r="I1159">
            <v>507.69999999999902</v>
          </cell>
          <cell r="J1159">
            <v>2601.5999999999899</v>
          </cell>
          <cell r="K1159">
            <v>8.99999999999999E-2</v>
          </cell>
          <cell r="L1159">
            <v>3109.3899999999899</v>
          </cell>
          <cell r="M1159">
            <v>33071.599999999897</v>
          </cell>
          <cell r="N1159">
            <v>6633.52</v>
          </cell>
          <cell r="O1159">
            <v>0</v>
          </cell>
          <cell r="R1159">
            <v>66.599999999999895</v>
          </cell>
        </row>
        <row r="1160">
          <cell r="G1160">
            <v>35218.58</v>
          </cell>
          <cell r="I1160">
            <v>550.00999999999897</v>
          </cell>
          <cell r="J1160">
            <v>0</v>
          </cell>
          <cell r="K1160">
            <v>8.99999999999999E-2</v>
          </cell>
          <cell r="L1160">
            <v>550.1</v>
          </cell>
          <cell r="M1160">
            <v>37105.129999999903</v>
          </cell>
          <cell r="N1160">
            <v>4851.0699999999897</v>
          </cell>
          <cell r="O1160">
            <v>0</v>
          </cell>
          <cell r="R1160">
            <v>81.7</v>
          </cell>
        </row>
        <row r="1161">
          <cell r="G1161">
            <v>86092.41</v>
          </cell>
          <cell r="I1161">
            <v>1523.1199999999899</v>
          </cell>
          <cell r="J1161">
            <v>11034.84</v>
          </cell>
          <cell r="K1161">
            <v>0.26</v>
          </cell>
          <cell r="L1161">
            <v>12558.219999999899</v>
          </cell>
          <cell r="M1161">
            <v>102433.35</v>
          </cell>
          <cell r="N1161">
            <v>16318.77</v>
          </cell>
          <cell r="O1161">
            <v>0</v>
          </cell>
          <cell r="R1161">
            <v>199.75</v>
          </cell>
        </row>
        <row r="1162">
          <cell r="G1162">
            <v>44241.919999999896</v>
          </cell>
          <cell r="I1162">
            <v>782.72</v>
          </cell>
          <cell r="J1162">
            <v>0</v>
          </cell>
          <cell r="K1162">
            <v>0.13</v>
          </cell>
          <cell r="L1162">
            <v>782.85</v>
          </cell>
          <cell r="M1162">
            <v>46922.959999999897</v>
          </cell>
          <cell r="N1162">
            <v>12666.82</v>
          </cell>
          <cell r="O1162">
            <v>0</v>
          </cell>
          <cell r="R1162">
            <v>102.66</v>
          </cell>
        </row>
        <row r="1163">
          <cell r="G1163">
            <v>16932.0099999999</v>
          </cell>
          <cell r="I1163">
            <v>264.44</v>
          </cell>
          <cell r="J1163">
            <v>0</v>
          </cell>
          <cell r="K1163">
            <v>0.04</v>
          </cell>
          <cell r="L1163">
            <v>264.48</v>
          </cell>
          <cell r="M1163">
            <v>17841</v>
          </cell>
          <cell r="N1163">
            <v>2391.25</v>
          </cell>
          <cell r="O1163">
            <v>0</v>
          </cell>
          <cell r="R1163">
            <v>39.270000000000003</v>
          </cell>
        </row>
        <row r="1164">
          <cell r="G1164">
            <v>24982.75</v>
          </cell>
          <cell r="I1164">
            <v>391.38</v>
          </cell>
          <cell r="J1164">
            <v>0</v>
          </cell>
          <cell r="K1164">
            <v>5.9999999999999901E-2</v>
          </cell>
          <cell r="L1164">
            <v>391.44</v>
          </cell>
          <cell r="M1164">
            <v>26346.04</v>
          </cell>
          <cell r="N1164">
            <v>4162.7299999999896</v>
          </cell>
          <cell r="O1164">
            <v>0</v>
          </cell>
          <cell r="R1164">
            <v>57.969999999999899</v>
          </cell>
        </row>
        <row r="1165">
          <cell r="G1165">
            <v>96762.199999999895</v>
          </cell>
          <cell r="I1165">
            <v>1512.55</v>
          </cell>
          <cell r="J1165">
            <v>0</v>
          </cell>
          <cell r="K1165">
            <v>0.25</v>
          </cell>
          <cell r="L1165">
            <v>1512.8</v>
          </cell>
          <cell r="M1165">
            <v>101969.02</v>
          </cell>
          <cell r="N1165">
            <v>13996.379999999899</v>
          </cell>
          <cell r="O1165">
            <v>0</v>
          </cell>
          <cell r="R1165">
            <v>224.509999999999</v>
          </cell>
        </row>
        <row r="1166">
          <cell r="G1166">
            <v>14348.73</v>
          </cell>
          <cell r="I1166">
            <v>253.86</v>
          </cell>
          <cell r="J1166">
            <v>1742.4</v>
          </cell>
          <cell r="K1166">
            <v>0.04</v>
          </cell>
          <cell r="L1166">
            <v>1996.3</v>
          </cell>
          <cell r="M1166">
            <v>16997.52</v>
          </cell>
          <cell r="N1166">
            <v>3485.28</v>
          </cell>
          <cell r="O1166">
            <v>0</v>
          </cell>
          <cell r="R1166">
            <v>33.2899999999999</v>
          </cell>
        </row>
        <row r="1167">
          <cell r="G1167">
            <v>9481.93</v>
          </cell>
          <cell r="I1167">
            <v>148.08000000000001</v>
          </cell>
          <cell r="J1167">
            <v>0</v>
          </cell>
          <cell r="K1167">
            <v>2.9999999999999898E-2</v>
          </cell>
          <cell r="L1167">
            <v>148.11000000000001</v>
          </cell>
          <cell r="M1167">
            <v>9996.0300000000007</v>
          </cell>
          <cell r="N1167">
            <v>1493.91</v>
          </cell>
          <cell r="O1167">
            <v>0</v>
          </cell>
          <cell r="R1167">
            <v>22.01</v>
          </cell>
        </row>
        <row r="1168">
          <cell r="G1168">
            <v>28697.459999999901</v>
          </cell>
          <cell r="I1168">
            <v>507.69999999999902</v>
          </cell>
          <cell r="J1168">
            <v>1300.8</v>
          </cell>
          <cell r="K1168">
            <v>8.99999999999999E-2</v>
          </cell>
          <cell r="L1168">
            <v>1808.5899999999899</v>
          </cell>
          <cell r="M1168">
            <v>31755.23</v>
          </cell>
          <cell r="N1168">
            <v>7461.25</v>
          </cell>
          <cell r="O1168">
            <v>0</v>
          </cell>
          <cell r="R1168">
            <v>66.599999999999895</v>
          </cell>
        </row>
        <row r="1169">
          <cell r="G1169">
            <v>34054.44</v>
          </cell>
          <cell r="I1169">
            <v>528.88</v>
          </cell>
          <cell r="J1169">
            <v>0</v>
          </cell>
          <cell r="K1169">
            <v>0.08</v>
          </cell>
          <cell r="L1169">
            <v>528.96</v>
          </cell>
          <cell r="M1169">
            <v>35872.419999999896</v>
          </cell>
          <cell r="N1169">
            <v>4592.0799999999899</v>
          </cell>
          <cell r="O1169">
            <v>0</v>
          </cell>
          <cell r="R1169">
            <v>79.03</v>
          </cell>
        </row>
        <row r="1170">
          <cell r="G1170">
            <v>7174.3699999999899</v>
          </cell>
          <cell r="I1170">
            <v>126.94</v>
          </cell>
          <cell r="J1170">
            <v>0</v>
          </cell>
          <cell r="K1170">
            <v>0.02</v>
          </cell>
          <cell r="L1170">
            <v>126.959999999999</v>
          </cell>
          <cell r="M1170">
            <v>7604.0699999999897</v>
          </cell>
          <cell r="N1170">
            <v>1899.93</v>
          </cell>
          <cell r="O1170">
            <v>0</v>
          </cell>
          <cell r="R1170">
            <v>16.66</v>
          </cell>
        </row>
        <row r="1171">
          <cell r="G1171">
            <v>56199.199999999903</v>
          </cell>
          <cell r="I1171">
            <v>994.25999999999897</v>
          </cell>
          <cell r="J1171">
            <v>7346.1599999999899</v>
          </cell>
          <cell r="K1171">
            <v>0.17</v>
          </cell>
          <cell r="L1171">
            <v>8340.59</v>
          </cell>
          <cell r="M1171">
            <v>67027.08</v>
          </cell>
          <cell r="N1171">
            <v>11056.379999999899</v>
          </cell>
          <cell r="O1171">
            <v>0</v>
          </cell>
          <cell r="R1171">
            <v>130.38</v>
          </cell>
        </row>
        <row r="1172">
          <cell r="G1172">
            <v>59188.54</v>
          </cell>
          <cell r="I1172">
            <v>1047.1400000000001</v>
          </cell>
          <cell r="J1172">
            <v>0</v>
          </cell>
          <cell r="K1172">
            <v>0.17999999999999899</v>
          </cell>
          <cell r="L1172">
            <v>1047.3199999999899</v>
          </cell>
          <cell r="M1172">
            <v>62774.529999999897</v>
          </cell>
          <cell r="N1172">
            <v>16922.68</v>
          </cell>
          <cell r="O1172">
            <v>0</v>
          </cell>
          <cell r="R1172">
            <v>137.33000000000001</v>
          </cell>
        </row>
        <row r="1173">
          <cell r="G1173">
            <v>7450.09</v>
          </cell>
          <cell r="I1173">
            <v>116.36</v>
          </cell>
          <cell r="J1173">
            <v>0</v>
          </cell>
          <cell r="K1173">
            <v>0.02</v>
          </cell>
          <cell r="L1173">
            <v>116.38</v>
          </cell>
          <cell r="M1173">
            <v>7848.38</v>
          </cell>
          <cell r="N1173">
            <v>1000.02</v>
          </cell>
          <cell r="O1173">
            <v>0</v>
          </cell>
          <cell r="R1173">
            <v>17.28</v>
          </cell>
        </row>
        <row r="1174">
          <cell r="G1174">
            <v>232858.079999999</v>
          </cell>
          <cell r="I1174">
            <v>4061.67</v>
          </cell>
          <cell r="J1174">
            <v>8945.76</v>
          </cell>
          <cell r="K1174">
            <v>0.68</v>
          </cell>
          <cell r="L1174">
            <v>13008.11</v>
          </cell>
          <cell r="M1174">
            <v>255801.45</v>
          </cell>
          <cell r="N1174">
            <v>56096.55</v>
          </cell>
          <cell r="O1174">
            <v>0</v>
          </cell>
          <cell r="R1174">
            <v>540.27999999999895</v>
          </cell>
        </row>
        <row r="1175">
          <cell r="G1175">
            <v>121833.96</v>
          </cell>
          <cell r="I1175">
            <v>2030.8299999999899</v>
          </cell>
          <cell r="J1175">
            <v>0</v>
          </cell>
          <cell r="K1175">
            <v>0.34</v>
          </cell>
          <cell r="L1175">
            <v>2031.17</v>
          </cell>
          <cell r="M1175">
            <v>128710.83</v>
          </cell>
          <cell r="N1175">
            <v>23410.77</v>
          </cell>
          <cell r="O1175">
            <v>0</v>
          </cell>
          <cell r="R1175">
            <v>282.67</v>
          </cell>
        </row>
        <row r="1176">
          <cell r="G1176">
            <v>14348.73</v>
          </cell>
          <cell r="I1176">
            <v>253.86</v>
          </cell>
          <cell r="J1176">
            <v>1327.2</v>
          </cell>
          <cell r="K1176">
            <v>0.04</v>
          </cell>
          <cell r="L1176">
            <v>1581.0999999999899</v>
          </cell>
          <cell r="M1176">
            <v>16575.82</v>
          </cell>
          <cell r="N1176">
            <v>3704.1799999999898</v>
          </cell>
          <cell r="O1176">
            <v>0</v>
          </cell>
          <cell r="R1176">
            <v>33.2899999999999</v>
          </cell>
        </row>
        <row r="1177">
          <cell r="G1177">
            <v>5380.77</v>
          </cell>
          <cell r="I1177">
            <v>95.2</v>
          </cell>
          <cell r="J1177">
            <v>0</v>
          </cell>
          <cell r="K1177">
            <v>0.02</v>
          </cell>
          <cell r="L1177">
            <v>95.219999999999899</v>
          </cell>
          <cell r="M1177">
            <v>5700.79</v>
          </cell>
          <cell r="N1177">
            <v>1355.93</v>
          </cell>
          <cell r="O1177">
            <v>0</v>
          </cell>
          <cell r="R1177">
            <v>12.49</v>
          </cell>
        </row>
        <row r="1178">
          <cell r="G1178">
            <v>179041.95</v>
          </cell>
          <cell r="I1178">
            <v>2792.3899999999899</v>
          </cell>
          <cell r="J1178">
            <v>0</v>
          </cell>
          <cell r="K1178">
            <v>0.46999999999999897</v>
          </cell>
          <cell r="L1178">
            <v>2792.86</v>
          </cell>
          <cell r="M1178">
            <v>188643.14</v>
          </cell>
          <cell r="N1178">
            <v>25089.75</v>
          </cell>
          <cell r="O1178">
            <v>0</v>
          </cell>
          <cell r="R1178">
            <v>415.39999999999901</v>
          </cell>
        </row>
        <row r="1179">
          <cell r="G1179">
            <v>14348.73</v>
          </cell>
          <cell r="I1179">
            <v>253.86</v>
          </cell>
          <cell r="J1179">
            <v>1590</v>
          </cell>
          <cell r="K1179">
            <v>0.04</v>
          </cell>
          <cell r="L1179">
            <v>1843.9</v>
          </cell>
          <cell r="M1179">
            <v>16834.0999999999</v>
          </cell>
          <cell r="N1179">
            <v>3304.0599999999899</v>
          </cell>
          <cell r="O1179">
            <v>0</v>
          </cell>
          <cell r="R1179">
            <v>33.2899999999999</v>
          </cell>
        </row>
        <row r="1180">
          <cell r="G1180">
            <v>75308.759999999893</v>
          </cell>
          <cell r="I1180">
            <v>1174.0899999999899</v>
          </cell>
          <cell r="J1180">
            <v>0</v>
          </cell>
          <cell r="K1180">
            <v>0.19</v>
          </cell>
          <cell r="L1180">
            <v>1174.28</v>
          </cell>
          <cell r="M1180">
            <v>79336.649999999907</v>
          </cell>
          <cell r="N1180">
            <v>10245.66</v>
          </cell>
          <cell r="O1180">
            <v>0</v>
          </cell>
          <cell r="R1180">
            <v>174.74</v>
          </cell>
        </row>
        <row r="1181">
          <cell r="G1181">
            <v>17745.13</v>
          </cell>
          <cell r="I1181">
            <v>275.00999999999902</v>
          </cell>
          <cell r="J1181">
            <v>0</v>
          </cell>
          <cell r="K1181">
            <v>0.05</v>
          </cell>
          <cell r="L1181">
            <v>275.06</v>
          </cell>
          <cell r="M1181">
            <v>18688.47</v>
          </cell>
          <cell r="N1181">
            <v>2289.63</v>
          </cell>
          <cell r="O1181">
            <v>0</v>
          </cell>
          <cell r="R1181">
            <v>41.18</v>
          </cell>
        </row>
        <row r="1182">
          <cell r="G1182">
            <v>7174.3699999999899</v>
          </cell>
          <cell r="I1182">
            <v>126.94</v>
          </cell>
          <cell r="J1182">
            <v>913.55999999999904</v>
          </cell>
          <cell r="K1182">
            <v>0.02</v>
          </cell>
          <cell r="L1182">
            <v>1040.52</v>
          </cell>
          <cell r="M1182">
            <v>8537.84</v>
          </cell>
          <cell r="N1182">
            <v>1602.16</v>
          </cell>
          <cell r="O1182">
            <v>0</v>
          </cell>
          <cell r="R1182">
            <v>16.66</v>
          </cell>
        </row>
        <row r="1183">
          <cell r="G1183">
            <v>16254.73</v>
          </cell>
          <cell r="I1183">
            <v>253.86</v>
          </cell>
          <cell r="J1183">
            <v>0</v>
          </cell>
          <cell r="K1183">
            <v>0.04</v>
          </cell>
          <cell r="L1183">
            <v>253.9</v>
          </cell>
          <cell r="M1183">
            <v>17131.72</v>
          </cell>
          <cell r="N1183">
            <v>2428.2800000000002</v>
          </cell>
          <cell r="O1183">
            <v>0</v>
          </cell>
          <cell r="R1183">
            <v>37.719999999999899</v>
          </cell>
        </row>
        <row r="1184">
          <cell r="G1184">
            <v>25736.66</v>
          </cell>
          <cell r="I1184">
            <v>401.93</v>
          </cell>
          <cell r="J1184">
            <v>0</v>
          </cell>
          <cell r="K1184">
            <v>7.0000000000000007E-2</v>
          </cell>
          <cell r="L1184">
            <v>402</v>
          </cell>
          <cell r="M1184">
            <v>27112.31</v>
          </cell>
          <cell r="N1184">
            <v>3455.27</v>
          </cell>
          <cell r="O1184">
            <v>0</v>
          </cell>
          <cell r="R1184">
            <v>59.719999999999899</v>
          </cell>
        </row>
        <row r="1185">
          <cell r="G1185">
            <v>56891.57</v>
          </cell>
          <cell r="I1185">
            <v>888.5</v>
          </cell>
          <cell r="J1185">
            <v>0</v>
          </cell>
          <cell r="K1185">
            <v>0.149999999999999</v>
          </cell>
          <cell r="L1185">
            <v>888.64999999999895</v>
          </cell>
          <cell r="M1185">
            <v>59949.26</v>
          </cell>
          <cell r="N1185">
            <v>8145.54</v>
          </cell>
          <cell r="O1185">
            <v>0</v>
          </cell>
          <cell r="R1185">
            <v>132</v>
          </cell>
        </row>
        <row r="1186">
          <cell r="G1186">
            <v>14348.73</v>
          </cell>
          <cell r="I1186">
            <v>253.86</v>
          </cell>
          <cell r="J1186">
            <v>2076.2399999999898</v>
          </cell>
          <cell r="K1186">
            <v>0.04</v>
          </cell>
          <cell r="L1186">
            <v>2330.1399999999899</v>
          </cell>
          <cell r="M1186">
            <v>17324.86</v>
          </cell>
          <cell r="N1186">
            <v>2955.1399999999899</v>
          </cell>
          <cell r="O1186">
            <v>0</v>
          </cell>
          <cell r="R1186">
            <v>33.2899999999999</v>
          </cell>
        </row>
        <row r="1187">
          <cell r="G1187">
            <v>72624.169999999896</v>
          </cell>
          <cell r="I1187">
            <v>1269.26</v>
          </cell>
          <cell r="J1187">
            <v>9516</v>
          </cell>
          <cell r="K1187">
            <v>0.20999999999999899</v>
          </cell>
          <cell r="L1187">
            <v>10785.469999999899</v>
          </cell>
          <cell r="M1187">
            <v>86635.149999999907</v>
          </cell>
          <cell r="N1187">
            <v>14623.01</v>
          </cell>
          <cell r="O1187">
            <v>0</v>
          </cell>
          <cell r="R1187">
            <v>168.479999999999</v>
          </cell>
        </row>
        <row r="1188">
          <cell r="G1188">
            <v>14348.73</v>
          </cell>
          <cell r="I1188">
            <v>253.86</v>
          </cell>
          <cell r="J1188">
            <v>1590</v>
          </cell>
          <cell r="K1188">
            <v>0.04</v>
          </cell>
          <cell r="L1188">
            <v>1843.9</v>
          </cell>
          <cell r="M1188">
            <v>16838.619999999901</v>
          </cell>
          <cell r="N1188">
            <v>3441.38</v>
          </cell>
          <cell r="O1188">
            <v>0</v>
          </cell>
          <cell r="R1188">
            <v>33.2899999999999</v>
          </cell>
        </row>
        <row r="1189">
          <cell r="G1189">
            <v>7174.3699999999899</v>
          </cell>
          <cell r="I1189">
            <v>126.94</v>
          </cell>
          <cell r="J1189">
            <v>0</v>
          </cell>
          <cell r="K1189">
            <v>0.02</v>
          </cell>
          <cell r="L1189">
            <v>126.959999999999</v>
          </cell>
          <cell r="M1189">
            <v>7611.42</v>
          </cell>
          <cell r="N1189">
            <v>2124.9</v>
          </cell>
          <cell r="O1189">
            <v>0</v>
          </cell>
          <cell r="R1189">
            <v>16.66</v>
          </cell>
        </row>
        <row r="1190">
          <cell r="G1190">
            <v>0</v>
          </cell>
          <cell r="I1190">
            <v>0</v>
          </cell>
          <cell r="J1190">
            <v>66818.339999999895</v>
          </cell>
          <cell r="K1190">
            <v>0</v>
          </cell>
          <cell r="L1190">
            <v>66818.339999999895</v>
          </cell>
          <cell r="M1190">
            <v>66818.339999999895</v>
          </cell>
          <cell r="N1190">
            <v>-66818.339999999895</v>
          </cell>
          <cell r="O1190">
            <v>0</v>
          </cell>
          <cell r="R1190">
            <v>0</v>
          </cell>
        </row>
        <row r="1191">
          <cell r="G1191">
            <v>121600.7</v>
          </cell>
          <cell r="I1191">
            <v>2094.29</v>
          </cell>
          <cell r="J1191">
            <v>3776.1999999999898</v>
          </cell>
          <cell r="K1191">
            <v>0.34999999999999898</v>
          </cell>
          <cell r="L1191">
            <v>5870.84</v>
          </cell>
          <cell r="M1191">
            <v>132549.01</v>
          </cell>
          <cell r="N1191">
            <v>26849.23</v>
          </cell>
          <cell r="O1191">
            <v>0</v>
          </cell>
          <cell r="R1191">
            <v>282.14999999999901</v>
          </cell>
        </row>
        <row r="1192">
          <cell r="G1192">
            <v>345174.59999999899</v>
          </cell>
          <cell r="I1192">
            <v>5352.06</v>
          </cell>
          <cell r="J1192">
            <v>0</v>
          </cell>
          <cell r="K1192">
            <v>0.9</v>
          </cell>
          <cell r="L1192">
            <v>5352.96</v>
          </cell>
          <cell r="M1192">
            <v>364135.53999999899</v>
          </cell>
          <cell r="N1192">
            <v>63062.62</v>
          </cell>
          <cell r="O1192">
            <v>0</v>
          </cell>
          <cell r="R1192">
            <v>800.88</v>
          </cell>
        </row>
        <row r="1193">
          <cell r="G1193">
            <v>68108.869999999893</v>
          </cell>
          <cell r="I1193">
            <v>1057.7</v>
          </cell>
          <cell r="J1193">
            <v>0</v>
          </cell>
          <cell r="K1193">
            <v>0.17999999999999899</v>
          </cell>
          <cell r="L1193">
            <v>1057.8800000000001</v>
          </cell>
          <cell r="M1193">
            <v>71745.36</v>
          </cell>
          <cell r="N1193">
            <v>9204.1399999999903</v>
          </cell>
          <cell r="O1193">
            <v>0</v>
          </cell>
          <cell r="R1193">
            <v>158.009999999999</v>
          </cell>
        </row>
        <row r="1194">
          <cell r="G1194">
            <v>34078.239999999903</v>
          </cell>
          <cell r="I1194">
            <v>602.90999999999894</v>
          </cell>
          <cell r="J1194">
            <v>3682.17</v>
          </cell>
          <cell r="K1194">
            <v>0.1</v>
          </cell>
          <cell r="L1194">
            <v>4285.18</v>
          </cell>
          <cell r="M1194">
            <v>39877.709999999897</v>
          </cell>
          <cell r="N1194">
            <v>7660.8599999999897</v>
          </cell>
          <cell r="O1194">
            <v>0</v>
          </cell>
          <cell r="R1194">
            <v>79.06</v>
          </cell>
        </row>
        <row r="1195">
          <cell r="G1195">
            <v>64569.29</v>
          </cell>
          <cell r="I1195">
            <v>1142.3399999999899</v>
          </cell>
          <cell r="J1195">
            <v>3802.5599999999899</v>
          </cell>
          <cell r="K1195">
            <v>0.19</v>
          </cell>
          <cell r="L1195">
            <v>4945.09</v>
          </cell>
          <cell r="M1195">
            <v>72359.669999999896</v>
          </cell>
          <cell r="N1195">
            <v>16962.330000000002</v>
          </cell>
          <cell r="O1195">
            <v>0</v>
          </cell>
          <cell r="R1195">
            <v>149.81</v>
          </cell>
        </row>
        <row r="1196">
          <cell r="G1196">
            <v>10159.209999999901</v>
          </cell>
          <cell r="I1196">
            <v>158.66</v>
          </cell>
          <cell r="J1196">
            <v>0</v>
          </cell>
          <cell r="K1196">
            <v>2.9999999999999898E-2</v>
          </cell>
          <cell r="L1196">
            <v>158.69</v>
          </cell>
          <cell r="M1196">
            <v>10710.01</v>
          </cell>
          <cell r="N1196">
            <v>1600.49</v>
          </cell>
          <cell r="O1196">
            <v>0</v>
          </cell>
          <cell r="R1196">
            <v>23.559999999999899</v>
          </cell>
        </row>
        <row r="1197">
          <cell r="G1197">
            <v>7174.3699999999899</v>
          </cell>
          <cell r="I1197">
            <v>126.94</v>
          </cell>
          <cell r="J1197">
            <v>650.39999999999895</v>
          </cell>
          <cell r="K1197">
            <v>0.02</v>
          </cell>
          <cell r="L1197">
            <v>777.36</v>
          </cell>
          <cell r="M1197">
            <v>8276.59</v>
          </cell>
          <cell r="N1197">
            <v>1922.69</v>
          </cell>
          <cell r="O1197">
            <v>0</v>
          </cell>
          <cell r="R1197">
            <v>16.66</v>
          </cell>
        </row>
        <row r="1198">
          <cell r="G1198">
            <v>130392.12</v>
          </cell>
          <cell r="I1198">
            <v>2295.27</v>
          </cell>
          <cell r="J1198">
            <v>7038.2399999999898</v>
          </cell>
          <cell r="K1198">
            <v>0.39</v>
          </cell>
          <cell r="L1198">
            <v>9333.8999999999905</v>
          </cell>
          <cell r="M1198">
            <v>145441.1</v>
          </cell>
          <cell r="N1198">
            <v>33972.75</v>
          </cell>
          <cell r="O1198">
            <v>0</v>
          </cell>
          <cell r="R1198">
            <v>302.54000000000002</v>
          </cell>
        </row>
        <row r="1199">
          <cell r="G1199">
            <v>178163.41</v>
          </cell>
          <cell r="I1199">
            <v>3152.01</v>
          </cell>
          <cell r="J1199">
            <v>18239.400000000001</v>
          </cell>
          <cell r="K1199">
            <v>0.53</v>
          </cell>
          <cell r="L1199">
            <v>21391.9399999999</v>
          </cell>
          <cell r="M1199">
            <v>207488.32</v>
          </cell>
          <cell r="N1199">
            <v>41550.04</v>
          </cell>
          <cell r="O1199">
            <v>0</v>
          </cell>
          <cell r="R1199">
            <v>413.38</v>
          </cell>
        </row>
        <row r="1200">
          <cell r="G1200">
            <v>240363.97</v>
          </cell>
          <cell r="I1200">
            <v>4279.13</v>
          </cell>
          <cell r="J1200">
            <v>5049.84</v>
          </cell>
          <cell r="K1200">
            <v>0.71999999999999897</v>
          </cell>
          <cell r="L1200">
            <v>9329.69</v>
          </cell>
          <cell r="M1200">
            <v>259955.51</v>
          </cell>
          <cell r="N1200">
            <v>62194.61</v>
          </cell>
          <cell r="O1200">
            <v>0</v>
          </cell>
          <cell r="R1200">
            <v>557.71</v>
          </cell>
        </row>
        <row r="1201">
          <cell r="G1201">
            <v>16254.73</v>
          </cell>
          <cell r="I1201">
            <v>253.86</v>
          </cell>
          <cell r="J1201">
            <v>0</v>
          </cell>
          <cell r="K1201">
            <v>0.04</v>
          </cell>
          <cell r="L1201">
            <v>253.9</v>
          </cell>
          <cell r="M1201">
            <v>17122.2</v>
          </cell>
          <cell r="N1201">
            <v>2139.2399999999898</v>
          </cell>
          <cell r="O1201">
            <v>0</v>
          </cell>
          <cell r="R1201">
            <v>37.719999999999899</v>
          </cell>
        </row>
        <row r="1202">
          <cell r="G1202">
            <v>21523.0999999999</v>
          </cell>
          <cell r="I1202">
            <v>380.77999999999901</v>
          </cell>
          <cell r="J1202">
            <v>2708.28</v>
          </cell>
          <cell r="K1202">
            <v>5.9999999999999901E-2</v>
          </cell>
          <cell r="L1202">
            <v>3089.1199999999899</v>
          </cell>
          <cell r="M1202">
            <v>25591.07</v>
          </cell>
          <cell r="N1202">
            <v>5137.8100000000004</v>
          </cell>
          <cell r="O1202">
            <v>0</v>
          </cell>
          <cell r="R1202">
            <v>49.95</v>
          </cell>
        </row>
        <row r="1203">
          <cell r="G1203">
            <v>14348.73</v>
          </cell>
          <cell r="I1203">
            <v>253.86</v>
          </cell>
          <cell r="J1203">
            <v>0</v>
          </cell>
          <cell r="K1203">
            <v>0.04</v>
          </cell>
          <cell r="L1203">
            <v>253.9</v>
          </cell>
          <cell r="M1203">
            <v>15220.37</v>
          </cell>
          <cell r="N1203">
            <v>4171.63</v>
          </cell>
          <cell r="O1203">
            <v>0</v>
          </cell>
          <cell r="R1203">
            <v>33.2899999999999</v>
          </cell>
        </row>
        <row r="1204">
          <cell r="G1204">
            <v>16254.73</v>
          </cell>
          <cell r="I1204">
            <v>253.86</v>
          </cell>
          <cell r="J1204">
            <v>0</v>
          </cell>
          <cell r="K1204">
            <v>0.04</v>
          </cell>
          <cell r="L1204">
            <v>253.9</v>
          </cell>
          <cell r="M1204">
            <v>17125.459999999901</v>
          </cell>
          <cell r="N1204">
            <v>2238.94</v>
          </cell>
          <cell r="O1204">
            <v>0</v>
          </cell>
          <cell r="R1204">
            <v>37.719999999999899</v>
          </cell>
        </row>
        <row r="1205">
          <cell r="G1205">
            <v>29353.139999999901</v>
          </cell>
          <cell r="I1205">
            <v>507.72</v>
          </cell>
          <cell r="J1205">
            <v>2126.1599999999899</v>
          </cell>
          <cell r="K1205">
            <v>0.08</v>
          </cell>
          <cell r="L1205">
            <v>2633.96</v>
          </cell>
          <cell r="M1205">
            <v>33264.239999999903</v>
          </cell>
          <cell r="N1205">
            <v>6829.4399999999896</v>
          </cell>
          <cell r="O1205">
            <v>0</v>
          </cell>
          <cell r="R1205">
            <v>68.1099999999999</v>
          </cell>
        </row>
        <row r="1206">
          <cell r="G1206">
            <v>2730.02</v>
          </cell>
          <cell r="I1206">
            <v>42.32</v>
          </cell>
          <cell r="J1206">
            <v>0</v>
          </cell>
          <cell r="K1206">
            <v>0.01</v>
          </cell>
          <cell r="L1206">
            <v>42.329999999999899</v>
          </cell>
          <cell r="M1206">
            <v>2875.4499999999898</v>
          </cell>
          <cell r="N1206">
            <v>361.75</v>
          </cell>
          <cell r="O1206">
            <v>0</v>
          </cell>
          <cell r="R1206">
            <v>6.33</v>
          </cell>
        </row>
        <row r="1207">
          <cell r="G1207">
            <v>15479.139999999899</v>
          </cell>
          <cell r="I1207">
            <v>253.86</v>
          </cell>
          <cell r="J1207">
            <v>0</v>
          </cell>
          <cell r="K1207">
            <v>0.04</v>
          </cell>
          <cell r="L1207">
            <v>253.9</v>
          </cell>
          <cell r="M1207">
            <v>16355.09</v>
          </cell>
          <cell r="N1207">
            <v>3172.75</v>
          </cell>
          <cell r="O1207">
            <v>0</v>
          </cell>
          <cell r="R1207">
            <v>35.909999999999897</v>
          </cell>
        </row>
        <row r="1208">
          <cell r="G1208">
            <v>15479.129999999899</v>
          </cell>
          <cell r="I1208">
            <v>253.86</v>
          </cell>
          <cell r="J1208">
            <v>0</v>
          </cell>
          <cell r="K1208">
            <v>0.04</v>
          </cell>
          <cell r="L1208">
            <v>253.9</v>
          </cell>
          <cell r="M1208">
            <v>16347.049999999899</v>
          </cell>
          <cell r="N1208">
            <v>2928.55</v>
          </cell>
          <cell r="O1208">
            <v>0</v>
          </cell>
          <cell r="R1208">
            <v>35.909999999999897</v>
          </cell>
        </row>
        <row r="1209">
          <cell r="G1209">
            <v>15004.41</v>
          </cell>
          <cell r="I1209">
            <v>253.86</v>
          </cell>
          <cell r="J1209">
            <v>0</v>
          </cell>
          <cell r="K1209">
            <v>0.04</v>
          </cell>
          <cell r="L1209">
            <v>253.9</v>
          </cell>
          <cell r="M1209">
            <v>15869.94</v>
          </cell>
          <cell r="N1209">
            <v>3330.0599999999899</v>
          </cell>
          <cell r="O1209">
            <v>0</v>
          </cell>
          <cell r="R1209">
            <v>34.82</v>
          </cell>
        </row>
        <row r="1210">
          <cell r="G1210">
            <v>14348.73</v>
          </cell>
          <cell r="I1210">
            <v>253.86</v>
          </cell>
          <cell r="J1210">
            <v>1064.4000000000001</v>
          </cell>
          <cell r="K1210">
            <v>0.04</v>
          </cell>
          <cell r="L1210">
            <v>1318.3</v>
          </cell>
          <cell r="M1210">
            <v>16313.02</v>
          </cell>
          <cell r="N1210">
            <v>3966.98</v>
          </cell>
          <cell r="O1210">
            <v>0</v>
          </cell>
          <cell r="R1210">
            <v>33.2899999999999</v>
          </cell>
        </row>
        <row r="1211">
          <cell r="G1211">
            <v>34807.760000000002</v>
          </cell>
          <cell r="I1211">
            <v>539.42999999999904</v>
          </cell>
          <cell r="J1211">
            <v>0</v>
          </cell>
          <cell r="K1211">
            <v>8.99999999999999E-2</v>
          </cell>
          <cell r="L1211">
            <v>539.51999999999896</v>
          </cell>
          <cell r="M1211">
            <v>36669.18</v>
          </cell>
          <cell r="N1211">
            <v>4829.67</v>
          </cell>
          <cell r="O1211">
            <v>0</v>
          </cell>
          <cell r="R1211">
            <v>80.75</v>
          </cell>
        </row>
        <row r="1212">
          <cell r="G1212">
            <v>344622.359999999</v>
          </cell>
          <cell r="I1212">
            <v>5965.56</v>
          </cell>
          <cell r="J1212">
            <v>3140.6399999999899</v>
          </cell>
          <cell r="K1212">
            <v>1</v>
          </cell>
          <cell r="L1212">
            <v>9107.2000000000007</v>
          </cell>
          <cell r="M1212">
            <v>368117.81</v>
          </cell>
          <cell r="N1212">
            <v>83570.229999999894</v>
          </cell>
          <cell r="O1212">
            <v>0</v>
          </cell>
          <cell r="R1212">
            <v>799.6</v>
          </cell>
        </row>
        <row r="1213">
          <cell r="G1213">
            <v>59315.629999999903</v>
          </cell>
          <cell r="I1213">
            <v>920.24</v>
          </cell>
          <cell r="J1213">
            <v>0</v>
          </cell>
          <cell r="K1213">
            <v>0.16</v>
          </cell>
          <cell r="L1213">
            <v>920.39999999999895</v>
          </cell>
          <cell r="M1213">
            <v>62496.309999999903</v>
          </cell>
          <cell r="N1213">
            <v>8460.6599999999908</v>
          </cell>
          <cell r="O1213">
            <v>0</v>
          </cell>
          <cell r="R1213">
            <v>137.63999999999899</v>
          </cell>
        </row>
        <row r="1214">
          <cell r="G1214">
            <v>14946.6</v>
          </cell>
          <cell r="I1214">
            <v>264.44</v>
          </cell>
          <cell r="J1214">
            <v>1814.5899999999899</v>
          </cell>
          <cell r="K1214">
            <v>0.04</v>
          </cell>
          <cell r="L1214">
            <v>2079.0700000000002</v>
          </cell>
          <cell r="M1214">
            <v>17689.86</v>
          </cell>
          <cell r="N1214">
            <v>3160.3899999999899</v>
          </cell>
          <cell r="O1214">
            <v>0</v>
          </cell>
          <cell r="R1214">
            <v>34.67</v>
          </cell>
        </row>
        <row r="1215">
          <cell r="G1215">
            <v>14942.12</v>
          </cell>
          <cell r="I1215">
            <v>243.28</v>
          </cell>
          <cell r="J1215">
            <v>0</v>
          </cell>
          <cell r="K1215">
            <v>0.04</v>
          </cell>
          <cell r="L1215">
            <v>243.319999999999</v>
          </cell>
          <cell r="M1215">
            <v>15775.9</v>
          </cell>
          <cell r="N1215">
            <v>2762.13</v>
          </cell>
          <cell r="O1215">
            <v>0</v>
          </cell>
          <cell r="R1215">
            <v>34.659999999999897</v>
          </cell>
        </row>
        <row r="1216">
          <cell r="G1216">
            <v>20327.369999999901</v>
          </cell>
          <cell r="I1216">
            <v>359.61</v>
          </cell>
          <cell r="J1216">
            <v>600.48</v>
          </cell>
          <cell r="K1216">
            <v>5.9999999999999901E-2</v>
          </cell>
          <cell r="L1216">
            <v>960.14999999999895</v>
          </cell>
          <cell r="M1216">
            <v>22164.6899999999</v>
          </cell>
          <cell r="N1216">
            <v>5372.35</v>
          </cell>
          <cell r="O1216">
            <v>0</v>
          </cell>
          <cell r="R1216">
            <v>47.17</v>
          </cell>
        </row>
        <row r="1217">
          <cell r="G1217">
            <v>15004.41</v>
          </cell>
          <cell r="I1217">
            <v>253.86</v>
          </cell>
          <cell r="J1217">
            <v>1327.2</v>
          </cell>
          <cell r="K1217">
            <v>0.04</v>
          </cell>
          <cell r="L1217">
            <v>1581.0999999999899</v>
          </cell>
          <cell r="M1217">
            <v>17226.98</v>
          </cell>
          <cell r="N1217">
            <v>2911.1799999999898</v>
          </cell>
          <cell r="O1217">
            <v>0</v>
          </cell>
          <cell r="R1217">
            <v>34.82</v>
          </cell>
        </row>
        <row r="1218">
          <cell r="G1218">
            <v>75246.960000000006</v>
          </cell>
          <cell r="I1218">
            <v>1311.5699999999899</v>
          </cell>
          <cell r="J1218">
            <v>4723.1999999999898</v>
          </cell>
          <cell r="K1218">
            <v>0.23</v>
          </cell>
          <cell r="L1218">
            <v>6035</v>
          </cell>
          <cell r="M1218">
            <v>84534.259999999893</v>
          </cell>
          <cell r="N1218">
            <v>17565.779999999901</v>
          </cell>
          <cell r="O1218">
            <v>0</v>
          </cell>
          <cell r="R1218">
            <v>174.599999999999</v>
          </cell>
        </row>
        <row r="1219">
          <cell r="G1219">
            <v>27221.84</v>
          </cell>
          <cell r="I1219">
            <v>423.1</v>
          </cell>
          <cell r="J1219">
            <v>0</v>
          </cell>
          <cell r="K1219">
            <v>7.0000000000000007E-2</v>
          </cell>
          <cell r="L1219">
            <v>423.17</v>
          </cell>
          <cell r="M1219">
            <v>28676.209999999901</v>
          </cell>
          <cell r="N1219">
            <v>3695.3899999999899</v>
          </cell>
          <cell r="O1219">
            <v>0</v>
          </cell>
          <cell r="R1219">
            <v>63.17</v>
          </cell>
        </row>
        <row r="1220">
          <cell r="G1220">
            <v>59786.389999999898</v>
          </cell>
          <cell r="I1220">
            <v>1057.72</v>
          </cell>
          <cell r="J1220">
            <v>0</v>
          </cell>
          <cell r="K1220">
            <v>0.17999999999999899</v>
          </cell>
          <cell r="L1220">
            <v>1057.9000000000001</v>
          </cell>
          <cell r="M1220">
            <v>63423.489999999903</v>
          </cell>
          <cell r="N1220">
            <v>17545.389999999901</v>
          </cell>
          <cell r="O1220">
            <v>0</v>
          </cell>
          <cell r="R1220">
            <v>138.71</v>
          </cell>
        </row>
        <row r="1221">
          <cell r="G1221">
            <v>14348.73</v>
          </cell>
          <cell r="I1221">
            <v>253.86</v>
          </cell>
          <cell r="J1221">
            <v>977.51999999999896</v>
          </cell>
          <cell r="K1221">
            <v>0.04</v>
          </cell>
          <cell r="L1221">
            <v>1231.42</v>
          </cell>
          <cell r="M1221">
            <v>16221.62</v>
          </cell>
          <cell r="N1221">
            <v>3916.54</v>
          </cell>
          <cell r="O1221">
            <v>0</v>
          </cell>
          <cell r="R1221">
            <v>33.2899999999999</v>
          </cell>
        </row>
        <row r="1222">
          <cell r="G1222">
            <v>28697.459999999901</v>
          </cell>
          <cell r="I1222">
            <v>507.69999999999902</v>
          </cell>
          <cell r="J1222">
            <v>3529.44</v>
          </cell>
          <cell r="K1222">
            <v>8.99999999999999E-2</v>
          </cell>
          <cell r="L1222">
            <v>4037.23</v>
          </cell>
          <cell r="M1222">
            <v>34011.849999999897</v>
          </cell>
          <cell r="N1222">
            <v>6081.8299999999899</v>
          </cell>
          <cell r="O1222">
            <v>0</v>
          </cell>
          <cell r="R1222">
            <v>66.599999999999895</v>
          </cell>
        </row>
        <row r="1223">
          <cell r="G1223">
            <v>7174.3699999999899</v>
          </cell>
          <cell r="I1223">
            <v>126.94</v>
          </cell>
          <cell r="J1223">
            <v>557.15999999999894</v>
          </cell>
          <cell r="K1223">
            <v>0.02</v>
          </cell>
          <cell r="L1223">
            <v>684.12</v>
          </cell>
          <cell r="M1223">
            <v>8171.88</v>
          </cell>
          <cell r="N1223">
            <v>1667.04</v>
          </cell>
          <cell r="O1223">
            <v>0</v>
          </cell>
          <cell r="R1223">
            <v>16.66</v>
          </cell>
        </row>
        <row r="1224">
          <cell r="G1224">
            <v>14348.73</v>
          </cell>
          <cell r="I1224">
            <v>253.86</v>
          </cell>
          <cell r="J1224">
            <v>1484.88</v>
          </cell>
          <cell r="K1224">
            <v>0.04</v>
          </cell>
          <cell r="L1224">
            <v>1738.78</v>
          </cell>
          <cell r="M1224">
            <v>16733.5</v>
          </cell>
          <cell r="N1224">
            <v>3546.5</v>
          </cell>
          <cell r="O1224">
            <v>0</v>
          </cell>
          <cell r="R1224">
            <v>33.2899999999999</v>
          </cell>
        </row>
        <row r="1225">
          <cell r="G1225">
            <v>30728.8499999999</v>
          </cell>
          <cell r="I1225">
            <v>507.72</v>
          </cell>
          <cell r="J1225">
            <v>1335.1199999999899</v>
          </cell>
          <cell r="K1225">
            <v>0.08</v>
          </cell>
          <cell r="L1225">
            <v>1842.92</v>
          </cell>
          <cell r="M1225">
            <v>33826.230000000003</v>
          </cell>
          <cell r="N1225">
            <v>5554.6499999999896</v>
          </cell>
          <cell r="O1225">
            <v>0</v>
          </cell>
          <cell r="R1225">
            <v>71.290000000000006</v>
          </cell>
        </row>
        <row r="1226">
          <cell r="G1226">
            <v>14348.73</v>
          </cell>
          <cell r="I1226">
            <v>253.86</v>
          </cell>
          <cell r="J1226">
            <v>0</v>
          </cell>
          <cell r="K1226">
            <v>0.04</v>
          </cell>
          <cell r="L1226">
            <v>253.9</v>
          </cell>
          <cell r="M1226">
            <v>15210</v>
          </cell>
          <cell r="N1226">
            <v>3855.5999999999899</v>
          </cell>
          <cell r="O1226">
            <v>0</v>
          </cell>
          <cell r="R1226">
            <v>33.2899999999999</v>
          </cell>
        </row>
        <row r="1227">
          <cell r="G1227">
            <v>22718.82</v>
          </cell>
          <cell r="I1227">
            <v>401.93</v>
          </cell>
          <cell r="J1227">
            <v>1779.1199999999899</v>
          </cell>
          <cell r="K1227">
            <v>7.0000000000000007E-2</v>
          </cell>
          <cell r="L1227">
            <v>2181.1199999999899</v>
          </cell>
          <cell r="M1227">
            <v>25900.4199999999</v>
          </cell>
          <cell r="N1227">
            <v>5506.9799999999896</v>
          </cell>
          <cell r="O1227">
            <v>0</v>
          </cell>
          <cell r="R1227">
            <v>52.729999999999897</v>
          </cell>
        </row>
        <row r="1228">
          <cell r="G1228">
            <v>7174.3699999999899</v>
          </cell>
          <cell r="I1228">
            <v>126.819999999999</v>
          </cell>
          <cell r="J1228">
            <v>0</v>
          </cell>
          <cell r="K1228">
            <v>0.02</v>
          </cell>
          <cell r="L1228">
            <v>126.84</v>
          </cell>
          <cell r="M1228">
            <v>7603.9499999999898</v>
          </cell>
          <cell r="N1228">
            <v>1900.05</v>
          </cell>
          <cell r="O1228">
            <v>0</v>
          </cell>
          <cell r="R1228">
            <v>16.66</v>
          </cell>
        </row>
        <row r="1229">
          <cell r="G1229">
            <v>15530.92</v>
          </cell>
          <cell r="I1229">
            <v>499.05</v>
          </cell>
          <cell r="J1229">
            <v>0</v>
          </cell>
          <cell r="K1229">
            <v>0</v>
          </cell>
          <cell r="L1229">
            <v>499.05</v>
          </cell>
          <cell r="M1229">
            <v>16822.41</v>
          </cell>
          <cell r="N1229">
            <v>2218.0700000000002</v>
          </cell>
          <cell r="O1229">
            <v>0</v>
          </cell>
          <cell r="R1229">
            <v>73.709999999999894</v>
          </cell>
        </row>
        <row r="1230">
          <cell r="G1230">
            <v>7154.1</v>
          </cell>
          <cell r="I1230">
            <v>259.27999999999901</v>
          </cell>
          <cell r="J1230">
            <v>1038.1199999999899</v>
          </cell>
          <cell r="K1230">
            <v>0</v>
          </cell>
          <cell r="L1230">
            <v>1297.4000000000001</v>
          </cell>
          <cell r="M1230">
            <v>8875.4699999999903</v>
          </cell>
          <cell r="N1230">
            <v>1311.27</v>
          </cell>
          <cell r="O1230">
            <v>0</v>
          </cell>
          <cell r="R1230">
            <v>33.96</v>
          </cell>
        </row>
        <row r="1231">
          <cell r="G1231">
            <v>24309.2599999999</v>
          </cell>
          <cell r="I1231">
            <v>781.13</v>
          </cell>
          <cell r="J1231">
            <v>0</v>
          </cell>
          <cell r="K1231">
            <v>0</v>
          </cell>
          <cell r="L1231">
            <v>781.13</v>
          </cell>
          <cell r="M1231">
            <v>26323.98</v>
          </cell>
          <cell r="N1231">
            <v>3316.6199999999899</v>
          </cell>
          <cell r="O1231">
            <v>0</v>
          </cell>
          <cell r="R1231">
            <v>115.43</v>
          </cell>
        </row>
        <row r="1232">
          <cell r="G1232">
            <v>14966.719999999899</v>
          </cell>
          <cell r="I1232">
            <v>542.45000000000005</v>
          </cell>
          <cell r="J1232">
            <v>1103.98</v>
          </cell>
          <cell r="K1232">
            <v>0</v>
          </cell>
          <cell r="L1232">
            <v>1646.43</v>
          </cell>
          <cell r="M1232">
            <v>17479.36</v>
          </cell>
          <cell r="N1232">
            <v>3332.8899999999899</v>
          </cell>
          <cell r="O1232">
            <v>0</v>
          </cell>
          <cell r="R1232">
            <v>71.049999999999898</v>
          </cell>
        </row>
        <row r="1233">
          <cell r="G1233">
            <v>14368.049999999899</v>
          </cell>
          <cell r="I1233">
            <v>520.74</v>
          </cell>
          <cell r="J1233">
            <v>1971.1199999999899</v>
          </cell>
          <cell r="K1233">
            <v>0</v>
          </cell>
          <cell r="L1233">
            <v>2491.86</v>
          </cell>
          <cell r="M1233">
            <v>17705.3499999999</v>
          </cell>
          <cell r="N1233">
            <v>2609.4499999999898</v>
          </cell>
          <cell r="O1233">
            <v>0</v>
          </cell>
          <cell r="R1233">
            <v>68.219999999999899</v>
          </cell>
        </row>
        <row r="1234">
          <cell r="G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-12.46</v>
          </cell>
          <cell r="N1234">
            <v>-287.54000000000002</v>
          </cell>
          <cell r="O1234">
            <v>0</v>
          </cell>
          <cell r="R1234">
            <v>0</v>
          </cell>
        </row>
        <row r="1235">
          <cell r="G1235">
            <v>16881.43</v>
          </cell>
          <cell r="I1235">
            <v>542.45000000000005</v>
          </cell>
          <cell r="J1235">
            <v>0</v>
          </cell>
          <cell r="K1235">
            <v>0</v>
          </cell>
          <cell r="L1235">
            <v>542.45000000000005</v>
          </cell>
          <cell r="M1235">
            <v>18273.66</v>
          </cell>
          <cell r="N1235">
            <v>2145.09</v>
          </cell>
          <cell r="O1235">
            <v>0</v>
          </cell>
          <cell r="R1235">
            <v>80.159999999999897</v>
          </cell>
        </row>
        <row r="1236">
          <cell r="G1236">
            <v>119733.75999999901</v>
          </cell>
          <cell r="I1236">
            <v>4339.6099999999897</v>
          </cell>
          <cell r="J1236">
            <v>0</v>
          </cell>
          <cell r="K1236">
            <v>0</v>
          </cell>
          <cell r="L1236">
            <v>4339.6099999999897</v>
          </cell>
          <cell r="M1236">
            <v>130919.98</v>
          </cell>
          <cell r="N1236">
            <v>33586.019999999902</v>
          </cell>
          <cell r="O1236">
            <v>0</v>
          </cell>
          <cell r="R1236">
            <v>568.48</v>
          </cell>
        </row>
        <row r="1237">
          <cell r="G1237">
            <v>14966.719999999899</v>
          </cell>
          <cell r="I1237">
            <v>542.45000000000005</v>
          </cell>
          <cell r="J1237">
            <v>2149.3200000000002</v>
          </cell>
          <cell r="K1237">
            <v>0</v>
          </cell>
          <cell r="L1237">
            <v>2691.77</v>
          </cell>
          <cell r="M1237">
            <v>18518.5999999999</v>
          </cell>
          <cell r="N1237">
            <v>2147.65</v>
          </cell>
          <cell r="O1237">
            <v>0</v>
          </cell>
          <cell r="R1237">
            <v>71.049999999999898</v>
          </cell>
        </row>
        <row r="1238">
          <cell r="G1238">
            <v>16206.17</v>
          </cell>
          <cell r="I1238">
            <v>520.74</v>
          </cell>
          <cell r="J1238">
            <v>0</v>
          </cell>
          <cell r="K1238">
            <v>0</v>
          </cell>
          <cell r="L1238">
            <v>520.74</v>
          </cell>
          <cell r="M1238">
            <v>17556.75</v>
          </cell>
          <cell r="N1238">
            <v>2381.9699999999898</v>
          </cell>
          <cell r="O1238">
            <v>0</v>
          </cell>
          <cell r="R1238">
            <v>76.939999999999898</v>
          </cell>
        </row>
        <row r="1239">
          <cell r="G1239">
            <v>44900.160000000003</v>
          </cell>
          <cell r="I1239">
            <v>1627.3499999999899</v>
          </cell>
          <cell r="J1239">
            <v>5493.8</v>
          </cell>
          <cell r="K1239">
            <v>0</v>
          </cell>
          <cell r="L1239">
            <v>7121.1499999999896</v>
          </cell>
          <cell r="M1239">
            <v>54601.62</v>
          </cell>
          <cell r="N1239">
            <v>7397.13</v>
          </cell>
          <cell r="O1239">
            <v>0</v>
          </cell>
          <cell r="R1239">
            <v>213.16999999999899</v>
          </cell>
        </row>
        <row r="1240">
          <cell r="G1240">
            <v>106563.039999999</v>
          </cell>
          <cell r="I1240">
            <v>3862.26</v>
          </cell>
          <cell r="J1240">
            <v>10568.36</v>
          </cell>
          <cell r="K1240">
            <v>0</v>
          </cell>
          <cell r="L1240">
            <v>14430.62</v>
          </cell>
          <cell r="M1240">
            <v>127172.03</v>
          </cell>
          <cell r="N1240">
            <v>21277.3499999999</v>
          </cell>
          <cell r="O1240">
            <v>0</v>
          </cell>
          <cell r="R1240">
            <v>505.95999999999901</v>
          </cell>
        </row>
        <row r="1241">
          <cell r="G1241">
            <v>56387.19</v>
          </cell>
          <cell r="I1241">
            <v>1866.03</v>
          </cell>
          <cell r="J1241">
            <v>0</v>
          </cell>
          <cell r="K1241">
            <v>0</v>
          </cell>
          <cell r="L1241">
            <v>1866.03</v>
          </cell>
          <cell r="M1241">
            <v>61173.029999999897</v>
          </cell>
          <cell r="N1241">
            <v>8980.8899999999903</v>
          </cell>
          <cell r="O1241">
            <v>0</v>
          </cell>
          <cell r="R1241">
            <v>267.69999999999902</v>
          </cell>
        </row>
        <row r="1242">
          <cell r="G1242">
            <v>8778.34</v>
          </cell>
          <cell r="I1242">
            <v>282.07999999999902</v>
          </cell>
          <cell r="J1242">
            <v>0</v>
          </cell>
          <cell r="K1242">
            <v>0</v>
          </cell>
          <cell r="L1242">
            <v>282.07999999999902</v>
          </cell>
          <cell r="M1242">
            <v>9505.43</v>
          </cell>
          <cell r="N1242">
            <v>1187.3299999999899</v>
          </cell>
          <cell r="O1242">
            <v>0</v>
          </cell>
          <cell r="R1242">
            <v>41.68</v>
          </cell>
        </row>
        <row r="1243">
          <cell r="G1243">
            <v>7782.6899999999896</v>
          </cell>
          <cell r="I1243">
            <v>282.07999999999902</v>
          </cell>
          <cell r="J1243">
            <v>1024.92</v>
          </cell>
          <cell r="K1243">
            <v>0</v>
          </cell>
          <cell r="L1243">
            <v>1307</v>
          </cell>
          <cell r="M1243">
            <v>9565.0799999999908</v>
          </cell>
          <cell r="N1243">
            <v>1858.02</v>
          </cell>
          <cell r="O1243">
            <v>0</v>
          </cell>
          <cell r="R1243">
            <v>36.96</v>
          </cell>
        </row>
        <row r="1244">
          <cell r="G1244">
            <v>17960.13</v>
          </cell>
          <cell r="I1244">
            <v>650.94000000000005</v>
          </cell>
          <cell r="J1244">
            <v>0</v>
          </cell>
          <cell r="K1244">
            <v>0</v>
          </cell>
          <cell r="L1244">
            <v>650.94000000000005</v>
          </cell>
          <cell r="M1244">
            <v>19634.9399999999</v>
          </cell>
          <cell r="N1244">
            <v>4966.5600000000004</v>
          </cell>
          <cell r="O1244">
            <v>0</v>
          </cell>
          <cell r="R1244">
            <v>85.29</v>
          </cell>
        </row>
        <row r="1245">
          <cell r="G1245">
            <v>10082.950000000001</v>
          </cell>
          <cell r="I1245">
            <v>325.47000000000003</v>
          </cell>
          <cell r="J1245">
            <v>0</v>
          </cell>
          <cell r="K1245">
            <v>0</v>
          </cell>
          <cell r="L1245">
            <v>325.47000000000003</v>
          </cell>
          <cell r="M1245">
            <v>10919.85</v>
          </cell>
          <cell r="N1245">
            <v>1368.45</v>
          </cell>
          <cell r="O1245">
            <v>0</v>
          </cell>
          <cell r="R1245">
            <v>47.869999999999898</v>
          </cell>
        </row>
        <row r="1246">
          <cell r="G1246">
            <v>33683.269999999902</v>
          </cell>
          <cell r="I1246">
            <v>1084.8900000000001</v>
          </cell>
          <cell r="J1246">
            <v>0</v>
          </cell>
          <cell r="K1246">
            <v>0</v>
          </cell>
          <cell r="L1246">
            <v>1084.8900000000001</v>
          </cell>
          <cell r="M1246">
            <v>36466.449999999903</v>
          </cell>
          <cell r="N1246">
            <v>4338.8100000000004</v>
          </cell>
          <cell r="O1246">
            <v>0</v>
          </cell>
          <cell r="R1246">
            <v>159.91999999999899</v>
          </cell>
        </row>
        <row r="1247">
          <cell r="G1247">
            <v>14368.049999999899</v>
          </cell>
          <cell r="I1247">
            <v>520.74</v>
          </cell>
          <cell r="J1247">
            <v>1200.96</v>
          </cell>
          <cell r="K1247">
            <v>0</v>
          </cell>
          <cell r="L1247">
            <v>1721.7</v>
          </cell>
          <cell r="M1247">
            <v>16943.72</v>
          </cell>
          <cell r="N1247">
            <v>3576.28</v>
          </cell>
          <cell r="O1247">
            <v>0</v>
          </cell>
          <cell r="R1247">
            <v>68.219999999999899</v>
          </cell>
        </row>
        <row r="1248">
          <cell r="G1248">
            <v>27445.779999999901</v>
          </cell>
          <cell r="I1248">
            <v>867.92999999999904</v>
          </cell>
          <cell r="J1248">
            <v>0</v>
          </cell>
          <cell r="K1248">
            <v>0</v>
          </cell>
          <cell r="L1248">
            <v>867.92999999999904</v>
          </cell>
          <cell r="M1248">
            <v>29679.139999999901</v>
          </cell>
          <cell r="N1248">
            <v>3129.5799999999899</v>
          </cell>
          <cell r="O1248">
            <v>0</v>
          </cell>
          <cell r="R1248">
            <v>130.30000000000001</v>
          </cell>
        </row>
        <row r="1249">
          <cell r="G1249">
            <v>55713.8</v>
          </cell>
          <cell r="I1249">
            <v>1996.21</v>
          </cell>
          <cell r="J1249">
            <v>6077.1</v>
          </cell>
          <cell r="K1249">
            <v>0</v>
          </cell>
          <cell r="L1249">
            <v>8073.31</v>
          </cell>
          <cell r="M1249">
            <v>66986.05</v>
          </cell>
          <cell r="N1249">
            <v>9875.34</v>
          </cell>
          <cell r="O1249">
            <v>0</v>
          </cell>
          <cell r="R1249">
            <v>264.50999999999902</v>
          </cell>
        </row>
        <row r="1250">
          <cell r="G1250">
            <v>52682.86</v>
          </cell>
          <cell r="I1250">
            <v>1909.42</v>
          </cell>
          <cell r="J1250">
            <v>0</v>
          </cell>
          <cell r="K1250">
            <v>0</v>
          </cell>
          <cell r="L1250">
            <v>1909.42</v>
          </cell>
          <cell r="M1250">
            <v>57578</v>
          </cell>
          <cell r="N1250">
            <v>14162.28</v>
          </cell>
          <cell r="O1250">
            <v>0</v>
          </cell>
          <cell r="R1250">
            <v>250.13</v>
          </cell>
        </row>
        <row r="1251">
          <cell r="G1251">
            <v>116853.45</v>
          </cell>
          <cell r="I1251">
            <v>4166.0299999999897</v>
          </cell>
          <cell r="J1251">
            <v>2501.7600000000002</v>
          </cell>
          <cell r="K1251">
            <v>0</v>
          </cell>
          <cell r="L1251">
            <v>6667.79</v>
          </cell>
          <cell r="M1251">
            <v>130072.789999999</v>
          </cell>
          <cell r="N1251">
            <v>27342.97</v>
          </cell>
          <cell r="O1251">
            <v>0</v>
          </cell>
          <cell r="R1251">
            <v>554.78999999999905</v>
          </cell>
        </row>
        <row r="1252">
          <cell r="G1252">
            <v>60916.989999999903</v>
          </cell>
          <cell r="I1252">
            <v>2083.02</v>
          </cell>
          <cell r="J1252">
            <v>0</v>
          </cell>
          <cell r="K1252">
            <v>0</v>
          </cell>
          <cell r="L1252">
            <v>2083.02</v>
          </cell>
          <cell r="M1252">
            <v>66253.47</v>
          </cell>
          <cell r="N1252">
            <v>11918.37</v>
          </cell>
          <cell r="O1252">
            <v>0</v>
          </cell>
          <cell r="R1252">
            <v>289.22000000000003</v>
          </cell>
        </row>
        <row r="1253">
          <cell r="G1253">
            <v>14368.049999999899</v>
          </cell>
          <cell r="I1253">
            <v>520.74</v>
          </cell>
          <cell r="J1253">
            <v>1616.16</v>
          </cell>
          <cell r="K1253">
            <v>0</v>
          </cell>
          <cell r="L1253">
            <v>2136.9</v>
          </cell>
          <cell r="M1253">
            <v>17364.889999999901</v>
          </cell>
          <cell r="N1253">
            <v>3298.8699999999899</v>
          </cell>
          <cell r="O1253">
            <v>0</v>
          </cell>
          <cell r="R1253">
            <v>68.219999999999899</v>
          </cell>
        </row>
        <row r="1254">
          <cell r="G1254">
            <v>39512.139999999898</v>
          </cell>
          <cell r="I1254">
            <v>1432.0699999999899</v>
          </cell>
          <cell r="J1254">
            <v>3456</v>
          </cell>
          <cell r="K1254">
            <v>0</v>
          </cell>
          <cell r="L1254">
            <v>4888.0699999999897</v>
          </cell>
          <cell r="M1254">
            <v>46699.73</v>
          </cell>
          <cell r="N1254">
            <v>8551.5699999999906</v>
          </cell>
          <cell r="O1254">
            <v>0</v>
          </cell>
          <cell r="R1254">
            <v>187.59</v>
          </cell>
        </row>
        <row r="1255">
          <cell r="G1255">
            <v>44016.82</v>
          </cell>
          <cell r="I1255">
            <v>1453.77</v>
          </cell>
          <cell r="J1255">
            <v>0</v>
          </cell>
          <cell r="K1255">
            <v>0</v>
          </cell>
          <cell r="L1255">
            <v>1453.77</v>
          </cell>
          <cell r="M1255">
            <v>47740.12</v>
          </cell>
          <cell r="N1255">
            <v>6793.1099999999897</v>
          </cell>
          <cell r="O1255">
            <v>0</v>
          </cell>
          <cell r="R1255">
            <v>209.009999999999</v>
          </cell>
        </row>
        <row r="1256">
          <cell r="G1256">
            <v>5986.6899999999896</v>
          </cell>
          <cell r="I1256">
            <v>216.979999999999</v>
          </cell>
          <cell r="J1256">
            <v>821.29999999999905</v>
          </cell>
          <cell r="K1256">
            <v>0</v>
          </cell>
          <cell r="L1256">
            <v>1038.28</v>
          </cell>
          <cell r="M1256">
            <v>7380.81</v>
          </cell>
          <cell r="N1256">
            <v>1169.19</v>
          </cell>
          <cell r="O1256">
            <v>0</v>
          </cell>
          <cell r="R1256">
            <v>28.41</v>
          </cell>
        </row>
        <row r="1257">
          <cell r="G1257">
            <v>44566.97</v>
          </cell>
          <cell r="I1257">
            <v>1432.0699999999899</v>
          </cell>
          <cell r="J1257">
            <v>0</v>
          </cell>
          <cell r="K1257">
            <v>0</v>
          </cell>
          <cell r="L1257">
            <v>1432.0699999999899</v>
          </cell>
          <cell r="M1257">
            <v>48246.07</v>
          </cell>
          <cell r="N1257">
            <v>5743.4099999999899</v>
          </cell>
          <cell r="O1257">
            <v>0</v>
          </cell>
          <cell r="R1257">
            <v>211.599999999999</v>
          </cell>
        </row>
        <row r="1258">
          <cell r="G1258">
            <v>14966.719999999899</v>
          </cell>
          <cell r="I1258">
            <v>542.45000000000005</v>
          </cell>
          <cell r="J1258">
            <v>1566.93</v>
          </cell>
          <cell r="K1258">
            <v>0</v>
          </cell>
          <cell r="L1258">
            <v>2109.38</v>
          </cell>
          <cell r="M1258">
            <v>17936.209999999901</v>
          </cell>
          <cell r="N1258">
            <v>2730.04</v>
          </cell>
          <cell r="O1258">
            <v>0</v>
          </cell>
          <cell r="R1258">
            <v>71.049999999999898</v>
          </cell>
        </row>
        <row r="1259">
          <cell r="G1259">
            <v>7184.0299999999897</v>
          </cell>
          <cell r="I1259">
            <v>260.38999999999902</v>
          </cell>
          <cell r="J1259">
            <v>989.75999999999897</v>
          </cell>
          <cell r="K1259">
            <v>0</v>
          </cell>
          <cell r="L1259">
            <v>1250.1500000000001</v>
          </cell>
          <cell r="M1259">
            <v>8861.18</v>
          </cell>
          <cell r="N1259">
            <v>1398.8199999999899</v>
          </cell>
          <cell r="O1259">
            <v>0</v>
          </cell>
          <cell r="R1259">
            <v>34.1</v>
          </cell>
        </row>
        <row r="1260">
          <cell r="G1260">
            <v>15004.4</v>
          </cell>
          <cell r="I1260">
            <v>520.74</v>
          </cell>
          <cell r="J1260">
            <v>0</v>
          </cell>
          <cell r="K1260">
            <v>0</v>
          </cell>
          <cell r="L1260">
            <v>520.74</v>
          </cell>
          <cell r="M1260">
            <v>16323.68</v>
          </cell>
          <cell r="N1260">
            <v>2863.5999999999899</v>
          </cell>
          <cell r="O1260">
            <v>0</v>
          </cell>
          <cell r="R1260">
            <v>71.239999999999895</v>
          </cell>
        </row>
        <row r="1261">
          <cell r="G1261">
            <v>14368.059999999899</v>
          </cell>
          <cell r="I1261">
            <v>520.74</v>
          </cell>
          <cell r="J1261">
            <v>2076.2399999999898</v>
          </cell>
          <cell r="K1261">
            <v>0</v>
          </cell>
          <cell r="L1261">
            <v>2596.98</v>
          </cell>
          <cell r="M1261">
            <v>17816.45</v>
          </cell>
          <cell r="N1261">
            <v>2642.11</v>
          </cell>
          <cell r="O1261">
            <v>0</v>
          </cell>
          <cell r="R1261">
            <v>68.219999999999899</v>
          </cell>
        </row>
        <row r="1262">
          <cell r="G1262">
            <v>57472.199999999903</v>
          </cell>
          <cell r="I1262">
            <v>2083.02</v>
          </cell>
          <cell r="J1262">
            <v>7116.4799999999896</v>
          </cell>
          <cell r="K1262">
            <v>0</v>
          </cell>
          <cell r="L1262">
            <v>9199.5</v>
          </cell>
          <cell r="M1262">
            <v>70053.619999999893</v>
          </cell>
          <cell r="N1262">
            <v>11205.58</v>
          </cell>
          <cell r="O1262">
            <v>0</v>
          </cell>
          <cell r="R1262">
            <v>272.88999999999902</v>
          </cell>
        </row>
        <row r="1263">
          <cell r="G1263">
            <v>14180.4</v>
          </cell>
          <cell r="I1263">
            <v>455.66</v>
          </cell>
          <cell r="J1263">
            <v>0</v>
          </cell>
          <cell r="K1263">
            <v>0</v>
          </cell>
          <cell r="L1263">
            <v>455.66</v>
          </cell>
          <cell r="M1263">
            <v>15370.23</v>
          </cell>
          <cell r="N1263">
            <v>2269.77</v>
          </cell>
          <cell r="O1263">
            <v>0</v>
          </cell>
          <cell r="R1263">
            <v>67.329999999999899</v>
          </cell>
        </row>
        <row r="1264">
          <cell r="G1264">
            <v>44301.489999999903</v>
          </cell>
          <cell r="I1264">
            <v>1605.65</v>
          </cell>
          <cell r="J1264">
            <v>6077.6199999999899</v>
          </cell>
          <cell r="K1264">
            <v>0</v>
          </cell>
          <cell r="L1264">
            <v>7683.27</v>
          </cell>
          <cell r="M1264">
            <v>54623.61</v>
          </cell>
          <cell r="N1264">
            <v>8781.85</v>
          </cell>
          <cell r="O1264">
            <v>0</v>
          </cell>
          <cell r="R1264">
            <v>210.34</v>
          </cell>
        </row>
        <row r="1265">
          <cell r="G1265">
            <v>0</v>
          </cell>
          <cell r="I1265">
            <v>0</v>
          </cell>
          <cell r="J1265">
            <v>37816.79</v>
          </cell>
          <cell r="K1265">
            <v>0</v>
          </cell>
          <cell r="L1265">
            <v>37816.79</v>
          </cell>
          <cell r="M1265">
            <v>37816.79</v>
          </cell>
          <cell r="N1265">
            <v>-37816.79</v>
          </cell>
          <cell r="O1265">
            <v>0</v>
          </cell>
          <cell r="R1265">
            <v>0</v>
          </cell>
        </row>
        <row r="1266">
          <cell r="G1266">
            <v>103197.12</v>
          </cell>
          <cell r="I1266">
            <v>3601.88</v>
          </cell>
          <cell r="J1266">
            <v>1921.76</v>
          </cell>
          <cell r="K1266">
            <v>0</v>
          </cell>
          <cell r="L1266">
            <v>5523.64</v>
          </cell>
          <cell r="M1266">
            <v>114337.399999999</v>
          </cell>
          <cell r="N1266">
            <v>20615.04</v>
          </cell>
          <cell r="O1266">
            <v>0</v>
          </cell>
          <cell r="R1266">
            <v>489.92</v>
          </cell>
        </row>
        <row r="1267">
          <cell r="G1267">
            <v>102921.72</v>
          </cell>
          <cell r="I1267">
            <v>3254.71</v>
          </cell>
          <cell r="J1267">
            <v>0</v>
          </cell>
          <cell r="K1267">
            <v>0</v>
          </cell>
          <cell r="L1267">
            <v>3254.71</v>
          </cell>
          <cell r="M1267">
            <v>111631.73</v>
          </cell>
          <cell r="N1267">
            <v>19445.77</v>
          </cell>
          <cell r="O1267">
            <v>0</v>
          </cell>
          <cell r="R1267">
            <v>488.64999999999901</v>
          </cell>
        </row>
        <row r="1268">
          <cell r="G1268">
            <v>51370.25</v>
          </cell>
          <cell r="I1268">
            <v>1627.3599999999899</v>
          </cell>
          <cell r="J1268">
            <v>0</v>
          </cell>
          <cell r="K1268">
            <v>0</v>
          </cell>
          <cell r="L1268">
            <v>1627.3599999999899</v>
          </cell>
          <cell r="M1268">
            <v>55562.54</v>
          </cell>
          <cell r="N1268">
            <v>6065.96</v>
          </cell>
          <cell r="O1268">
            <v>0</v>
          </cell>
          <cell r="R1268">
            <v>243.91</v>
          </cell>
        </row>
        <row r="1269">
          <cell r="G1269">
            <v>34124.120000000003</v>
          </cell>
          <cell r="I1269">
            <v>1236.79</v>
          </cell>
          <cell r="J1269">
            <v>3624.77</v>
          </cell>
          <cell r="K1269">
            <v>0</v>
          </cell>
          <cell r="L1269">
            <v>4861.5600000000004</v>
          </cell>
          <cell r="M1269">
            <v>40952.68</v>
          </cell>
          <cell r="N1269">
            <v>6308.8699999999899</v>
          </cell>
          <cell r="O1269">
            <v>0</v>
          </cell>
          <cell r="R1269">
            <v>162.02000000000001</v>
          </cell>
        </row>
        <row r="1270">
          <cell r="G1270">
            <v>65645.789999999906</v>
          </cell>
          <cell r="I1270">
            <v>2299.98</v>
          </cell>
          <cell r="J1270">
            <v>3994.0799999999899</v>
          </cell>
          <cell r="K1270">
            <v>0</v>
          </cell>
          <cell r="L1270">
            <v>6294.06</v>
          </cell>
          <cell r="M1270">
            <v>75647</v>
          </cell>
          <cell r="N1270">
            <v>13425.98</v>
          </cell>
          <cell r="O1270">
            <v>0</v>
          </cell>
          <cell r="R1270">
            <v>311.66000000000003</v>
          </cell>
        </row>
        <row r="1271">
          <cell r="G1271">
            <v>25742.7599999999</v>
          </cell>
          <cell r="I1271">
            <v>933.00999999999897</v>
          </cell>
          <cell r="J1271">
            <v>0</v>
          </cell>
          <cell r="K1271">
            <v>0</v>
          </cell>
          <cell r="L1271">
            <v>933.00999999999897</v>
          </cell>
          <cell r="M1271">
            <v>28214.2599999999</v>
          </cell>
          <cell r="N1271">
            <v>8752.75</v>
          </cell>
          <cell r="O1271">
            <v>0</v>
          </cell>
          <cell r="R1271">
            <v>122.239999999999</v>
          </cell>
        </row>
        <row r="1272">
          <cell r="G1272">
            <v>59866.889999999898</v>
          </cell>
          <cell r="I1272">
            <v>2169.8000000000002</v>
          </cell>
          <cell r="J1272">
            <v>5337.3599999999897</v>
          </cell>
          <cell r="K1272">
            <v>0</v>
          </cell>
          <cell r="L1272">
            <v>7507.1599999999899</v>
          </cell>
          <cell r="M1272">
            <v>70863.979999999894</v>
          </cell>
          <cell r="N1272">
            <v>12990.219999999899</v>
          </cell>
          <cell r="O1272">
            <v>0</v>
          </cell>
          <cell r="R1272">
            <v>284.23</v>
          </cell>
        </row>
        <row r="1273">
          <cell r="G1273">
            <v>14368.049999999899</v>
          </cell>
          <cell r="I1273">
            <v>520.74</v>
          </cell>
          <cell r="J1273">
            <v>1518.96</v>
          </cell>
          <cell r="K1273">
            <v>0</v>
          </cell>
          <cell r="L1273">
            <v>2039.7</v>
          </cell>
          <cell r="M1273">
            <v>17259.16</v>
          </cell>
          <cell r="N1273">
            <v>3199.4</v>
          </cell>
          <cell r="O1273">
            <v>0</v>
          </cell>
          <cell r="R1273">
            <v>68.219999999999899</v>
          </cell>
        </row>
        <row r="1274">
          <cell r="G1274">
            <v>94589.669999999896</v>
          </cell>
          <cell r="I1274">
            <v>3428.29</v>
          </cell>
          <cell r="J1274">
            <v>3459.1799999999898</v>
          </cell>
          <cell r="K1274">
            <v>0</v>
          </cell>
          <cell r="L1274">
            <v>6887.47</v>
          </cell>
          <cell r="M1274">
            <v>106879.899999999</v>
          </cell>
          <cell r="N1274">
            <v>22934.459999999901</v>
          </cell>
          <cell r="O1274">
            <v>0</v>
          </cell>
          <cell r="R1274">
            <v>449.07999999999902</v>
          </cell>
        </row>
        <row r="1275">
          <cell r="G1275">
            <v>14368.059999999899</v>
          </cell>
          <cell r="I1275">
            <v>520.74</v>
          </cell>
          <cell r="J1275">
            <v>1359.96</v>
          </cell>
          <cell r="K1275">
            <v>0</v>
          </cell>
          <cell r="L1275">
            <v>1880.7</v>
          </cell>
          <cell r="M1275">
            <v>17097.18</v>
          </cell>
          <cell r="N1275">
            <v>3289.5</v>
          </cell>
          <cell r="O1275">
            <v>0</v>
          </cell>
          <cell r="R1275">
            <v>68.219999999999899</v>
          </cell>
        </row>
        <row r="1276">
          <cell r="G1276">
            <v>14368.049999999899</v>
          </cell>
          <cell r="I1276">
            <v>520.74</v>
          </cell>
          <cell r="J1276">
            <v>1779.1199999999899</v>
          </cell>
          <cell r="K1276">
            <v>0</v>
          </cell>
          <cell r="L1276">
            <v>2299.86</v>
          </cell>
          <cell r="M1276">
            <v>17527.8499999999</v>
          </cell>
          <cell r="N1276">
            <v>3135.9099999999899</v>
          </cell>
          <cell r="O1276">
            <v>0</v>
          </cell>
          <cell r="R1276">
            <v>68.219999999999899</v>
          </cell>
        </row>
        <row r="1277">
          <cell r="G1277">
            <v>14368.049999999899</v>
          </cell>
          <cell r="I1277">
            <v>520.74</v>
          </cell>
          <cell r="J1277">
            <v>1805.52</v>
          </cell>
          <cell r="K1277">
            <v>0</v>
          </cell>
          <cell r="L1277">
            <v>2326.2600000000002</v>
          </cell>
          <cell r="M1277">
            <v>17533.27</v>
          </cell>
          <cell r="N1277">
            <v>2625.05</v>
          </cell>
          <cell r="O1277">
            <v>0</v>
          </cell>
          <cell r="R1277">
            <v>68.219999999999899</v>
          </cell>
        </row>
        <row r="1278">
          <cell r="G1278">
            <v>14368.049999999899</v>
          </cell>
          <cell r="I1278">
            <v>520.74</v>
          </cell>
          <cell r="J1278">
            <v>0</v>
          </cell>
          <cell r="K1278">
            <v>0</v>
          </cell>
          <cell r="L1278">
            <v>520.74</v>
          </cell>
          <cell r="M1278">
            <v>15705.969999999899</v>
          </cell>
          <cell r="N1278">
            <v>3928.4299999999898</v>
          </cell>
          <cell r="O1278">
            <v>0</v>
          </cell>
          <cell r="R1278">
            <v>68.219999999999899</v>
          </cell>
        </row>
        <row r="1279">
          <cell r="G1279">
            <v>14368.049999999899</v>
          </cell>
          <cell r="I1279">
            <v>520.74</v>
          </cell>
          <cell r="J1279">
            <v>1335.1199999999899</v>
          </cell>
          <cell r="K1279">
            <v>0</v>
          </cell>
          <cell r="L1279">
            <v>1855.8599999999899</v>
          </cell>
          <cell r="M1279">
            <v>17083.8499999999</v>
          </cell>
          <cell r="N1279">
            <v>3579.9099999999899</v>
          </cell>
          <cell r="O1279">
            <v>0</v>
          </cell>
          <cell r="R1279">
            <v>68.219999999999899</v>
          </cell>
        </row>
        <row r="1280">
          <cell r="G1280">
            <v>7184.0299999999897</v>
          </cell>
          <cell r="I1280">
            <v>260.38999999999902</v>
          </cell>
          <cell r="J1280">
            <v>408.6</v>
          </cell>
          <cell r="K1280">
            <v>0</v>
          </cell>
          <cell r="L1280">
            <v>668.99</v>
          </cell>
          <cell r="M1280">
            <v>8272.5499999999902</v>
          </cell>
          <cell r="N1280">
            <v>1806.6099999999899</v>
          </cell>
          <cell r="O1280">
            <v>0</v>
          </cell>
          <cell r="R1280">
            <v>34.1</v>
          </cell>
        </row>
        <row r="1281">
          <cell r="G1281">
            <v>16380.49</v>
          </cell>
          <cell r="I1281">
            <v>520.74</v>
          </cell>
          <cell r="J1281">
            <v>0</v>
          </cell>
          <cell r="K1281">
            <v>0</v>
          </cell>
          <cell r="L1281">
            <v>520.74</v>
          </cell>
          <cell r="M1281">
            <v>17725.25</v>
          </cell>
          <cell r="N1281">
            <v>2074.75</v>
          </cell>
          <cell r="O1281">
            <v>0</v>
          </cell>
          <cell r="R1281">
            <v>77.760000000000005</v>
          </cell>
        </row>
        <row r="1282">
          <cell r="G1282">
            <v>14966.719999999899</v>
          </cell>
          <cell r="I1282">
            <v>542.45000000000005</v>
          </cell>
          <cell r="J1282">
            <v>1939.95</v>
          </cell>
          <cell r="K1282">
            <v>0</v>
          </cell>
          <cell r="L1282">
            <v>2482.4</v>
          </cell>
          <cell r="M1282">
            <v>18315.330000000002</v>
          </cell>
          <cell r="N1282">
            <v>2496.92</v>
          </cell>
          <cell r="O1282">
            <v>0</v>
          </cell>
          <cell r="R1282">
            <v>71.049999999999898</v>
          </cell>
        </row>
        <row r="1283">
          <cell r="G1283">
            <v>15004.4</v>
          </cell>
          <cell r="I1283">
            <v>520.74</v>
          </cell>
          <cell r="J1283">
            <v>0</v>
          </cell>
          <cell r="K1283">
            <v>0</v>
          </cell>
          <cell r="L1283">
            <v>520.74</v>
          </cell>
          <cell r="M1283">
            <v>16342.32</v>
          </cell>
          <cell r="N1283">
            <v>3292.0799999999899</v>
          </cell>
          <cell r="O1283">
            <v>0</v>
          </cell>
          <cell r="R1283">
            <v>71.239999999999895</v>
          </cell>
        </row>
        <row r="1284">
          <cell r="G1284">
            <v>13170.719999999899</v>
          </cell>
          <cell r="I1284">
            <v>477.36</v>
          </cell>
          <cell r="J1284">
            <v>0</v>
          </cell>
          <cell r="K1284">
            <v>0</v>
          </cell>
          <cell r="L1284">
            <v>477.36</v>
          </cell>
          <cell r="M1284">
            <v>14393.299999999899</v>
          </cell>
          <cell r="N1284">
            <v>3513.1599999999899</v>
          </cell>
          <cell r="O1284">
            <v>0</v>
          </cell>
          <cell r="R1284">
            <v>62.509999999999899</v>
          </cell>
        </row>
        <row r="1285">
          <cell r="G1285">
            <v>47207.55</v>
          </cell>
          <cell r="I1285">
            <v>1702.8599999999899</v>
          </cell>
          <cell r="J1285">
            <v>0</v>
          </cell>
          <cell r="K1285">
            <v>0</v>
          </cell>
          <cell r="L1285">
            <v>1702.8599999999899</v>
          </cell>
          <cell r="M1285">
            <v>51529.82</v>
          </cell>
          <cell r="N1285">
            <v>11407.04</v>
          </cell>
          <cell r="O1285">
            <v>0</v>
          </cell>
          <cell r="R1285">
            <v>224.099999999999</v>
          </cell>
        </row>
        <row r="1286">
          <cell r="G1286">
            <v>34307.239999999903</v>
          </cell>
          <cell r="I1286">
            <v>1084.9100000000001</v>
          </cell>
          <cell r="J1286">
            <v>0</v>
          </cell>
          <cell r="K1286">
            <v>0</v>
          </cell>
          <cell r="L1286">
            <v>1084.9100000000001</v>
          </cell>
          <cell r="M1286">
            <v>37091.800000000003</v>
          </cell>
          <cell r="N1286">
            <v>3745.6999999999898</v>
          </cell>
          <cell r="O1286">
            <v>0</v>
          </cell>
          <cell r="R1286">
            <v>162.88999999999899</v>
          </cell>
        </row>
        <row r="1287">
          <cell r="G1287">
            <v>159321.25</v>
          </cell>
          <cell r="I1287">
            <v>5728.29</v>
          </cell>
          <cell r="J1287">
            <v>1090.5599999999899</v>
          </cell>
          <cell r="K1287">
            <v>0</v>
          </cell>
          <cell r="L1287">
            <v>6818.85</v>
          </cell>
          <cell r="M1287">
            <v>175026.149999999</v>
          </cell>
          <cell r="N1287">
            <v>38483.370000000003</v>
          </cell>
          <cell r="O1287">
            <v>0</v>
          </cell>
          <cell r="R1287">
            <v>756.42999999999904</v>
          </cell>
        </row>
        <row r="1288">
          <cell r="G1288">
            <v>5986.6899999999896</v>
          </cell>
          <cell r="I1288">
            <v>216.979999999999</v>
          </cell>
          <cell r="J1288">
            <v>0</v>
          </cell>
          <cell r="K1288">
            <v>0</v>
          </cell>
          <cell r="L1288">
            <v>216.979999999999</v>
          </cell>
          <cell r="M1288">
            <v>6544.64</v>
          </cell>
          <cell r="N1288">
            <v>1647.66</v>
          </cell>
          <cell r="O1288">
            <v>0</v>
          </cell>
          <cell r="R1288">
            <v>28.41</v>
          </cell>
        </row>
        <row r="1289">
          <cell r="G1289">
            <v>5402.06</v>
          </cell>
          <cell r="I1289">
            <v>173.58</v>
          </cell>
          <cell r="J1289">
            <v>0</v>
          </cell>
          <cell r="K1289">
            <v>0</v>
          </cell>
          <cell r="L1289">
            <v>173.58</v>
          </cell>
          <cell r="M1289">
            <v>5847.6599999999899</v>
          </cell>
          <cell r="N1289">
            <v>686.34</v>
          </cell>
          <cell r="O1289">
            <v>0</v>
          </cell>
          <cell r="R1289">
            <v>25.66</v>
          </cell>
        </row>
        <row r="1290">
          <cell r="G1290">
            <v>14368.049999999899</v>
          </cell>
          <cell r="I1290">
            <v>520.74</v>
          </cell>
          <cell r="J1290">
            <v>0</v>
          </cell>
          <cell r="K1290">
            <v>0</v>
          </cell>
          <cell r="L1290">
            <v>520.74</v>
          </cell>
          <cell r="M1290">
            <v>15689.78</v>
          </cell>
          <cell r="N1290">
            <v>3555.82</v>
          </cell>
          <cell r="O1290">
            <v>0</v>
          </cell>
          <cell r="R1290">
            <v>68.219999999999899</v>
          </cell>
        </row>
        <row r="1291">
          <cell r="G1291">
            <v>149667.19</v>
          </cell>
          <cell r="I1291">
            <v>5424.52</v>
          </cell>
          <cell r="J1291">
            <v>15526.28</v>
          </cell>
          <cell r="K1291">
            <v>0</v>
          </cell>
          <cell r="L1291">
            <v>20950.799999999901</v>
          </cell>
          <cell r="M1291">
            <v>179379.47</v>
          </cell>
          <cell r="N1291">
            <v>31137.5099999999</v>
          </cell>
          <cell r="O1291">
            <v>0</v>
          </cell>
          <cell r="R1291">
            <v>710.6</v>
          </cell>
        </row>
        <row r="1292">
          <cell r="G1292">
            <v>14368.049999999899</v>
          </cell>
          <cell r="I1292">
            <v>520.74</v>
          </cell>
          <cell r="J1292">
            <v>977.51999999999896</v>
          </cell>
          <cell r="K1292">
            <v>0</v>
          </cell>
          <cell r="L1292">
            <v>1498.26</v>
          </cell>
          <cell r="M1292">
            <v>16711.75</v>
          </cell>
          <cell r="N1292">
            <v>3603.05</v>
          </cell>
          <cell r="O1292">
            <v>0</v>
          </cell>
          <cell r="R1292">
            <v>68.219999999999899</v>
          </cell>
        </row>
        <row r="1293">
          <cell r="G1293">
            <v>29933.4399999999</v>
          </cell>
          <cell r="I1293">
            <v>1084.9100000000001</v>
          </cell>
          <cell r="J1293">
            <v>2228.84</v>
          </cell>
          <cell r="K1293">
            <v>0</v>
          </cell>
          <cell r="L1293">
            <v>3313.75</v>
          </cell>
          <cell r="M1293">
            <v>34979.589999999902</v>
          </cell>
          <cell r="N1293">
            <v>6644.9099999999899</v>
          </cell>
          <cell r="O1293">
            <v>0</v>
          </cell>
          <cell r="R1293">
            <v>142.12</v>
          </cell>
        </row>
        <row r="1294">
          <cell r="G1294">
            <v>15004.4</v>
          </cell>
          <cell r="I1294">
            <v>520.74</v>
          </cell>
          <cell r="J1294">
            <v>798.96</v>
          </cell>
          <cell r="K1294">
            <v>0</v>
          </cell>
          <cell r="L1294">
            <v>1319.7</v>
          </cell>
          <cell r="M1294">
            <v>17178.07</v>
          </cell>
          <cell r="N1294">
            <v>3341.9299999999898</v>
          </cell>
          <cell r="O1294">
            <v>0</v>
          </cell>
          <cell r="R1294">
            <v>71.239999999999895</v>
          </cell>
        </row>
        <row r="1295">
          <cell r="G1295">
            <v>8103.09</v>
          </cell>
          <cell r="I1295">
            <v>260.38999999999902</v>
          </cell>
          <cell r="J1295">
            <v>0</v>
          </cell>
          <cell r="K1295">
            <v>0</v>
          </cell>
          <cell r="L1295">
            <v>260.38999999999902</v>
          </cell>
          <cell r="M1295">
            <v>8775.5400000000009</v>
          </cell>
          <cell r="N1295">
            <v>1124.46</v>
          </cell>
          <cell r="O1295">
            <v>0</v>
          </cell>
          <cell r="R1295">
            <v>38.469999999999899</v>
          </cell>
        </row>
        <row r="1296">
          <cell r="G1296">
            <v>14368.049999999899</v>
          </cell>
          <cell r="I1296">
            <v>520.74</v>
          </cell>
          <cell r="J1296">
            <v>1484.88</v>
          </cell>
          <cell r="K1296">
            <v>0</v>
          </cell>
          <cell r="L1296">
            <v>2005.6199999999899</v>
          </cell>
          <cell r="M1296">
            <v>17225.080000000002</v>
          </cell>
          <cell r="N1296">
            <v>3233.48</v>
          </cell>
          <cell r="O1296">
            <v>0</v>
          </cell>
          <cell r="R1296">
            <v>68.219999999999899</v>
          </cell>
        </row>
        <row r="1297">
          <cell r="G1297">
            <v>14966.719999999899</v>
          </cell>
          <cell r="I1297">
            <v>542.45000000000005</v>
          </cell>
          <cell r="J1297">
            <v>1394.28</v>
          </cell>
          <cell r="K1297">
            <v>0</v>
          </cell>
          <cell r="L1297">
            <v>1936.73</v>
          </cell>
          <cell r="M1297">
            <v>17767.049999999901</v>
          </cell>
          <cell r="N1297">
            <v>2982.6999999999898</v>
          </cell>
          <cell r="O1297">
            <v>0</v>
          </cell>
          <cell r="R1297">
            <v>71.049999999999898</v>
          </cell>
        </row>
        <row r="1298">
          <cell r="G1298">
            <v>14966.719999999899</v>
          </cell>
          <cell r="I1298">
            <v>542.45000000000005</v>
          </cell>
          <cell r="J1298">
            <v>924.40999999999894</v>
          </cell>
          <cell r="K1298">
            <v>0</v>
          </cell>
          <cell r="L1298">
            <v>1466.8599999999899</v>
          </cell>
          <cell r="M1298">
            <v>17291.11</v>
          </cell>
          <cell r="N1298">
            <v>3312.3899999999899</v>
          </cell>
          <cell r="O1298">
            <v>0</v>
          </cell>
          <cell r="R1298">
            <v>71.049999999999898</v>
          </cell>
        </row>
        <row r="1299">
          <cell r="G1299">
            <v>11973.379999999899</v>
          </cell>
          <cell r="I1299">
            <v>434.05</v>
          </cell>
          <cell r="J1299">
            <v>0</v>
          </cell>
          <cell r="K1299">
            <v>0</v>
          </cell>
          <cell r="L1299">
            <v>434.05</v>
          </cell>
          <cell r="M1299">
            <v>13088.09</v>
          </cell>
          <cell r="N1299">
            <v>3266.75</v>
          </cell>
          <cell r="O1299">
            <v>0</v>
          </cell>
          <cell r="R1299">
            <v>56.8599999999999</v>
          </cell>
        </row>
        <row r="1300">
          <cell r="G1300">
            <v>15530.92</v>
          </cell>
          <cell r="I1300">
            <v>499.05</v>
          </cell>
          <cell r="J1300">
            <v>0</v>
          </cell>
          <cell r="K1300">
            <v>0</v>
          </cell>
          <cell r="L1300">
            <v>499.05</v>
          </cell>
          <cell r="M1300">
            <v>16811.77</v>
          </cell>
          <cell r="N1300">
            <v>1973.48</v>
          </cell>
          <cell r="O1300">
            <v>0</v>
          </cell>
          <cell r="R1300">
            <v>73.709999999999894</v>
          </cell>
        </row>
        <row r="1301">
          <cell r="G1301">
            <v>1068.24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1068.24</v>
          </cell>
          <cell r="N1301">
            <v>-1068.24</v>
          </cell>
          <cell r="O1301">
            <v>0</v>
          </cell>
          <cell r="R1301">
            <v>0</v>
          </cell>
        </row>
        <row r="1302">
          <cell r="G1302">
            <v>14819.53</v>
          </cell>
          <cell r="I1302">
            <v>349.82999999999902</v>
          </cell>
          <cell r="J1302">
            <v>0</v>
          </cell>
          <cell r="K1302">
            <v>0</v>
          </cell>
          <cell r="L1302">
            <v>349.82999999999902</v>
          </cell>
          <cell r="M1302">
            <v>15922.78</v>
          </cell>
          <cell r="N1302">
            <v>2557.2199999999898</v>
          </cell>
          <cell r="O1302">
            <v>0</v>
          </cell>
          <cell r="R1302">
            <v>4.50999999999999</v>
          </cell>
        </row>
        <row r="1303">
          <cell r="G1303">
            <v>30986.29</v>
          </cell>
          <cell r="I1303">
            <v>731.45</v>
          </cell>
          <cell r="J1303">
            <v>0</v>
          </cell>
          <cell r="K1303">
            <v>0</v>
          </cell>
          <cell r="L1303">
            <v>731.45</v>
          </cell>
          <cell r="M1303">
            <v>33288.599999999897</v>
          </cell>
          <cell r="N1303">
            <v>5240.5200000000004</v>
          </cell>
          <cell r="O1303">
            <v>0</v>
          </cell>
          <cell r="R1303">
            <v>9.41</v>
          </cell>
        </row>
        <row r="1304">
          <cell r="G1304">
            <v>7374.5699999999897</v>
          </cell>
          <cell r="I1304">
            <v>190.81</v>
          </cell>
          <cell r="J1304">
            <v>1038.1199999999899</v>
          </cell>
          <cell r="K1304">
            <v>0</v>
          </cell>
          <cell r="L1304">
            <v>1228.93</v>
          </cell>
          <cell r="M1304">
            <v>9026.5499999999902</v>
          </cell>
          <cell r="N1304">
            <v>1350.8099999999899</v>
          </cell>
          <cell r="O1304">
            <v>0</v>
          </cell>
          <cell r="R1304">
            <v>2.25</v>
          </cell>
        </row>
        <row r="1305">
          <cell r="G1305">
            <v>64718.639999999898</v>
          </cell>
          <cell r="I1305">
            <v>1526.49</v>
          </cell>
          <cell r="J1305">
            <v>0</v>
          </cell>
          <cell r="K1305">
            <v>0</v>
          </cell>
          <cell r="L1305">
            <v>1526.49</v>
          </cell>
          <cell r="M1305">
            <v>69495.059999999896</v>
          </cell>
          <cell r="N1305">
            <v>10217.58</v>
          </cell>
          <cell r="O1305">
            <v>0</v>
          </cell>
          <cell r="R1305">
            <v>19.670000000000002</v>
          </cell>
        </row>
        <row r="1306">
          <cell r="G1306">
            <v>26732.81</v>
          </cell>
          <cell r="I1306">
            <v>691.69</v>
          </cell>
          <cell r="J1306">
            <v>0</v>
          </cell>
          <cell r="K1306">
            <v>0</v>
          </cell>
          <cell r="L1306">
            <v>691.69</v>
          </cell>
          <cell r="M1306">
            <v>28903.84</v>
          </cell>
          <cell r="N1306">
            <v>7380.38</v>
          </cell>
          <cell r="O1306">
            <v>0</v>
          </cell>
          <cell r="R1306">
            <v>8.1099999999999905</v>
          </cell>
        </row>
        <row r="1307">
          <cell r="G1307">
            <v>22123.709999999901</v>
          </cell>
          <cell r="I1307">
            <v>572.44000000000005</v>
          </cell>
          <cell r="J1307">
            <v>2781.5999999999899</v>
          </cell>
          <cell r="K1307">
            <v>0</v>
          </cell>
          <cell r="L1307">
            <v>3354.04</v>
          </cell>
          <cell r="M1307">
            <v>26739.29</v>
          </cell>
          <cell r="N1307">
            <v>4203.67</v>
          </cell>
          <cell r="O1307">
            <v>0</v>
          </cell>
          <cell r="R1307">
            <v>6.71999999999999</v>
          </cell>
        </row>
        <row r="1308">
          <cell r="G1308">
            <v>32333.52</v>
          </cell>
          <cell r="I1308">
            <v>763.25</v>
          </cell>
          <cell r="J1308">
            <v>0</v>
          </cell>
          <cell r="K1308">
            <v>0</v>
          </cell>
          <cell r="L1308">
            <v>763.25</v>
          </cell>
          <cell r="M1308">
            <v>34740.620000000003</v>
          </cell>
          <cell r="N1308">
            <v>5579.38</v>
          </cell>
          <cell r="O1308">
            <v>0</v>
          </cell>
          <cell r="R1308">
            <v>9.82</v>
          </cell>
        </row>
        <row r="1309">
          <cell r="G1309">
            <v>12290.95</v>
          </cell>
          <cell r="I1309">
            <v>318.01999999999902</v>
          </cell>
          <cell r="J1309">
            <v>0</v>
          </cell>
          <cell r="K1309">
            <v>0</v>
          </cell>
          <cell r="L1309">
            <v>318.01999999999902</v>
          </cell>
          <cell r="M1309">
            <v>13272.959999999901</v>
          </cell>
          <cell r="N1309">
            <v>3012.6399999999899</v>
          </cell>
          <cell r="O1309">
            <v>0</v>
          </cell>
          <cell r="R1309">
            <v>3.73</v>
          </cell>
        </row>
        <row r="1310">
          <cell r="G1310">
            <v>30986.279999999901</v>
          </cell>
          <cell r="I1310">
            <v>731.45</v>
          </cell>
          <cell r="J1310">
            <v>0</v>
          </cell>
          <cell r="K1310">
            <v>0</v>
          </cell>
          <cell r="L1310">
            <v>731.45</v>
          </cell>
          <cell r="M1310">
            <v>33278.989999999903</v>
          </cell>
          <cell r="N1310">
            <v>5014.93</v>
          </cell>
          <cell r="O1310">
            <v>0</v>
          </cell>
          <cell r="R1310">
            <v>9.41</v>
          </cell>
        </row>
        <row r="1311">
          <cell r="G1311">
            <v>74974.8</v>
          </cell>
          <cell r="I1311">
            <v>1939.93</v>
          </cell>
          <cell r="J1311">
            <v>5614.18</v>
          </cell>
          <cell r="K1311">
            <v>0</v>
          </cell>
          <cell r="L1311">
            <v>7554.1099999999897</v>
          </cell>
          <cell r="M1311">
            <v>86698.880000000005</v>
          </cell>
          <cell r="N1311">
            <v>15580.18</v>
          </cell>
          <cell r="O1311">
            <v>0</v>
          </cell>
          <cell r="R1311">
            <v>22.77</v>
          </cell>
        </row>
        <row r="1312">
          <cell r="G1312">
            <v>128945.82</v>
          </cell>
          <cell r="I1312">
            <v>3132.5</v>
          </cell>
          <cell r="J1312">
            <v>0</v>
          </cell>
          <cell r="K1312">
            <v>0</v>
          </cell>
          <cell r="L1312">
            <v>3132.5</v>
          </cell>
          <cell r="M1312">
            <v>138764.64000000001</v>
          </cell>
          <cell r="N1312">
            <v>25232.7599999999</v>
          </cell>
          <cell r="O1312">
            <v>0</v>
          </cell>
          <cell r="R1312">
            <v>39.18</v>
          </cell>
        </row>
        <row r="1313">
          <cell r="G1313">
            <v>26270.98</v>
          </cell>
          <cell r="I1313">
            <v>620.13999999999896</v>
          </cell>
          <cell r="J1313">
            <v>0</v>
          </cell>
          <cell r="K1313">
            <v>0</v>
          </cell>
          <cell r="L1313">
            <v>620.13999999999896</v>
          </cell>
          <cell r="M1313">
            <v>28212.06</v>
          </cell>
          <cell r="N1313">
            <v>4187.5799999999899</v>
          </cell>
          <cell r="O1313">
            <v>0</v>
          </cell>
          <cell r="R1313">
            <v>7.99</v>
          </cell>
        </row>
        <row r="1314">
          <cell r="G1314">
            <v>14749.139999999899</v>
          </cell>
          <cell r="I1314">
            <v>381.62</v>
          </cell>
          <cell r="J1314">
            <v>2040.72</v>
          </cell>
          <cell r="K1314">
            <v>0</v>
          </cell>
          <cell r="L1314">
            <v>2422.34</v>
          </cell>
          <cell r="M1314">
            <v>18022.740000000002</v>
          </cell>
          <cell r="N1314">
            <v>2857.26</v>
          </cell>
          <cell r="O1314">
            <v>0</v>
          </cell>
          <cell r="R1314">
            <v>4.4800000000000004</v>
          </cell>
        </row>
        <row r="1315">
          <cell r="G1315">
            <v>50392.889999999898</v>
          </cell>
          <cell r="I1315">
            <v>1303.8900000000001</v>
          </cell>
          <cell r="J1315">
            <v>0</v>
          </cell>
          <cell r="K1315">
            <v>0</v>
          </cell>
          <cell r="L1315">
            <v>1303.8900000000001</v>
          </cell>
          <cell r="M1315">
            <v>54491.29</v>
          </cell>
          <cell r="N1315">
            <v>14051.03</v>
          </cell>
          <cell r="O1315">
            <v>0</v>
          </cell>
          <cell r="R1315">
            <v>15.31</v>
          </cell>
        </row>
        <row r="1316">
          <cell r="G1316">
            <v>33680.739999999903</v>
          </cell>
          <cell r="I1316">
            <v>795.04999999999905</v>
          </cell>
          <cell r="J1316">
            <v>0</v>
          </cell>
          <cell r="K1316">
            <v>0</v>
          </cell>
          <cell r="L1316">
            <v>795.04999999999905</v>
          </cell>
          <cell r="M1316">
            <v>36160.980000000003</v>
          </cell>
          <cell r="N1316">
            <v>5172.5200000000004</v>
          </cell>
          <cell r="O1316">
            <v>0</v>
          </cell>
          <cell r="R1316">
            <v>10.23</v>
          </cell>
        </row>
        <row r="1317">
          <cell r="G1317">
            <v>45132.199999999903</v>
          </cell>
          <cell r="I1317">
            <v>1065.3699999999899</v>
          </cell>
          <cell r="J1317">
            <v>0</v>
          </cell>
          <cell r="K1317">
            <v>0</v>
          </cell>
          <cell r="L1317">
            <v>1065.3699999999899</v>
          </cell>
          <cell r="M1317">
            <v>48471.68</v>
          </cell>
          <cell r="N1317">
            <v>7306</v>
          </cell>
          <cell r="O1317">
            <v>0</v>
          </cell>
          <cell r="R1317">
            <v>13.6999999999999</v>
          </cell>
        </row>
        <row r="1318">
          <cell r="G1318">
            <v>34134.22</v>
          </cell>
          <cell r="I1318">
            <v>810.95</v>
          </cell>
          <cell r="J1318">
            <v>0</v>
          </cell>
          <cell r="K1318">
            <v>0</v>
          </cell>
          <cell r="L1318">
            <v>810.95</v>
          </cell>
          <cell r="M1318">
            <v>36687.69</v>
          </cell>
          <cell r="N1318">
            <v>6051.51</v>
          </cell>
          <cell r="O1318">
            <v>0</v>
          </cell>
          <cell r="R1318">
            <v>10.38</v>
          </cell>
        </row>
        <row r="1319">
          <cell r="G1319">
            <v>54616.51</v>
          </cell>
          <cell r="I1319">
            <v>1415.18</v>
          </cell>
          <cell r="J1319">
            <v>6372.72</v>
          </cell>
          <cell r="K1319">
            <v>0</v>
          </cell>
          <cell r="L1319">
            <v>7787.8999999999896</v>
          </cell>
          <cell r="M1319">
            <v>65501.48</v>
          </cell>
          <cell r="N1319">
            <v>10462.16</v>
          </cell>
          <cell r="O1319">
            <v>0</v>
          </cell>
          <cell r="R1319">
            <v>16.59</v>
          </cell>
        </row>
        <row r="1320">
          <cell r="G1320">
            <v>69751.139999999898</v>
          </cell>
          <cell r="I1320">
            <v>1804.76</v>
          </cell>
          <cell r="J1320">
            <v>0</v>
          </cell>
          <cell r="K1320">
            <v>0</v>
          </cell>
          <cell r="L1320">
            <v>1804.76</v>
          </cell>
          <cell r="M1320">
            <v>75400.38</v>
          </cell>
          <cell r="N1320">
            <v>18894.240000000002</v>
          </cell>
          <cell r="O1320">
            <v>0</v>
          </cell>
          <cell r="R1320">
            <v>21.19</v>
          </cell>
        </row>
        <row r="1321">
          <cell r="G1321">
            <v>206488.09</v>
          </cell>
          <cell r="I1321">
            <v>5342.7299999999896</v>
          </cell>
          <cell r="J1321">
            <v>11750.879999999899</v>
          </cell>
          <cell r="K1321">
            <v>0</v>
          </cell>
          <cell r="L1321">
            <v>17093.61</v>
          </cell>
          <cell r="M1321">
            <v>235165.079999999</v>
          </cell>
          <cell r="N1321">
            <v>48945.72</v>
          </cell>
          <cell r="O1321">
            <v>0</v>
          </cell>
          <cell r="R1321">
            <v>62.74</v>
          </cell>
        </row>
        <row r="1322">
          <cell r="G1322">
            <v>16926.38</v>
          </cell>
          <cell r="I1322">
            <v>397.51999999999902</v>
          </cell>
          <cell r="J1322">
            <v>0</v>
          </cell>
          <cell r="K1322">
            <v>0</v>
          </cell>
          <cell r="L1322">
            <v>397.51999999999902</v>
          </cell>
          <cell r="M1322">
            <v>18174.09</v>
          </cell>
          <cell r="N1322">
            <v>2678.9099999999899</v>
          </cell>
          <cell r="O1322">
            <v>0</v>
          </cell>
          <cell r="R1322">
            <v>5.15</v>
          </cell>
        </row>
        <row r="1323">
          <cell r="G1323">
            <v>56538.37</v>
          </cell>
          <cell r="I1323">
            <v>1462.9</v>
          </cell>
          <cell r="J1323">
            <v>3308.76</v>
          </cell>
          <cell r="K1323">
            <v>0</v>
          </cell>
          <cell r="L1323">
            <v>4771.6599999999899</v>
          </cell>
          <cell r="M1323">
            <v>64511.57</v>
          </cell>
          <cell r="N1323">
            <v>14013.67</v>
          </cell>
          <cell r="O1323">
            <v>0</v>
          </cell>
          <cell r="R1323">
            <v>17.18</v>
          </cell>
        </row>
        <row r="1324">
          <cell r="G1324">
            <v>135503.209999999</v>
          </cell>
          <cell r="I1324">
            <v>3227.9</v>
          </cell>
          <cell r="J1324">
            <v>0</v>
          </cell>
          <cell r="K1324">
            <v>0</v>
          </cell>
          <cell r="L1324">
            <v>3227.9</v>
          </cell>
          <cell r="M1324">
            <v>145642.429999999</v>
          </cell>
          <cell r="N1324">
            <v>23872.93</v>
          </cell>
          <cell r="O1324">
            <v>0</v>
          </cell>
          <cell r="R1324">
            <v>41.17</v>
          </cell>
        </row>
        <row r="1325">
          <cell r="G1325">
            <v>24581.9</v>
          </cell>
          <cell r="I1325">
            <v>636.03999999999905</v>
          </cell>
          <cell r="J1325">
            <v>1379.76</v>
          </cell>
          <cell r="K1325">
            <v>0</v>
          </cell>
          <cell r="L1325">
            <v>2015.8</v>
          </cell>
          <cell r="M1325">
            <v>27971.65</v>
          </cell>
          <cell r="N1325">
            <v>5728.0299999999897</v>
          </cell>
          <cell r="O1325">
            <v>0</v>
          </cell>
          <cell r="R1325">
            <v>7.46999999999999</v>
          </cell>
        </row>
        <row r="1326">
          <cell r="G1326">
            <v>96412.88</v>
          </cell>
          <cell r="I1326">
            <v>2273.8299999999899</v>
          </cell>
          <cell r="J1326">
            <v>0</v>
          </cell>
          <cell r="K1326">
            <v>0</v>
          </cell>
          <cell r="L1326">
            <v>2273.8299999999899</v>
          </cell>
          <cell r="M1326">
            <v>103531.06</v>
          </cell>
          <cell r="N1326">
            <v>15289.459999999901</v>
          </cell>
          <cell r="O1326">
            <v>0</v>
          </cell>
          <cell r="R1326">
            <v>29.3</v>
          </cell>
        </row>
        <row r="1327">
          <cell r="G1327">
            <v>32905.11</v>
          </cell>
          <cell r="I1327">
            <v>779.15999999999894</v>
          </cell>
          <cell r="J1327">
            <v>0</v>
          </cell>
          <cell r="K1327">
            <v>0</v>
          </cell>
          <cell r="L1327">
            <v>779.15999999999894</v>
          </cell>
          <cell r="M1327">
            <v>35347.959999999897</v>
          </cell>
          <cell r="N1327">
            <v>5458.3999999999896</v>
          </cell>
          <cell r="O1327">
            <v>0</v>
          </cell>
          <cell r="R1327">
            <v>9.99</v>
          </cell>
        </row>
        <row r="1328">
          <cell r="G1328">
            <v>14749.139999999899</v>
          </cell>
          <cell r="I1328">
            <v>381.62</v>
          </cell>
          <cell r="J1328">
            <v>2325.36</v>
          </cell>
          <cell r="K1328">
            <v>0</v>
          </cell>
          <cell r="L1328">
            <v>2706.98</v>
          </cell>
          <cell r="M1328">
            <v>18307.38</v>
          </cell>
          <cell r="N1328">
            <v>2572.6199999999899</v>
          </cell>
          <cell r="O1328">
            <v>0</v>
          </cell>
          <cell r="R1328">
            <v>4.4800000000000004</v>
          </cell>
        </row>
        <row r="1329">
          <cell r="G1329">
            <v>8083.38</v>
          </cell>
          <cell r="I1329">
            <v>190.81</v>
          </cell>
          <cell r="J1329">
            <v>0</v>
          </cell>
          <cell r="K1329">
            <v>0</v>
          </cell>
          <cell r="L1329">
            <v>190.81</v>
          </cell>
          <cell r="M1329">
            <v>8685.1299999999901</v>
          </cell>
          <cell r="N1329">
            <v>1394.8699999999899</v>
          </cell>
          <cell r="O1329">
            <v>0</v>
          </cell>
          <cell r="R1329">
            <v>2.4500000000000002</v>
          </cell>
        </row>
        <row r="1330">
          <cell r="G1330">
            <v>51621.989999999903</v>
          </cell>
          <cell r="I1330">
            <v>1335.67</v>
          </cell>
          <cell r="J1330">
            <v>977.51999999999896</v>
          </cell>
          <cell r="K1330">
            <v>0</v>
          </cell>
          <cell r="L1330">
            <v>2313.19</v>
          </cell>
          <cell r="M1330">
            <v>56795.41</v>
          </cell>
          <cell r="N1330">
            <v>13357.91</v>
          </cell>
          <cell r="O1330">
            <v>0</v>
          </cell>
          <cell r="R1330">
            <v>15.68</v>
          </cell>
        </row>
        <row r="1331">
          <cell r="G1331">
            <v>149224.359999999</v>
          </cell>
          <cell r="I1331">
            <v>3466.42</v>
          </cell>
          <cell r="J1331">
            <v>0</v>
          </cell>
          <cell r="K1331">
            <v>0</v>
          </cell>
          <cell r="L1331">
            <v>3466.42</v>
          </cell>
          <cell r="M1331">
            <v>160378.06</v>
          </cell>
          <cell r="N1331">
            <v>28172.18</v>
          </cell>
          <cell r="O1331">
            <v>0</v>
          </cell>
          <cell r="R1331">
            <v>45.34</v>
          </cell>
        </row>
        <row r="1332">
          <cell r="G1332">
            <v>15363.69</v>
          </cell>
          <cell r="I1332">
            <v>397.51999999999902</v>
          </cell>
          <cell r="J1332">
            <v>1537.67</v>
          </cell>
          <cell r="K1332">
            <v>0</v>
          </cell>
          <cell r="L1332">
            <v>1935.19</v>
          </cell>
          <cell r="M1332">
            <v>18159.16</v>
          </cell>
          <cell r="N1332">
            <v>2942.09</v>
          </cell>
          <cell r="O1332">
            <v>0</v>
          </cell>
          <cell r="R1332">
            <v>4.6699999999999902</v>
          </cell>
        </row>
        <row r="1333">
          <cell r="G1333">
            <v>67024.710000000006</v>
          </cell>
          <cell r="I1333">
            <v>1558.3</v>
          </cell>
          <cell r="J1333">
            <v>0</v>
          </cell>
          <cell r="K1333">
            <v>0</v>
          </cell>
          <cell r="L1333">
            <v>1558.3</v>
          </cell>
          <cell r="M1333">
            <v>71903.199999999895</v>
          </cell>
          <cell r="N1333">
            <v>9533.1200000000008</v>
          </cell>
          <cell r="O1333">
            <v>0</v>
          </cell>
          <cell r="R1333">
            <v>20.3599999999999</v>
          </cell>
        </row>
        <row r="1334">
          <cell r="G1334">
            <v>19198.029999999901</v>
          </cell>
          <cell r="I1334">
            <v>453.18</v>
          </cell>
          <cell r="J1334">
            <v>0</v>
          </cell>
          <cell r="K1334">
            <v>0</v>
          </cell>
          <cell r="L1334">
            <v>453.18</v>
          </cell>
          <cell r="M1334">
            <v>20623.029999999901</v>
          </cell>
          <cell r="N1334">
            <v>3213.65</v>
          </cell>
          <cell r="O1334">
            <v>0</v>
          </cell>
          <cell r="R1334">
            <v>5.83</v>
          </cell>
        </row>
        <row r="1335">
          <cell r="G1335">
            <v>36872.849999999897</v>
          </cell>
          <cell r="I1335">
            <v>954.05999999999904</v>
          </cell>
          <cell r="J1335">
            <v>1212.48</v>
          </cell>
          <cell r="K1335">
            <v>0</v>
          </cell>
          <cell r="L1335">
            <v>2166.54</v>
          </cell>
          <cell r="M1335">
            <v>41093.08</v>
          </cell>
          <cell r="N1335">
            <v>9279.2000000000007</v>
          </cell>
          <cell r="O1335">
            <v>0</v>
          </cell>
          <cell r="R1335">
            <v>11.1999999999999</v>
          </cell>
        </row>
        <row r="1336">
          <cell r="G1336">
            <v>17153.619999999901</v>
          </cell>
          <cell r="I1336">
            <v>397.51999999999902</v>
          </cell>
          <cell r="J1336">
            <v>0</v>
          </cell>
          <cell r="K1336">
            <v>0</v>
          </cell>
          <cell r="L1336">
            <v>397.51999999999902</v>
          </cell>
          <cell r="M1336">
            <v>18401.330000000002</v>
          </cell>
          <cell r="N1336">
            <v>2451.67</v>
          </cell>
          <cell r="O1336">
            <v>0</v>
          </cell>
          <cell r="R1336">
            <v>5.21</v>
          </cell>
        </row>
        <row r="1337">
          <cell r="G1337">
            <v>14749.139999999899</v>
          </cell>
          <cell r="I1337">
            <v>381.62</v>
          </cell>
          <cell r="J1337">
            <v>1300.8</v>
          </cell>
          <cell r="K1337">
            <v>0</v>
          </cell>
          <cell r="L1337">
            <v>1682.42</v>
          </cell>
          <cell r="M1337">
            <v>17282.82</v>
          </cell>
          <cell r="N1337">
            <v>3597.1799999999898</v>
          </cell>
          <cell r="O1337">
            <v>0</v>
          </cell>
          <cell r="R1337">
            <v>4.4800000000000004</v>
          </cell>
        </row>
        <row r="1338">
          <cell r="G1338">
            <v>118580.66</v>
          </cell>
          <cell r="I1338">
            <v>2846.28</v>
          </cell>
          <cell r="J1338">
            <v>0</v>
          </cell>
          <cell r="K1338">
            <v>0</v>
          </cell>
          <cell r="L1338">
            <v>2846.28</v>
          </cell>
          <cell r="M1338">
            <v>127748.55</v>
          </cell>
          <cell r="N1338">
            <v>27303.619999999901</v>
          </cell>
          <cell r="O1338">
            <v>0</v>
          </cell>
          <cell r="R1338">
            <v>36.020000000000003</v>
          </cell>
        </row>
        <row r="1339">
          <cell r="G1339">
            <v>49778.349999999897</v>
          </cell>
          <cell r="I1339">
            <v>1287.97</v>
          </cell>
          <cell r="J1339">
            <v>1815.8399999999899</v>
          </cell>
          <cell r="K1339">
            <v>0</v>
          </cell>
          <cell r="L1339">
            <v>3103.8099999999899</v>
          </cell>
          <cell r="M1339">
            <v>55619.519999999902</v>
          </cell>
          <cell r="N1339">
            <v>11521.709999999901</v>
          </cell>
          <cell r="O1339">
            <v>0</v>
          </cell>
          <cell r="R1339">
            <v>15.13</v>
          </cell>
        </row>
        <row r="1340">
          <cell r="G1340">
            <v>107105.41</v>
          </cell>
          <cell r="I1340">
            <v>2766.76</v>
          </cell>
          <cell r="J1340">
            <v>4308.1499999999896</v>
          </cell>
          <cell r="K1340">
            <v>0</v>
          </cell>
          <cell r="L1340">
            <v>7074.9099999999899</v>
          </cell>
          <cell r="M1340">
            <v>120040.95</v>
          </cell>
          <cell r="N1340">
            <v>23706.389999999901</v>
          </cell>
          <cell r="O1340">
            <v>0</v>
          </cell>
          <cell r="R1340">
            <v>32.53</v>
          </cell>
        </row>
        <row r="1341">
          <cell r="G1341">
            <v>14749.139999999899</v>
          </cell>
          <cell r="I1341">
            <v>381.62</v>
          </cell>
          <cell r="J1341">
            <v>1545.3599999999899</v>
          </cell>
          <cell r="K1341">
            <v>0</v>
          </cell>
          <cell r="L1341">
            <v>1926.98</v>
          </cell>
          <cell r="M1341">
            <v>17527.38</v>
          </cell>
          <cell r="N1341">
            <v>3352.6199999999899</v>
          </cell>
          <cell r="O1341">
            <v>0</v>
          </cell>
          <cell r="R1341">
            <v>4.4800000000000004</v>
          </cell>
        </row>
        <row r="1342">
          <cell r="G1342">
            <v>16926.389999999901</v>
          </cell>
          <cell r="I1342">
            <v>397.51999999999902</v>
          </cell>
          <cell r="J1342">
            <v>0</v>
          </cell>
          <cell r="K1342">
            <v>0</v>
          </cell>
          <cell r="L1342">
            <v>397.51999999999902</v>
          </cell>
          <cell r="M1342">
            <v>18171.490000000002</v>
          </cell>
          <cell r="N1342">
            <v>2618.5100000000002</v>
          </cell>
          <cell r="O1342">
            <v>0</v>
          </cell>
          <cell r="R1342">
            <v>5.15</v>
          </cell>
        </row>
        <row r="1343">
          <cell r="G1343">
            <v>58996.559999999903</v>
          </cell>
          <cell r="I1343">
            <v>1526.5</v>
          </cell>
          <cell r="J1343">
            <v>7222.0799999999899</v>
          </cell>
          <cell r="K1343">
            <v>0</v>
          </cell>
          <cell r="L1343">
            <v>8748.5799999999908</v>
          </cell>
          <cell r="M1343">
            <v>71057.08</v>
          </cell>
          <cell r="N1343">
            <v>10176.68</v>
          </cell>
          <cell r="O1343">
            <v>0</v>
          </cell>
          <cell r="R1343">
            <v>17.920000000000002</v>
          </cell>
        </row>
        <row r="1344">
          <cell r="G1344">
            <v>33185.57</v>
          </cell>
          <cell r="I1344">
            <v>858.65999999999894</v>
          </cell>
          <cell r="J1344">
            <v>0</v>
          </cell>
          <cell r="K1344">
            <v>0</v>
          </cell>
          <cell r="L1344">
            <v>858.65999999999894</v>
          </cell>
          <cell r="M1344">
            <v>35884.120000000003</v>
          </cell>
          <cell r="N1344">
            <v>9242</v>
          </cell>
          <cell r="O1344">
            <v>0</v>
          </cell>
          <cell r="R1344">
            <v>10.09</v>
          </cell>
        </row>
        <row r="1345">
          <cell r="G1345">
            <v>14749.139999999899</v>
          </cell>
          <cell r="I1345">
            <v>381.62</v>
          </cell>
          <cell r="J1345">
            <v>0</v>
          </cell>
          <cell r="K1345">
            <v>0</v>
          </cell>
          <cell r="L1345">
            <v>381.62</v>
          </cell>
          <cell r="M1345">
            <v>15937.969999999899</v>
          </cell>
          <cell r="N1345">
            <v>3862.03</v>
          </cell>
          <cell r="O1345">
            <v>0</v>
          </cell>
          <cell r="R1345">
            <v>4.4800000000000004</v>
          </cell>
        </row>
        <row r="1346">
          <cell r="G1346">
            <v>14749.139999999899</v>
          </cell>
          <cell r="I1346">
            <v>381.62</v>
          </cell>
          <cell r="J1346">
            <v>0</v>
          </cell>
          <cell r="K1346">
            <v>0</v>
          </cell>
          <cell r="L1346">
            <v>381.62</v>
          </cell>
          <cell r="M1346">
            <v>15937.969999999899</v>
          </cell>
          <cell r="N1346">
            <v>3862.03</v>
          </cell>
          <cell r="O1346">
            <v>0</v>
          </cell>
          <cell r="R1346">
            <v>4.4800000000000004</v>
          </cell>
        </row>
        <row r="1347">
          <cell r="G1347">
            <v>30582.9399999999</v>
          </cell>
          <cell r="I1347">
            <v>763.24</v>
          </cell>
          <cell r="J1347">
            <v>0</v>
          </cell>
          <cell r="K1347">
            <v>0</v>
          </cell>
          <cell r="L1347">
            <v>763.24</v>
          </cell>
          <cell r="M1347">
            <v>32949.360000000001</v>
          </cell>
          <cell r="N1347">
            <v>6373.68</v>
          </cell>
          <cell r="O1347">
            <v>0</v>
          </cell>
          <cell r="R1347">
            <v>9.2899999999999903</v>
          </cell>
        </row>
        <row r="1348">
          <cell r="G1348">
            <v>5489.1599999999899</v>
          </cell>
          <cell r="I1348">
            <v>127.209999999999</v>
          </cell>
          <cell r="J1348">
            <v>0</v>
          </cell>
          <cell r="K1348">
            <v>0</v>
          </cell>
          <cell r="L1348">
            <v>127.209999999999</v>
          </cell>
          <cell r="M1348">
            <v>5887.59</v>
          </cell>
          <cell r="N1348">
            <v>765.21</v>
          </cell>
          <cell r="O1348">
            <v>0</v>
          </cell>
          <cell r="R1348">
            <v>1.6699999999999899</v>
          </cell>
        </row>
        <row r="1349">
          <cell r="G1349">
            <v>2058.4299999999898</v>
          </cell>
          <cell r="I1349">
            <v>47.7</v>
          </cell>
          <cell r="J1349">
            <v>0</v>
          </cell>
          <cell r="K1349">
            <v>0</v>
          </cell>
          <cell r="L1349">
            <v>47.7</v>
          </cell>
          <cell r="M1349">
            <v>2208.1199999999899</v>
          </cell>
          <cell r="N1349">
            <v>294.24</v>
          </cell>
          <cell r="O1349">
            <v>0</v>
          </cell>
          <cell r="R1349">
            <v>0.63</v>
          </cell>
        </row>
        <row r="1350">
          <cell r="G1350">
            <v>300902.77</v>
          </cell>
          <cell r="I1350">
            <v>7712</v>
          </cell>
          <cell r="J1350">
            <v>2985.1199999999899</v>
          </cell>
          <cell r="K1350">
            <v>0</v>
          </cell>
          <cell r="L1350">
            <v>10697.12</v>
          </cell>
          <cell r="M1350">
            <v>327931.87</v>
          </cell>
          <cell r="N1350">
            <v>72649.850000000006</v>
          </cell>
          <cell r="O1350">
            <v>0</v>
          </cell>
          <cell r="R1350">
            <v>91.43</v>
          </cell>
        </row>
        <row r="1351">
          <cell r="G1351">
            <v>24581.9</v>
          </cell>
          <cell r="I1351">
            <v>636.03999999999905</v>
          </cell>
          <cell r="J1351">
            <v>0</v>
          </cell>
          <cell r="K1351">
            <v>0</v>
          </cell>
          <cell r="L1351">
            <v>636.03999999999905</v>
          </cell>
          <cell r="M1351">
            <v>26576.709999999901</v>
          </cell>
          <cell r="N1351">
            <v>6750.29</v>
          </cell>
          <cell r="O1351">
            <v>0</v>
          </cell>
          <cell r="R1351">
            <v>7.46999999999999</v>
          </cell>
        </row>
        <row r="1352">
          <cell r="G1352">
            <v>9218.20999999999</v>
          </cell>
          <cell r="I1352">
            <v>238.52</v>
          </cell>
          <cell r="J1352">
            <v>0</v>
          </cell>
          <cell r="K1352">
            <v>0</v>
          </cell>
          <cell r="L1352">
            <v>238.52</v>
          </cell>
          <cell r="M1352">
            <v>9966.85</v>
          </cell>
          <cell r="N1352">
            <v>2544.9499999999898</v>
          </cell>
          <cell r="O1352">
            <v>0</v>
          </cell>
          <cell r="R1352">
            <v>2.7999999999999901</v>
          </cell>
        </row>
        <row r="1353">
          <cell r="G1353">
            <v>16840.369999999901</v>
          </cell>
          <cell r="I1353">
            <v>397.51999999999902</v>
          </cell>
          <cell r="J1353">
            <v>0</v>
          </cell>
          <cell r="K1353">
            <v>0</v>
          </cell>
          <cell r="L1353">
            <v>397.51999999999902</v>
          </cell>
          <cell r="M1353">
            <v>18085.47</v>
          </cell>
          <cell r="N1353">
            <v>2704.53</v>
          </cell>
          <cell r="O1353">
            <v>0</v>
          </cell>
          <cell r="R1353">
            <v>5.12</v>
          </cell>
        </row>
        <row r="1354">
          <cell r="G1354">
            <v>109612.929999999</v>
          </cell>
          <cell r="I1354">
            <v>2846.27</v>
          </cell>
          <cell r="J1354">
            <v>10415.790000000001</v>
          </cell>
          <cell r="K1354">
            <v>0</v>
          </cell>
          <cell r="L1354">
            <v>13262.059999999899</v>
          </cell>
          <cell r="M1354">
            <v>129102.98</v>
          </cell>
          <cell r="N1354">
            <v>23653.9399999999</v>
          </cell>
          <cell r="O1354">
            <v>0</v>
          </cell>
          <cell r="R1354">
            <v>33.31</v>
          </cell>
        </row>
        <row r="1355">
          <cell r="G1355">
            <v>36365.669999999896</v>
          </cell>
          <cell r="I1355">
            <v>842.75</v>
          </cell>
          <cell r="J1355">
            <v>0</v>
          </cell>
          <cell r="K1355">
            <v>0</v>
          </cell>
          <cell r="L1355">
            <v>842.75</v>
          </cell>
          <cell r="M1355">
            <v>39002.599999999897</v>
          </cell>
          <cell r="N1355">
            <v>5004.1599999999899</v>
          </cell>
          <cell r="O1355">
            <v>0</v>
          </cell>
          <cell r="R1355">
            <v>11.06</v>
          </cell>
        </row>
        <row r="1356">
          <cell r="G1356">
            <v>15833.799999999899</v>
          </cell>
          <cell r="I1356">
            <v>381.62</v>
          </cell>
          <cell r="J1356">
            <v>977.51999999999896</v>
          </cell>
          <cell r="K1356">
            <v>0</v>
          </cell>
          <cell r="L1356">
            <v>1359.14</v>
          </cell>
          <cell r="M1356">
            <v>18033.16</v>
          </cell>
          <cell r="N1356">
            <v>2575.4</v>
          </cell>
          <cell r="O1356">
            <v>0</v>
          </cell>
          <cell r="R1356">
            <v>4.8099999999999898</v>
          </cell>
        </row>
        <row r="1357">
          <cell r="G1357">
            <v>46279.589999999902</v>
          </cell>
          <cell r="I1357">
            <v>1160.77</v>
          </cell>
          <cell r="J1357">
            <v>1118.52</v>
          </cell>
          <cell r="K1357">
            <v>0</v>
          </cell>
          <cell r="L1357">
            <v>2279.29</v>
          </cell>
          <cell r="M1357">
            <v>51052.68</v>
          </cell>
          <cell r="N1357">
            <v>10114.120000000001</v>
          </cell>
          <cell r="O1357">
            <v>0</v>
          </cell>
          <cell r="R1357">
            <v>14.07</v>
          </cell>
        </row>
        <row r="1358">
          <cell r="G1358">
            <v>47501.4</v>
          </cell>
          <cell r="I1358">
            <v>1144.8599999999899</v>
          </cell>
          <cell r="J1358">
            <v>2396.88</v>
          </cell>
          <cell r="K1358">
            <v>0</v>
          </cell>
          <cell r="L1358">
            <v>3541.7399999999898</v>
          </cell>
          <cell r="M1358">
            <v>53552.949999999903</v>
          </cell>
          <cell r="N1358">
            <v>8007.05</v>
          </cell>
          <cell r="O1358">
            <v>0</v>
          </cell>
          <cell r="R1358">
            <v>14.43</v>
          </cell>
        </row>
        <row r="1359">
          <cell r="G1359">
            <v>24250.139999999901</v>
          </cell>
          <cell r="I1359">
            <v>572.44000000000005</v>
          </cell>
          <cell r="J1359">
            <v>0</v>
          </cell>
          <cell r="K1359">
            <v>0</v>
          </cell>
          <cell r="L1359">
            <v>572.44000000000005</v>
          </cell>
          <cell r="M1359">
            <v>26050.58</v>
          </cell>
          <cell r="N1359">
            <v>4068.46</v>
          </cell>
          <cell r="O1359">
            <v>0</v>
          </cell>
          <cell r="R1359">
            <v>7.37</v>
          </cell>
        </row>
        <row r="1360">
          <cell r="G1360">
            <v>9832.75</v>
          </cell>
          <cell r="I1360">
            <v>254.41</v>
          </cell>
          <cell r="J1360">
            <v>0</v>
          </cell>
          <cell r="K1360">
            <v>0</v>
          </cell>
          <cell r="L1360">
            <v>254.41</v>
          </cell>
          <cell r="M1360">
            <v>10628.629999999899</v>
          </cell>
          <cell r="N1360">
            <v>2651.77</v>
          </cell>
          <cell r="O1360">
            <v>0</v>
          </cell>
          <cell r="R1360">
            <v>2.99</v>
          </cell>
        </row>
        <row r="1361">
          <cell r="G1361">
            <v>11061.85</v>
          </cell>
          <cell r="I1361">
            <v>286.23</v>
          </cell>
          <cell r="J1361">
            <v>0</v>
          </cell>
          <cell r="K1361">
            <v>0</v>
          </cell>
          <cell r="L1361">
            <v>286.23</v>
          </cell>
          <cell r="M1361">
            <v>11958.34</v>
          </cell>
          <cell r="N1361">
            <v>3010.46</v>
          </cell>
          <cell r="O1361">
            <v>0</v>
          </cell>
          <cell r="R1361">
            <v>3.37</v>
          </cell>
        </row>
        <row r="1362">
          <cell r="G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R1362">
            <v>0</v>
          </cell>
        </row>
        <row r="1363">
          <cell r="G1363">
            <v>29633.34</v>
          </cell>
          <cell r="I1363">
            <v>0</v>
          </cell>
          <cell r="J1363">
            <v>3561.5999999999899</v>
          </cell>
          <cell r="K1363">
            <v>0</v>
          </cell>
          <cell r="L1363">
            <v>3561.5999999999899</v>
          </cell>
          <cell r="M1363">
            <v>35369.589999999902</v>
          </cell>
          <cell r="N1363">
            <v>7110.4099999999899</v>
          </cell>
          <cell r="O1363">
            <v>0</v>
          </cell>
          <cell r="R1363">
            <v>0</v>
          </cell>
        </row>
        <row r="1364">
          <cell r="G1364">
            <v>6752.5699999999897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7190.2299999999896</v>
          </cell>
          <cell r="N1364">
            <v>1359.77</v>
          </cell>
          <cell r="O1364">
            <v>0</v>
          </cell>
          <cell r="R1364">
            <v>0</v>
          </cell>
        </row>
        <row r="1365">
          <cell r="G1365">
            <v>14816.67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15848.7</v>
          </cell>
          <cell r="N1365">
            <v>4311.3</v>
          </cell>
          <cell r="O1365">
            <v>0</v>
          </cell>
          <cell r="R1365">
            <v>0</v>
          </cell>
        </row>
        <row r="1366">
          <cell r="G1366">
            <v>14816.67</v>
          </cell>
          <cell r="I1366">
            <v>0</v>
          </cell>
          <cell r="J1366">
            <v>1404</v>
          </cell>
          <cell r="K1366">
            <v>0</v>
          </cell>
          <cell r="L1366">
            <v>1404</v>
          </cell>
          <cell r="M1366">
            <v>17307.990000000002</v>
          </cell>
          <cell r="N1366">
            <v>3932.01</v>
          </cell>
          <cell r="O1366">
            <v>0</v>
          </cell>
          <cell r="R1366">
            <v>0</v>
          </cell>
        </row>
        <row r="1367">
          <cell r="G1367">
            <v>14816.67</v>
          </cell>
          <cell r="I1367">
            <v>0</v>
          </cell>
          <cell r="J1367">
            <v>2163.36</v>
          </cell>
          <cell r="K1367">
            <v>0</v>
          </cell>
          <cell r="L1367">
            <v>2163.36</v>
          </cell>
          <cell r="M1367">
            <v>18067.3499999999</v>
          </cell>
          <cell r="N1367">
            <v>3172.65</v>
          </cell>
          <cell r="O1367">
            <v>0</v>
          </cell>
          <cell r="R1367">
            <v>0</v>
          </cell>
        </row>
        <row r="1368">
          <cell r="G1368">
            <v>74237.38</v>
          </cell>
          <cell r="I1368">
            <v>0</v>
          </cell>
          <cell r="J1368">
            <v>0</v>
          </cell>
          <cell r="K1368">
            <v>0</v>
          </cell>
          <cell r="L1368">
            <v>0</v>
          </cell>
          <cell r="M1368">
            <v>79036.66</v>
          </cell>
          <cell r="N1368">
            <v>14714.34</v>
          </cell>
          <cell r="O1368">
            <v>0</v>
          </cell>
          <cell r="R1368">
            <v>0</v>
          </cell>
        </row>
        <row r="1369">
          <cell r="G1369">
            <v>16206.17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17256.63</v>
          </cell>
          <cell r="N1369">
            <v>3263.3699999999899</v>
          </cell>
          <cell r="O1369">
            <v>0</v>
          </cell>
          <cell r="R1369">
            <v>0</v>
          </cell>
        </row>
        <row r="1370">
          <cell r="G1370">
            <v>185208.429999999</v>
          </cell>
          <cell r="I1370">
            <v>0</v>
          </cell>
          <cell r="J1370">
            <v>0</v>
          </cell>
          <cell r="K1370">
            <v>0</v>
          </cell>
          <cell r="L1370">
            <v>0</v>
          </cell>
          <cell r="M1370">
            <v>198247.38</v>
          </cell>
          <cell r="N1370">
            <v>56458.62</v>
          </cell>
          <cell r="O1370">
            <v>0</v>
          </cell>
          <cell r="R1370">
            <v>0</v>
          </cell>
        </row>
        <row r="1371">
          <cell r="G1371">
            <v>62015.73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66029.559999999896</v>
          </cell>
          <cell r="N1371">
            <v>12377.719999999899</v>
          </cell>
          <cell r="O1371">
            <v>0</v>
          </cell>
          <cell r="R1371">
            <v>0</v>
          </cell>
        </row>
        <row r="1372">
          <cell r="G1372">
            <v>31022.79</v>
          </cell>
          <cell r="I1372">
            <v>0</v>
          </cell>
          <cell r="J1372">
            <v>1833.8399999999899</v>
          </cell>
          <cell r="K1372">
            <v>0</v>
          </cell>
          <cell r="L1372">
            <v>1833.8399999999899</v>
          </cell>
          <cell r="M1372">
            <v>34961.08</v>
          </cell>
          <cell r="N1372">
            <v>6149.2399999999898</v>
          </cell>
          <cell r="O1372">
            <v>0</v>
          </cell>
          <cell r="R1372">
            <v>0</v>
          </cell>
        </row>
        <row r="1373">
          <cell r="G1373">
            <v>46302.099999999897</v>
          </cell>
          <cell r="I1373">
            <v>0</v>
          </cell>
          <cell r="J1373">
            <v>0</v>
          </cell>
          <cell r="K1373">
            <v>0</v>
          </cell>
          <cell r="L1373">
            <v>0</v>
          </cell>
          <cell r="M1373">
            <v>49561.82</v>
          </cell>
          <cell r="N1373">
            <v>14114.41</v>
          </cell>
          <cell r="O1373">
            <v>0</v>
          </cell>
          <cell r="R1373">
            <v>0</v>
          </cell>
        </row>
        <row r="1374">
          <cell r="G1374">
            <v>44450.01</v>
          </cell>
          <cell r="I1374">
            <v>0</v>
          </cell>
          <cell r="J1374">
            <v>5978.1599999999899</v>
          </cell>
          <cell r="K1374">
            <v>0</v>
          </cell>
          <cell r="L1374">
            <v>5978.1599999999899</v>
          </cell>
          <cell r="M1374">
            <v>53690.16</v>
          </cell>
          <cell r="N1374">
            <v>10029.84</v>
          </cell>
          <cell r="O1374">
            <v>0</v>
          </cell>
          <cell r="R1374">
            <v>0</v>
          </cell>
        </row>
        <row r="1375">
          <cell r="G1375">
            <v>14816.67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15859.83</v>
          </cell>
          <cell r="N1375">
            <v>4516.6499999999896</v>
          </cell>
          <cell r="O1375">
            <v>0</v>
          </cell>
          <cell r="R1375">
            <v>0</v>
          </cell>
        </row>
        <row r="1376">
          <cell r="G1376">
            <v>135513.67000000001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144265.019999999</v>
          </cell>
          <cell r="N1376">
            <v>26685.75</v>
          </cell>
          <cell r="O1376">
            <v>0</v>
          </cell>
          <cell r="R1376">
            <v>0</v>
          </cell>
        </row>
        <row r="1377">
          <cell r="G1377">
            <v>2811.3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2986.4</v>
          </cell>
          <cell r="N1377">
            <v>433.6</v>
          </cell>
          <cell r="O1377">
            <v>0</v>
          </cell>
          <cell r="R1377">
            <v>0</v>
          </cell>
        </row>
        <row r="1378">
          <cell r="G1378">
            <v>67292.389999999898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72029.88</v>
          </cell>
          <cell r="N1378">
            <v>20513.049999999901</v>
          </cell>
          <cell r="O1378">
            <v>0</v>
          </cell>
          <cell r="R1378">
            <v>0</v>
          </cell>
        </row>
        <row r="1379">
          <cell r="G1379">
            <v>213536.16</v>
          </cell>
          <cell r="I1379">
            <v>0</v>
          </cell>
          <cell r="J1379">
            <v>2801.76</v>
          </cell>
          <cell r="K1379">
            <v>0</v>
          </cell>
          <cell r="L1379">
            <v>2801.76</v>
          </cell>
          <cell r="M1379">
            <v>230755.209999999</v>
          </cell>
          <cell r="N1379">
            <v>50876.389999999898</v>
          </cell>
          <cell r="O1379">
            <v>0</v>
          </cell>
          <cell r="R1379">
            <v>0</v>
          </cell>
        </row>
        <row r="1380">
          <cell r="G1380">
            <v>14816.48</v>
          </cell>
          <cell r="I1380">
            <v>0</v>
          </cell>
          <cell r="J1380">
            <v>2119.1999999999898</v>
          </cell>
          <cell r="K1380">
            <v>0</v>
          </cell>
          <cell r="L1380">
            <v>2119.1999999999898</v>
          </cell>
          <cell r="M1380">
            <v>18004.61</v>
          </cell>
          <cell r="N1380">
            <v>2875.3899999999899</v>
          </cell>
          <cell r="O1380">
            <v>0</v>
          </cell>
          <cell r="R1380">
            <v>0</v>
          </cell>
        </row>
        <row r="1381">
          <cell r="G1381">
            <v>44450.01</v>
          </cell>
          <cell r="I1381">
            <v>0</v>
          </cell>
          <cell r="J1381">
            <v>4391.2799999999897</v>
          </cell>
          <cell r="K1381">
            <v>0</v>
          </cell>
          <cell r="L1381">
            <v>4391.2799999999897</v>
          </cell>
          <cell r="M1381">
            <v>52080.389999999898</v>
          </cell>
          <cell r="N1381">
            <v>11193.93</v>
          </cell>
          <cell r="O1381">
            <v>0</v>
          </cell>
          <cell r="R1381">
            <v>0</v>
          </cell>
        </row>
        <row r="1382">
          <cell r="G1382">
            <v>116209.899999999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123789.03</v>
          </cell>
          <cell r="N1382">
            <v>24263.369999999901</v>
          </cell>
          <cell r="O1382">
            <v>0</v>
          </cell>
          <cell r="R1382">
            <v>0</v>
          </cell>
        </row>
        <row r="1383">
          <cell r="G1383">
            <v>59434.809999999903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63216.08</v>
          </cell>
          <cell r="N1383">
            <v>10647.91</v>
          </cell>
          <cell r="O1383">
            <v>0</v>
          </cell>
          <cell r="R1383">
            <v>0</v>
          </cell>
        </row>
        <row r="1384">
          <cell r="G1384">
            <v>7408.34</v>
          </cell>
          <cell r="I1384">
            <v>0</v>
          </cell>
          <cell r="J1384">
            <v>1016.88</v>
          </cell>
          <cell r="K1384">
            <v>0</v>
          </cell>
          <cell r="L1384">
            <v>1016.88</v>
          </cell>
          <cell r="M1384">
            <v>8968.8700000000008</v>
          </cell>
          <cell r="N1384">
            <v>1651.13</v>
          </cell>
          <cell r="O1384">
            <v>0</v>
          </cell>
          <cell r="R1384">
            <v>0</v>
          </cell>
        </row>
        <row r="1385">
          <cell r="G1385">
            <v>14816.67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14816.67</v>
          </cell>
          <cell r="N1385">
            <v>5202.21</v>
          </cell>
          <cell r="O1385">
            <v>0</v>
          </cell>
          <cell r="R1385">
            <v>0</v>
          </cell>
        </row>
        <row r="1386">
          <cell r="G1386">
            <v>32371.43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34457.75</v>
          </cell>
          <cell r="N1386">
            <v>6295.21</v>
          </cell>
          <cell r="O1386">
            <v>0</v>
          </cell>
          <cell r="R1386">
            <v>0</v>
          </cell>
        </row>
        <row r="1387">
          <cell r="G1387">
            <v>9877.7800000000007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9877.7800000000007</v>
          </cell>
          <cell r="N1387">
            <v>3802.2199999999898</v>
          </cell>
          <cell r="O1387">
            <v>0</v>
          </cell>
          <cell r="R1387">
            <v>0</v>
          </cell>
        </row>
        <row r="1388">
          <cell r="G1388">
            <v>0</v>
          </cell>
          <cell r="I1388">
            <v>0</v>
          </cell>
          <cell r="J1388">
            <v>59789.709999999897</v>
          </cell>
          <cell r="K1388">
            <v>0</v>
          </cell>
          <cell r="L1388">
            <v>59789.709999999897</v>
          </cell>
          <cell r="M1388">
            <v>59789.709999999897</v>
          </cell>
          <cell r="N1388">
            <v>-59789.709999999897</v>
          </cell>
          <cell r="O1388">
            <v>0</v>
          </cell>
          <cell r="R1388">
            <v>0</v>
          </cell>
        </row>
        <row r="1389">
          <cell r="G1389">
            <v>30650.47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30650.47</v>
          </cell>
          <cell r="N1389">
            <v>9669.5300000000007</v>
          </cell>
          <cell r="O1389">
            <v>0</v>
          </cell>
          <cell r="R1389">
            <v>0</v>
          </cell>
        </row>
        <row r="1390">
          <cell r="G1390">
            <v>316617.08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336335.12</v>
          </cell>
          <cell r="N1390">
            <v>48842.379999999903</v>
          </cell>
          <cell r="O1390">
            <v>0</v>
          </cell>
          <cell r="R1390">
            <v>0</v>
          </cell>
        </row>
        <row r="1391">
          <cell r="G1391">
            <v>7408.34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7408.34</v>
          </cell>
          <cell r="N1391">
            <v>2671.6599999999899</v>
          </cell>
          <cell r="O1391">
            <v>0</v>
          </cell>
          <cell r="R1391">
            <v>0</v>
          </cell>
        </row>
        <row r="1392">
          <cell r="G1392">
            <v>17570.61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18657.23</v>
          </cell>
          <cell r="N1392">
            <v>2568.02</v>
          </cell>
          <cell r="O1392">
            <v>0</v>
          </cell>
          <cell r="R1392">
            <v>0</v>
          </cell>
        </row>
        <row r="1393">
          <cell r="G1393">
            <v>57814.37</v>
          </cell>
          <cell r="I1393">
            <v>0</v>
          </cell>
          <cell r="J1393">
            <v>1456.8</v>
          </cell>
          <cell r="K1393">
            <v>0</v>
          </cell>
          <cell r="L1393">
            <v>1456.8</v>
          </cell>
          <cell r="M1393">
            <v>59271.169999999896</v>
          </cell>
          <cell r="N1393">
            <v>21010.75</v>
          </cell>
          <cell r="O1393">
            <v>0</v>
          </cell>
          <cell r="R1393">
            <v>0</v>
          </cell>
        </row>
        <row r="1394">
          <cell r="G1394">
            <v>46484.269999999902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46484.269999999902</v>
          </cell>
          <cell r="N1394">
            <v>13572.37</v>
          </cell>
          <cell r="O1394">
            <v>0</v>
          </cell>
          <cell r="R1394">
            <v>0</v>
          </cell>
        </row>
        <row r="1395">
          <cell r="G1395">
            <v>7408.34</v>
          </cell>
          <cell r="I1395">
            <v>0</v>
          </cell>
          <cell r="J1395">
            <v>794.75999999999897</v>
          </cell>
          <cell r="K1395">
            <v>0</v>
          </cell>
          <cell r="L1395">
            <v>794.75999999999897</v>
          </cell>
          <cell r="M1395">
            <v>8203.1</v>
          </cell>
          <cell r="N1395">
            <v>2416.9</v>
          </cell>
          <cell r="O1395">
            <v>0</v>
          </cell>
          <cell r="R1395">
            <v>0</v>
          </cell>
        </row>
        <row r="1396">
          <cell r="G1396">
            <v>33762.86</v>
          </cell>
          <cell r="I1396">
            <v>0</v>
          </cell>
          <cell r="J1396">
            <v>0</v>
          </cell>
          <cell r="K1396">
            <v>0</v>
          </cell>
          <cell r="L1396">
            <v>0</v>
          </cell>
          <cell r="M1396">
            <v>35936.059999999903</v>
          </cell>
          <cell r="N1396">
            <v>6514.4399999999896</v>
          </cell>
          <cell r="O1396">
            <v>0</v>
          </cell>
          <cell r="R1396">
            <v>0</v>
          </cell>
        </row>
        <row r="1397">
          <cell r="G1397">
            <v>7408.34</v>
          </cell>
          <cell r="I1397">
            <v>0</v>
          </cell>
          <cell r="J1397">
            <v>943.32</v>
          </cell>
          <cell r="K1397">
            <v>0</v>
          </cell>
          <cell r="L1397">
            <v>943.32</v>
          </cell>
          <cell r="M1397">
            <v>8351.6599999999908</v>
          </cell>
          <cell r="N1397">
            <v>2268.34</v>
          </cell>
          <cell r="O1397">
            <v>0</v>
          </cell>
          <cell r="R1397">
            <v>0</v>
          </cell>
        </row>
        <row r="1398">
          <cell r="G1398">
            <v>18330.799999999901</v>
          </cell>
          <cell r="I1398">
            <v>0</v>
          </cell>
          <cell r="J1398">
            <v>918.24</v>
          </cell>
          <cell r="K1398">
            <v>0</v>
          </cell>
          <cell r="L1398">
            <v>918.24</v>
          </cell>
          <cell r="M1398">
            <v>19467.91</v>
          </cell>
          <cell r="N1398">
            <v>6047.09</v>
          </cell>
          <cell r="O1398">
            <v>0</v>
          </cell>
          <cell r="R1398">
            <v>0</v>
          </cell>
        </row>
        <row r="1399">
          <cell r="G1399">
            <v>16867.779999999901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17910.9399999999</v>
          </cell>
          <cell r="N1399">
            <v>2465.54</v>
          </cell>
          <cell r="O1399">
            <v>0</v>
          </cell>
          <cell r="R1399">
            <v>0</v>
          </cell>
        </row>
        <row r="1400">
          <cell r="G1400">
            <v>59266.68</v>
          </cell>
          <cell r="I1400">
            <v>0</v>
          </cell>
          <cell r="J1400">
            <v>2325.36</v>
          </cell>
          <cell r="K1400">
            <v>0</v>
          </cell>
          <cell r="L1400">
            <v>2325.36</v>
          </cell>
          <cell r="M1400">
            <v>61592.04</v>
          </cell>
          <cell r="N1400">
            <v>19979.400000000001</v>
          </cell>
          <cell r="O1400">
            <v>0</v>
          </cell>
          <cell r="R1400">
            <v>0</v>
          </cell>
        </row>
        <row r="1401">
          <cell r="G1401">
            <v>16881.43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17975.72</v>
          </cell>
          <cell r="N1401">
            <v>3399.28</v>
          </cell>
          <cell r="O1401">
            <v>0</v>
          </cell>
          <cell r="R1401">
            <v>0</v>
          </cell>
        </row>
        <row r="1402">
          <cell r="G1402">
            <v>7408.34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7408.34</v>
          </cell>
          <cell r="N1402">
            <v>2601.0999999999899</v>
          </cell>
          <cell r="O1402">
            <v>0</v>
          </cell>
          <cell r="R1402">
            <v>0</v>
          </cell>
        </row>
        <row r="1403">
          <cell r="G1403">
            <v>14816.67</v>
          </cell>
          <cell r="I1403">
            <v>0</v>
          </cell>
          <cell r="J1403">
            <v>2119.1999999999898</v>
          </cell>
          <cell r="K1403">
            <v>0</v>
          </cell>
          <cell r="L1403">
            <v>2119.1999999999898</v>
          </cell>
          <cell r="M1403">
            <v>16935.869999999901</v>
          </cell>
          <cell r="N1403">
            <v>4155.5699999999897</v>
          </cell>
          <cell r="O1403">
            <v>0</v>
          </cell>
          <cell r="R1403">
            <v>0</v>
          </cell>
        </row>
        <row r="1404">
          <cell r="G1404">
            <v>74083.360000000001</v>
          </cell>
          <cell r="I1404">
            <v>0</v>
          </cell>
          <cell r="J1404">
            <v>9486.7199999999903</v>
          </cell>
          <cell r="K1404">
            <v>0</v>
          </cell>
          <cell r="L1404">
            <v>9486.7199999999903</v>
          </cell>
          <cell r="M1404">
            <v>83570.080000000002</v>
          </cell>
          <cell r="N1404">
            <v>22481.360000000001</v>
          </cell>
          <cell r="O1404">
            <v>0</v>
          </cell>
          <cell r="R1404">
            <v>0</v>
          </cell>
        </row>
        <row r="1405">
          <cell r="G1405">
            <v>6752.5699999999897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7187.25</v>
          </cell>
          <cell r="N1405">
            <v>1302.95</v>
          </cell>
          <cell r="O1405">
            <v>0</v>
          </cell>
          <cell r="R1405">
            <v>0</v>
          </cell>
        </row>
        <row r="1406">
          <cell r="G1406">
            <v>14816.67</v>
          </cell>
          <cell r="I1406">
            <v>0</v>
          </cell>
          <cell r="J1406">
            <v>1833.8399999999899</v>
          </cell>
          <cell r="K1406">
            <v>0</v>
          </cell>
          <cell r="L1406">
            <v>1833.8399999999899</v>
          </cell>
          <cell r="M1406">
            <v>16650.5099999999</v>
          </cell>
          <cell r="N1406">
            <v>4589.4899999999898</v>
          </cell>
          <cell r="O1406">
            <v>0</v>
          </cell>
          <cell r="R1406">
            <v>0</v>
          </cell>
        </row>
        <row r="1407">
          <cell r="G1407">
            <v>8643.0599999999904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8643.0599999999904</v>
          </cell>
          <cell r="N1407">
            <v>3116.94</v>
          </cell>
          <cell r="O1407">
            <v>0</v>
          </cell>
          <cell r="R1407">
            <v>0</v>
          </cell>
        </row>
        <row r="1408">
          <cell r="G1408">
            <v>12347.23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12347.23</v>
          </cell>
          <cell r="N1408">
            <v>4633.17</v>
          </cell>
          <cell r="O1408">
            <v>0</v>
          </cell>
          <cell r="R1408">
            <v>0</v>
          </cell>
        </row>
        <row r="1409">
          <cell r="G1409">
            <v>15833.799999999899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15833.799999999899</v>
          </cell>
          <cell r="N1409">
            <v>5334.1999999999898</v>
          </cell>
          <cell r="O1409">
            <v>0</v>
          </cell>
          <cell r="R1409">
            <v>0</v>
          </cell>
        </row>
        <row r="1410">
          <cell r="G1410">
            <v>8025.6999999999898</v>
          </cell>
          <cell r="I1410">
            <v>0</v>
          </cell>
          <cell r="J1410">
            <v>0</v>
          </cell>
          <cell r="K1410">
            <v>0</v>
          </cell>
          <cell r="L1410">
            <v>0</v>
          </cell>
          <cell r="M1410">
            <v>8025.6999999999898</v>
          </cell>
          <cell r="N1410">
            <v>3011.4899999999898</v>
          </cell>
          <cell r="O1410">
            <v>0</v>
          </cell>
          <cell r="R1410">
            <v>0</v>
          </cell>
        </row>
        <row r="1411">
          <cell r="G1411">
            <v>13104.68</v>
          </cell>
          <cell r="I1411">
            <v>256.69</v>
          </cell>
          <cell r="J1411">
            <v>0</v>
          </cell>
          <cell r="K1411">
            <v>0.04</v>
          </cell>
          <cell r="L1411">
            <v>256.73</v>
          </cell>
          <cell r="M1411">
            <v>13858.58</v>
          </cell>
          <cell r="N1411">
            <v>1749.2</v>
          </cell>
          <cell r="O1411">
            <v>0</v>
          </cell>
          <cell r="R1411">
            <v>30.399999999999899</v>
          </cell>
        </row>
        <row r="1412">
          <cell r="G1412">
            <v>11384.44</v>
          </cell>
          <cell r="I1412">
            <v>256.69</v>
          </cell>
          <cell r="J1412">
            <v>1130.6400000000001</v>
          </cell>
          <cell r="K1412">
            <v>0.04</v>
          </cell>
          <cell r="L1412">
            <v>1387.3699999999899</v>
          </cell>
          <cell r="M1412">
            <v>13289.87</v>
          </cell>
          <cell r="N1412">
            <v>2974.9299999999898</v>
          </cell>
          <cell r="O1412">
            <v>0</v>
          </cell>
          <cell r="R1412">
            <v>26.42</v>
          </cell>
        </row>
        <row r="1413">
          <cell r="G1413">
            <v>11384.45</v>
          </cell>
          <cell r="I1413">
            <v>256.69</v>
          </cell>
          <cell r="J1413">
            <v>688.55999999999904</v>
          </cell>
          <cell r="K1413">
            <v>0.04</v>
          </cell>
          <cell r="L1413">
            <v>945.28999999999905</v>
          </cell>
          <cell r="M1413">
            <v>12850.9</v>
          </cell>
          <cell r="N1413">
            <v>3511.0999999999899</v>
          </cell>
          <cell r="O1413">
            <v>0</v>
          </cell>
          <cell r="R1413">
            <v>26.42</v>
          </cell>
        </row>
        <row r="1414">
          <cell r="G1414">
            <v>11384.44</v>
          </cell>
          <cell r="I1414">
            <v>256.69</v>
          </cell>
          <cell r="J1414">
            <v>1590.72</v>
          </cell>
          <cell r="K1414">
            <v>0.04</v>
          </cell>
          <cell r="L1414">
            <v>1847.45</v>
          </cell>
          <cell r="M1414">
            <v>13753.049999999899</v>
          </cell>
          <cell r="N1414">
            <v>2608.9499999999898</v>
          </cell>
          <cell r="O1414">
            <v>0</v>
          </cell>
          <cell r="R1414">
            <v>26.42</v>
          </cell>
        </row>
        <row r="1415">
          <cell r="G1415">
            <v>45538.089999999902</v>
          </cell>
          <cell r="I1415">
            <v>1026.67</v>
          </cell>
          <cell r="J1415">
            <v>4961.5200000000004</v>
          </cell>
          <cell r="K1415">
            <v>0.17</v>
          </cell>
          <cell r="L1415">
            <v>5988.3599999999897</v>
          </cell>
          <cell r="M1415">
            <v>53587.32</v>
          </cell>
          <cell r="N1415">
            <v>11110.44</v>
          </cell>
          <cell r="O1415">
            <v>0</v>
          </cell>
          <cell r="R1415">
            <v>105.66</v>
          </cell>
        </row>
        <row r="1416">
          <cell r="G1416">
            <v>5692.22</v>
          </cell>
          <cell r="I1416">
            <v>128.34</v>
          </cell>
          <cell r="J1416">
            <v>373.19999999999902</v>
          </cell>
          <cell r="K1416">
            <v>0.02</v>
          </cell>
          <cell r="L1416">
            <v>501.56</v>
          </cell>
          <cell r="M1416">
            <v>6452.8299999999899</v>
          </cell>
          <cell r="N1416">
            <v>1679.5699999999899</v>
          </cell>
          <cell r="O1416">
            <v>0</v>
          </cell>
          <cell r="R1416">
            <v>13.1999999999999</v>
          </cell>
        </row>
        <row r="1417">
          <cell r="G1417">
            <v>45537.79</v>
          </cell>
          <cell r="I1417">
            <v>1026.67</v>
          </cell>
          <cell r="J1417">
            <v>8328.95999999999</v>
          </cell>
          <cell r="K1417">
            <v>0.17</v>
          </cell>
          <cell r="L1417">
            <v>9355.7999999999902</v>
          </cell>
          <cell r="M1417">
            <v>57019.22</v>
          </cell>
          <cell r="N1417">
            <v>9711.8199999999906</v>
          </cell>
          <cell r="O1417">
            <v>0</v>
          </cell>
          <cell r="R1417">
            <v>105.66</v>
          </cell>
        </row>
        <row r="1418">
          <cell r="G1418">
            <v>11384.45</v>
          </cell>
          <cell r="I1418">
            <v>256.69</v>
          </cell>
          <cell r="J1418">
            <v>746.39999999999895</v>
          </cell>
          <cell r="K1418">
            <v>0.04</v>
          </cell>
          <cell r="L1418">
            <v>1003.13</v>
          </cell>
          <cell r="M1418">
            <v>12907.23</v>
          </cell>
          <cell r="N1418">
            <v>3406.29</v>
          </cell>
          <cell r="O1418">
            <v>0</v>
          </cell>
          <cell r="R1418">
            <v>26.42</v>
          </cell>
        </row>
        <row r="1419">
          <cell r="G1419">
            <v>11384.45</v>
          </cell>
          <cell r="I1419">
            <v>256.69</v>
          </cell>
          <cell r="J1419">
            <v>1979.52</v>
          </cell>
          <cell r="K1419">
            <v>0.04</v>
          </cell>
          <cell r="L1419">
            <v>2236.25</v>
          </cell>
          <cell r="M1419">
            <v>14140.35</v>
          </cell>
          <cell r="N1419">
            <v>2173.17</v>
          </cell>
          <cell r="O1419">
            <v>0</v>
          </cell>
          <cell r="R1419">
            <v>26.42</v>
          </cell>
        </row>
        <row r="1420">
          <cell r="G1420">
            <v>11384.45</v>
          </cell>
          <cell r="I1420">
            <v>256.69</v>
          </cell>
          <cell r="J1420">
            <v>0</v>
          </cell>
          <cell r="K1420">
            <v>0.04</v>
          </cell>
          <cell r="L1420">
            <v>256.73</v>
          </cell>
          <cell r="M1420">
            <v>12127.65</v>
          </cell>
          <cell r="N1420">
            <v>3143.55</v>
          </cell>
          <cell r="O1420">
            <v>0</v>
          </cell>
          <cell r="R1420">
            <v>26.42</v>
          </cell>
        </row>
        <row r="1421">
          <cell r="G1421">
            <v>7644.3999999999896</v>
          </cell>
          <cell r="I1421">
            <v>149.729999999999</v>
          </cell>
          <cell r="J1421">
            <v>0</v>
          </cell>
          <cell r="K1421">
            <v>2.9999999999999898E-2</v>
          </cell>
          <cell r="L1421">
            <v>149.759999999999</v>
          </cell>
          <cell r="M1421">
            <v>8080.9499999999898</v>
          </cell>
          <cell r="N1421">
            <v>922.02999999999895</v>
          </cell>
          <cell r="O1421">
            <v>0</v>
          </cell>
          <cell r="R1421">
            <v>17.75</v>
          </cell>
        </row>
        <row r="1422">
          <cell r="G1422">
            <v>11384.45</v>
          </cell>
          <cell r="I1422">
            <v>256.69</v>
          </cell>
          <cell r="J1422">
            <v>1590</v>
          </cell>
          <cell r="K1422">
            <v>0.04</v>
          </cell>
          <cell r="L1422">
            <v>1846.73</v>
          </cell>
          <cell r="M1422">
            <v>13744.08</v>
          </cell>
          <cell r="N1422">
            <v>2358.7199999999898</v>
          </cell>
          <cell r="O1422">
            <v>0</v>
          </cell>
          <cell r="R1422">
            <v>26.42</v>
          </cell>
        </row>
        <row r="1423">
          <cell r="G1423">
            <v>28234.080000000002</v>
          </cell>
          <cell r="I1423">
            <v>556.12</v>
          </cell>
          <cell r="J1423">
            <v>0</v>
          </cell>
          <cell r="K1423">
            <v>8.99999999999999E-2</v>
          </cell>
          <cell r="L1423">
            <v>556.21</v>
          </cell>
          <cell r="M1423">
            <v>29858.68</v>
          </cell>
          <cell r="N1423">
            <v>3681.32</v>
          </cell>
          <cell r="O1423">
            <v>0</v>
          </cell>
          <cell r="R1423">
            <v>65.510000000000005</v>
          </cell>
        </row>
        <row r="1424">
          <cell r="G1424">
            <v>11384.45</v>
          </cell>
          <cell r="I1424">
            <v>256.69</v>
          </cell>
          <cell r="J1424">
            <v>1030.0799999999899</v>
          </cell>
          <cell r="K1424">
            <v>0.04</v>
          </cell>
          <cell r="L1424">
            <v>1286.8099999999899</v>
          </cell>
          <cell r="M1424">
            <v>13194.52</v>
          </cell>
          <cell r="N1424">
            <v>3232.28</v>
          </cell>
          <cell r="O1424">
            <v>0</v>
          </cell>
          <cell r="R1424">
            <v>26.42</v>
          </cell>
        </row>
        <row r="1425">
          <cell r="G1425">
            <v>22768.9</v>
          </cell>
          <cell r="I1425">
            <v>513.34</v>
          </cell>
          <cell r="J1425">
            <v>3374.1599999999899</v>
          </cell>
          <cell r="K1425">
            <v>8.99999999999999E-2</v>
          </cell>
          <cell r="L1425">
            <v>3887.59</v>
          </cell>
          <cell r="M1425">
            <v>27659.5999999999</v>
          </cell>
          <cell r="N1425">
            <v>3830.32</v>
          </cell>
          <cell r="O1425">
            <v>0</v>
          </cell>
          <cell r="R1425">
            <v>52.82</v>
          </cell>
        </row>
        <row r="1426">
          <cell r="G1426">
            <v>11384.45</v>
          </cell>
          <cell r="I1426">
            <v>256.69</v>
          </cell>
          <cell r="J1426">
            <v>1892.16</v>
          </cell>
          <cell r="K1426">
            <v>0.04</v>
          </cell>
          <cell r="L1426">
            <v>2148.8899999999899</v>
          </cell>
          <cell r="M1426">
            <v>14056.6</v>
          </cell>
          <cell r="N1426">
            <v>2370.1999999999898</v>
          </cell>
          <cell r="O1426">
            <v>0</v>
          </cell>
          <cell r="R1426">
            <v>26.42</v>
          </cell>
        </row>
        <row r="1427">
          <cell r="G1427">
            <v>22768.9</v>
          </cell>
          <cell r="I1427">
            <v>513.34</v>
          </cell>
          <cell r="J1427">
            <v>3022.0799999999899</v>
          </cell>
          <cell r="K1427">
            <v>8.99999999999999E-2</v>
          </cell>
          <cell r="L1427">
            <v>3535.51</v>
          </cell>
          <cell r="M1427">
            <v>27401.34</v>
          </cell>
          <cell r="N1427">
            <v>7034.8199999999897</v>
          </cell>
          <cell r="O1427">
            <v>0</v>
          </cell>
          <cell r="R1427">
            <v>52.82</v>
          </cell>
        </row>
        <row r="1428">
          <cell r="G1428">
            <v>11384.45</v>
          </cell>
          <cell r="I1428">
            <v>256.69</v>
          </cell>
          <cell r="J1428">
            <v>1518.96</v>
          </cell>
          <cell r="K1428">
            <v>0.04</v>
          </cell>
          <cell r="L1428">
            <v>1775.69</v>
          </cell>
          <cell r="M1428">
            <v>13690.1</v>
          </cell>
          <cell r="N1428">
            <v>2947.42</v>
          </cell>
          <cell r="O1428">
            <v>0</v>
          </cell>
          <cell r="R1428">
            <v>26.42</v>
          </cell>
        </row>
        <row r="1429">
          <cell r="G1429">
            <v>5692.22</v>
          </cell>
          <cell r="I1429">
            <v>128.34</v>
          </cell>
          <cell r="J1429">
            <v>842.27999999999895</v>
          </cell>
          <cell r="K1429">
            <v>0.02</v>
          </cell>
          <cell r="L1429">
            <v>970.63999999999896</v>
          </cell>
          <cell r="M1429">
            <v>6914.3999999999896</v>
          </cell>
          <cell r="N1429">
            <v>981.84</v>
          </cell>
          <cell r="O1429">
            <v>0</v>
          </cell>
          <cell r="R1429">
            <v>13.1999999999999</v>
          </cell>
        </row>
        <row r="1430">
          <cell r="G1430">
            <v>56922.23</v>
          </cell>
          <cell r="I1430">
            <v>1283.3599999999899</v>
          </cell>
          <cell r="J1430">
            <v>0</v>
          </cell>
          <cell r="K1430">
            <v>0.20999999999999899</v>
          </cell>
          <cell r="L1430">
            <v>1283.5699999999899</v>
          </cell>
          <cell r="M1430">
            <v>60663.98</v>
          </cell>
          <cell r="N1430">
            <v>16504.4199999999</v>
          </cell>
          <cell r="O1430">
            <v>0</v>
          </cell>
          <cell r="R1430">
            <v>132.06</v>
          </cell>
        </row>
        <row r="1431">
          <cell r="G1431">
            <v>6552.3699999999899</v>
          </cell>
          <cell r="I1431">
            <v>128.34</v>
          </cell>
          <cell r="J1431">
            <v>0</v>
          </cell>
          <cell r="K1431">
            <v>0.02</v>
          </cell>
          <cell r="L1431">
            <v>128.36000000000001</v>
          </cell>
          <cell r="M1431">
            <v>6928.2799999999897</v>
          </cell>
          <cell r="N1431">
            <v>842.67999999999904</v>
          </cell>
          <cell r="O1431">
            <v>0</v>
          </cell>
          <cell r="R1431">
            <v>15.22</v>
          </cell>
        </row>
        <row r="1432">
          <cell r="G1432">
            <v>11384.45</v>
          </cell>
          <cell r="I1432">
            <v>256.69</v>
          </cell>
          <cell r="J1432">
            <v>0</v>
          </cell>
          <cell r="K1432">
            <v>0.04</v>
          </cell>
          <cell r="L1432">
            <v>256.73</v>
          </cell>
          <cell r="M1432">
            <v>12109.98</v>
          </cell>
          <cell r="N1432">
            <v>2605.86</v>
          </cell>
          <cell r="O1432">
            <v>0</v>
          </cell>
          <cell r="R1432">
            <v>26.42</v>
          </cell>
        </row>
        <row r="1433">
          <cell r="G1433">
            <v>36419.599999999897</v>
          </cell>
          <cell r="I1433">
            <v>780.71</v>
          </cell>
          <cell r="J1433">
            <v>1779.1199999999899</v>
          </cell>
          <cell r="K1433">
            <v>0.13</v>
          </cell>
          <cell r="L1433">
            <v>2559.96</v>
          </cell>
          <cell r="M1433">
            <v>40483.33</v>
          </cell>
          <cell r="N1433">
            <v>6725.72</v>
          </cell>
          <cell r="O1433">
            <v>0</v>
          </cell>
          <cell r="R1433">
            <v>84.469999999999899</v>
          </cell>
        </row>
        <row r="1434">
          <cell r="G1434">
            <v>21618.23</v>
          </cell>
          <cell r="I1434">
            <v>417.11</v>
          </cell>
          <cell r="J1434">
            <v>0</v>
          </cell>
          <cell r="K1434">
            <v>7.0000000000000007E-2</v>
          </cell>
          <cell r="L1434">
            <v>417.18</v>
          </cell>
          <cell r="M1434">
            <v>22834.279999999901</v>
          </cell>
          <cell r="N1434">
            <v>2245.3000000000002</v>
          </cell>
          <cell r="O1434">
            <v>0</v>
          </cell>
          <cell r="R1434">
            <v>50.159999999999897</v>
          </cell>
        </row>
        <row r="1435">
          <cell r="G1435">
            <v>22768.9</v>
          </cell>
          <cell r="I1435">
            <v>513.34</v>
          </cell>
          <cell r="J1435">
            <v>3558.2399999999898</v>
          </cell>
          <cell r="K1435">
            <v>8.99999999999999E-2</v>
          </cell>
          <cell r="L1435">
            <v>4071.67</v>
          </cell>
          <cell r="M1435">
            <v>27937.5</v>
          </cell>
          <cell r="N1435">
            <v>6498.6599999999899</v>
          </cell>
          <cell r="O1435">
            <v>0</v>
          </cell>
          <cell r="R1435">
            <v>52.82</v>
          </cell>
        </row>
        <row r="1436">
          <cell r="G1436">
            <v>30358.529999999901</v>
          </cell>
          <cell r="I1436">
            <v>684.46</v>
          </cell>
          <cell r="J1436">
            <v>3026.48</v>
          </cell>
          <cell r="K1436">
            <v>0.11</v>
          </cell>
          <cell r="L1436">
            <v>3711.05</v>
          </cell>
          <cell r="M1436">
            <v>35422.5</v>
          </cell>
          <cell r="N1436">
            <v>7049.8199999999897</v>
          </cell>
          <cell r="O1436">
            <v>0</v>
          </cell>
          <cell r="R1436">
            <v>70.430000000000007</v>
          </cell>
        </row>
        <row r="1437">
          <cell r="G1437">
            <v>30915.45</v>
          </cell>
          <cell r="I1437">
            <v>652.37</v>
          </cell>
          <cell r="J1437">
            <v>2670.2399999999898</v>
          </cell>
          <cell r="K1437">
            <v>0.11</v>
          </cell>
          <cell r="L1437">
            <v>3322.7199999999898</v>
          </cell>
          <cell r="M1437">
            <v>35512.889999999898</v>
          </cell>
          <cell r="N1437">
            <v>4504.51</v>
          </cell>
          <cell r="O1437">
            <v>0</v>
          </cell>
          <cell r="R1437">
            <v>71.75</v>
          </cell>
        </row>
        <row r="1438">
          <cell r="G1438">
            <v>34153.349999999897</v>
          </cell>
          <cell r="I1438">
            <v>770.01999999999896</v>
          </cell>
          <cell r="J1438">
            <v>3180</v>
          </cell>
          <cell r="K1438">
            <v>0.13</v>
          </cell>
          <cell r="L1438">
            <v>3950.15</v>
          </cell>
          <cell r="M1438">
            <v>39623</v>
          </cell>
          <cell r="N1438">
            <v>8078.68</v>
          </cell>
          <cell r="O1438">
            <v>0</v>
          </cell>
          <cell r="R1438">
            <v>79.25</v>
          </cell>
        </row>
        <row r="1439">
          <cell r="G1439">
            <v>11858.799999999899</v>
          </cell>
          <cell r="I1439">
            <v>267.37</v>
          </cell>
          <cell r="J1439">
            <v>0</v>
          </cell>
          <cell r="K1439">
            <v>0.04</v>
          </cell>
          <cell r="L1439">
            <v>267.41000000000003</v>
          </cell>
          <cell r="M1439">
            <v>12639.91</v>
          </cell>
          <cell r="N1439">
            <v>3485.09</v>
          </cell>
          <cell r="O1439">
            <v>0</v>
          </cell>
          <cell r="R1439">
            <v>27.5</v>
          </cell>
        </row>
        <row r="1440">
          <cell r="G1440">
            <v>6640.93</v>
          </cell>
          <cell r="I1440">
            <v>149.729999999999</v>
          </cell>
          <cell r="J1440">
            <v>0</v>
          </cell>
          <cell r="K1440">
            <v>2.9999999999999898E-2</v>
          </cell>
          <cell r="L1440">
            <v>149.759999999999</v>
          </cell>
          <cell r="M1440">
            <v>7077.4799999999896</v>
          </cell>
          <cell r="N1440">
            <v>1925.5</v>
          </cell>
          <cell r="O1440">
            <v>0</v>
          </cell>
          <cell r="R1440">
            <v>15.42</v>
          </cell>
        </row>
        <row r="1441">
          <cell r="G1441">
            <v>78742.44</v>
          </cell>
          <cell r="I1441">
            <v>1775.3</v>
          </cell>
          <cell r="J1441">
            <v>12445.68</v>
          </cell>
          <cell r="K1441">
            <v>0.29999999999999899</v>
          </cell>
          <cell r="L1441">
            <v>14221.28</v>
          </cell>
          <cell r="M1441">
            <v>96457.3</v>
          </cell>
          <cell r="N1441">
            <v>13217.54</v>
          </cell>
          <cell r="O1441">
            <v>0</v>
          </cell>
          <cell r="R1441">
            <v>182.69999999999899</v>
          </cell>
        </row>
        <row r="1442">
          <cell r="G1442">
            <v>57870.949999999903</v>
          </cell>
          <cell r="I1442">
            <v>1304.75</v>
          </cell>
          <cell r="J1442">
            <v>0</v>
          </cell>
          <cell r="K1442">
            <v>0.22</v>
          </cell>
          <cell r="L1442">
            <v>1304.97</v>
          </cell>
          <cell r="M1442">
            <v>61671.08</v>
          </cell>
          <cell r="N1442">
            <v>16659.07</v>
          </cell>
          <cell r="O1442">
            <v>0</v>
          </cell>
          <cell r="R1442">
            <v>134.289999999999</v>
          </cell>
        </row>
        <row r="1443">
          <cell r="G1443">
            <v>5217.8699999999899</v>
          </cell>
          <cell r="I1443">
            <v>117.65</v>
          </cell>
          <cell r="J1443">
            <v>0</v>
          </cell>
          <cell r="K1443">
            <v>0.02</v>
          </cell>
          <cell r="L1443">
            <v>117.67</v>
          </cell>
          <cell r="M1443">
            <v>5560.88</v>
          </cell>
          <cell r="N1443">
            <v>1512.78</v>
          </cell>
          <cell r="O1443">
            <v>0</v>
          </cell>
          <cell r="R1443">
            <v>12.1</v>
          </cell>
        </row>
        <row r="1444">
          <cell r="G1444">
            <v>4743.5200000000004</v>
          </cell>
          <cell r="I1444">
            <v>106.95</v>
          </cell>
          <cell r="J1444">
            <v>788.39999999999895</v>
          </cell>
          <cell r="K1444">
            <v>0.02</v>
          </cell>
          <cell r="L1444">
            <v>895.37</v>
          </cell>
          <cell r="M1444">
            <v>5856.1</v>
          </cell>
          <cell r="N1444">
            <v>961.39999999999895</v>
          </cell>
          <cell r="O1444">
            <v>0</v>
          </cell>
          <cell r="R1444">
            <v>11.02</v>
          </cell>
        </row>
        <row r="1445">
          <cell r="G1445">
            <v>34153.349999999897</v>
          </cell>
          <cell r="I1445">
            <v>770.01999999999896</v>
          </cell>
          <cell r="J1445">
            <v>2165.2800000000002</v>
          </cell>
          <cell r="K1445">
            <v>0.13</v>
          </cell>
          <cell r="L1445">
            <v>2935.4299999999898</v>
          </cell>
          <cell r="M1445">
            <v>38570.599999999897</v>
          </cell>
          <cell r="N1445">
            <v>7948.6</v>
          </cell>
          <cell r="O1445">
            <v>0</v>
          </cell>
          <cell r="R1445">
            <v>79.25</v>
          </cell>
        </row>
        <row r="1446">
          <cell r="G1446">
            <v>15179.26</v>
          </cell>
          <cell r="I1446">
            <v>342.22</v>
          </cell>
          <cell r="J1446">
            <v>1348.64</v>
          </cell>
          <cell r="K1446">
            <v>5.9999999999999901E-2</v>
          </cell>
          <cell r="L1446">
            <v>1690.92</v>
          </cell>
          <cell r="M1446">
            <v>17528.23</v>
          </cell>
          <cell r="N1446">
            <v>3129.8899999999899</v>
          </cell>
          <cell r="O1446">
            <v>0</v>
          </cell>
          <cell r="R1446">
            <v>35.189999999999898</v>
          </cell>
        </row>
        <row r="1447">
          <cell r="G1447">
            <v>19657.0099999999</v>
          </cell>
          <cell r="I1447">
            <v>385</v>
          </cell>
          <cell r="J1447">
            <v>0</v>
          </cell>
          <cell r="K1447">
            <v>5.9999999999999901E-2</v>
          </cell>
          <cell r="L1447">
            <v>385.06</v>
          </cell>
          <cell r="M1447">
            <v>20780.13</v>
          </cell>
          <cell r="N1447">
            <v>2389.69</v>
          </cell>
          <cell r="O1447">
            <v>0</v>
          </cell>
          <cell r="R1447">
            <v>45.6099999999999</v>
          </cell>
        </row>
        <row r="1448">
          <cell r="G1448">
            <v>31273.4</v>
          </cell>
          <cell r="I1448">
            <v>663.05999999999904</v>
          </cell>
          <cell r="J1448">
            <v>2105.04</v>
          </cell>
          <cell r="K1448">
            <v>0.11</v>
          </cell>
          <cell r="L1448">
            <v>2768.21</v>
          </cell>
          <cell r="M1448">
            <v>35340.97</v>
          </cell>
          <cell r="N1448">
            <v>5450.3699999999899</v>
          </cell>
          <cell r="O1448">
            <v>0</v>
          </cell>
          <cell r="R1448">
            <v>72.549999999999898</v>
          </cell>
        </row>
        <row r="1449">
          <cell r="G1449">
            <v>10920.559999999899</v>
          </cell>
          <cell r="I1449">
            <v>213.88999999999899</v>
          </cell>
          <cell r="J1449">
            <v>0</v>
          </cell>
          <cell r="K1449">
            <v>0.04</v>
          </cell>
          <cell r="L1449">
            <v>213.93</v>
          </cell>
          <cell r="M1449">
            <v>11542.95</v>
          </cell>
          <cell r="N1449">
            <v>1279.6500000000001</v>
          </cell>
          <cell r="O1449">
            <v>0</v>
          </cell>
          <cell r="R1449">
            <v>25.34</v>
          </cell>
        </row>
        <row r="1450">
          <cell r="G1450">
            <v>14457.28</v>
          </cell>
          <cell r="I1450">
            <v>278.06</v>
          </cell>
          <cell r="J1450">
            <v>0</v>
          </cell>
          <cell r="K1450">
            <v>0.05</v>
          </cell>
          <cell r="L1450">
            <v>278.11</v>
          </cell>
          <cell r="M1450">
            <v>15268.01</v>
          </cell>
          <cell r="N1450">
            <v>1451.8099999999899</v>
          </cell>
          <cell r="O1450">
            <v>0</v>
          </cell>
          <cell r="R1450">
            <v>33.5399999999999</v>
          </cell>
        </row>
        <row r="1451">
          <cell r="G1451">
            <v>17076.66</v>
          </cell>
          <cell r="I1451">
            <v>385</v>
          </cell>
          <cell r="J1451">
            <v>2768.88</v>
          </cell>
          <cell r="K1451">
            <v>5.9999999999999901E-2</v>
          </cell>
          <cell r="L1451">
            <v>3153.94</v>
          </cell>
          <cell r="M1451">
            <v>21010.09</v>
          </cell>
          <cell r="N1451">
            <v>3460.07</v>
          </cell>
          <cell r="O1451">
            <v>0</v>
          </cell>
          <cell r="R1451">
            <v>39.619999999999898</v>
          </cell>
        </row>
        <row r="1452">
          <cell r="G1452">
            <v>22768.9</v>
          </cell>
          <cell r="I1452">
            <v>513.34</v>
          </cell>
          <cell r="J1452">
            <v>0</v>
          </cell>
          <cell r="K1452">
            <v>8.99999999999999E-2</v>
          </cell>
          <cell r="L1452">
            <v>513.42999999999904</v>
          </cell>
          <cell r="M1452">
            <v>24229.869999999901</v>
          </cell>
          <cell r="N1452">
            <v>5516.21</v>
          </cell>
          <cell r="O1452">
            <v>0</v>
          </cell>
          <cell r="R1452">
            <v>52.82</v>
          </cell>
        </row>
        <row r="1453">
          <cell r="G1453">
            <v>26209.360000000001</v>
          </cell>
          <cell r="I1453">
            <v>513.34</v>
          </cell>
          <cell r="J1453">
            <v>0</v>
          </cell>
          <cell r="K1453">
            <v>8.99999999999999E-2</v>
          </cell>
          <cell r="L1453">
            <v>513.42999999999904</v>
          </cell>
          <cell r="M1453">
            <v>27710.22</v>
          </cell>
          <cell r="N1453">
            <v>3288.54</v>
          </cell>
          <cell r="O1453">
            <v>0</v>
          </cell>
          <cell r="R1453">
            <v>60.799999999999898</v>
          </cell>
        </row>
        <row r="1454">
          <cell r="G1454">
            <v>42044.169999999896</v>
          </cell>
          <cell r="I1454">
            <v>823.49</v>
          </cell>
          <cell r="J1454">
            <v>0</v>
          </cell>
          <cell r="K1454">
            <v>0.14000000000000001</v>
          </cell>
          <cell r="L1454">
            <v>823.63</v>
          </cell>
          <cell r="M1454">
            <v>44441.87</v>
          </cell>
          <cell r="N1454">
            <v>4973.3900000000003</v>
          </cell>
          <cell r="O1454">
            <v>0</v>
          </cell>
          <cell r="R1454">
            <v>97.54</v>
          </cell>
        </row>
        <row r="1455">
          <cell r="G1455">
            <v>36583.9</v>
          </cell>
          <cell r="I1455">
            <v>716.53999999999905</v>
          </cell>
          <cell r="J1455">
            <v>0</v>
          </cell>
          <cell r="K1455">
            <v>0.12</v>
          </cell>
          <cell r="L1455">
            <v>716.65999999999894</v>
          </cell>
          <cell r="M1455">
            <v>38677.349999999897</v>
          </cell>
          <cell r="N1455">
            <v>4545.5699999999897</v>
          </cell>
          <cell r="O1455">
            <v>0</v>
          </cell>
          <cell r="R1455">
            <v>84.89</v>
          </cell>
        </row>
        <row r="1456">
          <cell r="G1456">
            <v>11384.45</v>
          </cell>
          <cell r="I1456">
            <v>256.69</v>
          </cell>
          <cell r="J1456">
            <v>932.88</v>
          </cell>
          <cell r="K1456">
            <v>0.04</v>
          </cell>
          <cell r="L1456">
            <v>1189.6099999999899</v>
          </cell>
          <cell r="M1456">
            <v>13080.639999999899</v>
          </cell>
          <cell r="N1456">
            <v>2822.7199999999898</v>
          </cell>
          <cell r="O1456">
            <v>0</v>
          </cell>
          <cell r="R1456">
            <v>26.42</v>
          </cell>
        </row>
        <row r="1457">
          <cell r="G1457">
            <v>22768.9</v>
          </cell>
          <cell r="I1457">
            <v>513.34</v>
          </cell>
          <cell r="J1457">
            <v>3750.2399999999898</v>
          </cell>
          <cell r="K1457">
            <v>8.99999999999999E-2</v>
          </cell>
          <cell r="L1457">
            <v>4263.67</v>
          </cell>
          <cell r="M1457">
            <v>28079.13</v>
          </cell>
          <cell r="N1457">
            <v>4774.47</v>
          </cell>
          <cell r="O1457">
            <v>0</v>
          </cell>
          <cell r="R1457">
            <v>52.82</v>
          </cell>
        </row>
        <row r="1458">
          <cell r="G1458">
            <v>11384.45</v>
          </cell>
          <cell r="I1458">
            <v>256.69</v>
          </cell>
          <cell r="J1458">
            <v>0</v>
          </cell>
          <cell r="K1458">
            <v>0.04</v>
          </cell>
          <cell r="L1458">
            <v>256.73</v>
          </cell>
          <cell r="M1458">
            <v>12141.209999999901</v>
          </cell>
          <cell r="N1458">
            <v>3555.51</v>
          </cell>
          <cell r="O1458">
            <v>0</v>
          </cell>
          <cell r="R1458">
            <v>26.42</v>
          </cell>
        </row>
        <row r="1459">
          <cell r="G1459">
            <v>0</v>
          </cell>
          <cell r="I1459">
            <v>0</v>
          </cell>
          <cell r="J1459">
            <v>47538.139999999898</v>
          </cell>
          <cell r="K1459">
            <v>0</v>
          </cell>
          <cell r="L1459">
            <v>47538.139999999898</v>
          </cell>
          <cell r="M1459">
            <v>47538.139999999898</v>
          </cell>
          <cell r="N1459">
            <v>-47538.139999999898</v>
          </cell>
          <cell r="O1459">
            <v>0</v>
          </cell>
          <cell r="R1459">
            <v>0</v>
          </cell>
        </row>
        <row r="1460">
          <cell r="G1460">
            <v>5692.22</v>
          </cell>
          <cell r="I1460">
            <v>128.34</v>
          </cell>
          <cell r="J1460">
            <v>818.63999999999896</v>
          </cell>
          <cell r="K1460">
            <v>0.02</v>
          </cell>
          <cell r="L1460">
            <v>947</v>
          </cell>
          <cell r="M1460">
            <v>6899.06</v>
          </cell>
          <cell r="N1460">
            <v>1257.7</v>
          </cell>
          <cell r="O1460">
            <v>0</v>
          </cell>
          <cell r="R1460">
            <v>13.1999999999999</v>
          </cell>
        </row>
        <row r="1461">
          <cell r="G1461">
            <v>114345.02</v>
          </cell>
          <cell r="I1461">
            <v>2203.0999999999899</v>
          </cell>
          <cell r="J1461">
            <v>0</v>
          </cell>
          <cell r="K1461">
            <v>0.37</v>
          </cell>
          <cell r="L1461">
            <v>2203.4699999999898</v>
          </cell>
          <cell r="M1461">
            <v>120812.16</v>
          </cell>
          <cell r="N1461">
            <v>13039.24</v>
          </cell>
          <cell r="O1461">
            <v>0</v>
          </cell>
          <cell r="R1461">
            <v>265.29000000000002</v>
          </cell>
        </row>
        <row r="1462">
          <cell r="G1462">
            <v>13901.219999999899</v>
          </cell>
          <cell r="I1462">
            <v>267.37</v>
          </cell>
          <cell r="J1462">
            <v>0</v>
          </cell>
          <cell r="K1462">
            <v>0.04</v>
          </cell>
          <cell r="L1462">
            <v>267.41000000000003</v>
          </cell>
          <cell r="M1462">
            <v>14681.34</v>
          </cell>
          <cell r="N1462">
            <v>1414.5599999999899</v>
          </cell>
          <cell r="O1462">
            <v>0</v>
          </cell>
          <cell r="R1462">
            <v>32.25</v>
          </cell>
        </row>
        <row r="1463">
          <cell r="G1463">
            <v>10920.559999999899</v>
          </cell>
          <cell r="I1463">
            <v>213.88999999999899</v>
          </cell>
          <cell r="J1463">
            <v>0</v>
          </cell>
          <cell r="K1463">
            <v>0.04</v>
          </cell>
          <cell r="L1463">
            <v>213.93</v>
          </cell>
          <cell r="M1463">
            <v>11551.139999999899</v>
          </cell>
          <cell r="N1463">
            <v>1529.46</v>
          </cell>
          <cell r="O1463">
            <v>0</v>
          </cell>
          <cell r="R1463">
            <v>25.34</v>
          </cell>
        </row>
        <row r="1464">
          <cell r="G1464">
            <v>11384.45</v>
          </cell>
          <cell r="I1464">
            <v>256.69</v>
          </cell>
          <cell r="J1464">
            <v>1200.96</v>
          </cell>
          <cell r="K1464">
            <v>0.04</v>
          </cell>
          <cell r="L1464">
            <v>1457.69</v>
          </cell>
          <cell r="M1464">
            <v>13343.68</v>
          </cell>
          <cell r="N1464">
            <v>2401.2800000000002</v>
          </cell>
          <cell r="O1464">
            <v>0</v>
          </cell>
          <cell r="R1464">
            <v>26.42</v>
          </cell>
        </row>
        <row r="1465">
          <cell r="G1465">
            <v>13104.68</v>
          </cell>
          <cell r="I1465">
            <v>256.69</v>
          </cell>
          <cell r="J1465">
            <v>0</v>
          </cell>
          <cell r="K1465">
            <v>0.04</v>
          </cell>
          <cell r="L1465">
            <v>256.73</v>
          </cell>
          <cell r="M1465">
            <v>13854.51</v>
          </cell>
          <cell r="N1465">
            <v>1625.49</v>
          </cell>
          <cell r="O1465">
            <v>0</v>
          </cell>
          <cell r="R1465">
            <v>30.399999999999899</v>
          </cell>
        </row>
        <row r="1466">
          <cell r="G1466">
            <v>11384.45</v>
          </cell>
          <cell r="I1466">
            <v>256.69</v>
          </cell>
          <cell r="J1466">
            <v>1300.8</v>
          </cell>
          <cell r="K1466">
            <v>0.04</v>
          </cell>
          <cell r="L1466">
            <v>1557.53</v>
          </cell>
          <cell r="M1466">
            <v>13470.41</v>
          </cell>
          <cell r="N1466">
            <v>3118.3899999999899</v>
          </cell>
          <cell r="O1466">
            <v>0</v>
          </cell>
          <cell r="R1466">
            <v>26.42</v>
          </cell>
        </row>
        <row r="1467">
          <cell r="G1467">
            <v>121256.95</v>
          </cell>
          <cell r="I1467">
            <v>2695.05</v>
          </cell>
          <cell r="J1467">
            <v>6375.3599999999897</v>
          </cell>
          <cell r="K1467">
            <v>0.45</v>
          </cell>
          <cell r="L1467">
            <v>9070.86</v>
          </cell>
          <cell r="M1467">
            <v>135688.679999999</v>
          </cell>
          <cell r="N1467">
            <v>32605.56</v>
          </cell>
          <cell r="O1467">
            <v>0</v>
          </cell>
          <cell r="R1467">
            <v>281.35000000000002</v>
          </cell>
        </row>
        <row r="1468">
          <cell r="G1468">
            <v>120485.42</v>
          </cell>
          <cell r="I1468">
            <v>2716.4299999999898</v>
          </cell>
          <cell r="J1468">
            <v>18499.080000000002</v>
          </cell>
          <cell r="K1468">
            <v>0.45</v>
          </cell>
          <cell r="L1468">
            <v>21215.959999999901</v>
          </cell>
          <cell r="M1468">
            <v>147161.269999999</v>
          </cell>
          <cell r="N1468">
            <v>24242.47</v>
          </cell>
          <cell r="O1468">
            <v>0</v>
          </cell>
          <cell r="R1468">
            <v>279.56999999999903</v>
          </cell>
        </row>
        <row r="1469">
          <cell r="G1469">
            <v>13104.68</v>
          </cell>
          <cell r="I1469">
            <v>256.69</v>
          </cell>
          <cell r="J1469">
            <v>0</v>
          </cell>
          <cell r="K1469">
            <v>0.04</v>
          </cell>
          <cell r="L1469">
            <v>256.73</v>
          </cell>
          <cell r="M1469">
            <v>13854.51</v>
          </cell>
          <cell r="N1469">
            <v>1625.49</v>
          </cell>
          <cell r="O1469">
            <v>0</v>
          </cell>
          <cell r="R1469">
            <v>30.399999999999899</v>
          </cell>
        </row>
        <row r="1470">
          <cell r="G1470">
            <v>11384.45</v>
          </cell>
          <cell r="I1470">
            <v>256.69</v>
          </cell>
          <cell r="J1470">
            <v>1518.96</v>
          </cell>
          <cell r="K1470">
            <v>0.04</v>
          </cell>
          <cell r="L1470">
            <v>1775.69</v>
          </cell>
          <cell r="M1470">
            <v>13678.2</v>
          </cell>
          <cell r="N1470">
            <v>2586.5999999999899</v>
          </cell>
          <cell r="O1470">
            <v>0</v>
          </cell>
          <cell r="R1470">
            <v>26.42</v>
          </cell>
        </row>
        <row r="1471">
          <cell r="G1471">
            <v>11908.549999999899</v>
          </cell>
          <cell r="I1471">
            <v>256.69</v>
          </cell>
          <cell r="J1471">
            <v>1568.88</v>
          </cell>
          <cell r="K1471">
            <v>0.04</v>
          </cell>
          <cell r="L1471">
            <v>1825.6099999999899</v>
          </cell>
          <cell r="M1471">
            <v>14255.32</v>
          </cell>
          <cell r="N1471">
            <v>2106.6799999999898</v>
          </cell>
          <cell r="O1471">
            <v>0</v>
          </cell>
          <cell r="R1471">
            <v>27.62</v>
          </cell>
        </row>
        <row r="1472">
          <cell r="G1472">
            <v>180605.7</v>
          </cell>
          <cell r="I1472">
            <v>4010.48</v>
          </cell>
          <cell r="J1472">
            <v>8109</v>
          </cell>
          <cell r="K1472">
            <v>0.67</v>
          </cell>
          <cell r="L1472">
            <v>12120.15</v>
          </cell>
          <cell r="M1472">
            <v>200481.859999999</v>
          </cell>
          <cell r="N1472">
            <v>43001.739999999903</v>
          </cell>
          <cell r="O1472">
            <v>0</v>
          </cell>
          <cell r="R1472">
            <v>419.02999999999901</v>
          </cell>
        </row>
        <row r="1473">
          <cell r="G1473">
            <v>6552.34</v>
          </cell>
          <cell r="I1473">
            <v>128.34</v>
          </cell>
          <cell r="J1473">
            <v>0</v>
          </cell>
          <cell r="K1473">
            <v>0.02</v>
          </cell>
          <cell r="L1473">
            <v>128.36000000000001</v>
          </cell>
          <cell r="M1473">
            <v>6927.26</v>
          </cell>
          <cell r="N1473">
            <v>812.74</v>
          </cell>
          <cell r="O1473">
            <v>0</v>
          </cell>
          <cell r="R1473">
            <v>15.22</v>
          </cell>
        </row>
        <row r="1474">
          <cell r="G1474">
            <v>11908.549999999899</v>
          </cell>
          <cell r="I1474">
            <v>256.69</v>
          </cell>
          <cell r="J1474">
            <v>1568.88</v>
          </cell>
          <cell r="K1474">
            <v>0.04</v>
          </cell>
          <cell r="L1474">
            <v>1825.6099999999899</v>
          </cell>
          <cell r="M1474">
            <v>14237.25</v>
          </cell>
          <cell r="N1474">
            <v>1555.23</v>
          </cell>
          <cell r="O1474">
            <v>0</v>
          </cell>
          <cell r="R1474">
            <v>27.62</v>
          </cell>
        </row>
        <row r="1475">
          <cell r="G1475">
            <v>30832.869999999901</v>
          </cell>
          <cell r="I1475">
            <v>695.15999999999894</v>
          </cell>
          <cell r="J1475">
            <v>0</v>
          </cell>
          <cell r="K1475">
            <v>0.12</v>
          </cell>
          <cell r="L1475">
            <v>695.27999999999895</v>
          </cell>
          <cell r="M1475">
            <v>32828.629999999903</v>
          </cell>
          <cell r="N1475">
            <v>7996.63</v>
          </cell>
          <cell r="O1475">
            <v>0</v>
          </cell>
          <cell r="R1475">
            <v>71.53</v>
          </cell>
        </row>
        <row r="1476">
          <cell r="G1476">
            <v>11384.45</v>
          </cell>
          <cell r="I1476">
            <v>256.69</v>
          </cell>
          <cell r="J1476">
            <v>1805.52</v>
          </cell>
          <cell r="K1476">
            <v>0.04</v>
          </cell>
          <cell r="L1476">
            <v>2062.25</v>
          </cell>
          <cell r="M1476">
            <v>13969.94</v>
          </cell>
          <cell r="N1476">
            <v>2456.1399999999899</v>
          </cell>
          <cell r="O1476">
            <v>0</v>
          </cell>
          <cell r="R1476">
            <v>26.42</v>
          </cell>
        </row>
        <row r="1477">
          <cell r="G1477">
            <v>34153.349999999897</v>
          </cell>
          <cell r="I1477">
            <v>770.01999999999896</v>
          </cell>
          <cell r="J1477">
            <v>3426.96</v>
          </cell>
          <cell r="K1477">
            <v>0.13</v>
          </cell>
          <cell r="L1477">
            <v>4197.1099999999897</v>
          </cell>
          <cell r="M1477">
            <v>39926.15</v>
          </cell>
          <cell r="N1477">
            <v>9539.2900000000009</v>
          </cell>
          <cell r="O1477">
            <v>0</v>
          </cell>
          <cell r="R1477">
            <v>79.25</v>
          </cell>
        </row>
        <row r="1478">
          <cell r="G1478">
            <v>11384.45</v>
          </cell>
          <cell r="I1478">
            <v>256.69</v>
          </cell>
          <cell r="J1478">
            <v>0</v>
          </cell>
          <cell r="K1478">
            <v>0.04</v>
          </cell>
          <cell r="L1478">
            <v>256.73</v>
          </cell>
          <cell r="M1478">
            <v>12126.2</v>
          </cell>
          <cell r="N1478">
            <v>3099.6399999999899</v>
          </cell>
          <cell r="O1478">
            <v>0</v>
          </cell>
          <cell r="R1478">
            <v>26.42</v>
          </cell>
        </row>
        <row r="1479">
          <cell r="G1479">
            <v>11384.45</v>
          </cell>
          <cell r="I1479">
            <v>256.69</v>
          </cell>
          <cell r="J1479">
            <v>1684.5599999999899</v>
          </cell>
          <cell r="K1479">
            <v>0.04</v>
          </cell>
          <cell r="L1479">
            <v>1941.29</v>
          </cell>
          <cell r="M1479">
            <v>13837.36</v>
          </cell>
          <cell r="N1479">
            <v>2224.4</v>
          </cell>
          <cell r="O1479">
            <v>0</v>
          </cell>
          <cell r="R1479">
            <v>26.42</v>
          </cell>
        </row>
        <row r="1480">
          <cell r="G1480">
            <v>45537.79</v>
          </cell>
          <cell r="I1480">
            <v>1026.67</v>
          </cell>
          <cell r="J1480">
            <v>3389.76</v>
          </cell>
          <cell r="K1480">
            <v>0.17</v>
          </cell>
          <cell r="L1480">
            <v>4416.6000000000004</v>
          </cell>
          <cell r="M1480">
            <v>52021.58</v>
          </cell>
          <cell r="N1480">
            <v>12873.459999999901</v>
          </cell>
          <cell r="O1480">
            <v>0</v>
          </cell>
          <cell r="R1480">
            <v>105.66</v>
          </cell>
        </row>
        <row r="1481">
          <cell r="G1481">
            <v>11908.549999999899</v>
          </cell>
          <cell r="I1481">
            <v>256.69</v>
          </cell>
          <cell r="J1481">
            <v>1109.04</v>
          </cell>
          <cell r="K1481">
            <v>0.04</v>
          </cell>
          <cell r="L1481">
            <v>1365.77</v>
          </cell>
          <cell r="M1481">
            <v>13792.379999999899</v>
          </cell>
          <cell r="N1481">
            <v>2472.42</v>
          </cell>
          <cell r="O1481">
            <v>0</v>
          </cell>
          <cell r="R1481">
            <v>27.62</v>
          </cell>
        </row>
        <row r="1482">
          <cell r="G1482">
            <v>7228.64</v>
          </cell>
          <cell r="I1482">
            <v>139.03</v>
          </cell>
          <cell r="J1482">
            <v>0</v>
          </cell>
          <cell r="K1482">
            <v>0.02</v>
          </cell>
          <cell r="L1482">
            <v>139.05000000000001</v>
          </cell>
          <cell r="M1482">
            <v>7634.77</v>
          </cell>
          <cell r="N1482">
            <v>750.23</v>
          </cell>
          <cell r="O1482">
            <v>0</v>
          </cell>
          <cell r="R1482">
            <v>16.77</v>
          </cell>
        </row>
        <row r="1483">
          <cell r="G1483">
            <v>22768.9</v>
          </cell>
          <cell r="I1483">
            <v>513.34</v>
          </cell>
          <cell r="J1483">
            <v>0</v>
          </cell>
          <cell r="K1483">
            <v>8.99999999999999E-2</v>
          </cell>
          <cell r="L1483">
            <v>513.42999999999904</v>
          </cell>
          <cell r="M1483">
            <v>24241.32</v>
          </cell>
          <cell r="N1483">
            <v>5862.6</v>
          </cell>
          <cell r="O1483">
            <v>0</v>
          </cell>
          <cell r="R1483">
            <v>52.82</v>
          </cell>
        </row>
        <row r="1484">
          <cell r="G1484">
            <v>22768.9</v>
          </cell>
          <cell r="I1484">
            <v>513.34</v>
          </cell>
          <cell r="J1484">
            <v>0</v>
          </cell>
          <cell r="K1484">
            <v>8.99999999999999E-2</v>
          </cell>
          <cell r="L1484">
            <v>513.42999999999904</v>
          </cell>
          <cell r="M1484">
            <v>24242.709999999901</v>
          </cell>
          <cell r="N1484">
            <v>5906.5699999999897</v>
          </cell>
          <cell r="O1484">
            <v>0</v>
          </cell>
          <cell r="R1484">
            <v>52.82</v>
          </cell>
        </row>
        <row r="1485">
          <cell r="G1485">
            <v>34153.349999999897</v>
          </cell>
          <cell r="I1485">
            <v>770.01999999999896</v>
          </cell>
          <cell r="J1485">
            <v>0</v>
          </cell>
          <cell r="K1485">
            <v>0.13</v>
          </cell>
          <cell r="L1485">
            <v>770.14999999999895</v>
          </cell>
          <cell r="M1485">
            <v>36336.910000000003</v>
          </cell>
          <cell r="N1485">
            <v>8035.25</v>
          </cell>
          <cell r="O1485">
            <v>0</v>
          </cell>
          <cell r="R1485">
            <v>79.25</v>
          </cell>
        </row>
        <row r="1486">
          <cell r="G1486">
            <v>13901.23</v>
          </cell>
          <cell r="I1486">
            <v>267.37</v>
          </cell>
          <cell r="J1486">
            <v>0</v>
          </cell>
          <cell r="K1486">
            <v>0.04</v>
          </cell>
          <cell r="L1486">
            <v>267.41000000000003</v>
          </cell>
          <cell r="M1486">
            <v>14682.34</v>
          </cell>
          <cell r="N1486">
            <v>1442.66</v>
          </cell>
          <cell r="O1486">
            <v>0</v>
          </cell>
          <cell r="R1486">
            <v>32.25</v>
          </cell>
        </row>
        <row r="1487">
          <cell r="G1487">
            <v>11147.27</v>
          </cell>
          <cell r="I1487">
            <v>251.33</v>
          </cell>
          <cell r="J1487">
            <v>0</v>
          </cell>
          <cell r="K1487">
            <v>0.04</v>
          </cell>
          <cell r="L1487">
            <v>251.37</v>
          </cell>
          <cell r="M1487">
            <v>11874.969999999899</v>
          </cell>
          <cell r="N1487">
            <v>3078.0799999999899</v>
          </cell>
          <cell r="O1487">
            <v>0</v>
          </cell>
          <cell r="R1487">
            <v>25.8799999999999</v>
          </cell>
        </row>
        <row r="1488">
          <cell r="G1488">
            <v>45039.989999999903</v>
          </cell>
          <cell r="I1488">
            <v>866.26999999999896</v>
          </cell>
          <cell r="J1488">
            <v>0</v>
          </cell>
          <cell r="K1488">
            <v>0.14000000000000001</v>
          </cell>
          <cell r="L1488">
            <v>866.40999999999894</v>
          </cell>
          <cell r="M1488">
            <v>47568.94</v>
          </cell>
          <cell r="N1488">
            <v>4623.68</v>
          </cell>
          <cell r="O1488">
            <v>0</v>
          </cell>
          <cell r="R1488">
            <v>104.5</v>
          </cell>
        </row>
        <row r="1489">
          <cell r="G1489">
            <v>207514.16</v>
          </cell>
          <cell r="I1489">
            <v>4363.42</v>
          </cell>
          <cell r="J1489">
            <v>0</v>
          </cell>
          <cell r="K1489">
            <v>0.72999999999999898</v>
          </cell>
          <cell r="L1489">
            <v>4364.1499999999896</v>
          </cell>
          <cell r="M1489">
            <v>220216.709999999</v>
          </cell>
          <cell r="N1489">
            <v>41551.050000000003</v>
          </cell>
          <cell r="O1489">
            <v>0</v>
          </cell>
          <cell r="R1489">
            <v>481.47</v>
          </cell>
        </row>
        <row r="1490">
          <cell r="G1490">
            <v>7191.9799999999896</v>
          </cell>
          <cell r="I1490">
            <v>139.03</v>
          </cell>
          <cell r="J1490">
            <v>0</v>
          </cell>
          <cell r="K1490">
            <v>0.02</v>
          </cell>
          <cell r="L1490">
            <v>139.05000000000001</v>
          </cell>
          <cell r="M1490">
            <v>7599.97</v>
          </cell>
          <cell r="N1490">
            <v>843.65999999999894</v>
          </cell>
          <cell r="O1490">
            <v>0</v>
          </cell>
          <cell r="R1490">
            <v>16.690000000000001</v>
          </cell>
        </row>
        <row r="1491">
          <cell r="G1491">
            <v>13650.709999999901</v>
          </cell>
          <cell r="I1491">
            <v>267.37</v>
          </cell>
          <cell r="J1491">
            <v>0</v>
          </cell>
          <cell r="K1491">
            <v>0.04</v>
          </cell>
          <cell r="L1491">
            <v>267.41000000000003</v>
          </cell>
          <cell r="M1491">
            <v>14431.82</v>
          </cell>
          <cell r="N1491">
            <v>1693.18</v>
          </cell>
          <cell r="O1491">
            <v>0</v>
          </cell>
          <cell r="R1491">
            <v>31.649999999999899</v>
          </cell>
        </row>
        <row r="1492">
          <cell r="G1492">
            <v>33204.639999999898</v>
          </cell>
          <cell r="I1492">
            <v>748.63</v>
          </cell>
          <cell r="J1492">
            <v>3558.2399999999898</v>
          </cell>
          <cell r="K1492">
            <v>0.13</v>
          </cell>
          <cell r="L1492">
            <v>4307</v>
          </cell>
          <cell r="M1492">
            <v>38973.529999999897</v>
          </cell>
          <cell r="N1492">
            <v>6920.35</v>
          </cell>
          <cell r="O1492">
            <v>0</v>
          </cell>
          <cell r="R1492">
            <v>77.049999999999898</v>
          </cell>
        </row>
        <row r="1493">
          <cell r="G1493">
            <v>32706.6899999999</v>
          </cell>
          <cell r="I1493">
            <v>630.99</v>
          </cell>
          <cell r="J1493">
            <v>0</v>
          </cell>
          <cell r="K1493">
            <v>0.11</v>
          </cell>
          <cell r="L1493">
            <v>631.1</v>
          </cell>
          <cell r="M1493">
            <v>34550.019999999902</v>
          </cell>
          <cell r="N1493">
            <v>3504.98</v>
          </cell>
          <cell r="O1493">
            <v>0</v>
          </cell>
          <cell r="R1493">
            <v>75.849999999999895</v>
          </cell>
        </row>
        <row r="1494">
          <cell r="G1494">
            <v>11384.45</v>
          </cell>
          <cell r="I1494">
            <v>256.69</v>
          </cell>
          <cell r="J1494">
            <v>924.96</v>
          </cell>
          <cell r="K1494">
            <v>0.04</v>
          </cell>
          <cell r="L1494">
            <v>1181.69</v>
          </cell>
          <cell r="M1494">
            <v>13069.23</v>
          </cell>
          <cell r="N1494">
            <v>2723.25</v>
          </cell>
          <cell r="O1494">
            <v>0</v>
          </cell>
          <cell r="R1494">
            <v>26.42</v>
          </cell>
        </row>
        <row r="1495">
          <cell r="G1495">
            <v>5692.22</v>
          </cell>
          <cell r="I1495">
            <v>128.34</v>
          </cell>
          <cell r="J1495">
            <v>795</v>
          </cell>
          <cell r="K1495">
            <v>0.02</v>
          </cell>
          <cell r="L1495">
            <v>923.36</v>
          </cell>
          <cell r="M1495">
            <v>6866.39</v>
          </cell>
          <cell r="N1495">
            <v>1006.09</v>
          </cell>
          <cell r="O1495">
            <v>0</v>
          </cell>
          <cell r="R1495">
            <v>13.1999999999999</v>
          </cell>
        </row>
        <row r="1496">
          <cell r="G1496">
            <v>24489.13</v>
          </cell>
          <cell r="I1496">
            <v>513.38</v>
          </cell>
          <cell r="J1496">
            <v>0</v>
          </cell>
          <cell r="K1496">
            <v>0.08</v>
          </cell>
          <cell r="L1496">
            <v>513.46</v>
          </cell>
          <cell r="M1496">
            <v>25984.2</v>
          </cell>
          <cell r="N1496">
            <v>4831.0799999999899</v>
          </cell>
          <cell r="O1496">
            <v>0</v>
          </cell>
          <cell r="R1496">
            <v>56.82</v>
          </cell>
        </row>
        <row r="1497">
          <cell r="G1497">
            <v>24489.13</v>
          </cell>
          <cell r="I1497">
            <v>513.38</v>
          </cell>
          <cell r="J1497">
            <v>0</v>
          </cell>
          <cell r="K1497">
            <v>0.08</v>
          </cell>
          <cell r="L1497">
            <v>513.46</v>
          </cell>
          <cell r="M1497">
            <v>25982.709999999901</v>
          </cell>
          <cell r="N1497">
            <v>4785.05</v>
          </cell>
          <cell r="O1497">
            <v>0</v>
          </cell>
          <cell r="R1497">
            <v>56.82</v>
          </cell>
        </row>
        <row r="1498">
          <cell r="G1498">
            <v>11384.45</v>
          </cell>
          <cell r="I1498">
            <v>256.69</v>
          </cell>
          <cell r="J1498">
            <v>1484.88</v>
          </cell>
          <cell r="K1498">
            <v>0.04</v>
          </cell>
          <cell r="L1498">
            <v>1741.6099999999899</v>
          </cell>
          <cell r="M1498">
            <v>13642.08</v>
          </cell>
          <cell r="N1498">
            <v>2557.92</v>
          </cell>
          <cell r="O1498">
            <v>0</v>
          </cell>
          <cell r="R1498">
            <v>26.42</v>
          </cell>
        </row>
        <row r="1499">
          <cell r="G1499">
            <v>22768.9</v>
          </cell>
          <cell r="I1499">
            <v>513.34</v>
          </cell>
          <cell r="J1499">
            <v>3823.6799999999898</v>
          </cell>
          <cell r="K1499">
            <v>8.99999999999999E-2</v>
          </cell>
          <cell r="L1499">
            <v>4337.1099999999897</v>
          </cell>
          <cell r="M1499">
            <v>28109.119999999901</v>
          </cell>
          <cell r="N1499">
            <v>3380.8</v>
          </cell>
          <cell r="O1499">
            <v>0</v>
          </cell>
          <cell r="R1499">
            <v>52.82</v>
          </cell>
        </row>
        <row r="1500">
          <cell r="G1500">
            <v>11384.45</v>
          </cell>
          <cell r="I1500">
            <v>256.69</v>
          </cell>
          <cell r="J1500">
            <v>0</v>
          </cell>
          <cell r="K1500">
            <v>0.04</v>
          </cell>
          <cell r="L1500">
            <v>256.73</v>
          </cell>
          <cell r="M1500">
            <v>12121.35</v>
          </cell>
          <cell r="N1500">
            <v>2953.29</v>
          </cell>
          <cell r="O1500">
            <v>0</v>
          </cell>
          <cell r="R1500">
            <v>26.42</v>
          </cell>
        </row>
        <row r="1501">
          <cell r="G1501">
            <v>22344.29</v>
          </cell>
          <cell r="I1501">
            <v>491.32999999999902</v>
          </cell>
          <cell r="J1501">
            <v>1815.8399999999899</v>
          </cell>
          <cell r="K1501">
            <v>0.08</v>
          </cell>
          <cell r="L1501">
            <v>2307.25</v>
          </cell>
          <cell r="M1501">
            <v>25617.99</v>
          </cell>
          <cell r="N1501">
            <v>4723.5299999999897</v>
          </cell>
          <cell r="O1501">
            <v>0</v>
          </cell>
          <cell r="R1501">
            <v>51.85</v>
          </cell>
        </row>
        <row r="1502">
          <cell r="G1502">
            <v>13206.08</v>
          </cell>
          <cell r="I1502">
            <v>479.56999999999903</v>
          </cell>
          <cell r="J1502">
            <v>0</v>
          </cell>
          <cell r="K1502">
            <v>0</v>
          </cell>
          <cell r="L1502">
            <v>479.56999999999903</v>
          </cell>
          <cell r="M1502">
            <v>14347.93</v>
          </cell>
          <cell r="N1502">
            <v>1564.3099999999899</v>
          </cell>
          <cell r="O1502">
            <v>0</v>
          </cell>
          <cell r="R1502">
            <v>62.689999999999898</v>
          </cell>
        </row>
        <row r="1503">
          <cell r="G1503">
            <v>11503.48</v>
          </cell>
          <cell r="I1503">
            <v>479.56999999999903</v>
          </cell>
          <cell r="J1503">
            <v>1253.52</v>
          </cell>
          <cell r="K1503">
            <v>0</v>
          </cell>
          <cell r="L1503">
            <v>1733.0899999999899</v>
          </cell>
          <cell r="M1503">
            <v>13926.58</v>
          </cell>
          <cell r="N1503">
            <v>2653.34</v>
          </cell>
          <cell r="O1503">
            <v>0</v>
          </cell>
          <cell r="R1503">
            <v>54.59</v>
          </cell>
        </row>
        <row r="1504">
          <cell r="G1504">
            <v>5751.7399999999898</v>
          </cell>
          <cell r="I1504">
            <v>239.78</v>
          </cell>
          <cell r="J1504">
            <v>1038.1199999999899</v>
          </cell>
          <cell r="K1504">
            <v>0</v>
          </cell>
          <cell r="L1504">
            <v>1277.9000000000001</v>
          </cell>
          <cell r="M1504">
            <v>7374.64</v>
          </cell>
          <cell r="N1504">
            <v>915.32</v>
          </cell>
          <cell r="O1504">
            <v>0</v>
          </cell>
          <cell r="R1504">
            <v>27.309999999999899</v>
          </cell>
        </row>
        <row r="1505">
          <cell r="G1505">
            <v>34989.800000000003</v>
          </cell>
          <cell r="I1505">
            <v>1458.67</v>
          </cell>
          <cell r="J1505">
            <v>2375.38</v>
          </cell>
          <cell r="K1505">
            <v>0</v>
          </cell>
          <cell r="L1505">
            <v>3834.05</v>
          </cell>
          <cell r="M1505">
            <v>40917.639999999898</v>
          </cell>
          <cell r="N1505">
            <v>9390.86</v>
          </cell>
          <cell r="O1505">
            <v>0</v>
          </cell>
          <cell r="R1505">
            <v>166.13</v>
          </cell>
        </row>
        <row r="1506">
          <cell r="G1506">
            <v>11503.48</v>
          </cell>
          <cell r="I1506">
            <v>479.56999999999903</v>
          </cell>
          <cell r="J1506">
            <v>0</v>
          </cell>
          <cell r="K1506">
            <v>0</v>
          </cell>
          <cell r="L1506">
            <v>479.56999999999903</v>
          </cell>
          <cell r="M1506">
            <v>12630.37</v>
          </cell>
          <cell r="N1506">
            <v>2922.8299999999899</v>
          </cell>
          <cell r="O1506">
            <v>0</v>
          </cell>
          <cell r="R1506">
            <v>54.59</v>
          </cell>
        </row>
        <row r="1507">
          <cell r="G1507">
            <v>97785.669999999896</v>
          </cell>
          <cell r="I1507">
            <v>3556.75</v>
          </cell>
          <cell r="J1507">
            <v>0</v>
          </cell>
          <cell r="K1507">
            <v>0</v>
          </cell>
          <cell r="L1507">
            <v>3556.75</v>
          </cell>
          <cell r="M1507">
            <v>106262.44</v>
          </cell>
          <cell r="N1507">
            <v>11952.08</v>
          </cell>
          <cell r="O1507">
            <v>0</v>
          </cell>
          <cell r="R1507">
            <v>464.25</v>
          </cell>
        </row>
        <row r="1508">
          <cell r="G1508">
            <v>11503.48</v>
          </cell>
          <cell r="I1508">
            <v>479.56999999999903</v>
          </cell>
          <cell r="J1508">
            <v>1030.0799999999899</v>
          </cell>
          <cell r="K1508">
            <v>0</v>
          </cell>
          <cell r="L1508">
            <v>1509.65</v>
          </cell>
          <cell r="M1508">
            <v>13703.139999999899</v>
          </cell>
          <cell r="N1508">
            <v>2876.78</v>
          </cell>
          <cell r="O1508">
            <v>0</v>
          </cell>
          <cell r="R1508">
            <v>54.59</v>
          </cell>
        </row>
        <row r="1509">
          <cell r="G1509">
            <v>65662.55</v>
          </cell>
          <cell r="I1509">
            <v>2397.8200000000002</v>
          </cell>
          <cell r="J1509">
            <v>0</v>
          </cell>
          <cell r="K1509">
            <v>0</v>
          </cell>
          <cell r="L1509">
            <v>2397.8200000000002</v>
          </cell>
          <cell r="M1509">
            <v>71356.339999999895</v>
          </cell>
          <cell r="N1509">
            <v>7837.6599999999899</v>
          </cell>
          <cell r="O1509">
            <v>0</v>
          </cell>
          <cell r="R1509">
            <v>311.75999999999902</v>
          </cell>
        </row>
        <row r="1510">
          <cell r="G1510">
            <v>39397.529999999897</v>
          </cell>
          <cell r="I1510">
            <v>1438.7</v>
          </cell>
          <cell r="J1510">
            <v>0</v>
          </cell>
          <cell r="K1510">
            <v>0</v>
          </cell>
          <cell r="L1510">
            <v>1438.7</v>
          </cell>
          <cell r="M1510">
            <v>42803.029999999897</v>
          </cell>
          <cell r="N1510">
            <v>4454.8900000000003</v>
          </cell>
          <cell r="O1510">
            <v>0</v>
          </cell>
          <cell r="R1510">
            <v>187.05</v>
          </cell>
        </row>
        <row r="1511">
          <cell r="G1511">
            <v>98738.19</v>
          </cell>
          <cell r="I1511">
            <v>4116.25</v>
          </cell>
          <cell r="J1511">
            <v>0</v>
          </cell>
          <cell r="K1511">
            <v>0</v>
          </cell>
          <cell r="L1511">
            <v>4116.25</v>
          </cell>
          <cell r="M1511">
            <v>108508.1</v>
          </cell>
          <cell r="N1511">
            <v>27335.68</v>
          </cell>
          <cell r="O1511">
            <v>0</v>
          </cell>
          <cell r="R1511">
            <v>468.79</v>
          </cell>
        </row>
        <row r="1512">
          <cell r="G1512">
            <v>13132.51</v>
          </cell>
          <cell r="I1512">
            <v>479.56999999999903</v>
          </cell>
          <cell r="J1512">
            <v>0</v>
          </cell>
          <cell r="K1512">
            <v>0</v>
          </cell>
          <cell r="L1512">
            <v>479.56999999999903</v>
          </cell>
          <cell r="M1512">
            <v>14274.36</v>
          </cell>
          <cell r="N1512">
            <v>1637.88</v>
          </cell>
          <cell r="O1512">
            <v>0</v>
          </cell>
          <cell r="R1512">
            <v>62.3599999999999</v>
          </cell>
        </row>
        <row r="1513">
          <cell r="G1513">
            <v>34711.889999999898</v>
          </cell>
          <cell r="I1513">
            <v>1328.8</v>
          </cell>
          <cell r="J1513">
            <v>0</v>
          </cell>
          <cell r="K1513">
            <v>0</v>
          </cell>
          <cell r="L1513">
            <v>1328.8</v>
          </cell>
          <cell r="M1513">
            <v>37859.370000000003</v>
          </cell>
          <cell r="N1513">
            <v>5838.05</v>
          </cell>
          <cell r="O1513">
            <v>0</v>
          </cell>
          <cell r="R1513">
            <v>164.819999999999</v>
          </cell>
        </row>
        <row r="1514">
          <cell r="G1514">
            <v>5272.43</v>
          </cell>
          <cell r="I1514">
            <v>219.8</v>
          </cell>
          <cell r="J1514">
            <v>867.24</v>
          </cell>
          <cell r="K1514">
            <v>0</v>
          </cell>
          <cell r="L1514">
            <v>1087.04</v>
          </cell>
          <cell r="M1514">
            <v>6687.75</v>
          </cell>
          <cell r="N1514">
            <v>1200.3499999999899</v>
          </cell>
          <cell r="O1514">
            <v>0</v>
          </cell>
          <cell r="R1514">
            <v>25.0399999999999</v>
          </cell>
        </row>
        <row r="1515">
          <cell r="G1515">
            <v>6231.05</v>
          </cell>
          <cell r="I1515">
            <v>259.75999999999902</v>
          </cell>
          <cell r="J1515">
            <v>0</v>
          </cell>
          <cell r="K1515">
            <v>0</v>
          </cell>
          <cell r="L1515">
            <v>259.75999999999902</v>
          </cell>
          <cell r="M1515">
            <v>6862.3699999999899</v>
          </cell>
          <cell r="N1515">
            <v>2066.0300000000002</v>
          </cell>
          <cell r="O1515">
            <v>0</v>
          </cell>
          <cell r="R1515">
            <v>29.6</v>
          </cell>
        </row>
        <row r="1516">
          <cell r="G1516">
            <v>14306.58</v>
          </cell>
          <cell r="I1516">
            <v>519.52999999999895</v>
          </cell>
          <cell r="J1516">
            <v>0</v>
          </cell>
          <cell r="K1516">
            <v>0</v>
          </cell>
          <cell r="L1516">
            <v>519.52999999999895</v>
          </cell>
          <cell r="M1516">
            <v>15540.69</v>
          </cell>
          <cell r="N1516">
            <v>1628.41</v>
          </cell>
          <cell r="O1516">
            <v>0</v>
          </cell>
          <cell r="R1516">
            <v>67.939999999999898</v>
          </cell>
        </row>
        <row r="1517">
          <cell r="G1517">
            <v>14306.58</v>
          </cell>
          <cell r="I1517">
            <v>519.52999999999895</v>
          </cell>
          <cell r="J1517">
            <v>0</v>
          </cell>
          <cell r="K1517">
            <v>0</v>
          </cell>
          <cell r="L1517">
            <v>519.52999999999895</v>
          </cell>
          <cell r="M1517">
            <v>15538.54</v>
          </cell>
          <cell r="N1517">
            <v>1578.5599999999899</v>
          </cell>
          <cell r="O1517">
            <v>0</v>
          </cell>
          <cell r="R1517">
            <v>67.939999999999898</v>
          </cell>
        </row>
        <row r="1518">
          <cell r="G1518">
            <v>27935.8499999999</v>
          </cell>
          <cell r="I1518">
            <v>1059.04</v>
          </cell>
          <cell r="J1518">
            <v>0</v>
          </cell>
          <cell r="K1518">
            <v>0</v>
          </cell>
          <cell r="L1518">
            <v>1059.04</v>
          </cell>
          <cell r="M1518">
            <v>30450.38</v>
          </cell>
          <cell r="N1518">
            <v>4521.97</v>
          </cell>
          <cell r="O1518">
            <v>0</v>
          </cell>
          <cell r="R1518">
            <v>132.63999999999899</v>
          </cell>
        </row>
        <row r="1519">
          <cell r="G1519">
            <v>23486.27</v>
          </cell>
          <cell r="I1519">
            <v>979.1</v>
          </cell>
          <cell r="J1519">
            <v>984.7</v>
          </cell>
          <cell r="K1519">
            <v>0</v>
          </cell>
          <cell r="L1519">
            <v>1963.8</v>
          </cell>
          <cell r="M1519">
            <v>26787.95</v>
          </cell>
          <cell r="N1519">
            <v>5358.35</v>
          </cell>
          <cell r="O1519">
            <v>0</v>
          </cell>
          <cell r="R1519">
            <v>111.51</v>
          </cell>
        </row>
        <row r="1520">
          <cell r="G1520">
            <v>3355.1799999999898</v>
          </cell>
          <cell r="I1520">
            <v>139.87</v>
          </cell>
          <cell r="J1520">
            <v>0</v>
          </cell>
          <cell r="K1520">
            <v>0</v>
          </cell>
          <cell r="L1520">
            <v>139.87</v>
          </cell>
          <cell r="M1520">
            <v>3686.82</v>
          </cell>
          <cell r="N1520">
            <v>921.63</v>
          </cell>
          <cell r="O1520">
            <v>0</v>
          </cell>
          <cell r="R1520">
            <v>15.91</v>
          </cell>
        </row>
        <row r="1521">
          <cell r="G1521">
            <v>21089.709999999901</v>
          </cell>
          <cell r="I1521">
            <v>879.2</v>
          </cell>
          <cell r="J1521">
            <v>3409.2399999999898</v>
          </cell>
          <cell r="K1521">
            <v>0</v>
          </cell>
          <cell r="L1521">
            <v>4288.4399999999896</v>
          </cell>
          <cell r="M1521">
            <v>26621.4199999999</v>
          </cell>
          <cell r="N1521">
            <v>3252.02</v>
          </cell>
          <cell r="O1521">
            <v>0</v>
          </cell>
          <cell r="R1521">
            <v>100.13</v>
          </cell>
        </row>
        <row r="1522">
          <cell r="G1522">
            <v>2875.8699999999899</v>
          </cell>
          <cell r="I1522">
            <v>119.9</v>
          </cell>
          <cell r="J1522">
            <v>0</v>
          </cell>
          <cell r="K1522">
            <v>0</v>
          </cell>
          <cell r="L1522">
            <v>119.9</v>
          </cell>
          <cell r="M1522">
            <v>3160.15</v>
          </cell>
          <cell r="N1522">
            <v>789.95</v>
          </cell>
          <cell r="O1522">
            <v>0</v>
          </cell>
          <cell r="R1522">
            <v>13.66</v>
          </cell>
        </row>
        <row r="1523">
          <cell r="G1523">
            <v>11503.48</v>
          </cell>
          <cell r="I1523">
            <v>479.56999999999903</v>
          </cell>
          <cell r="J1523">
            <v>0</v>
          </cell>
          <cell r="K1523">
            <v>0</v>
          </cell>
          <cell r="L1523">
            <v>479.56999999999903</v>
          </cell>
          <cell r="M1523">
            <v>12642.66</v>
          </cell>
          <cell r="N1523">
            <v>3205.7399999999898</v>
          </cell>
          <cell r="O1523">
            <v>0</v>
          </cell>
          <cell r="R1523">
            <v>54.59</v>
          </cell>
        </row>
        <row r="1524">
          <cell r="G1524">
            <v>13275.629999999899</v>
          </cell>
          <cell r="I1524">
            <v>479.56</v>
          </cell>
          <cell r="J1524">
            <v>0</v>
          </cell>
          <cell r="K1524">
            <v>0</v>
          </cell>
          <cell r="L1524">
            <v>479.56</v>
          </cell>
          <cell r="M1524">
            <v>14420.2</v>
          </cell>
          <cell r="N1524">
            <v>1559</v>
          </cell>
          <cell r="O1524">
            <v>0</v>
          </cell>
          <cell r="R1524">
            <v>63</v>
          </cell>
        </row>
        <row r="1525">
          <cell r="G1525">
            <v>11982.79</v>
          </cell>
          <cell r="I1525">
            <v>499.55</v>
          </cell>
          <cell r="J1525">
            <v>1345.53</v>
          </cell>
          <cell r="K1525">
            <v>0</v>
          </cell>
          <cell r="L1525">
            <v>1845.0799999999899</v>
          </cell>
          <cell r="M1525">
            <v>14521.059999999899</v>
          </cell>
          <cell r="N1525">
            <v>2134.44</v>
          </cell>
          <cell r="O1525">
            <v>0</v>
          </cell>
          <cell r="R1525">
            <v>56.89</v>
          </cell>
        </row>
        <row r="1526">
          <cell r="G1526">
            <v>5751.7399999999898</v>
          </cell>
          <cell r="I1526">
            <v>239.78</v>
          </cell>
          <cell r="J1526">
            <v>842.27999999999895</v>
          </cell>
          <cell r="K1526">
            <v>0</v>
          </cell>
          <cell r="L1526">
            <v>1082.0599999999899</v>
          </cell>
          <cell r="M1526">
            <v>7178.8</v>
          </cell>
          <cell r="N1526">
            <v>1111.1600000000001</v>
          </cell>
          <cell r="O1526">
            <v>0</v>
          </cell>
          <cell r="R1526">
            <v>27.309999999999899</v>
          </cell>
        </row>
        <row r="1527">
          <cell r="G1527">
            <v>5502.5299999999897</v>
          </cell>
          <cell r="I1527">
            <v>199.819999999999</v>
          </cell>
          <cell r="J1527">
            <v>0</v>
          </cell>
          <cell r="K1527">
            <v>0</v>
          </cell>
          <cell r="L1527">
            <v>199.819999999999</v>
          </cell>
          <cell r="M1527">
            <v>5985.3599999999897</v>
          </cell>
          <cell r="N1527">
            <v>814.63999999999896</v>
          </cell>
          <cell r="O1527">
            <v>0</v>
          </cell>
          <cell r="R1527">
            <v>26.1299999999999</v>
          </cell>
        </row>
        <row r="1528">
          <cell r="G1528">
            <v>70432.41</v>
          </cell>
          <cell r="I1528">
            <v>2557.67</v>
          </cell>
          <cell r="J1528">
            <v>0</v>
          </cell>
          <cell r="K1528">
            <v>0</v>
          </cell>
          <cell r="L1528">
            <v>2557.67</v>
          </cell>
          <cell r="M1528">
            <v>76506.729999999894</v>
          </cell>
          <cell r="N1528">
            <v>7989.55</v>
          </cell>
          <cell r="O1528">
            <v>0</v>
          </cell>
          <cell r="R1528">
            <v>334.41</v>
          </cell>
        </row>
        <row r="1529">
          <cell r="G1529">
            <v>5751.7399999999898</v>
          </cell>
          <cell r="I1529">
            <v>239.78</v>
          </cell>
          <cell r="J1529">
            <v>1038.1199999999899</v>
          </cell>
          <cell r="K1529">
            <v>0</v>
          </cell>
          <cell r="L1529">
            <v>1277.9000000000001</v>
          </cell>
          <cell r="M1529">
            <v>7374.64</v>
          </cell>
          <cell r="N1529">
            <v>915.32</v>
          </cell>
          <cell r="O1529">
            <v>0</v>
          </cell>
          <cell r="R1529">
            <v>27.309999999999899</v>
          </cell>
        </row>
        <row r="1530">
          <cell r="G1530">
            <v>23006.959999999901</v>
          </cell>
          <cell r="I1530">
            <v>959.13</v>
          </cell>
          <cell r="J1530">
            <v>3942.2399999999898</v>
          </cell>
          <cell r="K1530">
            <v>0</v>
          </cell>
          <cell r="L1530">
            <v>4901.3699999999899</v>
          </cell>
          <cell r="M1530">
            <v>29299.49</v>
          </cell>
          <cell r="N1530">
            <v>4127.47</v>
          </cell>
          <cell r="O1530">
            <v>0</v>
          </cell>
          <cell r="R1530">
            <v>109.25</v>
          </cell>
        </row>
        <row r="1531">
          <cell r="G1531">
            <v>11503.48</v>
          </cell>
          <cell r="I1531">
            <v>479.56999999999903</v>
          </cell>
          <cell r="J1531">
            <v>0</v>
          </cell>
          <cell r="K1531">
            <v>0</v>
          </cell>
          <cell r="L1531">
            <v>479.56999999999903</v>
          </cell>
          <cell r="M1531">
            <v>12645.33</v>
          </cell>
          <cell r="N1531">
            <v>3266.9099999999899</v>
          </cell>
          <cell r="O1531">
            <v>0</v>
          </cell>
          <cell r="R1531">
            <v>54.59</v>
          </cell>
        </row>
        <row r="1532">
          <cell r="G1532">
            <v>0</v>
          </cell>
          <cell r="I1532">
            <v>0</v>
          </cell>
          <cell r="J1532">
            <v>27171.1699999999</v>
          </cell>
          <cell r="K1532">
            <v>0</v>
          </cell>
          <cell r="L1532">
            <v>27171.1699999999</v>
          </cell>
          <cell r="M1532">
            <v>27171.1699999999</v>
          </cell>
          <cell r="N1532">
            <v>-27171.1699999999</v>
          </cell>
          <cell r="O1532">
            <v>0</v>
          </cell>
          <cell r="R1532">
            <v>0</v>
          </cell>
        </row>
        <row r="1533">
          <cell r="G1533">
            <v>94528.38</v>
          </cell>
          <cell r="I1533">
            <v>3396.9</v>
          </cell>
          <cell r="J1533">
            <v>0</v>
          </cell>
          <cell r="K1533">
            <v>0</v>
          </cell>
          <cell r="L1533">
            <v>3396.9</v>
          </cell>
          <cell r="M1533">
            <v>102616.25999999901</v>
          </cell>
          <cell r="N1533">
            <v>10095.44</v>
          </cell>
          <cell r="O1533">
            <v>0</v>
          </cell>
          <cell r="R1533">
            <v>448.81</v>
          </cell>
        </row>
        <row r="1534">
          <cell r="G1534">
            <v>6710.3599999999897</v>
          </cell>
          <cell r="I1534">
            <v>279.75999999999902</v>
          </cell>
          <cell r="J1534">
            <v>636.15999999999894</v>
          </cell>
          <cell r="K1534">
            <v>0</v>
          </cell>
          <cell r="L1534">
            <v>915.91999999999905</v>
          </cell>
          <cell r="M1534">
            <v>8019.55</v>
          </cell>
          <cell r="N1534">
            <v>1430.45</v>
          </cell>
          <cell r="O1534">
            <v>0</v>
          </cell>
          <cell r="R1534">
            <v>31.87</v>
          </cell>
        </row>
        <row r="1535">
          <cell r="G1535">
            <v>13901.23</v>
          </cell>
          <cell r="I1535">
            <v>499.55</v>
          </cell>
          <cell r="J1535">
            <v>0</v>
          </cell>
          <cell r="K1535">
            <v>0</v>
          </cell>
          <cell r="L1535">
            <v>499.55</v>
          </cell>
          <cell r="M1535">
            <v>15087.85</v>
          </cell>
          <cell r="N1535">
            <v>1420.65</v>
          </cell>
          <cell r="O1535">
            <v>0</v>
          </cell>
          <cell r="R1535">
            <v>65.98</v>
          </cell>
        </row>
        <row r="1536">
          <cell r="G1536">
            <v>11503.48</v>
          </cell>
          <cell r="I1536">
            <v>479.56999999999903</v>
          </cell>
          <cell r="J1536">
            <v>1542.72</v>
          </cell>
          <cell r="K1536">
            <v>0</v>
          </cell>
          <cell r="L1536">
            <v>2022.29</v>
          </cell>
          <cell r="M1536">
            <v>14215.78</v>
          </cell>
          <cell r="N1536">
            <v>2364.1399999999899</v>
          </cell>
          <cell r="O1536">
            <v>0</v>
          </cell>
          <cell r="R1536">
            <v>54.59</v>
          </cell>
        </row>
        <row r="1537">
          <cell r="G1537">
            <v>5751.7399999999898</v>
          </cell>
          <cell r="I1537">
            <v>239.78</v>
          </cell>
          <cell r="J1537">
            <v>0</v>
          </cell>
          <cell r="K1537">
            <v>0</v>
          </cell>
          <cell r="L1537">
            <v>239.78</v>
          </cell>
          <cell r="M1537">
            <v>6311.92</v>
          </cell>
          <cell r="N1537">
            <v>1386.68</v>
          </cell>
          <cell r="O1537">
            <v>0</v>
          </cell>
          <cell r="R1537">
            <v>27.309999999999899</v>
          </cell>
        </row>
        <row r="1538">
          <cell r="G1538">
            <v>13901.23</v>
          </cell>
          <cell r="I1538">
            <v>499.55</v>
          </cell>
          <cell r="J1538">
            <v>0</v>
          </cell>
          <cell r="K1538">
            <v>0</v>
          </cell>
          <cell r="L1538">
            <v>499.55</v>
          </cell>
          <cell r="M1538">
            <v>15092.69</v>
          </cell>
          <cell r="N1538">
            <v>1532.3099999999899</v>
          </cell>
          <cell r="O1538">
            <v>0</v>
          </cell>
          <cell r="R1538">
            <v>65.98</v>
          </cell>
        </row>
        <row r="1539">
          <cell r="G1539">
            <v>36213.040000000001</v>
          </cell>
          <cell r="I1539">
            <v>1438.7</v>
          </cell>
          <cell r="J1539">
            <v>501.95999999999901</v>
          </cell>
          <cell r="K1539">
            <v>0</v>
          </cell>
          <cell r="L1539">
            <v>1940.66</v>
          </cell>
          <cell r="M1539">
            <v>40208.139999999898</v>
          </cell>
          <cell r="N1539">
            <v>9155.8999999999905</v>
          </cell>
          <cell r="O1539">
            <v>0</v>
          </cell>
          <cell r="R1539">
            <v>171.94</v>
          </cell>
        </row>
        <row r="1540">
          <cell r="G1540">
            <v>17255.22</v>
          </cell>
          <cell r="I1540">
            <v>719.35</v>
          </cell>
          <cell r="J1540">
            <v>2036.64</v>
          </cell>
          <cell r="K1540">
            <v>0</v>
          </cell>
          <cell r="L1540">
            <v>2755.9899999999898</v>
          </cell>
          <cell r="M1540">
            <v>21022.560000000001</v>
          </cell>
          <cell r="N1540">
            <v>3277.44</v>
          </cell>
          <cell r="O1540">
            <v>0</v>
          </cell>
          <cell r="R1540">
            <v>81.95</v>
          </cell>
        </row>
        <row r="1541">
          <cell r="G1541">
            <v>11503.48</v>
          </cell>
          <cell r="I1541">
            <v>479.56999999999903</v>
          </cell>
          <cell r="J1541">
            <v>1335.1199999999899</v>
          </cell>
          <cell r="K1541">
            <v>0</v>
          </cell>
          <cell r="L1541">
            <v>1814.69</v>
          </cell>
          <cell r="M1541">
            <v>14003.4</v>
          </cell>
          <cell r="N1541">
            <v>2459.88</v>
          </cell>
          <cell r="O1541">
            <v>0</v>
          </cell>
          <cell r="R1541">
            <v>54.59</v>
          </cell>
        </row>
        <row r="1542">
          <cell r="G1542">
            <v>13206.1</v>
          </cell>
          <cell r="I1542">
            <v>479.56999999999903</v>
          </cell>
          <cell r="J1542">
            <v>0</v>
          </cell>
          <cell r="K1542">
            <v>0</v>
          </cell>
          <cell r="L1542">
            <v>479.56999999999903</v>
          </cell>
          <cell r="M1542">
            <v>14341.23</v>
          </cell>
          <cell r="N1542">
            <v>1411.41</v>
          </cell>
          <cell r="O1542">
            <v>0</v>
          </cell>
          <cell r="R1542">
            <v>62.689999999999898</v>
          </cell>
        </row>
        <row r="1543">
          <cell r="G1543">
            <v>29238.0099999999</v>
          </cell>
          <cell r="I1543">
            <v>1218.8900000000001</v>
          </cell>
          <cell r="J1543">
            <v>4684.21</v>
          </cell>
          <cell r="K1543">
            <v>0</v>
          </cell>
          <cell r="L1543">
            <v>5903.1</v>
          </cell>
          <cell r="M1543">
            <v>36872.129999999903</v>
          </cell>
          <cell r="N1543">
            <v>4719.63</v>
          </cell>
          <cell r="O1543">
            <v>0</v>
          </cell>
          <cell r="R1543">
            <v>138.83000000000001</v>
          </cell>
        </row>
        <row r="1544">
          <cell r="G1544">
            <v>12379.19</v>
          </cell>
          <cell r="I1544">
            <v>479.56999999999903</v>
          </cell>
          <cell r="J1544">
            <v>0</v>
          </cell>
          <cell r="K1544">
            <v>0</v>
          </cell>
          <cell r="L1544">
            <v>479.56999999999903</v>
          </cell>
          <cell r="M1544">
            <v>13522.969999999899</v>
          </cell>
          <cell r="N1544">
            <v>2437.0300000000002</v>
          </cell>
          <cell r="O1544">
            <v>0</v>
          </cell>
          <cell r="R1544">
            <v>58.77</v>
          </cell>
        </row>
        <row r="1545">
          <cell r="G1545">
            <v>11503.48</v>
          </cell>
          <cell r="I1545">
            <v>479.56999999999903</v>
          </cell>
          <cell r="J1545">
            <v>0</v>
          </cell>
          <cell r="K1545">
            <v>0</v>
          </cell>
          <cell r="L1545">
            <v>479.56999999999903</v>
          </cell>
          <cell r="M1545">
            <v>12653.959999999901</v>
          </cell>
          <cell r="N1545">
            <v>3465.6399999999899</v>
          </cell>
          <cell r="O1545">
            <v>0</v>
          </cell>
          <cell r="R1545">
            <v>54.59</v>
          </cell>
        </row>
        <row r="1546">
          <cell r="G1546">
            <v>11503.48</v>
          </cell>
          <cell r="I1546">
            <v>479.56999999999903</v>
          </cell>
          <cell r="J1546">
            <v>0</v>
          </cell>
          <cell r="K1546">
            <v>0</v>
          </cell>
          <cell r="L1546">
            <v>479.56999999999903</v>
          </cell>
          <cell r="M1546">
            <v>12642.66</v>
          </cell>
          <cell r="N1546">
            <v>3205.7399999999898</v>
          </cell>
          <cell r="O1546">
            <v>0</v>
          </cell>
          <cell r="R1546">
            <v>54.59</v>
          </cell>
        </row>
        <row r="1547">
          <cell r="G1547">
            <v>90749.899999999907</v>
          </cell>
          <cell r="I1547">
            <v>3616.71</v>
          </cell>
          <cell r="J1547">
            <v>0</v>
          </cell>
          <cell r="K1547">
            <v>0</v>
          </cell>
          <cell r="L1547">
            <v>3616.71</v>
          </cell>
          <cell r="M1547">
            <v>99245.13</v>
          </cell>
          <cell r="N1547">
            <v>17974.77</v>
          </cell>
          <cell r="O1547">
            <v>0</v>
          </cell>
          <cell r="R1547">
            <v>430.88</v>
          </cell>
        </row>
        <row r="1548">
          <cell r="G1548">
            <v>12233.08</v>
          </cell>
          <cell r="I1548">
            <v>439.58999999999901</v>
          </cell>
          <cell r="J1548">
            <v>0</v>
          </cell>
          <cell r="K1548">
            <v>0</v>
          </cell>
          <cell r="L1548">
            <v>439.58999999999901</v>
          </cell>
          <cell r="M1548">
            <v>13281.58</v>
          </cell>
          <cell r="N1548">
            <v>1348.42</v>
          </cell>
          <cell r="O1548">
            <v>0</v>
          </cell>
          <cell r="R1548">
            <v>58.079999999999899</v>
          </cell>
        </row>
        <row r="1549">
          <cell r="G1549">
            <v>11503.48</v>
          </cell>
          <cell r="I1549">
            <v>479.56999999999903</v>
          </cell>
          <cell r="J1549">
            <v>1815.8399999999899</v>
          </cell>
          <cell r="K1549">
            <v>0</v>
          </cell>
          <cell r="L1549">
            <v>2295.4099999999899</v>
          </cell>
          <cell r="M1549">
            <v>14491</v>
          </cell>
          <cell r="N1549">
            <v>2139.0799999999899</v>
          </cell>
          <cell r="O1549">
            <v>0</v>
          </cell>
          <cell r="R1549">
            <v>54.59</v>
          </cell>
        </row>
        <row r="1550">
          <cell r="G1550">
            <v>27512.66</v>
          </cell>
          <cell r="I1550">
            <v>999.09</v>
          </cell>
          <cell r="J1550">
            <v>0</v>
          </cell>
          <cell r="K1550">
            <v>0</v>
          </cell>
          <cell r="L1550">
            <v>999.09</v>
          </cell>
          <cell r="M1550">
            <v>29893.459999999901</v>
          </cell>
          <cell r="N1550">
            <v>3306.54</v>
          </cell>
          <cell r="O1550">
            <v>0</v>
          </cell>
          <cell r="R1550">
            <v>130.63</v>
          </cell>
        </row>
        <row r="1551">
          <cell r="G1551">
            <v>11503.48</v>
          </cell>
          <cell r="I1551">
            <v>479.56999999999903</v>
          </cell>
          <cell r="J1551">
            <v>0</v>
          </cell>
          <cell r="K1551">
            <v>0</v>
          </cell>
          <cell r="L1551">
            <v>479.56999999999903</v>
          </cell>
          <cell r="M1551">
            <v>12623.87</v>
          </cell>
          <cell r="N1551">
            <v>2773.3299999999899</v>
          </cell>
          <cell r="O1551">
            <v>0</v>
          </cell>
          <cell r="R1551">
            <v>54.59</v>
          </cell>
        </row>
        <row r="1552">
          <cell r="G1552">
            <v>46013.919999999896</v>
          </cell>
          <cell r="I1552">
            <v>1918.25</v>
          </cell>
          <cell r="J1552">
            <v>6738.2399999999898</v>
          </cell>
          <cell r="K1552">
            <v>0</v>
          </cell>
          <cell r="L1552">
            <v>8656.4899999999907</v>
          </cell>
          <cell r="M1552">
            <v>57507.18</v>
          </cell>
          <cell r="N1552">
            <v>10652.82</v>
          </cell>
          <cell r="O1552">
            <v>0</v>
          </cell>
          <cell r="R1552">
            <v>218.49</v>
          </cell>
        </row>
        <row r="1553">
          <cell r="G1553">
            <v>34510.44</v>
          </cell>
          <cell r="I1553">
            <v>1438.7</v>
          </cell>
          <cell r="J1553">
            <v>2880</v>
          </cell>
          <cell r="K1553">
            <v>0</v>
          </cell>
          <cell r="L1553">
            <v>4318.6999999999898</v>
          </cell>
          <cell r="M1553">
            <v>40862.769999999902</v>
          </cell>
          <cell r="N1553">
            <v>8000.51</v>
          </cell>
          <cell r="O1553">
            <v>0</v>
          </cell>
          <cell r="R1553">
            <v>163.849999999999</v>
          </cell>
        </row>
        <row r="1554">
          <cell r="G1554">
            <v>23965.58</v>
          </cell>
          <cell r="I1554">
            <v>999.09</v>
          </cell>
          <cell r="J1554">
            <v>2544.54</v>
          </cell>
          <cell r="K1554">
            <v>0</v>
          </cell>
          <cell r="L1554">
            <v>3543.63</v>
          </cell>
          <cell r="M1554">
            <v>28925.24</v>
          </cell>
          <cell r="N1554">
            <v>5098.51</v>
          </cell>
          <cell r="O1554">
            <v>0</v>
          </cell>
          <cell r="R1554">
            <v>113.77</v>
          </cell>
        </row>
        <row r="1555">
          <cell r="G1555">
            <v>11503.48</v>
          </cell>
          <cell r="I1555">
            <v>479.36</v>
          </cell>
          <cell r="J1555">
            <v>780.48</v>
          </cell>
          <cell r="K1555">
            <v>0</v>
          </cell>
          <cell r="L1555">
            <v>1259.8399999999899</v>
          </cell>
          <cell r="M1555">
            <v>13455.43</v>
          </cell>
          <cell r="N1555">
            <v>3174.65</v>
          </cell>
          <cell r="O1555">
            <v>0</v>
          </cell>
          <cell r="R1555">
            <v>54.59</v>
          </cell>
        </row>
        <row r="1556">
          <cell r="G1556">
            <v>19735.549999999901</v>
          </cell>
          <cell r="I1556">
            <v>719.35</v>
          </cell>
          <cell r="J1556">
            <v>0</v>
          </cell>
          <cell r="K1556">
            <v>0</v>
          </cell>
          <cell r="L1556">
            <v>719.35</v>
          </cell>
          <cell r="M1556">
            <v>21443.31</v>
          </cell>
          <cell r="N1556">
            <v>2305.29</v>
          </cell>
          <cell r="O1556">
            <v>0</v>
          </cell>
          <cell r="R1556">
            <v>93.7</v>
          </cell>
        </row>
        <row r="1557">
          <cell r="G1557">
            <v>552.63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552.63</v>
          </cell>
          <cell r="N1557">
            <v>-552.63</v>
          </cell>
          <cell r="O1557">
            <v>0</v>
          </cell>
          <cell r="R1557">
            <v>0</v>
          </cell>
        </row>
        <row r="1558">
          <cell r="G1558">
            <v>5971.79</v>
          </cell>
          <cell r="I1558">
            <v>227.47</v>
          </cell>
          <cell r="J1558">
            <v>449.39999999999901</v>
          </cell>
          <cell r="K1558">
            <v>0</v>
          </cell>
          <cell r="L1558">
            <v>676.87</v>
          </cell>
          <cell r="M1558">
            <v>6985.29</v>
          </cell>
          <cell r="N1558">
            <v>1271.3099999999899</v>
          </cell>
          <cell r="O1558">
            <v>0</v>
          </cell>
          <cell r="R1558">
            <v>1.81</v>
          </cell>
        </row>
        <row r="1559">
          <cell r="G1559">
            <v>5547.9799999999896</v>
          </cell>
          <cell r="I1559">
            <v>189.569999999999</v>
          </cell>
          <cell r="J1559">
            <v>0</v>
          </cell>
          <cell r="K1559">
            <v>0</v>
          </cell>
          <cell r="L1559">
            <v>189.569999999999</v>
          </cell>
          <cell r="M1559">
            <v>6014.75</v>
          </cell>
          <cell r="N1559">
            <v>785.25</v>
          </cell>
          <cell r="O1559">
            <v>0</v>
          </cell>
          <cell r="R1559">
            <v>1.68999999999999</v>
          </cell>
        </row>
        <row r="1560">
          <cell r="G1560">
            <v>13315.139999999899</v>
          </cell>
          <cell r="I1560">
            <v>454.94</v>
          </cell>
          <cell r="J1560">
            <v>0</v>
          </cell>
          <cell r="K1560">
            <v>0</v>
          </cell>
          <cell r="L1560">
            <v>454.94</v>
          </cell>
          <cell r="M1560">
            <v>14431.459999999901</v>
          </cell>
          <cell r="N1560">
            <v>1790.6199999999899</v>
          </cell>
          <cell r="O1560">
            <v>0</v>
          </cell>
          <cell r="R1560">
            <v>4.0499999999999901</v>
          </cell>
        </row>
        <row r="1561">
          <cell r="G1561">
            <v>35830.739999999903</v>
          </cell>
          <cell r="I1561">
            <v>1364.8399999999899</v>
          </cell>
          <cell r="J1561">
            <v>0</v>
          </cell>
          <cell r="K1561">
            <v>0</v>
          </cell>
          <cell r="L1561">
            <v>1364.8399999999899</v>
          </cell>
          <cell r="M1561">
            <v>39139.18</v>
          </cell>
          <cell r="N1561">
            <v>8533.45999999999</v>
          </cell>
          <cell r="O1561">
            <v>0</v>
          </cell>
          <cell r="R1561">
            <v>10.89</v>
          </cell>
        </row>
        <row r="1562">
          <cell r="G1562">
            <v>6657.5699999999897</v>
          </cell>
          <cell r="I1562">
            <v>227.47</v>
          </cell>
          <cell r="J1562">
            <v>0</v>
          </cell>
          <cell r="K1562">
            <v>0</v>
          </cell>
          <cell r="L1562">
            <v>227.47</v>
          </cell>
          <cell r="M1562">
            <v>7213.3999999999896</v>
          </cell>
          <cell r="N1562">
            <v>840.51999999999896</v>
          </cell>
          <cell r="O1562">
            <v>0</v>
          </cell>
          <cell r="R1562">
            <v>2.02</v>
          </cell>
        </row>
        <row r="1563">
          <cell r="G1563">
            <v>13240.61</v>
          </cell>
          <cell r="I1563">
            <v>454.94</v>
          </cell>
          <cell r="J1563">
            <v>0</v>
          </cell>
          <cell r="K1563">
            <v>0</v>
          </cell>
          <cell r="L1563">
            <v>454.94</v>
          </cell>
          <cell r="M1563">
            <v>14358.95</v>
          </cell>
          <cell r="N1563">
            <v>1912.0899999999899</v>
          </cell>
          <cell r="O1563">
            <v>0</v>
          </cell>
          <cell r="R1563">
            <v>4.03</v>
          </cell>
        </row>
        <row r="1564">
          <cell r="G1564">
            <v>85097.99</v>
          </cell>
          <cell r="I1564">
            <v>3241.4899999999898</v>
          </cell>
          <cell r="J1564">
            <v>11755.17</v>
          </cell>
          <cell r="K1564">
            <v>0</v>
          </cell>
          <cell r="L1564">
            <v>14996.66</v>
          </cell>
          <cell r="M1564">
            <v>104871.45</v>
          </cell>
          <cell r="N1564">
            <v>12292.62</v>
          </cell>
          <cell r="O1564">
            <v>0</v>
          </cell>
          <cell r="R1564">
            <v>25.85</v>
          </cell>
        </row>
        <row r="1565">
          <cell r="G1565">
            <v>58473.769999999902</v>
          </cell>
          <cell r="I1565">
            <v>2227.34</v>
          </cell>
          <cell r="J1565">
            <v>0</v>
          </cell>
          <cell r="K1565">
            <v>0</v>
          </cell>
          <cell r="L1565">
            <v>2227.34</v>
          </cell>
          <cell r="M1565">
            <v>63926.099999999897</v>
          </cell>
          <cell r="N1565">
            <v>15174.9</v>
          </cell>
          <cell r="O1565">
            <v>0</v>
          </cell>
          <cell r="R1565">
            <v>17.77</v>
          </cell>
        </row>
        <row r="1566">
          <cell r="G1566">
            <v>13315.139999999899</v>
          </cell>
          <cell r="I1566">
            <v>454.94</v>
          </cell>
          <cell r="J1566">
            <v>0</v>
          </cell>
          <cell r="K1566">
            <v>0</v>
          </cell>
          <cell r="L1566">
            <v>454.94</v>
          </cell>
          <cell r="M1566">
            <v>14431.459999999901</v>
          </cell>
          <cell r="N1566">
            <v>1790.6199999999899</v>
          </cell>
          <cell r="O1566">
            <v>0</v>
          </cell>
          <cell r="R1566">
            <v>4.0499999999999901</v>
          </cell>
        </row>
        <row r="1567">
          <cell r="G1567">
            <v>48117.209999999897</v>
          </cell>
          <cell r="I1567">
            <v>1819.78</v>
          </cell>
          <cell r="J1567">
            <v>0</v>
          </cell>
          <cell r="K1567">
            <v>0</v>
          </cell>
          <cell r="L1567">
            <v>1819.78</v>
          </cell>
          <cell r="M1567">
            <v>52579.9</v>
          </cell>
          <cell r="N1567">
            <v>12243.139999999899</v>
          </cell>
          <cell r="O1567">
            <v>0</v>
          </cell>
          <cell r="R1567">
            <v>14.6099999999999</v>
          </cell>
        </row>
        <row r="1568">
          <cell r="G1568">
            <v>5971.79</v>
          </cell>
          <cell r="I1568">
            <v>227.47</v>
          </cell>
          <cell r="J1568">
            <v>541.32000000000005</v>
          </cell>
          <cell r="K1568">
            <v>0</v>
          </cell>
          <cell r="L1568">
            <v>768.78999999999905</v>
          </cell>
          <cell r="M1568">
            <v>7085.52</v>
          </cell>
          <cell r="N1568">
            <v>1374.8399999999899</v>
          </cell>
          <cell r="O1568">
            <v>0</v>
          </cell>
          <cell r="R1568">
            <v>1.81</v>
          </cell>
        </row>
        <row r="1569">
          <cell r="G1569">
            <v>13315.139999999899</v>
          </cell>
          <cell r="I1569">
            <v>454.94</v>
          </cell>
          <cell r="J1569">
            <v>0</v>
          </cell>
          <cell r="K1569">
            <v>0</v>
          </cell>
          <cell r="L1569">
            <v>454.94</v>
          </cell>
          <cell r="M1569">
            <v>14428.85</v>
          </cell>
          <cell r="N1569">
            <v>1727.95</v>
          </cell>
          <cell r="O1569">
            <v>0</v>
          </cell>
          <cell r="R1569">
            <v>4.0499999999999901</v>
          </cell>
        </row>
        <row r="1570">
          <cell r="G1570">
            <v>25258.720000000001</v>
          </cell>
          <cell r="I1570">
            <v>909.88</v>
          </cell>
          <cell r="J1570">
            <v>0</v>
          </cell>
          <cell r="K1570">
            <v>0</v>
          </cell>
          <cell r="L1570">
            <v>909.88</v>
          </cell>
          <cell r="M1570">
            <v>27473.52</v>
          </cell>
          <cell r="N1570">
            <v>4531.68</v>
          </cell>
          <cell r="O1570">
            <v>0</v>
          </cell>
          <cell r="R1570">
            <v>7.6799999999999899</v>
          </cell>
        </row>
        <row r="1571">
          <cell r="G1571">
            <v>51461.809999999903</v>
          </cell>
          <cell r="I1571">
            <v>1857.7</v>
          </cell>
          <cell r="J1571">
            <v>0</v>
          </cell>
          <cell r="K1571">
            <v>0</v>
          </cell>
          <cell r="L1571">
            <v>1857.7</v>
          </cell>
          <cell r="M1571">
            <v>56009.26</v>
          </cell>
          <cell r="N1571">
            <v>9964.34</v>
          </cell>
          <cell r="O1571">
            <v>0</v>
          </cell>
          <cell r="R1571">
            <v>15.65</v>
          </cell>
        </row>
        <row r="1572">
          <cell r="G1572">
            <v>11943.58</v>
          </cell>
          <cell r="I1572">
            <v>454.94</v>
          </cell>
          <cell r="J1572">
            <v>1992.72</v>
          </cell>
          <cell r="K1572">
            <v>0</v>
          </cell>
          <cell r="L1572">
            <v>2447.6599999999899</v>
          </cell>
          <cell r="M1572">
            <v>15085.99</v>
          </cell>
          <cell r="N1572">
            <v>1954.01</v>
          </cell>
          <cell r="O1572">
            <v>0</v>
          </cell>
          <cell r="R1572">
            <v>3.6299999999999901</v>
          </cell>
        </row>
        <row r="1573">
          <cell r="G1573">
            <v>28294.68</v>
          </cell>
          <cell r="I1573">
            <v>966.75</v>
          </cell>
          <cell r="J1573">
            <v>0</v>
          </cell>
          <cell r="K1573">
            <v>0</v>
          </cell>
          <cell r="L1573">
            <v>966.75</v>
          </cell>
          <cell r="M1573">
            <v>30661.79</v>
          </cell>
          <cell r="N1573">
            <v>3686.3699999999899</v>
          </cell>
          <cell r="O1573">
            <v>0</v>
          </cell>
          <cell r="R1573">
            <v>8.5999999999999908</v>
          </cell>
        </row>
        <row r="1574">
          <cell r="G1574">
            <v>11943.58</v>
          </cell>
          <cell r="I1574">
            <v>454.94</v>
          </cell>
          <cell r="J1574">
            <v>0</v>
          </cell>
          <cell r="K1574">
            <v>0</v>
          </cell>
          <cell r="L1574">
            <v>454.94</v>
          </cell>
          <cell r="M1574">
            <v>13040.75</v>
          </cell>
          <cell r="N1574">
            <v>2711.8899999999899</v>
          </cell>
          <cell r="O1574">
            <v>0</v>
          </cell>
          <cell r="R1574">
            <v>3.6299999999999901</v>
          </cell>
        </row>
        <row r="1575">
          <cell r="G1575">
            <v>13315.139999999899</v>
          </cell>
          <cell r="I1575">
            <v>454.94</v>
          </cell>
          <cell r="J1575">
            <v>0</v>
          </cell>
          <cell r="K1575">
            <v>0</v>
          </cell>
          <cell r="L1575">
            <v>454.94</v>
          </cell>
          <cell r="M1575">
            <v>14430.809999999899</v>
          </cell>
          <cell r="N1575">
            <v>1774.95</v>
          </cell>
          <cell r="O1575">
            <v>0</v>
          </cell>
          <cell r="R1575">
            <v>4.0499999999999901</v>
          </cell>
        </row>
        <row r="1576">
          <cell r="G1576">
            <v>13315.139999999899</v>
          </cell>
          <cell r="I1576">
            <v>454.94</v>
          </cell>
          <cell r="J1576">
            <v>0</v>
          </cell>
          <cell r="K1576">
            <v>0</v>
          </cell>
          <cell r="L1576">
            <v>454.94</v>
          </cell>
          <cell r="M1576">
            <v>14430.809999999899</v>
          </cell>
          <cell r="N1576">
            <v>1774.95</v>
          </cell>
          <cell r="O1576">
            <v>0</v>
          </cell>
          <cell r="R1576">
            <v>4.0499999999999901</v>
          </cell>
        </row>
        <row r="1577">
          <cell r="G1577">
            <v>25415.43</v>
          </cell>
          <cell r="I1577">
            <v>853.03999999999905</v>
          </cell>
          <cell r="J1577">
            <v>0</v>
          </cell>
          <cell r="K1577">
            <v>0</v>
          </cell>
          <cell r="L1577">
            <v>853.03999999999905</v>
          </cell>
          <cell r="M1577">
            <v>27503.41</v>
          </cell>
          <cell r="N1577">
            <v>2787.19</v>
          </cell>
          <cell r="O1577">
            <v>0</v>
          </cell>
          <cell r="R1577">
            <v>7.71999999999999</v>
          </cell>
        </row>
        <row r="1578">
          <cell r="G1578">
            <v>43295.48</v>
          </cell>
          <cell r="I1578">
            <v>1649.18</v>
          </cell>
          <cell r="J1578">
            <v>0</v>
          </cell>
          <cell r="K1578">
            <v>0</v>
          </cell>
          <cell r="L1578">
            <v>1649.18</v>
          </cell>
          <cell r="M1578">
            <v>47333.43</v>
          </cell>
          <cell r="N1578">
            <v>11257.41</v>
          </cell>
          <cell r="O1578">
            <v>0</v>
          </cell>
          <cell r="R1578">
            <v>13.16</v>
          </cell>
        </row>
        <row r="1579">
          <cell r="G1579">
            <v>8460.0300000000007</v>
          </cell>
          <cell r="I1579">
            <v>322.25</v>
          </cell>
          <cell r="J1579">
            <v>0</v>
          </cell>
          <cell r="K1579">
            <v>0</v>
          </cell>
          <cell r="L1579">
            <v>322.25</v>
          </cell>
          <cell r="M1579">
            <v>9253.5799999999908</v>
          </cell>
          <cell r="N1579">
            <v>2306.42</v>
          </cell>
          <cell r="O1579">
            <v>0</v>
          </cell>
          <cell r="R1579">
            <v>2.5699999999999901</v>
          </cell>
        </row>
        <row r="1580">
          <cell r="G1580">
            <v>23499.75</v>
          </cell>
          <cell r="I1580">
            <v>909.89999999999895</v>
          </cell>
          <cell r="J1580">
            <v>3594.96</v>
          </cell>
          <cell r="K1580">
            <v>0</v>
          </cell>
          <cell r="L1580">
            <v>4504.8599999999897</v>
          </cell>
          <cell r="M1580">
            <v>29376.0099999999</v>
          </cell>
          <cell r="N1580">
            <v>4260.9499999999898</v>
          </cell>
          <cell r="O1580">
            <v>0</v>
          </cell>
          <cell r="R1580">
            <v>7.1399999999999899</v>
          </cell>
        </row>
        <row r="1581">
          <cell r="G1581">
            <v>18910.6699999999</v>
          </cell>
          <cell r="I1581">
            <v>720.33</v>
          </cell>
          <cell r="J1581">
            <v>0</v>
          </cell>
          <cell r="K1581">
            <v>0</v>
          </cell>
          <cell r="L1581">
            <v>720.33</v>
          </cell>
          <cell r="M1581">
            <v>20673.139999999901</v>
          </cell>
          <cell r="N1581">
            <v>4888.0600000000004</v>
          </cell>
          <cell r="O1581">
            <v>0</v>
          </cell>
          <cell r="R1581">
            <v>5.74</v>
          </cell>
        </row>
        <row r="1582">
          <cell r="G1582">
            <v>11943.58</v>
          </cell>
          <cell r="I1582">
            <v>454.94</v>
          </cell>
          <cell r="J1582">
            <v>1484.88</v>
          </cell>
          <cell r="K1582">
            <v>0</v>
          </cell>
          <cell r="L1582">
            <v>1939.8199999999899</v>
          </cell>
          <cell r="M1582">
            <v>14578.15</v>
          </cell>
          <cell r="N1582">
            <v>2461.8499999999899</v>
          </cell>
          <cell r="O1582">
            <v>0</v>
          </cell>
          <cell r="R1582">
            <v>3.6299999999999901</v>
          </cell>
        </row>
        <row r="1583">
          <cell r="G1583">
            <v>39721.800000000003</v>
          </cell>
          <cell r="I1583">
            <v>1364.8399999999899</v>
          </cell>
          <cell r="J1583">
            <v>0</v>
          </cell>
          <cell r="K1583">
            <v>0</v>
          </cell>
          <cell r="L1583">
            <v>1364.8399999999899</v>
          </cell>
          <cell r="M1583">
            <v>43068.809999999903</v>
          </cell>
          <cell r="N1583">
            <v>5548.47</v>
          </cell>
          <cell r="O1583">
            <v>0</v>
          </cell>
          <cell r="R1583">
            <v>12.07</v>
          </cell>
        </row>
        <row r="1584">
          <cell r="G1584">
            <v>6967.09</v>
          </cell>
          <cell r="I1584">
            <v>265.38</v>
          </cell>
          <cell r="J1584">
            <v>0</v>
          </cell>
          <cell r="K1584">
            <v>0</v>
          </cell>
          <cell r="L1584">
            <v>265.38</v>
          </cell>
          <cell r="M1584">
            <v>7609.43</v>
          </cell>
          <cell r="N1584">
            <v>1635.47</v>
          </cell>
          <cell r="O1584">
            <v>0</v>
          </cell>
          <cell r="R1584">
            <v>2.12</v>
          </cell>
        </row>
        <row r="1585">
          <cell r="G1585">
            <v>67410.210000000006</v>
          </cell>
          <cell r="I1585">
            <v>2369.5100000000002</v>
          </cell>
          <cell r="J1585">
            <v>0</v>
          </cell>
          <cell r="K1585">
            <v>0</v>
          </cell>
          <cell r="L1585">
            <v>2369.5100000000002</v>
          </cell>
          <cell r="M1585">
            <v>73220.36</v>
          </cell>
          <cell r="N1585">
            <v>11167.639999999899</v>
          </cell>
          <cell r="O1585">
            <v>0</v>
          </cell>
          <cell r="R1585">
            <v>20.48</v>
          </cell>
        </row>
        <row r="1586">
          <cell r="G1586">
            <v>29959.08</v>
          </cell>
          <cell r="I1586">
            <v>1023.62</v>
          </cell>
          <cell r="J1586">
            <v>0</v>
          </cell>
          <cell r="K1586">
            <v>0</v>
          </cell>
          <cell r="L1586">
            <v>1023.62</v>
          </cell>
          <cell r="M1586">
            <v>32463.83</v>
          </cell>
          <cell r="N1586">
            <v>3864.4899999999898</v>
          </cell>
          <cell r="O1586">
            <v>0</v>
          </cell>
          <cell r="R1586">
            <v>9.0999999999999908</v>
          </cell>
        </row>
        <row r="1587">
          <cell r="G1587">
            <v>30366.4199999999</v>
          </cell>
          <cell r="I1587">
            <v>985.71</v>
          </cell>
          <cell r="J1587">
            <v>0</v>
          </cell>
          <cell r="K1587">
            <v>0</v>
          </cell>
          <cell r="L1587">
            <v>985.71</v>
          </cell>
          <cell r="M1587">
            <v>32783.65</v>
          </cell>
          <cell r="N1587">
            <v>2328.8299999999899</v>
          </cell>
          <cell r="O1587">
            <v>0</v>
          </cell>
          <cell r="R1587">
            <v>9.23</v>
          </cell>
        </row>
        <row r="1588">
          <cell r="G1588">
            <v>11943.58</v>
          </cell>
          <cell r="I1588">
            <v>454.94</v>
          </cell>
          <cell r="J1588">
            <v>0</v>
          </cell>
          <cell r="K1588">
            <v>0</v>
          </cell>
          <cell r="L1588">
            <v>454.94</v>
          </cell>
          <cell r="M1588">
            <v>13042.7</v>
          </cell>
          <cell r="N1588">
            <v>2757.6999999999898</v>
          </cell>
          <cell r="O1588">
            <v>0</v>
          </cell>
          <cell r="R1588">
            <v>3.6299999999999901</v>
          </cell>
        </row>
        <row r="1589">
          <cell r="G1589">
            <v>34360.18</v>
          </cell>
          <cell r="I1589">
            <v>1175.27</v>
          </cell>
          <cell r="J1589">
            <v>0</v>
          </cell>
          <cell r="K1589">
            <v>0</v>
          </cell>
          <cell r="L1589">
            <v>1175.27</v>
          </cell>
          <cell r="M1589">
            <v>37252.33</v>
          </cell>
          <cell r="N1589">
            <v>4858.71</v>
          </cell>
          <cell r="O1589">
            <v>0</v>
          </cell>
          <cell r="R1589">
            <v>10.44</v>
          </cell>
        </row>
        <row r="1590">
          <cell r="G1590">
            <v>57144.160000000003</v>
          </cell>
          <cell r="I1590">
            <v>1952.48</v>
          </cell>
          <cell r="J1590">
            <v>0</v>
          </cell>
          <cell r="K1590">
            <v>0</v>
          </cell>
          <cell r="L1590">
            <v>1952.48</v>
          </cell>
          <cell r="M1590">
            <v>61927.849999999897</v>
          </cell>
          <cell r="N1590">
            <v>7515.79</v>
          </cell>
          <cell r="O1590">
            <v>0</v>
          </cell>
          <cell r="R1590">
            <v>17.37</v>
          </cell>
        </row>
        <row r="1591">
          <cell r="G1591">
            <v>40309.58</v>
          </cell>
          <cell r="I1591">
            <v>1535.44</v>
          </cell>
          <cell r="J1591">
            <v>7056.5799999999899</v>
          </cell>
          <cell r="K1591">
            <v>0</v>
          </cell>
          <cell r="L1591">
            <v>8592.02</v>
          </cell>
          <cell r="M1591">
            <v>51199.889999999898</v>
          </cell>
          <cell r="N1591">
            <v>5170.1099999999897</v>
          </cell>
          <cell r="O1591">
            <v>0</v>
          </cell>
          <cell r="R1591">
            <v>12.24</v>
          </cell>
        </row>
        <row r="1592">
          <cell r="G1592">
            <v>11943.58</v>
          </cell>
          <cell r="I1592">
            <v>454.94</v>
          </cell>
          <cell r="J1592">
            <v>2255.7600000000002</v>
          </cell>
          <cell r="K1592">
            <v>0</v>
          </cell>
          <cell r="L1592">
            <v>2710.6999999999898</v>
          </cell>
          <cell r="M1592">
            <v>15349.03</v>
          </cell>
          <cell r="N1592">
            <v>1690.97</v>
          </cell>
          <cell r="O1592">
            <v>0</v>
          </cell>
          <cell r="R1592">
            <v>3.6299999999999901</v>
          </cell>
        </row>
        <row r="1593">
          <cell r="G1593">
            <v>11943.58</v>
          </cell>
          <cell r="I1593">
            <v>454.94</v>
          </cell>
          <cell r="J1593">
            <v>0</v>
          </cell>
          <cell r="K1593">
            <v>0</v>
          </cell>
          <cell r="L1593">
            <v>454.94</v>
          </cell>
          <cell r="M1593">
            <v>13063.91</v>
          </cell>
          <cell r="N1593">
            <v>3256.09</v>
          </cell>
          <cell r="O1593">
            <v>0</v>
          </cell>
          <cell r="R1593">
            <v>3.6299999999999901</v>
          </cell>
        </row>
        <row r="1594">
          <cell r="G1594">
            <v>98951.82</v>
          </cell>
          <cell r="I1594">
            <v>3222.53</v>
          </cell>
          <cell r="J1594">
            <v>0</v>
          </cell>
          <cell r="K1594">
            <v>0</v>
          </cell>
          <cell r="L1594">
            <v>3222.53</v>
          </cell>
          <cell r="M1594">
            <v>106877.41</v>
          </cell>
          <cell r="N1594">
            <v>8477.7900000000009</v>
          </cell>
          <cell r="O1594">
            <v>0</v>
          </cell>
          <cell r="R1594">
            <v>30.05</v>
          </cell>
        </row>
        <row r="1595">
          <cell r="G1595">
            <v>14599.25</v>
          </cell>
          <cell r="I1595">
            <v>473.89999999999901</v>
          </cell>
          <cell r="J1595">
            <v>0</v>
          </cell>
          <cell r="K1595">
            <v>0</v>
          </cell>
          <cell r="L1595">
            <v>473.89999999999901</v>
          </cell>
          <cell r="M1595">
            <v>15760.18</v>
          </cell>
          <cell r="N1595">
            <v>1090.22</v>
          </cell>
          <cell r="O1595">
            <v>0</v>
          </cell>
          <cell r="R1595">
            <v>4.4299999999999899</v>
          </cell>
        </row>
        <row r="1596">
          <cell r="G1596">
            <v>17915.369999999901</v>
          </cell>
          <cell r="I1596">
            <v>682.41999999999905</v>
          </cell>
          <cell r="J1596">
            <v>1733.16</v>
          </cell>
          <cell r="K1596">
            <v>0</v>
          </cell>
          <cell r="L1596">
            <v>2415.5799999999899</v>
          </cell>
          <cell r="M1596">
            <v>21354.59</v>
          </cell>
          <cell r="N1596">
            <v>3753.8499999999899</v>
          </cell>
          <cell r="O1596">
            <v>0</v>
          </cell>
          <cell r="R1596">
            <v>5.44</v>
          </cell>
        </row>
        <row r="1597">
          <cell r="G1597">
            <v>14599.24</v>
          </cell>
          <cell r="I1597">
            <v>473.89999999999901</v>
          </cell>
          <cell r="J1597">
            <v>0</v>
          </cell>
          <cell r="K1597">
            <v>0</v>
          </cell>
          <cell r="L1597">
            <v>473.89999999999901</v>
          </cell>
          <cell r="M1597">
            <v>15761.379999999899</v>
          </cell>
          <cell r="N1597">
            <v>1119.6199999999899</v>
          </cell>
          <cell r="O1597">
            <v>0</v>
          </cell>
          <cell r="R1597">
            <v>4.4299999999999899</v>
          </cell>
        </row>
        <row r="1598">
          <cell r="G1598">
            <v>13042.53</v>
          </cell>
          <cell r="I1598">
            <v>454.94</v>
          </cell>
          <cell r="J1598">
            <v>0</v>
          </cell>
          <cell r="K1598">
            <v>0</v>
          </cell>
          <cell r="L1598">
            <v>454.94</v>
          </cell>
          <cell r="M1598">
            <v>14146.219999999899</v>
          </cell>
          <cell r="N1598">
            <v>1766.02</v>
          </cell>
          <cell r="O1598">
            <v>0</v>
          </cell>
          <cell r="R1598">
            <v>3.96</v>
          </cell>
        </row>
        <row r="1599">
          <cell r="G1599">
            <v>31849.66</v>
          </cell>
          <cell r="I1599">
            <v>1213.18</v>
          </cell>
          <cell r="J1599">
            <v>0</v>
          </cell>
          <cell r="K1599">
            <v>0</v>
          </cell>
          <cell r="L1599">
            <v>1213.18</v>
          </cell>
          <cell r="M1599">
            <v>34778.709999999897</v>
          </cell>
          <cell r="N1599">
            <v>7307.93</v>
          </cell>
          <cell r="O1599">
            <v>0</v>
          </cell>
          <cell r="R1599">
            <v>9.6799999999999908</v>
          </cell>
        </row>
        <row r="1600">
          <cell r="G1600">
            <v>12441.23</v>
          </cell>
          <cell r="I1600">
            <v>473.89999999999901</v>
          </cell>
          <cell r="J1600">
            <v>1517.0799999999899</v>
          </cell>
          <cell r="K1600">
            <v>0</v>
          </cell>
          <cell r="L1600">
            <v>1990.98</v>
          </cell>
          <cell r="M1600">
            <v>15135.5</v>
          </cell>
          <cell r="N1600">
            <v>2114.5</v>
          </cell>
          <cell r="O1600">
            <v>0</v>
          </cell>
          <cell r="R1600">
            <v>3.77999999999999</v>
          </cell>
        </row>
        <row r="1601">
          <cell r="G1601">
            <v>11943.58</v>
          </cell>
          <cell r="I1601">
            <v>454.94</v>
          </cell>
          <cell r="J1601">
            <v>1805.52</v>
          </cell>
          <cell r="K1601">
            <v>0</v>
          </cell>
          <cell r="L1601">
            <v>2260.46</v>
          </cell>
          <cell r="M1601">
            <v>14871.16</v>
          </cell>
          <cell r="N1601">
            <v>1490.8399999999899</v>
          </cell>
          <cell r="O1601">
            <v>0</v>
          </cell>
          <cell r="R1601">
            <v>3.6299999999999901</v>
          </cell>
        </row>
        <row r="1602">
          <cell r="G1602">
            <v>12401.48</v>
          </cell>
          <cell r="I1602">
            <v>454.94999999999902</v>
          </cell>
          <cell r="J1602">
            <v>0</v>
          </cell>
          <cell r="K1602">
            <v>0</v>
          </cell>
          <cell r="L1602">
            <v>454.94999999999902</v>
          </cell>
          <cell r="M1602">
            <v>13507.1</v>
          </cell>
          <cell r="N1602">
            <v>2452.9</v>
          </cell>
          <cell r="O1602">
            <v>0</v>
          </cell>
          <cell r="R1602">
            <v>3.77</v>
          </cell>
        </row>
        <row r="1603">
          <cell r="G1603">
            <v>11943.58</v>
          </cell>
          <cell r="I1603">
            <v>454.94</v>
          </cell>
          <cell r="J1603">
            <v>1684.5599999999899</v>
          </cell>
          <cell r="K1603">
            <v>0</v>
          </cell>
          <cell r="L1603">
            <v>2139.5</v>
          </cell>
          <cell r="M1603">
            <v>14773.67</v>
          </cell>
          <cell r="N1603">
            <v>2164.09</v>
          </cell>
          <cell r="O1603">
            <v>0</v>
          </cell>
          <cell r="R1603">
            <v>3.6299999999999901</v>
          </cell>
        </row>
        <row r="1604">
          <cell r="G1604">
            <v>11943.58</v>
          </cell>
          <cell r="I1604">
            <v>454.94</v>
          </cell>
          <cell r="J1604">
            <v>0</v>
          </cell>
          <cell r="K1604">
            <v>0</v>
          </cell>
          <cell r="L1604">
            <v>454.94</v>
          </cell>
          <cell r="M1604">
            <v>13040.75</v>
          </cell>
          <cell r="N1604">
            <v>2711.8899999999899</v>
          </cell>
          <cell r="O1604">
            <v>0</v>
          </cell>
          <cell r="R1604">
            <v>3.6299999999999901</v>
          </cell>
        </row>
        <row r="1605">
          <cell r="G1605">
            <v>35830.739999999903</v>
          </cell>
          <cell r="I1605">
            <v>1364.8399999999899</v>
          </cell>
          <cell r="J1605">
            <v>0</v>
          </cell>
          <cell r="K1605">
            <v>0</v>
          </cell>
          <cell r="L1605">
            <v>1364.8399999999899</v>
          </cell>
          <cell r="M1605">
            <v>39134.019999999902</v>
          </cell>
          <cell r="N1605">
            <v>8411.18</v>
          </cell>
          <cell r="O1605">
            <v>0</v>
          </cell>
          <cell r="R1605">
            <v>10.89</v>
          </cell>
        </row>
        <row r="1606">
          <cell r="G1606">
            <v>7007.64</v>
          </cell>
          <cell r="I1606">
            <v>227.47</v>
          </cell>
          <cell r="J1606">
            <v>0</v>
          </cell>
          <cell r="K1606">
            <v>0</v>
          </cell>
          <cell r="L1606">
            <v>227.47</v>
          </cell>
          <cell r="M1606">
            <v>7564.43</v>
          </cell>
          <cell r="N1606">
            <v>513.97</v>
          </cell>
          <cell r="O1606">
            <v>0</v>
          </cell>
          <cell r="R1606">
            <v>2.1299999999999901</v>
          </cell>
        </row>
        <row r="1607">
          <cell r="G1607">
            <v>11943.58</v>
          </cell>
          <cell r="I1607">
            <v>454.94</v>
          </cell>
          <cell r="J1607">
            <v>0</v>
          </cell>
          <cell r="K1607">
            <v>0</v>
          </cell>
          <cell r="L1607">
            <v>454.94</v>
          </cell>
          <cell r="M1607">
            <v>13045.32</v>
          </cell>
          <cell r="N1607">
            <v>2818.92</v>
          </cell>
          <cell r="O1607">
            <v>0</v>
          </cell>
          <cell r="R1607">
            <v>3.6299999999999901</v>
          </cell>
        </row>
        <row r="1608">
          <cell r="G1608">
            <v>5839.6999999999898</v>
          </cell>
          <cell r="I1608">
            <v>189.569999999999</v>
          </cell>
          <cell r="J1608">
            <v>0</v>
          </cell>
          <cell r="K1608">
            <v>0</v>
          </cell>
          <cell r="L1608">
            <v>189.569999999999</v>
          </cell>
          <cell r="M1608">
            <v>6304.55</v>
          </cell>
          <cell r="N1608">
            <v>447.85</v>
          </cell>
          <cell r="O1608">
            <v>0</v>
          </cell>
          <cell r="R1608">
            <v>1.78</v>
          </cell>
        </row>
        <row r="1609">
          <cell r="G1609">
            <v>90675.8</v>
          </cell>
          <cell r="I1609">
            <v>3412.09</v>
          </cell>
          <cell r="J1609">
            <v>2033.76</v>
          </cell>
          <cell r="K1609">
            <v>0</v>
          </cell>
          <cell r="L1609">
            <v>5445.85</v>
          </cell>
          <cell r="M1609">
            <v>101022.84</v>
          </cell>
          <cell r="N1609">
            <v>19190.88</v>
          </cell>
          <cell r="O1609">
            <v>0</v>
          </cell>
          <cell r="R1609">
            <v>27.55</v>
          </cell>
        </row>
        <row r="1610">
          <cell r="G1610">
            <v>6967.09</v>
          </cell>
          <cell r="I1610">
            <v>265.38</v>
          </cell>
          <cell r="J1610">
            <v>0</v>
          </cell>
          <cell r="K1610">
            <v>0</v>
          </cell>
          <cell r="L1610">
            <v>265.38</v>
          </cell>
          <cell r="M1610">
            <v>7615.6099999999897</v>
          </cell>
          <cell r="N1610">
            <v>1780.63</v>
          </cell>
          <cell r="O1610">
            <v>0</v>
          </cell>
          <cell r="R1610">
            <v>2.12</v>
          </cell>
        </row>
        <row r="1611">
          <cell r="G1611">
            <v>47774.32</v>
          </cell>
          <cell r="I1611">
            <v>1819.79</v>
          </cell>
          <cell r="J1611">
            <v>6738.2399999999898</v>
          </cell>
          <cell r="K1611">
            <v>0</v>
          </cell>
          <cell r="L1611">
            <v>8558.0300000000007</v>
          </cell>
          <cell r="M1611">
            <v>59083.449999999903</v>
          </cell>
          <cell r="N1611">
            <v>8394.9500000000007</v>
          </cell>
          <cell r="O1611">
            <v>0</v>
          </cell>
          <cell r="R1611">
            <v>14.51</v>
          </cell>
        </row>
        <row r="1612">
          <cell r="G1612">
            <v>13042.53</v>
          </cell>
          <cell r="I1612">
            <v>454.94</v>
          </cell>
          <cell r="J1612">
            <v>977.51999999999896</v>
          </cell>
          <cell r="K1612">
            <v>0</v>
          </cell>
          <cell r="L1612">
            <v>1432.46</v>
          </cell>
          <cell r="M1612">
            <v>15160.69</v>
          </cell>
          <cell r="N1612">
            <v>1657.79</v>
          </cell>
          <cell r="O1612">
            <v>0</v>
          </cell>
          <cell r="R1612">
            <v>3.96</v>
          </cell>
        </row>
        <row r="1613">
          <cell r="G1613">
            <v>11943.58</v>
          </cell>
          <cell r="I1613">
            <v>454.92</v>
          </cell>
          <cell r="J1613">
            <v>0</v>
          </cell>
          <cell r="K1613">
            <v>0</v>
          </cell>
          <cell r="L1613">
            <v>454.92</v>
          </cell>
          <cell r="M1613">
            <v>13049.18</v>
          </cell>
          <cell r="N1613">
            <v>2910.82</v>
          </cell>
          <cell r="O1613">
            <v>0</v>
          </cell>
          <cell r="R1613">
            <v>3.6299999999999901</v>
          </cell>
        </row>
        <row r="1614">
          <cell r="G1614">
            <v>6657.5699999999897</v>
          </cell>
          <cell r="I1614">
            <v>227.47</v>
          </cell>
          <cell r="J1614">
            <v>0</v>
          </cell>
          <cell r="K1614">
            <v>0</v>
          </cell>
          <cell r="L1614">
            <v>227.47</v>
          </cell>
          <cell r="M1614">
            <v>7217.6999999999898</v>
          </cell>
          <cell r="N1614">
            <v>942.29999999999905</v>
          </cell>
          <cell r="O1614">
            <v>0</v>
          </cell>
          <cell r="R1614">
            <v>2.02</v>
          </cell>
        </row>
        <row r="1615">
          <cell r="G1615">
            <v>-346.06999999999903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-346.06999999999903</v>
          </cell>
          <cell r="N1615">
            <v>346.06999999999903</v>
          </cell>
          <cell r="O1615">
            <v>0</v>
          </cell>
          <cell r="R1615">
            <v>0</v>
          </cell>
        </row>
        <row r="1616">
          <cell r="G1616">
            <v>36162.959999999897</v>
          </cell>
          <cell r="I1616">
            <v>0</v>
          </cell>
          <cell r="J1616">
            <v>5395.4399999999896</v>
          </cell>
          <cell r="K1616">
            <v>0</v>
          </cell>
          <cell r="L1616">
            <v>5395.4399999999896</v>
          </cell>
          <cell r="M1616">
            <v>44230.639999999898</v>
          </cell>
          <cell r="N1616">
            <v>7969.3599999999897</v>
          </cell>
          <cell r="O1616">
            <v>0</v>
          </cell>
          <cell r="R1616">
            <v>0</v>
          </cell>
        </row>
        <row r="1617">
          <cell r="G1617">
            <v>3411.79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3625.2199999999898</v>
          </cell>
          <cell r="N1617">
            <v>544.77999999999895</v>
          </cell>
          <cell r="O1617">
            <v>0</v>
          </cell>
          <cell r="R1617">
            <v>0</v>
          </cell>
        </row>
        <row r="1618">
          <cell r="G1618">
            <v>18081.48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19334.68</v>
          </cell>
          <cell r="N1618">
            <v>5145.3199999999897</v>
          </cell>
          <cell r="O1618">
            <v>0</v>
          </cell>
          <cell r="R1618">
            <v>0</v>
          </cell>
        </row>
        <row r="1619">
          <cell r="G1619">
            <v>24108.639999999901</v>
          </cell>
          <cell r="I1619">
            <v>0</v>
          </cell>
          <cell r="J1619">
            <v>1542.24</v>
          </cell>
          <cell r="K1619">
            <v>0</v>
          </cell>
          <cell r="L1619">
            <v>1542.24</v>
          </cell>
          <cell r="M1619">
            <v>27413.91</v>
          </cell>
          <cell r="N1619">
            <v>7026.09</v>
          </cell>
          <cell r="O1619">
            <v>0</v>
          </cell>
          <cell r="R1619">
            <v>0</v>
          </cell>
        </row>
        <row r="1620">
          <cell r="G1620">
            <v>12054.32</v>
          </cell>
          <cell r="I1620">
            <v>0</v>
          </cell>
          <cell r="J1620">
            <v>1992.72</v>
          </cell>
          <cell r="K1620">
            <v>0</v>
          </cell>
          <cell r="L1620">
            <v>1992.72</v>
          </cell>
          <cell r="M1620">
            <v>14937.78</v>
          </cell>
          <cell r="N1620">
            <v>2462.2199999999898</v>
          </cell>
          <cell r="O1620">
            <v>0</v>
          </cell>
          <cell r="R1620">
            <v>0</v>
          </cell>
        </row>
        <row r="1621">
          <cell r="G1621">
            <v>90407.369999999893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96766.669999999896</v>
          </cell>
          <cell r="N1621">
            <v>27458.529999999901</v>
          </cell>
          <cell r="O1621">
            <v>0</v>
          </cell>
          <cell r="R1621">
            <v>0</v>
          </cell>
        </row>
        <row r="1622">
          <cell r="G1622">
            <v>13042.53</v>
          </cell>
          <cell r="I1622">
            <v>0</v>
          </cell>
          <cell r="J1622">
            <v>0</v>
          </cell>
          <cell r="K1622">
            <v>0</v>
          </cell>
          <cell r="L1622">
            <v>0</v>
          </cell>
          <cell r="M1622">
            <v>13872.12</v>
          </cell>
          <cell r="N1622">
            <v>2333.6399999999899</v>
          </cell>
          <cell r="O1622">
            <v>0</v>
          </cell>
          <cell r="R1622">
            <v>0</v>
          </cell>
        </row>
        <row r="1623">
          <cell r="G1623">
            <v>12054.45</v>
          </cell>
          <cell r="I1623">
            <v>0</v>
          </cell>
          <cell r="J1623">
            <v>2207.7600000000002</v>
          </cell>
          <cell r="K1623">
            <v>0</v>
          </cell>
          <cell r="L1623">
            <v>2207.7600000000002</v>
          </cell>
          <cell r="M1623">
            <v>15134.549999999899</v>
          </cell>
          <cell r="N1623">
            <v>1905.45</v>
          </cell>
          <cell r="O1623">
            <v>0</v>
          </cell>
          <cell r="R1623">
            <v>0</v>
          </cell>
        </row>
        <row r="1624">
          <cell r="G1624">
            <v>16072.43</v>
          </cell>
          <cell r="I1624">
            <v>0</v>
          </cell>
          <cell r="J1624">
            <v>0</v>
          </cell>
          <cell r="K1624">
            <v>0</v>
          </cell>
          <cell r="L1624">
            <v>0</v>
          </cell>
          <cell r="M1624">
            <v>17202.990000000002</v>
          </cell>
          <cell r="N1624">
            <v>4881.4899999999898</v>
          </cell>
          <cell r="O1624">
            <v>0</v>
          </cell>
          <cell r="R1624">
            <v>0</v>
          </cell>
        </row>
        <row r="1625">
          <cell r="G1625">
            <v>43118.309999999903</v>
          </cell>
          <cell r="I1625">
            <v>0</v>
          </cell>
          <cell r="J1625">
            <v>0</v>
          </cell>
          <cell r="K1625">
            <v>0</v>
          </cell>
          <cell r="L1625">
            <v>0</v>
          </cell>
          <cell r="M1625">
            <v>45809.559999999903</v>
          </cell>
          <cell r="N1625">
            <v>6762.3299999999899</v>
          </cell>
          <cell r="O1625">
            <v>0</v>
          </cell>
          <cell r="R1625">
            <v>0</v>
          </cell>
        </row>
        <row r="1626">
          <cell r="G1626">
            <v>30135.799999999901</v>
          </cell>
          <cell r="I1626">
            <v>0</v>
          </cell>
          <cell r="J1626">
            <v>2671.1999999999898</v>
          </cell>
          <cell r="K1626">
            <v>0</v>
          </cell>
          <cell r="L1626">
            <v>2671.1999999999898</v>
          </cell>
          <cell r="M1626">
            <v>34978.589999999902</v>
          </cell>
          <cell r="N1626">
            <v>7441.4099999999899</v>
          </cell>
          <cell r="O1626">
            <v>0</v>
          </cell>
          <cell r="R1626">
            <v>0</v>
          </cell>
        </row>
        <row r="1627">
          <cell r="G1627">
            <v>13647.129999999899</v>
          </cell>
          <cell r="I1627">
            <v>0</v>
          </cell>
          <cell r="J1627">
            <v>0</v>
          </cell>
          <cell r="K1627">
            <v>0</v>
          </cell>
          <cell r="L1627">
            <v>0</v>
          </cell>
          <cell r="M1627">
            <v>14476.719999999899</v>
          </cell>
          <cell r="N1627">
            <v>1729.04</v>
          </cell>
          <cell r="O1627">
            <v>0</v>
          </cell>
          <cell r="R1627">
            <v>0</v>
          </cell>
        </row>
        <row r="1628">
          <cell r="G1628">
            <v>33870.239999999903</v>
          </cell>
          <cell r="I1628">
            <v>0</v>
          </cell>
          <cell r="J1628">
            <v>0</v>
          </cell>
          <cell r="K1628">
            <v>0</v>
          </cell>
          <cell r="L1628">
            <v>0</v>
          </cell>
          <cell r="M1628">
            <v>35930.01</v>
          </cell>
          <cell r="N1628">
            <v>4306.9399999999896</v>
          </cell>
          <cell r="O1628">
            <v>0</v>
          </cell>
          <cell r="R1628">
            <v>0</v>
          </cell>
        </row>
        <row r="1629">
          <cell r="G1629">
            <v>13042.52</v>
          </cell>
          <cell r="I1629">
            <v>0</v>
          </cell>
          <cell r="J1629">
            <v>2119.1999999999898</v>
          </cell>
          <cell r="K1629">
            <v>0</v>
          </cell>
          <cell r="L1629">
            <v>2119.1999999999898</v>
          </cell>
          <cell r="M1629">
            <v>16027.92</v>
          </cell>
          <cell r="N1629">
            <v>892.79999999999905</v>
          </cell>
          <cell r="O1629">
            <v>0</v>
          </cell>
          <cell r="R1629">
            <v>0</v>
          </cell>
        </row>
        <row r="1630">
          <cell r="G1630">
            <v>42692.379999999903</v>
          </cell>
          <cell r="I1630">
            <v>0</v>
          </cell>
          <cell r="J1630">
            <v>0</v>
          </cell>
          <cell r="K1630">
            <v>0</v>
          </cell>
          <cell r="L1630">
            <v>0</v>
          </cell>
          <cell r="M1630">
            <v>45695.360000000001</v>
          </cell>
          <cell r="N1630">
            <v>12966.29</v>
          </cell>
          <cell r="O1630">
            <v>0</v>
          </cell>
          <cell r="R1630">
            <v>0</v>
          </cell>
        </row>
        <row r="1631">
          <cell r="G1631">
            <v>13553.4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14382.99</v>
          </cell>
          <cell r="N1631">
            <v>1822.77</v>
          </cell>
          <cell r="O1631">
            <v>0</v>
          </cell>
          <cell r="R1631">
            <v>0</v>
          </cell>
        </row>
        <row r="1632">
          <cell r="G1632">
            <v>12054.32</v>
          </cell>
          <cell r="I1632">
            <v>0</v>
          </cell>
          <cell r="J1632">
            <v>0</v>
          </cell>
          <cell r="K1632">
            <v>0</v>
          </cell>
          <cell r="L1632">
            <v>0</v>
          </cell>
          <cell r="M1632">
            <v>12886.879999999899</v>
          </cell>
          <cell r="N1632">
            <v>3376</v>
          </cell>
          <cell r="O1632">
            <v>0</v>
          </cell>
          <cell r="R1632">
            <v>0</v>
          </cell>
        </row>
        <row r="1633">
          <cell r="G1633">
            <v>16400.5999999999</v>
          </cell>
          <cell r="I1633">
            <v>0</v>
          </cell>
          <cell r="J1633">
            <v>0</v>
          </cell>
          <cell r="K1633">
            <v>0</v>
          </cell>
          <cell r="L1633">
            <v>0</v>
          </cell>
          <cell r="M1633">
            <v>17389.830000000002</v>
          </cell>
          <cell r="N1633">
            <v>1934.0899999999899</v>
          </cell>
          <cell r="O1633">
            <v>0</v>
          </cell>
          <cell r="R1633">
            <v>0</v>
          </cell>
        </row>
        <row r="1634">
          <cell r="G1634">
            <v>6027.1599999999899</v>
          </cell>
          <cell r="I1634">
            <v>0</v>
          </cell>
          <cell r="J1634">
            <v>996.36</v>
          </cell>
          <cell r="K1634">
            <v>0</v>
          </cell>
          <cell r="L1634">
            <v>996.36</v>
          </cell>
          <cell r="M1634">
            <v>7468.92</v>
          </cell>
          <cell r="N1634">
            <v>1231.0799999999899</v>
          </cell>
          <cell r="O1634">
            <v>0</v>
          </cell>
          <cell r="R1634">
            <v>0</v>
          </cell>
        </row>
        <row r="1635">
          <cell r="G1635">
            <v>24108.639999999901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24108.639999999901</v>
          </cell>
          <cell r="N1635">
            <v>8302.8799999999901</v>
          </cell>
          <cell r="O1635">
            <v>0</v>
          </cell>
          <cell r="R1635">
            <v>0</v>
          </cell>
        </row>
        <row r="1636">
          <cell r="G1636">
            <v>1705.89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1811.9</v>
          </cell>
          <cell r="N1636">
            <v>258.49</v>
          </cell>
          <cell r="O1636">
            <v>0</v>
          </cell>
          <cell r="R1636">
            <v>0</v>
          </cell>
        </row>
        <row r="1637">
          <cell r="G1637">
            <v>12054.32</v>
          </cell>
          <cell r="I1637">
            <v>0</v>
          </cell>
          <cell r="J1637">
            <v>1992.72</v>
          </cell>
          <cell r="K1637">
            <v>0</v>
          </cell>
          <cell r="L1637">
            <v>1992.72</v>
          </cell>
          <cell r="M1637">
            <v>14047.04</v>
          </cell>
          <cell r="N1637">
            <v>3352.96</v>
          </cell>
          <cell r="O1637">
            <v>0</v>
          </cell>
          <cell r="R1637">
            <v>0</v>
          </cell>
        </row>
        <row r="1638">
          <cell r="G1638">
            <v>12054.32</v>
          </cell>
          <cell r="I1638">
            <v>0</v>
          </cell>
          <cell r="J1638">
            <v>2207.7600000000002</v>
          </cell>
          <cell r="K1638">
            <v>0</v>
          </cell>
          <cell r="L1638">
            <v>2207.7600000000002</v>
          </cell>
          <cell r="M1638">
            <v>14262.08</v>
          </cell>
          <cell r="N1638">
            <v>3137.92</v>
          </cell>
          <cell r="O1638">
            <v>0</v>
          </cell>
          <cell r="R1638">
            <v>0</v>
          </cell>
        </row>
        <row r="1639">
          <cell r="G1639">
            <v>0</v>
          </cell>
          <cell r="I1639">
            <v>0</v>
          </cell>
          <cell r="J1639">
            <v>61396.949999999903</v>
          </cell>
          <cell r="K1639">
            <v>0</v>
          </cell>
          <cell r="L1639">
            <v>61396.949999999903</v>
          </cell>
          <cell r="M1639">
            <v>61396.949999999903</v>
          </cell>
          <cell r="N1639">
            <v>-61396.949999999903</v>
          </cell>
          <cell r="O1639">
            <v>0</v>
          </cell>
          <cell r="R1639">
            <v>0</v>
          </cell>
        </row>
        <row r="1640">
          <cell r="G1640">
            <v>175218.359999999</v>
          </cell>
          <cell r="I1640">
            <v>0</v>
          </cell>
          <cell r="J1640">
            <v>0</v>
          </cell>
          <cell r="K1640">
            <v>0</v>
          </cell>
          <cell r="L1640">
            <v>0</v>
          </cell>
          <cell r="M1640">
            <v>185891.89</v>
          </cell>
          <cell r="N1640">
            <v>22608.11</v>
          </cell>
          <cell r="O1640">
            <v>0</v>
          </cell>
          <cell r="R1640">
            <v>0</v>
          </cell>
        </row>
        <row r="1641">
          <cell r="G1641">
            <v>12054.32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12054.32</v>
          </cell>
          <cell r="N1641">
            <v>3436.48</v>
          </cell>
          <cell r="O1641">
            <v>0</v>
          </cell>
          <cell r="R1641">
            <v>0</v>
          </cell>
        </row>
        <row r="1642">
          <cell r="G1642">
            <v>14215.78</v>
          </cell>
          <cell r="I1642">
            <v>0</v>
          </cell>
          <cell r="J1642">
            <v>0</v>
          </cell>
          <cell r="K1642">
            <v>0</v>
          </cell>
          <cell r="L1642">
            <v>0</v>
          </cell>
          <cell r="M1642">
            <v>15105.23</v>
          </cell>
          <cell r="N1642">
            <v>2269.77</v>
          </cell>
          <cell r="O1642">
            <v>0</v>
          </cell>
          <cell r="R1642">
            <v>0</v>
          </cell>
        </row>
        <row r="1643">
          <cell r="G1643">
            <v>6027.1599999999899</v>
          </cell>
          <cell r="I1643">
            <v>0</v>
          </cell>
          <cell r="J1643">
            <v>943.32</v>
          </cell>
          <cell r="K1643">
            <v>0</v>
          </cell>
          <cell r="L1643">
            <v>943.32</v>
          </cell>
          <cell r="M1643">
            <v>6970.4799999999896</v>
          </cell>
          <cell r="N1643">
            <v>1729.52</v>
          </cell>
          <cell r="O1643">
            <v>0</v>
          </cell>
          <cell r="R1643">
            <v>0</v>
          </cell>
        </row>
        <row r="1644">
          <cell r="G1644">
            <v>12054.32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  <cell r="M1644">
            <v>12054.32</v>
          </cell>
          <cell r="N1644">
            <v>4265.68</v>
          </cell>
          <cell r="O1644">
            <v>0</v>
          </cell>
          <cell r="R1644">
            <v>0</v>
          </cell>
        </row>
        <row r="1645">
          <cell r="G1645">
            <v>13042.53</v>
          </cell>
          <cell r="I1645">
            <v>0</v>
          </cell>
          <cell r="J1645">
            <v>0</v>
          </cell>
          <cell r="K1645">
            <v>0</v>
          </cell>
          <cell r="L1645">
            <v>0</v>
          </cell>
          <cell r="M1645">
            <v>13042.53</v>
          </cell>
          <cell r="N1645">
            <v>3163.23</v>
          </cell>
          <cell r="O1645">
            <v>0</v>
          </cell>
          <cell r="R1645">
            <v>0</v>
          </cell>
        </row>
        <row r="1646">
          <cell r="G1646">
            <v>6027.1599999999899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6027.1599999999899</v>
          </cell>
          <cell r="N1646">
            <v>2254.52</v>
          </cell>
          <cell r="O1646">
            <v>0</v>
          </cell>
          <cell r="R1646">
            <v>0</v>
          </cell>
        </row>
        <row r="1647">
          <cell r="G1647">
            <v>24108.639999999901</v>
          </cell>
          <cell r="I1647">
            <v>0</v>
          </cell>
          <cell r="J1647">
            <v>3953.04</v>
          </cell>
          <cell r="K1647">
            <v>0</v>
          </cell>
          <cell r="L1647">
            <v>3953.04</v>
          </cell>
          <cell r="M1647">
            <v>28061.68</v>
          </cell>
          <cell r="N1647">
            <v>6616.64</v>
          </cell>
          <cell r="O1647">
            <v>0</v>
          </cell>
          <cell r="R1647">
            <v>0</v>
          </cell>
        </row>
        <row r="1648">
          <cell r="G1648">
            <v>3980.42</v>
          </cell>
          <cell r="I1648">
            <v>0</v>
          </cell>
          <cell r="J1648">
            <v>0</v>
          </cell>
          <cell r="K1648">
            <v>0</v>
          </cell>
          <cell r="L1648">
            <v>0</v>
          </cell>
          <cell r="M1648">
            <v>4227.8100000000004</v>
          </cell>
          <cell r="N1648">
            <v>603.1</v>
          </cell>
          <cell r="O1648">
            <v>0</v>
          </cell>
          <cell r="R1648">
            <v>0</v>
          </cell>
        </row>
        <row r="1649">
          <cell r="G1649">
            <v>13647.139999999899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14501.04</v>
          </cell>
          <cell r="N1649">
            <v>2178.96</v>
          </cell>
          <cell r="O1649">
            <v>0</v>
          </cell>
          <cell r="R1649">
            <v>0</v>
          </cell>
        </row>
        <row r="1650">
          <cell r="G1650">
            <v>12054.32</v>
          </cell>
          <cell r="I1650">
            <v>0</v>
          </cell>
          <cell r="J1650">
            <v>0</v>
          </cell>
          <cell r="K1650">
            <v>0</v>
          </cell>
          <cell r="L1650">
            <v>0</v>
          </cell>
          <cell r="M1650">
            <v>12054.32</v>
          </cell>
          <cell r="N1650">
            <v>4509.04</v>
          </cell>
          <cell r="O1650">
            <v>0</v>
          </cell>
          <cell r="R1650">
            <v>0</v>
          </cell>
        </row>
        <row r="1651">
          <cell r="G1651">
            <v>0</v>
          </cell>
          <cell r="I1651">
            <v>21.809999999999899</v>
          </cell>
          <cell r="J1651">
            <v>0</v>
          </cell>
          <cell r="K1651">
            <v>0</v>
          </cell>
          <cell r="L1651">
            <v>21.809999999999899</v>
          </cell>
          <cell r="M1651">
            <v>21.809999999999899</v>
          </cell>
          <cell r="N1651">
            <v>-21.809999999999899</v>
          </cell>
          <cell r="O1651">
            <v>0</v>
          </cell>
          <cell r="R1651">
            <v>0</v>
          </cell>
        </row>
        <row r="1652">
          <cell r="G1652">
            <v>2403.7800000000002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2403.7800000000002</v>
          </cell>
          <cell r="N1652">
            <v>-2403.7800000000002</v>
          </cell>
          <cell r="O1652">
            <v>0</v>
          </cell>
          <cell r="R1652">
            <v>0</v>
          </cell>
        </row>
        <row r="1653">
          <cell r="G1653">
            <v>133606.73000000001</v>
          </cell>
          <cell r="I1653">
            <v>1025.8399999999899</v>
          </cell>
          <cell r="J1653">
            <v>0</v>
          </cell>
          <cell r="K1653">
            <v>0.23999999999999899</v>
          </cell>
          <cell r="L1653">
            <v>1026.0799999999899</v>
          </cell>
          <cell r="M1653">
            <v>138933.07</v>
          </cell>
          <cell r="N1653">
            <v>-3936.3699999999899</v>
          </cell>
          <cell r="O1653">
            <v>0</v>
          </cell>
          <cell r="R1653">
            <v>309.99</v>
          </cell>
        </row>
        <row r="1654">
          <cell r="G1654">
            <v>22396.7</v>
          </cell>
          <cell r="I1654">
            <v>183.59</v>
          </cell>
          <cell r="J1654">
            <v>1542.72</v>
          </cell>
          <cell r="K1654">
            <v>0.04</v>
          </cell>
          <cell r="L1654">
            <v>1726.3499999999899</v>
          </cell>
          <cell r="M1654">
            <v>24905.73</v>
          </cell>
          <cell r="N1654">
            <v>-334.05</v>
          </cell>
          <cell r="O1654">
            <v>0</v>
          </cell>
          <cell r="R1654">
            <v>51.96</v>
          </cell>
        </row>
        <row r="1655">
          <cell r="G1655">
            <v>23572.6899999999</v>
          </cell>
          <cell r="I1655">
            <v>183.599999999999</v>
          </cell>
          <cell r="J1655">
            <v>0</v>
          </cell>
          <cell r="K1655">
            <v>0.04</v>
          </cell>
          <cell r="L1655">
            <v>183.63999999999899</v>
          </cell>
          <cell r="M1655">
            <v>24518.5</v>
          </cell>
          <cell r="N1655">
            <v>-590.5</v>
          </cell>
          <cell r="O1655">
            <v>0</v>
          </cell>
          <cell r="R1655">
            <v>54.689999999999898</v>
          </cell>
        </row>
        <row r="1656">
          <cell r="G1656">
            <v>196218.72</v>
          </cell>
          <cell r="I1656">
            <v>1652.3699999999899</v>
          </cell>
          <cell r="J1656">
            <v>18758.16</v>
          </cell>
          <cell r="K1656">
            <v>0.39</v>
          </cell>
          <cell r="L1656">
            <v>20410.9199999999</v>
          </cell>
          <cell r="M1656">
            <v>224042.37</v>
          </cell>
          <cell r="N1656">
            <v>8665.59</v>
          </cell>
          <cell r="O1656">
            <v>0</v>
          </cell>
          <cell r="R1656">
            <v>455.25999999999902</v>
          </cell>
        </row>
        <row r="1657">
          <cell r="G1657">
            <v>22710.5</v>
          </cell>
          <cell r="I1657">
            <v>191.25</v>
          </cell>
          <cell r="J1657">
            <v>2176.96</v>
          </cell>
          <cell r="K1657">
            <v>0.04</v>
          </cell>
          <cell r="L1657">
            <v>2368.25</v>
          </cell>
          <cell r="M1657">
            <v>25898.99</v>
          </cell>
          <cell r="N1657">
            <v>-148.99</v>
          </cell>
          <cell r="O1657">
            <v>0</v>
          </cell>
          <cell r="R1657">
            <v>52.7</v>
          </cell>
        </row>
        <row r="1658">
          <cell r="G1658">
            <v>44793.41</v>
          </cell>
          <cell r="I1658">
            <v>367.19</v>
          </cell>
          <cell r="J1658">
            <v>2438.88</v>
          </cell>
          <cell r="K1658">
            <v>8.99999999999999E-2</v>
          </cell>
          <cell r="L1658">
            <v>2806.1599999999899</v>
          </cell>
          <cell r="M1658">
            <v>49286.559999999903</v>
          </cell>
          <cell r="N1658">
            <v>3672.32</v>
          </cell>
          <cell r="O1658">
            <v>0</v>
          </cell>
          <cell r="R1658">
            <v>103.93</v>
          </cell>
        </row>
        <row r="1659">
          <cell r="G1659">
            <v>33770.709999999897</v>
          </cell>
          <cell r="I1659">
            <v>260.08999999999901</v>
          </cell>
          <cell r="J1659">
            <v>0</v>
          </cell>
          <cell r="K1659">
            <v>5.9999999999999901E-2</v>
          </cell>
          <cell r="L1659">
            <v>260.14999999999901</v>
          </cell>
          <cell r="M1659">
            <v>35111.980000000003</v>
          </cell>
          <cell r="N1659">
            <v>-1171.98</v>
          </cell>
          <cell r="O1659">
            <v>0</v>
          </cell>
          <cell r="R1659">
            <v>78.3599999999999</v>
          </cell>
        </row>
        <row r="1660">
          <cell r="G1660">
            <v>43604.160000000003</v>
          </cell>
          <cell r="I1660">
            <v>367.19</v>
          </cell>
          <cell r="J1660">
            <v>2714.88</v>
          </cell>
          <cell r="K1660">
            <v>8.99999999999999E-2</v>
          </cell>
          <cell r="L1660">
            <v>3082.1599999999899</v>
          </cell>
          <cell r="M1660">
            <v>48256.480000000003</v>
          </cell>
          <cell r="N1660">
            <v>1035.2</v>
          </cell>
          <cell r="O1660">
            <v>0</v>
          </cell>
          <cell r="R1660">
            <v>101.17</v>
          </cell>
        </row>
        <row r="1661">
          <cell r="G1661">
            <v>25904.36</v>
          </cell>
          <cell r="I1661">
            <v>198.9</v>
          </cell>
          <cell r="J1661">
            <v>0</v>
          </cell>
          <cell r="K1661">
            <v>0.05</v>
          </cell>
          <cell r="L1661">
            <v>198.94999999999899</v>
          </cell>
          <cell r="M1661">
            <v>26934.86</v>
          </cell>
          <cell r="N1661">
            <v>-830.86</v>
          </cell>
          <cell r="O1661">
            <v>0</v>
          </cell>
          <cell r="R1661">
            <v>60.1</v>
          </cell>
        </row>
        <row r="1662">
          <cell r="G1662">
            <v>22396.7</v>
          </cell>
          <cell r="I1662">
            <v>183.59</v>
          </cell>
          <cell r="J1662">
            <v>1030.0799999999899</v>
          </cell>
          <cell r="K1662">
            <v>0.04</v>
          </cell>
          <cell r="L1662">
            <v>1213.71</v>
          </cell>
          <cell r="M1662">
            <v>24415.049999999901</v>
          </cell>
          <cell r="N1662">
            <v>846.38999999999896</v>
          </cell>
          <cell r="O1662">
            <v>0</v>
          </cell>
          <cell r="R1662">
            <v>51.96</v>
          </cell>
        </row>
        <row r="1663">
          <cell r="G1663">
            <v>119190.75</v>
          </cell>
          <cell r="I1663">
            <v>917.98</v>
          </cell>
          <cell r="J1663">
            <v>0</v>
          </cell>
          <cell r="K1663">
            <v>0.20999999999999899</v>
          </cell>
          <cell r="L1663">
            <v>918.19</v>
          </cell>
          <cell r="M1663">
            <v>123957.46</v>
          </cell>
          <cell r="N1663">
            <v>-3141.46</v>
          </cell>
          <cell r="O1663">
            <v>0</v>
          </cell>
          <cell r="R1663">
            <v>276.55</v>
          </cell>
        </row>
        <row r="1664">
          <cell r="G1664">
            <v>694766.75</v>
          </cell>
          <cell r="I1664">
            <v>5844.4799999999896</v>
          </cell>
          <cell r="J1664">
            <v>49399.98</v>
          </cell>
          <cell r="K1664">
            <v>1.37</v>
          </cell>
          <cell r="L1664">
            <v>55245.83</v>
          </cell>
          <cell r="M1664">
            <v>774659.01</v>
          </cell>
          <cell r="N1664">
            <v>-936.49</v>
          </cell>
          <cell r="O1664">
            <v>0</v>
          </cell>
          <cell r="R1664">
            <v>1611.99</v>
          </cell>
        </row>
        <row r="1665">
          <cell r="G1665">
            <v>608934.27</v>
          </cell>
          <cell r="I1665">
            <v>5110.0799999999899</v>
          </cell>
          <cell r="J1665">
            <v>0</v>
          </cell>
          <cell r="K1665">
            <v>1.18999999999999</v>
          </cell>
          <cell r="L1665">
            <v>5111.2700000000004</v>
          </cell>
          <cell r="M1665">
            <v>635306.80000000005</v>
          </cell>
          <cell r="N1665">
            <v>32150.2</v>
          </cell>
          <cell r="O1665">
            <v>0</v>
          </cell>
          <cell r="R1665">
            <v>1412.8499999999899</v>
          </cell>
        </row>
        <row r="1666">
          <cell r="G1666">
            <v>65406.239999999903</v>
          </cell>
          <cell r="I1666">
            <v>550.78999999999905</v>
          </cell>
          <cell r="J1666">
            <v>5676.4799999999896</v>
          </cell>
          <cell r="K1666">
            <v>0.13</v>
          </cell>
          <cell r="L1666">
            <v>6227.3999999999896</v>
          </cell>
          <cell r="M1666">
            <v>74041.440000000002</v>
          </cell>
          <cell r="N1666">
            <v>1547.52</v>
          </cell>
          <cell r="O1666">
            <v>0</v>
          </cell>
          <cell r="R1666">
            <v>151.74</v>
          </cell>
        </row>
        <row r="1667">
          <cell r="G1667">
            <v>87208.320000000007</v>
          </cell>
          <cell r="I1667">
            <v>734.38</v>
          </cell>
          <cell r="J1667">
            <v>4257.3599999999897</v>
          </cell>
          <cell r="K1667">
            <v>0.17</v>
          </cell>
          <cell r="L1667">
            <v>4991.9099999999899</v>
          </cell>
          <cell r="M1667">
            <v>95488.960000000006</v>
          </cell>
          <cell r="N1667">
            <v>7754.96</v>
          </cell>
          <cell r="O1667">
            <v>0</v>
          </cell>
          <cell r="R1667">
            <v>202.34</v>
          </cell>
        </row>
        <row r="1668">
          <cell r="G1668">
            <v>23911.72</v>
          </cell>
          <cell r="I1668">
            <v>183.59</v>
          </cell>
          <cell r="J1668">
            <v>0</v>
          </cell>
          <cell r="K1668">
            <v>0.04</v>
          </cell>
          <cell r="L1668">
            <v>183.63</v>
          </cell>
          <cell r="M1668">
            <v>24865.209999999901</v>
          </cell>
          <cell r="N1668">
            <v>-697.21</v>
          </cell>
          <cell r="O1668">
            <v>0</v>
          </cell>
          <cell r="R1668">
            <v>55.49</v>
          </cell>
        </row>
        <row r="1669">
          <cell r="G1669">
            <v>163812.91</v>
          </cell>
          <cell r="I1669">
            <v>1376.96</v>
          </cell>
          <cell r="J1669">
            <v>12499.799999999899</v>
          </cell>
          <cell r="K1669">
            <v>0.32</v>
          </cell>
          <cell r="L1669">
            <v>13877.08</v>
          </cell>
          <cell r="M1669">
            <v>183525.459999999</v>
          </cell>
          <cell r="N1669">
            <v>-332.13999999999902</v>
          </cell>
          <cell r="O1669">
            <v>0</v>
          </cell>
          <cell r="R1669">
            <v>380.07999999999902</v>
          </cell>
        </row>
        <row r="1670">
          <cell r="G1670">
            <v>755805.54</v>
          </cell>
          <cell r="I1670">
            <v>6364.6599999999899</v>
          </cell>
          <cell r="J1670">
            <v>0</v>
          </cell>
          <cell r="K1670">
            <v>1.49</v>
          </cell>
          <cell r="L1670">
            <v>6366.1499999999896</v>
          </cell>
          <cell r="M1670">
            <v>788656.97999999905</v>
          </cell>
          <cell r="N1670">
            <v>42797.019999999902</v>
          </cell>
          <cell r="O1670">
            <v>0</v>
          </cell>
          <cell r="R1670">
            <v>1753.6199999999899</v>
          </cell>
        </row>
        <row r="1671">
          <cell r="G1671">
            <v>22856.9</v>
          </cell>
          <cell r="I1671">
            <v>183.599999999999</v>
          </cell>
          <cell r="J1671">
            <v>0</v>
          </cell>
          <cell r="K1671">
            <v>0.04</v>
          </cell>
          <cell r="L1671">
            <v>183.63999999999899</v>
          </cell>
          <cell r="M1671">
            <v>23798.549999999901</v>
          </cell>
          <cell r="N1671">
            <v>-1.47</v>
          </cell>
          <cell r="O1671">
            <v>0</v>
          </cell>
          <cell r="R1671">
            <v>53.0399999999999</v>
          </cell>
        </row>
        <row r="1672">
          <cell r="G1672">
            <v>66000.86</v>
          </cell>
          <cell r="I1672">
            <v>550.77999999999895</v>
          </cell>
          <cell r="J1672">
            <v>0</v>
          </cell>
          <cell r="K1672">
            <v>0.13</v>
          </cell>
          <cell r="L1672">
            <v>550.90999999999894</v>
          </cell>
          <cell r="M1672">
            <v>68801.86</v>
          </cell>
          <cell r="N1672">
            <v>1834.46</v>
          </cell>
          <cell r="O1672">
            <v>0</v>
          </cell>
          <cell r="R1672">
            <v>153.13</v>
          </cell>
        </row>
        <row r="1673">
          <cell r="G1673">
            <v>853302.44999999902</v>
          </cell>
          <cell r="I1673">
            <v>7183.18</v>
          </cell>
          <cell r="J1673">
            <v>47166.66</v>
          </cell>
          <cell r="K1673">
            <v>1.6799999999999899</v>
          </cell>
          <cell r="L1673">
            <v>54351.519999999902</v>
          </cell>
          <cell r="M1673">
            <v>938011.75</v>
          </cell>
          <cell r="N1673">
            <v>15011.25</v>
          </cell>
          <cell r="O1673">
            <v>0</v>
          </cell>
          <cell r="R1673">
            <v>1979.8499999999899</v>
          </cell>
        </row>
        <row r="1674">
          <cell r="G1674">
            <v>338655.89</v>
          </cell>
          <cell r="I1674">
            <v>2600.94</v>
          </cell>
          <cell r="J1674">
            <v>0</v>
          </cell>
          <cell r="K1674">
            <v>0.60999999999999899</v>
          </cell>
          <cell r="L1674">
            <v>2601.5500000000002</v>
          </cell>
          <cell r="M1674">
            <v>352063.90999999898</v>
          </cell>
          <cell r="N1674">
            <v>-12817.51</v>
          </cell>
          <cell r="O1674">
            <v>0</v>
          </cell>
          <cell r="R1674">
            <v>785.73</v>
          </cell>
        </row>
        <row r="1675">
          <cell r="G1675">
            <v>116277.75999999901</v>
          </cell>
          <cell r="I1675">
            <v>979.17999999999904</v>
          </cell>
          <cell r="J1675">
            <v>7327.5</v>
          </cell>
          <cell r="K1675">
            <v>0.23</v>
          </cell>
          <cell r="L1675">
            <v>8306.9099999999908</v>
          </cell>
          <cell r="M1675">
            <v>128741.00999999901</v>
          </cell>
          <cell r="N1675">
            <v>1738.67</v>
          </cell>
          <cell r="O1675">
            <v>0</v>
          </cell>
          <cell r="R1675">
            <v>269.77999999999901</v>
          </cell>
        </row>
        <row r="1676">
          <cell r="G1676">
            <v>32703.119999999901</v>
          </cell>
          <cell r="I1676">
            <v>275.38999999999902</v>
          </cell>
          <cell r="J1676">
            <v>0</v>
          </cell>
          <cell r="K1676">
            <v>5.9999999999999901E-2</v>
          </cell>
          <cell r="L1676">
            <v>275.44999999999902</v>
          </cell>
          <cell r="M1676">
            <v>34102.5</v>
          </cell>
          <cell r="N1676">
            <v>1180.26</v>
          </cell>
          <cell r="O1676">
            <v>0</v>
          </cell>
          <cell r="R1676">
            <v>75.879999999999896</v>
          </cell>
        </row>
        <row r="1677">
          <cell r="G1677">
            <v>185315.87</v>
          </cell>
          <cell r="I1677">
            <v>1422.8699999999899</v>
          </cell>
          <cell r="J1677">
            <v>0</v>
          </cell>
          <cell r="K1677">
            <v>0.33</v>
          </cell>
          <cell r="L1677">
            <v>1423.2</v>
          </cell>
          <cell r="M1677">
            <v>192654.239999999</v>
          </cell>
          <cell r="N1677">
            <v>-6959.2399999999898</v>
          </cell>
          <cell r="O1677">
            <v>0</v>
          </cell>
          <cell r="R1677">
            <v>429.95999999999901</v>
          </cell>
        </row>
        <row r="1678">
          <cell r="G1678">
            <v>219837.64</v>
          </cell>
          <cell r="I1678">
            <v>1851.26</v>
          </cell>
          <cell r="J1678">
            <v>18641.52</v>
          </cell>
          <cell r="K1678">
            <v>0.42999999999999899</v>
          </cell>
          <cell r="L1678">
            <v>20493.209999999901</v>
          </cell>
          <cell r="M1678">
            <v>248592.899999999</v>
          </cell>
          <cell r="N1678">
            <v>10777.08</v>
          </cell>
          <cell r="O1678">
            <v>0</v>
          </cell>
          <cell r="R1678">
            <v>510.06</v>
          </cell>
        </row>
        <row r="1679">
          <cell r="G1679">
            <v>79940.960000000006</v>
          </cell>
          <cell r="I1679">
            <v>673.19</v>
          </cell>
          <cell r="J1679">
            <v>0</v>
          </cell>
          <cell r="K1679">
            <v>0.16</v>
          </cell>
          <cell r="L1679">
            <v>673.35</v>
          </cell>
          <cell r="M1679">
            <v>83409.039999999906</v>
          </cell>
          <cell r="N1679">
            <v>4326.96</v>
          </cell>
          <cell r="O1679">
            <v>0</v>
          </cell>
          <cell r="R1679">
            <v>185.47</v>
          </cell>
        </row>
        <row r="1680">
          <cell r="G1680">
            <v>45713.8</v>
          </cell>
          <cell r="I1680">
            <v>367.18</v>
          </cell>
          <cell r="J1680">
            <v>1151.6600000000001</v>
          </cell>
          <cell r="K1680">
            <v>0.08</v>
          </cell>
          <cell r="L1680">
            <v>1518.92</v>
          </cell>
          <cell r="M1680">
            <v>48778.699999999903</v>
          </cell>
          <cell r="N1680">
            <v>-245.96</v>
          </cell>
          <cell r="O1680">
            <v>0</v>
          </cell>
          <cell r="R1680">
            <v>106.05</v>
          </cell>
        </row>
        <row r="1681">
          <cell r="G1681">
            <v>23911.72</v>
          </cell>
          <cell r="I1681">
            <v>183.59</v>
          </cell>
          <cell r="J1681">
            <v>0</v>
          </cell>
          <cell r="K1681">
            <v>0.04</v>
          </cell>
          <cell r="L1681">
            <v>183.63</v>
          </cell>
          <cell r="M1681">
            <v>24855.29</v>
          </cell>
          <cell r="N1681">
            <v>-999.28999999999905</v>
          </cell>
          <cell r="O1681">
            <v>0</v>
          </cell>
          <cell r="R1681">
            <v>55.49</v>
          </cell>
        </row>
        <row r="1682">
          <cell r="G1682">
            <v>44793.4</v>
          </cell>
          <cell r="I1682">
            <v>367.19</v>
          </cell>
          <cell r="J1682">
            <v>2838.2399999999898</v>
          </cell>
          <cell r="K1682">
            <v>8.99999999999999E-2</v>
          </cell>
          <cell r="L1682">
            <v>3205.52</v>
          </cell>
          <cell r="M1682">
            <v>49569.08</v>
          </cell>
          <cell r="N1682">
            <v>-277.39999999999901</v>
          </cell>
          <cell r="O1682">
            <v>0</v>
          </cell>
          <cell r="R1682">
            <v>103.93</v>
          </cell>
        </row>
        <row r="1683">
          <cell r="G1683">
            <v>184545.63</v>
          </cell>
          <cell r="I1683">
            <v>1445.05</v>
          </cell>
          <cell r="J1683">
            <v>0</v>
          </cell>
          <cell r="K1683">
            <v>0.34</v>
          </cell>
          <cell r="L1683">
            <v>1445.39</v>
          </cell>
          <cell r="M1683">
            <v>191896.53</v>
          </cell>
          <cell r="N1683">
            <v>-6505.6899999999896</v>
          </cell>
          <cell r="O1683">
            <v>0</v>
          </cell>
          <cell r="R1683">
            <v>428.19</v>
          </cell>
        </row>
        <row r="1684">
          <cell r="G1684">
            <v>121586.71</v>
          </cell>
          <cell r="I1684">
            <v>1032.73</v>
          </cell>
          <cell r="J1684">
            <v>8270.43</v>
          </cell>
          <cell r="K1684">
            <v>0.23999999999999899</v>
          </cell>
          <cell r="L1684">
            <v>9303.3999999999905</v>
          </cell>
          <cell r="M1684">
            <v>135299.359999999</v>
          </cell>
          <cell r="N1684">
            <v>3121.9299999999898</v>
          </cell>
          <cell r="O1684">
            <v>0</v>
          </cell>
          <cell r="R1684">
            <v>282.10000000000002</v>
          </cell>
        </row>
        <row r="1685">
          <cell r="G1685">
            <v>24359.389999999901</v>
          </cell>
          <cell r="I1685">
            <v>193.539999999999</v>
          </cell>
          <cell r="J1685">
            <v>0</v>
          </cell>
          <cell r="K1685">
            <v>0.05</v>
          </cell>
          <cell r="L1685">
            <v>193.59</v>
          </cell>
          <cell r="M1685">
            <v>25334.6699999999</v>
          </cell>
          <cell r="N1685">
            <v>-793.66999999999905</v>
          </cell>
          <cell r="O1685">
            <v>0</v>
          </cell>
          <cell r="R1685">
            <v>56.5</v>
          </cell>
        </row>
        <row r="1686">
          <cell r="G1686">
            <v>105312.09</v>
          </cell>
          <cell r="I1686">
            <v>826.94</v>
          </cell>
          <cell r="J1686">
            <v>0</v>
          </cell>
          <cell r="K1686">
            <v>0.17999999999999899</v>
          </cell>
          <cell r="L1686">
            <v>827.12</v>
          </cell>
          <cell r="M1686">
            <v>109538.96</v>
          </cell>
          <cell r="N1686">
            <v>-2809.0599999999899</v>
          </cell>
          <cell r="O1686">
            <v>0</v>
          </cell>
          <cell r="R1686">
            <v>244.3</v>
          </cell>
        </row>
        <row r="1687">
          <cell r="G1687">
            <v>98507.63</v>
          </cell>
          <cell r="I1687">
            <v>780.28999999999905</v>
          </cell>
          <cell r="J1687">
            <v>0</v>
          </cell>
          <cell r="K1687">
            <v>0.17999999999999899</v>
          </cell>
          <cell r="L1687">
            <v>780.47</v>
          </cell>
          <cell r="M1687">
            <v>102540.77</v>
          </cell>
          <cell r="N1687">
            <v>-430.76999999999902</v>
          </cell>
          <cell r="O1687">
            <v>0</v>
          </cell>
          <cell r="R1687">
            <v>228.55</v>
          </cell>
        </row>
        <row r="1688">
          <cell r="G1688">
            <v>43604.160000000003</v>
          </cell>
          <cell r="I1688">
            <v>367.19</v>
          </cell>
          <cell r="J1688">
            <v>924.96</v>
          </cell>
          <cell r="K1688">
            <v>8.99999999999999E-2</v>
          </cell>
          <cell r="L1688">
            <v>1292.24</v>
          </cell>
          <cell r="M1688">
            <v>46427.69</v>
          </cell>
          <cell r="N1688">
            <v>1642.15</v>
          </cell>
          <cell r="O1688">
            <v>0</v>
          </cell>
          <cell r="R1688">
            <v>101.17</v>
          </cell>
        </row>
        <row r="1689">
          <cell r="G1689">
            <v>21802.080000000002</v>
          </cell>
          <cell r="I1689">
            <v>183.59</v>
          </cell>
          <cell r="J1689">
            <v>2076.2399999999898</v>
          </cell>
          <cell r="K1689">
            <v>0.04</v>
          </cell>
          <cell r="L1689">
            <v>2259.8699999999899</v>
          </cell>
          <cell r="M1689">
            <v>24857.23</v>
          </cell>
          <cell r="N1689">
            <v>109.97</v>
          </cell>
          <cell r="O1689">
            <v>0</v>
          </cell>
          <cell r="R1689">
            <v>50.56</v>
          </cell>
        </row>
        <row r="1690">
          <cell r="G1690">
            <v>50871.519999999902</v>
          </cell>
          <cell r="I1690">
            <v>428.38999999999902</v>
          </cell>
          <cell r="J1690">
            <v>0</v>
          </cell>
          <cell r="K1690">
            <v>0.1</v>
          </cell>
          <cell r="L1690">
            <v>428.49</v>
          </cell>
          <cell r="M1690">
            <v>53078.47</v>
          </cell>
          <cell r="N1690">
            <v>2753.53</v>
          </cell>
          <cell r="O1690">
            <v>0</v>
          </cell>
          <cell r="R1690">
            <v>118.04</v>
          </cell>
        </row>
        <row r="1691">
          <cell r="G1691">
            <v>857829.31999999902</v>
          </cell>
          <cell r="I1691">
            <v>7213.79</v>
          </cell>
          <cell r="J1691">
            <v>59918.519999999902</v>
          </cell>
          <cell r="K1691">
            <v>1.68999999999999</v>
          </cell>
          <cell r="L1691">
            <v>67134</v>
          </cell>
          <cell r="M1691">
            <v>955466.28</v>
          </cell>
          <cell r="N1691">
            <v>2113.9</v>
          </cell>
          <cell r="O1691">
            <v>0</v>
          </cell>
          <cell r="R1691">
            <v>1990.3299999999899</v>
          </cell>
        </row>
        <row r="1692">
          <cell r="G1692">
            <v>38153.639999999898</v>
          </cell>
          <cell r="I1692">
            <v>321.29000000000002</v>
          </cell>
          <cell r="J1692">
            <v>0</v>
          </cell>
          <cell r="K1692">
            <v>0.08</v>
          </cell>
          <cell r="L1692">
            <v>321.37</v>
          </cell>
          <cell r="M1692">
            <v>39810.489999999903</v>
          </cell>
          <cell r="N1692">
            <v>2114.5100000000002</v>
          </cell>
          <cell r="O1692">
            <v>0</v>
          </cell>
          <cell r="R1692">
            <v>88.51</v>
          </cell>
        </row>
        <row r="1693">
          <cell r="G1693">
            <v>25904.36</v>
          </cell>
          <cell r="I1693">
            <v>198.9</v>
          </cell>
          <cell r="J1693">
            <v>0</v>
          </cell>
          <cell r="K1693">
            <v>0.05</v>
          </cell>
          <cell r="L1693">
            <v>198.94999999999899</v>
          </cell>
          <cell r="M1693">
            <v>26929.029999999901</v>
          </cell>
          <cell r="N1693">
            <v>-1007.03</v>
          </cell>
          <cell r="O1693">
            <v>0</v>
          </cell>
          <cell r="R1693">
            <v>60.1</v>
          </cell>
        </row>
        <row r="1694">
          <cell r="G1694">
            <v>189133.59</v>
          </cell>
          <cell r="I1694">
            <v>1620.69</v>
          </cell>
          <cell r="J1694">
            <v>12342.78</v>
          </cell>
          <cell r="K1694">
            <v>0.38</v>
          </cell>
          <cell r="L1694">
            <v>13963.85</v>
          </cell>
          <cell r="M1694">
            <v>209846.269999999</v>
          </cell>
          <cell r="N1694">
            <v>2021.8299999999899</v>
          </cell>
          <cell r="O1694">
            <v>0</v>
          </cell>
          <cell r="R1694">
            <v>438.81999999999903</v>
          </cell>
        </row>
        <row r="1695">
          <cell r="G1695">
            <v>483213.47999999899</v>
          </cell>
          <cell r="I1695">
            <v>4039.11</v>
          </cell>
          <cell r="J1695">
            <v>19689.36</v>
          </cell>
          <cell r="K1695">
            <v>0.94999999999999896</v>
          </cell>
          <cell r="L1695">
            <v>23729.4199999999</v>
          </cell>
          <cell r="M1695">
            <v>523928.32000000001</v>
          </cell>
          <cell r="N1695">
            <v>9294.5599999999904</v>
          </cell>
          <cell r="O1695">
            <v>0</v>
          </cell>
          <cell r="R1695">
            <v>1121.1400000000001</v>
          </cell>
        </row>
        <row r="1696">
          <cell r="G1696">
            <v>43604.160000000003</v>
          </cell>
          <cell r="I1696">
            <v>367.19</v>
          </cell>
          <cell r="J1696">
            <v>4152.4799999999896</v>
          </cell>
          <cell r="K1696">
            <v>8.99999999999999E-2</v>
          </cell>
          <cell r="L1696">
            <v>4519.76</v>
          </cell>
          <cell r="M1696">
            <v>49714.57</v>
          </cell>
          <cell r="N1696">
            <v>219.83</v>
          </cell>
          <cell r="O1696">
            <v>0</v>
          </cell>
          <cell r="R1696">
            <v>101.17</v>
          </cell>
        </row>
        <row r="1697">
          <cell r="G1697">
            <v>33595.050000000003</v>
          </cell>
          <cell r="I1697">
            <v>275.38999999999902</v>
          </cell>
          <cell r="J1697">
            <v>3009.2399999999898</v>
          </cell>
          <cell r="K1697">
            <v>5.9999999999999901E-2</v>
          </cell>
          <cell r="L1697">
            <v>3284.69</v>
          </cell>
          <cell r="M1697">
            <v>38069.15</v>
          </cell>
          <cell r="N1697">
            <v>-729.59</v>
          </cell>
          <cell r="O1697">
            <v>0</v>
          </cell>
          <cell r="R1697">
            <v>77.95</v>
          </cell>
        </row>
        <row r="1698">
          <cell r="G1698">
            <v>43604.160000000003</v>
          </cell>
          <cell r="I1698">
            <v>367.19</v>
          </cell>
          <cell r="J1698">
            <v>0</v>
          </cell>
          <cell r="K1698">
            <v>8.99999999999999E-2</v>
          </cell>
          <cell r="L1698">
            <v>367.27999999999901</v>
          </cell>
          <cell r="M1698">
            <v>45476.01</v>
          </cell>
          <cell r="N1698">
            <v>1756.71</v>
          </cell>
          <cell r="O1698">
            <v>0</v>
          </cell>
          <cell r="R1698">
            <v>101.17</v>
          </cell>
        </row>
        <row r="1699">
          <cell r="G1699">
            <v>71661.589999999895</v>
          </cell>
          <cell r="I1699">
            <v>550.77999999999895</v>
          </cell>
          <cell r="J1699">
            <v>0</v>
          </cell>
          <cell r="K1699">
            <v>0.13</v>
          </cell>
          <cell r="L1699">
            <v>550.90999999999894</v>
          </cell>
          <cell r="M1699">
            <v>74503.66</v>
          </cell>
          <cell r="N1699">
            <v>-2575.6599999999899</v>
          </cell>
          <cell r="O1699">
            <v>0</v>
          </cell>
          <cell r="R1699">
            <v>166.259999999999</v>
          </cell>
        </row>
        <row r="1700">
          <cell r="G1700">
            <v>265258.64</v>
          </cell>
          <cell r="I1700">
            <v>2233.75</v>
          </cell>
          <cell r="J1700">
            <v>11182.84</v>
          </cell>
          <cell r="K1700">
            <v>0.52</v>
          </cell>
          <cell r="L1700">
            <v>13417.11</v>
          </cell>
          <cell r="M1700">
            <v>288030.51</v>
          </cell>
          <cell r="N1700">
            <v>5643.7299999999896</v>
          </cell>
          <cell r="O1700">
            <v>0</v>
          </cell>
          <cell r="R1700">
            <v>615.44000000000005</v>
          </cell>
        </row>
        <row r="1701">
          <cell r="G1701">
            <v>276956.57</v>
          </cell>
          <cell r="I1701">
            <v>2153.44</v>
          </cell>
          <cell r="J1701">
            <v>0</v>
          </cell>
          <cell r="K1701">
            <v>0.5</v>
          </cell>
          <cell r="L1701">
            <v>2153.94</v>
          </cell>
          <cell r="M1701">
            <v>288057.76</v>
          </cell>
          <cell r="N1701">
            <v>-7178.76</v>
          </cell>
          <cell r="O1701">
            <v>0</v>
          </cell>
          <cell r="R1701">
            <v>642.61</v>
          </cell>
        </row>
        <row r="1702">
          <cell r="G1702">
            <v>93253.46</v>
          </cell>
          <cell r="I1702">
            <v>780.27999999999895</v>
          </cell>
          <cell r="J1702">
            <v>5872.9799999999896</v>
          </cell>
          <cell r="K1702">
            <v>0.17999999999999899</v>
          </cell>
          <cell r="L1702">
            <v>6653.4399999999896</v>
          </cell>
          <cell r="M1702">
            <v>103293.19</v>
          </cell>
          <cell r="N1702">
            <v>3012.53</v>
          </cell>
          <cell r="O1702">
            <v>0</v>
          </cell>
          <cell r="R1702">
            <v>216.37</v>
          </cell>
        </row>
        <row r="1703">
          <cell r="G1703">
            <v>270663.359999999</v>
          </cell>
          <cell r="I1703">
            <v>2080.7600000000002</v>
          </cell>
          <cell r="J1703">
            <v>0</v>
          </cell>
          <cell r="K1703">
            <v>0.47999999999999898</v>
          </cell>
          <cell r="L1703">
            <v>2081.2399999999898</v>
          </cell>
          <cell r="M1703">
            <v>281379.40000000002</v>
          </cell>
          <cell r="N1703">
            <v>-10306.4</v>
          </cell>
          <cell r="O1703">
            <v>0</v>
          </cell>
          <cell r="R1703">
            <v>628</v>
          </cell>
        </row>
        <row r="1704">
          <cell r="G1704">
            <v>48271.019999999902</v>
          </cell>
          <cell r="I1704">
            <v>382.49</v>
          </cell>
          <cell r="J1704">
            <v>0</v>
          </cell>
          <cell r="K1704">
            <v>8.99999999999999E-2</v>
          </cell>
          <cell r="L1704">
            <v>382.57999999999902</v>
          </cell>
          <cell r="M1704">
            <v>50227.65</v>
          </cell>
          <cell r="N1704">
            <v>-814.45</v>
          </cell>
          <cell r="O1704">
            <v>0</v>
          </cell>
          <cell r="R1704">
            <v>111.97</v>
          </cell>
        </row>
        <row r="1705">
          <cell r="G1705">
            <v>91750.419999999896</v>
          </cell>
          <cell r="I1705">
            <v>772.63</v>
          </cell>
          <cell r="J1705">
            <v>7769.1999999999898</v>
          </cell>
          <cell r="K1705">
            <v>0.17999999999999899</v>
          </cell>
          <cell r="L1705">
            <v>8542.01</v>
          </cell>
          <cell r="M1705">
            <v>103611.96</v>
          </cell>
          <cell r="N1705">
            <v>598.45000000000005</v>
          </cell>
          <cell r="O1705">
            <v>0</v>
          </cell>
          <cell r="R1705">
            <v>212.9</v>
          </cell>
        </row>
        <row r="1706">
          <cell r="G1706">
            <v>22396.7</v>
          </cell>
          <cell r="I1706">
            <v>183.59</v>
          </cell>
          <cell r="J1706">
            <v>0</v>
          </cell>
          <cell r="K1706">
            <v>0.04</v>
          </cell>
          <cell r="L1706">
            <v>183.63</v>
          </cell>
          <cell r="M1706">
            <v>23333.389999999901</v>
          </cell>
          <cell r="N1706">
            <v>306.61</v>
          </cell>
          <cell r="O1706">
            <v>0</v>
          </cell>
          <cell r="R1706">
            <v>51.96</v>
          </cell>
        </row>
        <row r="1707">
          <cell r="G1707">
            <v>22396.7</v>
          </cell>
          <cell r="I1707">
            <v>183.59</v>
          </cell>
          <cell r="J1707">
            <v>0</v>
          </cell>
          <cell r="K1707">
            <v>0.04</v>
          </cell>
          <cell r="L1707">
            <v>183.63</v>
          </cell>
          <cell r="M1707">
            <v>23331.119999999901</v>
          </cell>
          <cell r="N1707">
            <v>238.08</v>
          </cell>
          <cell r="O1707">
            <v>0</v>
          </cell>
          <cell r="R1707">
            <v>51.96</v>
          </cell>
        </row>
        <row r="1708">
          <cell r="G1708">
            <v>99603.389999999898</v>
          </cell>
          <cell r="I1708">
            <v>803.23</v>
          </cell>
          <cell r="J1708">
            <v>2275.6199999999899</v>
          </cell>
          <cell r="K1708">
            <v>0.19</v>
          </cell>
          <cell r="L1708">
            <v>3079.04</v>
          </cell>
          <cell r="M1708">
            <v>106112.2</v>
          </cell>
          <cell r="N1708">
            <v>1556.9</v>
          </cell>
          <cell r="O1708">
            <v>0</v>
          </cell>
          <cell r="R1708">
            <v>231.08</v>
          </cell>
        </row>
        <row r="1709">
          <cell r="G1709">
            <v>67223.08</v>
          </cell>
          <cell r="I1709">
            <v>566.1</v>
          </cell>
          <cell r="J1709">
            <v>2228.6399999999899</v>
          </cell>
          <cell r="K1709">
            <v>0.13</v>
          </cell>
          <cell r="L1709">
            <v>2794.8699999999899</v>
          </cell>
          <cell r="M1709">
            <v>72400.309999999896</v>
          </cell>
          <cell r="N1709">
            <v>2389.15</v>
          </cell>
          <cell r="O1709">
            <v>0</v>
          </cell>
          <cell r="R1709">
            <v>155.97</v>
          </cell>
        </row>
        <row r="1710">
          <cell r="G1710">
            <v>163396.739999999</v>
          </cell>
          <cell r="I1710">
            <v>1254.5699999999899</v>
          </cell>
          <cell r="J1710">
            <v>0</v>
          </cell>
          <cell r="K1710">
            <v>0.28999999999999898</v>
          </cell>
          <cell r="L1710">
            <v>1254.8599999999899</v>
          </cell>
          <cell r="M1710">
            <v>169868.959999999</v>
          </cell>
          <cell r="N1710">
            <v>-6080.96</v>
          </cell>
          <cell r="O1710">
            <v>0</v>
          </cell>
          <cell r="R1710">
            <v>379.11</v>
          </cell>
        </row>
        <row r="1711">
          <cell r="G1711">
            <v>43604.160000000003</v>
          </cell>
          <cell r="I1711">
            <v>367.19</v>
          </cell>
          <cell r="J1711">
            <v>2023.44</v>
          </cell>
          <cell r="K1711">
            <v>8.99999999999999E-2</v>
          </cell>
          <cell r="L1711">
            <v>2390.7199999999898</v>
          </cell>
          <cell r="M1711">
            <v>47585.529999999897</v>
          </cell>
          <cell r="N1711">
            <v>2348.8699999999899</v>
          </cell>
          <cell r="O1711">
            <v>0</v>
          </cell>
          <cell r="R1711">
            <v>101.17</v>
          </cell>
        </row>
        <row r="1712">
          <cell r="G1712">
            <v>109605.02</v>
          </cell>
          <cell r="I1712">
            <v>917.97</v>
          </cell>
          <cell r="J1712">
            <v>10276.08</v>
          </cell>
          <cell r="K1712">
            <v>0.20999999999999899</v>
          </cell>
          <cell r="L1712">
            <v>11194.26</v>
          </cell>
          <cell r="M1712">
            <v>124766.39</v>
          </cell>
          <cell r="N1712">
            <v>-227.03</v>
          </cell>
          <cell r="O1712">
            <v>0</v>
          </cell>
          <cell r="R1712">
            <v>254.3</v>
          </cell>
        </row>
        <row r="1713">
          <cell r="G1713">
            <v>218020.799999999</v>
          </cell>
          <cell r="I1713">
            <v>1835.95</v>
          </cell>
          <cell r="J1713">
            <v>19332</v>
          </cell>
          <cell r="K1713">
            <v>0.42999999999999899</v>
          </cell>
          <cell r="L1713">
            <v>21168.38</v>
          </cell>
          <cell r="M1713">
            <v>247085.85</v>
          </cell>
          <cell r="N1713">
            <v>814.71</v>
          </cell>
          <cell r="O1713">
            <v>0</v>
          </cell>
          <cell r="R1713">
            <v>505.85</v>
          </cell>
        </row>
        <row r="1714">
          <cell r="G1714">
            <v>615023.85999999905</v>
          </cell>
          <cell r="I1714">
            <v>5125.3900000000003</v>
          </cell>
          <cell r="J1714">
            <v>34230.36</v>
          </cell>
          <cell r="K1714">
            <v>1.18999999999999</v>
          </cell>
          <cell r="L1714">
            <v>39356.94</v>
          </cell>
          <cell r="M1714">
            <v>675952.28</v>
          </cell>
          <cell r="N1714">
            <v>1240.96</v>
          </cell>
          <cell r="O1714">
            <v>0</v>
          </cell>
          <cell r="R1714">
            <v>1426.96</v>
          </cell>
        </row>
        <row r="1715">
          <cell r="G1715">
            <v>238539.66</v>
          </cell>
          <cell r="I1715">
            <v>1866.5699999999899</v>
          </cell>
          <cell r="J1715">
            <v>0</v>
          </cell>
          <cell r="K1715">
            <v>0.42999999999999899</v>
          </cell>
          <cell r="L1715">
            <v>1867</v>
          </cell>
          <cell r="M1715">
            <v>248164.7</v>
          </cell>
          <cell r="N1715">
            <v>-4614.6999999999898</v>
          </cell>
          <cell r="O1715">
            <v>0</v>
          </cell>
          <cell r="R1715">
            <v>553.42999999999904</v>
          </cell>
        </row>
        <row r="1716">
          <cell r="G1716">
            <v>44198.779999999897</v>
          </cell>
          <cell r="I1716">
            <v>367.18</v>
          </cell>
          <cell r="J1716">
            <v>3760.8</v>
          </cell>
          <cell r="K1716">
            <v>0.08</v>
          </cell>
          <cell r="L1716">
            <v>4128.0600000000004</v>
          </cell>
          <cell r="M1716">
            <v>49912.73</v>
          </cell>
          <cell r="N1716">
            <v>-126.65</v>
          </cell>
          <cell r="O1716">
            <v>0</v>
          </cell>
          <cell r="R1716">
            <v>102.52</v>
          </cell>
        </row>
        <row r="1717">
          <cell r="G1717">
            <v>24908.04</v>
          </cell>
          <cell r="I1717">
            <v>191.25</v>
          </cell>
          <cell r="J1717">
            <v>0</v>
          </cell>
          <cell r="K1717">
            <v>0.04</v>
          </cell>
          <cell r="L1717">
            <v>191.289999999999</v>
          </cell>
          <cell r="M1717">
            <v>25895.6699999999</v>
          </cell>
          <cell r="N1717">
            <v>-895.66999999999905</v>
          </cell>
          <cell r="O1717">
            <v>0</v>
          </cell>
          <cell r="R1717">
            <v>57.78</v>
          </cell>
        </row>
        <row r="1718">
          <cell r="G1718">
            <v>130812.48</v>
          </cell>
          <cell r="I1718">
            <v>1101.5799999999899</v>
          </cell>
          <cell r="J1718">
            <v>12150.66</v>
          </cell>
          <cell r="K1718">
            <v>0.26</v>
          </cell>
          <cell r="L1718">
            <v>13252.5</v>
          </cell>
          <cell r="M1718">
            <v>148790.64000000001</v>
          </cell>
          <cell r="N1718">
            <v>-438.95999999999901</v>
          </cell>
          <cell r="O1718">
            <v>0</v>
          </cell>
          <cell r="R1718">
            <v>303.5</v>
          </cell>
        </row>
        <row r="1719">
          <cell r="G1719">
            <v>0</v>
          </cell>
          <cell r="I1719">
            <v>0</v>
          </cell>
          <cell r="J1719">
            <v>155257.97</v>
          </cell>
          <cell r="K1719">
            <v>0</v>
          </cell>
          <cell r="L1719">
            <v>155257.97</v>
          </cell>
          <cell r="M1719">
            <v>155257.97</v>
          </cell>
          <cell r="N1719">
            <v>-155257.97</v>
          </cell>
          <cell r="O1719">
            <v>0</v>
          </cell>
          <cell r="R1719">
            <v>0</v>
          </cell>
        </row>
        <row r="1720">
          <cell r="G1720">
            <v>458384.859999999</v>
          </cell>
          <cell r="I1720">
            <v>3790.51</v>
          </cell>
          <cell r="J1720">
            <v>18653.04</v>
          </cell>
          <cell r="K1720">
            <v>0.89</v>
          </cell>
          <cell r="L1720">
            <v>22444.4399999999</v>
          </cell>
          <cell r="M1720">
            <v>496900.46999999898</v>
          </cell>
          <cell r="N1720">
            <v>7619.27</v>
          </cell>
          <cell r="O1720">
            <v>0</v>
          </cell>
          <cell r="R1720">
            <v>1063.54</v>
          </cell>
        </row>
        <row r="1721">
          <cell r="G1721">
            <v>322503.7</v>
          </cell>
          <cell r="I1721">
            <v>2470.9099999999899</v>
          </cell>
          <cell r="J1721">
            <v>0</v>
          </cell>
          <cell r="K1721">
            <v>0.56999999999999895</v>
          </cell>
          <cell r="L1721">
            <v>2471.48</v>
          </cell>
          <cell r="M1721">
            <v>335332.12</v>
          </cell>
          <cell r="N1721">
            <v>-10199.719999999899</v>
          </cell>
          <cell r="O1721">
            <v>0</v>
          </cell>
          <cell r="R1721">
            <v>748.30999999999904</v>
          </cell>
        </row>
        <row r="1722">
          <cell r="G1722">
            <v>15270.54</v>
          </cell>
          <cell r="I1722">
            <v>114.75</v>
          </cell>
          <cell r="J1722">
            <v>0</v>
          </cell>
          <cell r="K1722">
            <v>2.9999999999999898E-2</v>
          </cell>
          <cell r="L1722">
            <v>114.78</v>
          </cell>
          <cell r="M1722">
            <v>15863.11</v>
          </cell>
          <cell r="N1722">
            <v>-863.11</v>
          </cell>
          <cell r="O1722">
            <v>0</v>
          </cell>
          <cell r="R1722">
            <v>35.43</v>
          </cell>
        </row>
        <row r="1723">
          <cell r="G1723">
            <v>207119.76</v>
          </cell>
          <cell r="I1723">
            <v>1744.15</v>
          </cell>
          <cell r="J1723">
            <v>7883.76</v>
          </cell>
          <cell r="K1723">
            <v>0.40999999999999898</v>
          </cell>
          <cell r="L1723">
            <v>9628.3199999999906</v>
          </cell>
          <cell r="M1723">
            <v>224126.42</v>
          </cell>
          <cell r="N1723">
            <v>7501.42</v>
          </cell>
          <cell r="O1723">
            <v>0</v>
          </cell>
          <cell r="R1723">
            <v>480.56999999999903</v>
          </cell>
        </row>
        <row r="1724">
          <cell r="G1724">
            <v>42540.389999999898</v>
          </cell>
          <cell r="I1724">
            <v>321.29000000000002</v>
          </cell>
          <cell r="J1724">
            <v>0</v>
          </cell>
          <cell r="K1724">
            <v>0.08</v>
          </cell>
          <cell r="L1724">
            <v>321.37</v>
          </cell>
          <cell r="M1724">
            <v>44211.699999999903</v>
          </cell>
          <cell r="N1724">
            <v>-1833.7</v>
          </cell>
          <cell r="O1724">
            <v>0</v>
          </cell>
          <cell r="R1724">
            <v>98.7</v>
          </cell>
        </row>
        <row r="1725">
          <cell r="G1725">
            <v>21802.080000000002</v>
          </cell>
          <cell r="I1725">
            <v>183.59</v>
          </cell>
          <cell r="J1725">
            <v>1300.8</v>
          </cell>
          <cell r="K1725">
            <v>0.04</v>
          </cell>
          <cell r="L1725">
            <v>1484.43</v>
          </cell>
          <cell r="M1725">
            <v>24092</v>
          </cell>
          <cell r="N1725">
            <v>1195.8399999999899</v>
          </cell>
          <cell r="O1725">
            <v>0</v>
          </cell>
          <cell r="R1725">
            <v>50.56</v>
          </cell>
        </row>
        <row r="1726">
          <cell r="G1726">
            <v>1124285.04</v>
          </cell>
          <cell r="I1726">
            <v>9225.7000000000007</v>
          </cell>
          <cell r="J1726">
            <v>30220.68</v>
          </cell>
          <cell r="K1726">
            <v>2.16</v>
          </cell>
          <cell r="L1726">
            <v>39448.54</v>
          </cell>
          <cell r="M1726">
            <v>1203560.6299999901</v>
          </cell>
          <cell r="N1726">
            <v>46732.37</v>
          </cell>
          <cell r="O1726">
            <v>0</v>
          </cell>
          <cell r="R1726">
            <v>2608.5599999999899</v>
          </cell>
        </row>
        <row r="1727">
          <cell r="G1727">
            <v>289638.96000000002</v>
          </cell>
          <cell r="I1727">
            <v>2402.0500000000002</v>
          </cell>
          <cell r="J1727">
            <v>18252.84</v>
          </cell>
          <cell r="K1727">
            <v>0.56000000000000005</v>
          </cell>
          <cell r="L1727">
            <v>20655.45</v>
          </cell>
          <cell r="M1727">
            <v>320511.489999999</v>
          </cell>
          <cell r="N1727">
            <v>233.59</v>
          </cell>
          <cell r="O1727">
            <v>0</v>
          </cell>
          <cell r="R1727">
            <v>672.01999999999896</v>
          </cell>
        </row>
        <row r="1728">
          <cell r="G1728">
            <v>21802.080000000002</v>
          </cell>
          <cell r="I1728">
            <v>183.59</v>
          </cell>
          <cell r="J1728">
            <v>1518.96</v>
          </cell>
          <cell r="K1728">
            <v>0.04</v>
          </cell>
          <cell r="L1728">
            <v>1702.5899999999899</v>
          </cell>
          <cell r="M1728">
            <v>24295.279999999901</v>
          </cell>
          <cell r="N1728">
            <v>523.6</v>
          </cell>
          <cell r="O1728">
            <v>0</v>
          </cell>
          <cell r="R1728">
            <v>50.56</v>
          </cell>
        </row>
        <row r="1729">
          <cell r="G1729">
            <v>35867.58</v>
          </cell>
          <cell r="I1729">
            <v>275.38999999999902</v>
          </cell>
          <cell r="J1729">
            <v>0</v>
          </cell>
          <cell r="K1729">
            <v>5.9999999999999901E-2</v>
          </cell>
          <cell r="L1729">
            <v>275.44999999999902</v>
          </cell>
          <cell r="M1729">
            <v>37297.79</v>
          </cell>
          <cell r="N1729">
            <v>-1045.79</v>
          </cell>
          <cell r="O1729">
            <v>0</v>
          </cell>
          <cell r="R1729">
            <v>83.219999999999899</v>
          </cell>
        </row>
        <row r="1730">
          <cell r="G1730">
            <v>303446.59000000003</v>
          </cell>
          <cell r="I1730">
            <v>2544.3499999999899</v>
          </cell>
          <cell r="J1730">
            <v>9074.2399999999907</v>
          </cell>
          <cell r="K1730">
            <v>0.58999999999999897</v>
          </cell>
          <cell r="L1730">
            <v>11619.18</v>
          </cell>
          <cell r="M1730">
            <v>325626.13</v>
          </cell>
          <cell r="N1730">
            <v>5895.55</v>
          </cell>
          <cell r="O1730">
            <v>0</v>
          </cell>
          <cell r="R1730">
            <v>704.03999999999905</v>
          </cell>
        </row>
        <row r="1731">
          <cell r="G1731">
            <v>11955.86</v>
          </cell>
          <cell r="I1731">
            <v>91.799999999999898</v>
          </cell>
          <cell r="J1731">
            <v>0</v>
          </cell>
          <cell r="K1731">
            <v>0.02</v>
          </cell>
          <cell r="L1731">
            <v>91.819999999999894</v>
          </cell>
          <cell r="M1731">
            <v>12429.93</v>
          </cell>
          <cell r="N1731">
            <v>-429.93</v>
          </cell>
          <cell r="O1731">
            <v>0</v>
          </cell>
          <cell r="R1731">
            <v>27.73</v>
          </cell>
        </row>
        <row r="1732">
          <cell r="G1732">
            <v>24908.04</v>
          </cell>
          <cell r="I1732">
            <v>191.25</v>
          </cell>
          <cell r="J1732">
            <v>0</v>
          </cell>
          <cell r="K1732">
            <v>0.04</v>
          </cell>
          <cell r="L1732">
            <v>191.289999999999</v>
          </cell>
          <cell r="M1732">
            <v>25895.6699999999</v>
          </cell>
          <cell r="N1732">
            <v>-895.66999999999905</v>
          </cell>
          <cell r="O1732">
            <v>0</v>
          </cell>
          <cell r="R1732">
            <v>57.78</v>
          </cell>
        </row>
        <row r="1733">
          <cell r="G1733">
            <v>65406.239999999903</v>
          </cell>
          <cell r="I1733">
            <v>550.78999999999905</v>
          </cell>
          <cell r="J1733">
            <v>4050</v>
          </cell>
          <cell r="K1733">
            <v>0.13</v>
          </cell>
          <cell r="L1733">
            <v>4600.92</v>
          </cell>
          <cell r="M1733">
            <v>72357.63</v>
          </cell>
          <cell r="N1733">
            <v>1431.5699999999899</v>
          </cell>
          <cell r="O1733">
            <v>0</v>
          </cell>
          <cell r="R1733">
            <v>151.74</v>
          </cell>
        </row>
        <row r="1734">
          <cell r="G1734">
            <v>57230.459999999897</v>
          </cell>
          <cell r="I1734">
            <v>481.94</v>
          </cell>
          <cell r="J1734">
            <v>0</v>
          </cell>
          <cell r="K1734">
            <v>0.11</v>
          </cell>
          <cell r="L1734">
            <v>482.05</v>
          </cell>
          <cell r="M1734">
            <v>59690.3</v>
          </cell>
          <cell r="N1734">
            <v>2397.25</v>
          </cell>
          <cell r="O1734">
            <v>0</v>
          </cell>
          <cell r="R1734">
            <v>132.789999999999</v>
          </cell>
        </row>
        <row r="1735">
          <cell r="G1735">
            <v>14944.82</v>
          </cell>
          <cell r="I1735">
            <v>114.75</v>
          </cell>
          <cell r="J1735">
            <v>0</v>
          </cell>
          <cell r="K1735">
            <v>2.9999999999999898E-2</v>
          </cell>
          <cell r="L1735">
            <v>114.78</v>
          </cell>
          <cell r="M1735">
            <v>15535.99</v>
          </cell>
          <cell r="N1735">
            <v>-580.99</v>
          </cell>
          <cell r="O1735">
            <v>0</v>
          </cell>
          <cell r="R1735">
            <v>34.659999999999897</v>
          </cell>
        </row>
        <row r="1736">
          <cell r="G1736">
            <v>43604.160000000003</v>
          </cell>
          <cell r="I1736">
            <v>367.19</v>
          </cell>
          <cell r="J1736">
            <v>3516.2399999999898</v>
          </cell>
          <cell r="K1736">
            <v>8.99999999999999E-2</v>
          </cell>
          <cell r="L1736">
            <v>3883.52</v>
          </cell>
          <cell r="M1736">
            <v>49054.16</v>
          </cell>
          <cell r="N1736">
            <v>122.319999999999</v>
          </cell>
          <cell r="O1736">
            <v>0</v>
          </cell>
          <cell r="R1736">
            <v>101.17</v>
          </cell>
        </row>
        <row r="1737">
          <cell r="G1737">
            <v>174416.64000000001</v>
          </cell>
          <cell r="I1737">
            <v>1468.78</v>
          </cell>
          <cell r="J1737">
            <v>11849.76</v>
          </cell>
          <cell r="K1737">
            <v>0.34</v>
          </cell>
          <cell r="L1737">
            <v>13318.879999999899</v>
          </cell>
          <cell r="M1737">
            <v>194199.66</v>
          </cell>
          <cell r="N1737">
            <v>8729.2199999999903</v>
          </cell>
          <cell r="O1737">
            <v>0</v>
          </cell>
          <cell r="R1737">
            <v>404.68</v>
          </cell>
        </row>
        <row r="1738">
          <cell r="G1738">
            <v>21802.080000000002</v>
          </cell>
          <cell r="I1738">
            <v>183.59</v>
          </cell>
          <cell r="J1738">
            <v>1684.5599999999899</v>
          </cell>
          <cell r="K1738">
            <v>0.04</v>
          </cell>
          <cell r="L1738">
            <v>1868.19</v>
          </cell>
          <cell r="M1738">
            <v>24465.549999999901</v>
          </cell>
          <cell r="N1738">
            <v>501.64999999999901</v>
          </cell>
          <cell r="O1738">
            <v>0</v>
          </cell>
          <cell r="R1738">
            <v>50.56</v>
          </cell>
        </row>
        <row r="1739">
          <cell r="G1739">
            <v>21802.080000000002</v>
          </cell>
          <cell r="I1739">
            <v>183.59</v>
          </cell>
          <cell r="J1739">
            <v>0</v>
          </cell>
          <cell r="K1739">
            <v>0.04</v>
          </cell>
          <cell r="L1739">
            <v>183.63</v>
          </cell>
          <cell r="M1739">
            <v>22755.57</v>
          </cell>
          <cell r="N1739">
            <v>1412.43</v>
          </cell>
          <cell r="O1739">
            <v>0</v>
          </cell>
          <cell r="R1739">
            <v>50.56</v>
          </cell>
        </row>
        <row r="1740">
          <cell r="G1740">
            <v>32703.119999999901</v>
          </cell>
          <cell r="I1740">
            <v>275.38999999999902</v>
          </cell>
          <cell r="J1740">
            <v>1229.76</v>
          </cell>
          <cell r="K1740">
            <v>5.9999999999999901E-2</v>
          </cell>
          <cell r="L1740">
            <v>1505.21</v>
          </cell>
          <cell r="M1740">
            <v>35391.099999999897</v>
          </cell>
          <cell r="N1740">
            <v>1738.3399999999899</v>
          </cell>
          <cell r="O1740">
            <v>0</v>
          </cell>
          <cell r="R1740">
            <v>75.879999999999896</v>
          </cell>
        </row>
        <row r="1741">
          <cell r="G1741">
            <v>98109.36</v>
          </cell>
          <cell r="I1741">
            <v>826.16999999999905</v>
          </cell>
          <cell r="J1741">
            <v>4670.1599999999899</v>
          </cell>
          <cell r="K1741">
            <v>0.19</v>
          </cell>
          <cell r="L1741">
            <v>5496.52</v>
          </cell>
          <cell r="M1741">
            <v>107096.27</v>
          </cell>
          <cell r="N1741">
            <v>2477.5300000000002</v>
          </cell>
          <cell r="O1741">
            <v>0</v>
          </cell>
          <cell r="R1741">
            <v>227.62</v>
          </cell>
        </row>
        <row r="1742">
          <cell r="G1742">
            <v>24432.869999999901</v>
          </cell>
          <cell r="I1742">
            <v>183.59</v>
          </cell>
          <cell r="J1742">
            <v>0</v>
          </cell>
          <cell r="K1742">
            <v>0.04</v>
          </cell>
          <cell r="L1742">
            <v>183.63</v>
          </cell>
          <cell r="M1742">
            <v>25376.5999999999</v>
          </cell>
          <cell r="N1742">
            <v>-1514.5999999999899</v>
          </cell>
          <cell r="O1742">
            <v>0</v>
          </cell>
          <cell r="R1742">
            <v>56.689999999999898</v>
          </cell>
        </row>
        <row r="1743">
          <cell r="G1743">
            <v>64952.04</v>
          </cell>
          <cell r="I1743">
            <v>546.96</v>
          </cell>
          <cell r="J1743">
            <v>0</v>
          </cell>
          <cell r="K1743">
            <v>0.13</v>
          </cell>
          <cell r="L1743">
            <v>547.09</v>
          </cell>
          <cell r="M1743">
            <v>67731.309999999896</v>
          </cell>
          <cell r="N1743">
            <v>2343.19</v>
          </cell>
          <cell r="O1743">
            <v>0</v>
          </cell>
          <cell r="R1743">
            <v>150.69999999999899</v>
          </cell>
        </row>
        <row r="1744">
          <cell r="G1744">
            <v>58665.98</v>
          </cell>
          <cell r="I1744">
            <v>466.62</v>
          </cell>
          <cell r="J1744">
            <v>0</v>
          </cell>
          <cell r="K1744">
            <v>0.11</v>
          </cell>
          <cell r="L1744">
            <v>466.73</v>
          </cell>
          <cell r="M1744">
            <v>61058.61</v>
          </cell>
          <cell r="N1744">
            <v>-599.45000000000005</v>
          </cell>
          <cell r="O1744">
            <v>0</v>
          </cell>
          <cell r="R1744">
            <v>136.099999999999</v>
          </cell>
        </row>
        <row r="1745">
          <cell r="G1745">
            <v>22148.9399999999</v>
          </cell>
          <cell r="I1745">
            <v>183.599999999999</v>
          </cell>
          <cell r="J1745">
            <v>0</v>
          </cell>
          <cell r="K1745">
            <v>0.05</v>
          </cell>
          <cell r="L1745">
            <v>183.65</v>
          </cell>
          <cell r="M1745">
            <v>23087.45</v>
          </cell>
          <cell r="N1745">
            <v>609.75</v>
          </cell>
          <cell r="O1745">
            <v>0</v>
          </cell>
          <cell r="R1745">
            <v>51.409999999999897</v>
          </cell>
        </row>
        <row r="1746">
          <cell r="G1746">
            <v>43604.160000000003</v>
          </cell>
          <cell r="I1746">
            <v>367.19</v>
          </cell>
          <cell r="J1746">
            <v>0</v>
          </cell>
          <cell r="K1746">
            <v>8.99999999999999E-2</v>
          </cell>
          <cell r="L1746">
            <v>367.27999999999901</v>
          </cell>
          <cell r="M1746">
            <v>45475.209999999897</v>
          </cell>
          <cell r="N1746">
            <v>1733.99</v>
          </cell>
          <cell r="O1746">
            <v>0</v>
          </cell>
          <cell r="R1746">
            <v>101.17</v>
          </cell>
        </row>
        <row r="1747">
          <cell r="G1747">
            <v>310881.53999999899</v>
          </cell>
          <cell r="I1747">
            <v>2611.4899999999898</v>
          </cell>
          <cell r="J1747">
            <v>0</v>
          </cell>
          <cell r="K1747">
            <v>0.60999999999999899</v>
          </cell>
          <cell r="L1747">
            <v>2612.0999999999899</v>
          </cell>
          <cell r="M1747">
            <v>324016.59999999899</v>
          </cell>
          <cell r="N1747">
            <v>6331.6199999999899</v>
          </cell>
          <cell r="O1747">
            <v>0</v>
          </cell>
          <cell r="R1747">
            <v>721.28999999999905</v>
          </cell>
        </row>
        <row r="1748">
          <cell r="G1748">
            <v>23414.84</v>
          </cell>
          <cell r="I1748">
            <v>175.94999999999899</v>
          </cell>
          <cell r="J1748">
            <v>0</v>
          </cell>
          <cell r="K1748">
            <v>0.04</v>
          </cell>
          <cell r="L1748">
            <v>175.99</v>
          </cell>
          <cell r="M1748">
            <v>24323.5</v>
          </cell>
          <cell r="N1748">
            <v>-1323.5</v>
          </cell>
          <cell r="O1748">
            <v>0</v>
          </cell>
          <cell r="R1748">
            <v>54.32</v>
          </cell>
        </row>
        <row r="1749">
          <cell r="G1749">
            <v>21802.080000000002</v>
          </cell>
          <cell r="I1749">
            <v>183.59</v>
          </cell>
          <cell r="J1749">
            <v>1064.4000000000001</v>
          </cell>
          <cell r="K1749">
            <v>0.04</v>
          </cell>
          <cell r="L1749">
            <v>1248.03</v>
          </cell>
          <cell r="M1749">
            <v>23843.06</v>
          </cell>
          <cell r="N1749">
            <v>1049.98</v>
          </cell>
          <cell r="O1749">
            <v>0</v>
          </cell>
          <cell r="R1749">
            <v>50.56</v>
          </cell>
        </row>
        <row r="1750">
          <cell r="G1750">
            <v>792716.92</v>
          </cell>
          <cell r="I1750">
            <v>6595.6899999999896</v>
          </cell>
          <cell r="J1750">
            <v>17624.7</v>
          </cell>
          <cell r="K1750">
            <v>1.53</v>
          </cell>
          <cell r="L1750">
            <v>24221.9199999999</v>
          </cell>
          <cell r="M1750">
            <v>844208.85999999905</v>
          </cell>
          <cell r="N1750">
            <v>11879.25</v>
          </cell>
          <cell r="O1750">
            <v>0</v>
          </cell>
          <cell r="R1750">
            <v>1839.26</v>
          </cell>
        </row>
        <row r="1751">
          <cell r="G1751">
            <v>47676.3</v>
          </cell>
          <cell r="I1751">
            <v>367.19</v>
          </cell>
          <cell r="J1751">
            <v>0</v>
          </cell>
          <cell r="K1751">
            <v>8.99999999999999E-2</v>
          </cell>
          <cell r="L1751">
            <v>367.27999999999901</v>
          </cell>
          <cell r="M1751">
            <v>49587.839999999902</v>
          </cell>
          <cell r="N1751">
            <v>-1107.8399999999899</v>
          </cell>
          <cell r="O1751">
            <v>0</v>
          </cell>
          <cell r="R1751">
            <v>110.62</v>
          </cell>
        </row>
        <row r="1752">
          <cell r="G1752">
            <v>152614.56</v>
          </cell>
          <cell r="I1752">
            <v>1285.1600000000001</v>
          </cell>
          <cell r="J1752">
            <v>11557.76</v>
          </cell>
          <cell r="K1752">
            <v>0.29999999999999899</v>
          </cell>
          <cell r="L1752">
            <v>12843.219999999899</v>
          </cell>
          <cell r="M1752">
            <v>170932.489999999</v>
          </cell>
          <cell r="N1752">
            <v>933.90999999999894</v>
          </cell>
          <cell r="O1752">
            <v>0</v>
          </cell>
          <cell r="R1752">
            <v>354.08999999999901</v>
          </cell>
        </row>
        <row r="1753">
          <cell r="G1753">
            <v>22710.5</v>
          </cell>
          <cell r="I1753">
            <v>191.25</v>
          </cell>
          <cell r="J1753">
            <v>0</v>
          </cell>
          <cell r="K1753">
            <v>0.04</v>
          </cell>
          <cell r="L1753">
            <v>191.289999999999</v>
          </cell>
          <cell r="M1753">
            <v>23695.7599999999</v>
          </cell>
          <cell r="N1753">
            <v>1229.24</v>
          </cell>
          <cell r="O1753">
            <v>0</v>
          </cell>
          <cell r="R1753">
            <v>52.7</v>
          </cell>
        </row>
        <row r="1754">
          <cell r="G1754">
            <v>111735.66</v>
          </cell>
          <cell r="I1754">
            <v>940.91999999999905</v>
          </cell>
          <cell r="J1754">
            <v>5325.6</v>
          </cell>
          <cell r="K1754">
            <v>0.22</v>
          </cell>
          <cell r="L1754">
            <v>6266.7399999999898</v>
          </cell>
          <cell r="M1754">
            <v>121946.62</v>
          </cell>
          <cell r="N1754">
            <v>1875.02</v>
          </cell>
          <cell r="O1754">
            <v>0</v>
          </cell>
          <cell r="R1754">
            <v>259.25999999999902</v>
          </cell>
        </row>
        <row r="1755">
          <cell r="G1755">
            <v>91436.619999999893</v>
          </cell>
          <cell r="I1755">
            <v>764.98</v>
          </cell>
          <cell r="J1755">
            <v>2889.0799999999899</v>
          </cell>
          <cell r="K1755">
            <v>0.17999999999999899</v>
          </cell>
          <cell r="L1755">
            <v>3654.2399999999898</v>
          </cell>
          <cell r="M1755">
            <v>98292.97</v>
          </cell>
          <cell r="N1755">
            <v>2229.0300000000002</v>
          </cell>
          <cell r="O1755">
            <v>0</v>
          </cell>
          <cell r="R1755">
            <v>212.15</v>
          </cell>
        </row>
        <row r="1756">
          <cell r="G1756">
            <v>148451.92000000001</v>
          </cell>
          <cell r="I1756">
            <v>1139.8399999999899</v>
          </cell>
          <cell r="J1756">
            <v>0</v>
          </cell>
          <cell r="K1756">
            <v>0.27</v>
          </cell>
          <cell r="L1756">
            <v>1140.1099999999899</v>
          </cell>
          <cell r="M1756">
            <v>154319.32</v>
          </cell>
          <cell r="N1756">
            <v>-5916.3199999999897</v>
          </cell>
          <cell r="O1756">
            <v>0</v>
          </cell>
          <cell r="R1756">
            <v>344.43</v>
          </cell>
        </row>
        <row r="1757">
          <cell r="G1757">
            <v>65406.239999999903</v>
          </cell>
          <cell r="I1757">
            <v>550.78999999999905</v>
          </cell>
          <cell r="J1757">
            <v>5053.68</v>
          </cell>
          <cell r="K1757">
            <v>0.13</v>
          </cell>
          <cell r="L1757">
            <v>5604.6</v>
          </cell>
          <cell r="M1757">
            <v>73366.009999999893</v>
          </cell>
          <cell r="N1757">
            <v>571.50999999999897</v>
          </cell>
          <cell r="O1757">
            <v>0</v>
          </cell>
          <cell r="R1757">
            <v>151.74</v>
          </cell>
        </row>
        <row r="1758">
          <cell r="G1758">
            <v>261624.959999999</v>
          </cell>
          <cell r="I1758">
            <v>2203.1399999999899</v>
          </cell>
          <cell r="J1758">
            <v>19644.5999999999</v>
          </cell>
          <cell r="K1758">
            <v>0.52</v>
          </cell>
          <cell r="L1758">
            <v>21848.2599999999</v>
          </cell>
          <cell r="M1758">
            <v>292913.40000000002</v>
          </cell>
          <cell r="N1758">
            <v>3442.32</v>
          </cell>
          <cell r="O1758">
            <v>0</v>
          </cell>
          <cell r="R1758">
            <v>607.02999999999895</v>
          </cell>
        </row>
        <row r="1759">
          <cell r="G1759">
            <v>139113.03</v>
          </cell>
          <cell r="I1759">
            <v>1147.48</v>
          </cell>
          <cell r="J1759">
            <v>2838.2399999999898</v>
          </cell>
          <cell r="K1759">
            <v>0.27</v>
          </cell>
          <cell r="L1759">
            <v>3985.9899999999898</v>
          </cell>
          <cell r="M1759">
            <v>147949.73000000001</v>
          </cell>
          <cell r="N1759">
            <v>4330.75</v>
          </cell>
          <cell r="O1759">
            <v>0</v>
          </cell>
          <cell r="R1759">
            <v>322.75999999999902</v>
          </cell>
        </row>
        <row r="1760">
          <cell r="G1760">
            <v>12717.879999999899</v>
          </cell>
          <cell r="I1760">
            <v>107.099999999999</v>
          </cell>
          <cell r="J1760">
            <v>1103.76</v>
          </cell>
          <cell r="K1760">
            <v>2.9999999999999898E-2</v>
          </cell>
          <cell r="L1760">
            <v>1210.8900000000001</v>
          </cell>
          <cell r="M1760">
            <v>14388.059999999899</v>
          </cell>
          <cell r="N1760">
            <v>31.94</v>
          </cell>
          <cell r="O1760">
            <v>0</v>
          </cell>
          <cell r="R1760">
            <v>29.51</v>
          </cell>
        </row>
        <row r="1761">
          <cell r="G1761">
            <v>297970.53999999899</v>
          </cell>
          <cell r="I1761">
            <v>2515.4099999999899</v>
          </cell>
          <cell r="J1761">
            <v>11780.79</v>
          </cell>
          <cell r="K1761">
            <v>0.58999999999999897</v>
          </cell>
          <cell r="L1761">
            <v>14296.79</v>
          </cell>
          <cell r="M1761">
            <v>322794.989999999</v>
          </cell>
          <cell r="N1761">
            <v>7699.39</v>
          </cell>
          <cell r="O1761">
            <v>0</v>
          </cell>
          <cell r="R1761">
            <v>691.36</v>
          </cell>
        </row>
        <row r="1762">
          <cell r="G1762">
            <v>287589.39</v>
          </cell>
          <cell r="I1762">
            <v>2386.7399999999898</v>
          </cell>
          <cell r="J1762">
            <v>14405.04</v>
          </cell>
          <cell r="K1762">
            <v>0.56000000000000005</v>
          </cell>
          <cell r="L1762">
            <v>16792.34</v>
          </cell>
          <cell r="M1762">
            <v>314529.19</v>
          </cell>
          <cell r="N1762">
            <v>4030.9699999999898</v>
          </cell>
          <cell r="O1762">
            <v>0</v>
          </cell>
          <cell r="R1762">
            <v>667.24</v>
          </cell>
        </row>
        <row r="1763">
          <cell r="G1763">
            <v>608121.54</v>
          </cell>
          <cell r="I1763">
            <v>4712.47</v>
          </cell>
          <cell r="J1763">
            <v>0</v>
          </cell>
          <cell r="K1763">
            <v>1.1100000000000001</v>
          </cell>
          <cell r="L1763">
            <v>4713.5799999999899</v>
          </cell>
          <cell r="M1763">
            <v>632457.64</v>
          </cell>
          <cell r="N1763">
            <v>-16445.7</v>
          </cell>
          <cell r="O1763">
            <v>0</v>
          </cell>
          <cell r="R1763">
            <v>1410.95</v>
          </cell>
        </row>
        <row r="1764">
          <cell r="G1764">
            <v>38563.739999999903</v>
          </cell>
          <cell r="I1764">
            <v>313.64999999999901</v>
          </cell>
          <cell r="J1764">
            <v>0</v>
          </cell>
          <cell r="K1764">
            <v>0.08</v>
          </cell>
          <cell r="L1764">
            <v>313.73</v>
          </cell>
          <cell r="M1764">
            <v>40183.449999999903</v>
          </cell>
          <cell r="N1764">
            <v>816.54999999999905</v>
          </cell>
          <cell r="O1764">
            <v>0</v>
          </cell>
          <cell r="R1764">
            <v>89.45</v>
          </cell>
        </row>
        <row r="1765">
          <cell r="G1765">
            <v>112644.08</v>
          </cell>
          <cell r="I1765">
            <v>948.58</v>
          </cell>
          <cell r="J1765">
            <v>0</v>
          </cell>
          <cell r="K1765">
            <v>0.22</v>
          </cell>
          <cell r="L1765">
            <v>948.79999999999905</v>
          </cell>
          <cell r="M1765">
            <v>117538.44</v>
          </cell>
          <cell r="N1765">
            <v>6323.56</v>
          </cell>
          <cell r="O1765">
            <v>0</v>
          </cell>
          <cell r="R1765">
            <v>261.35000000000002</v>
          </cell>
        </row>
        <row r="1766">
          <cell r="G1766">
            <v>87208.320000000007</v>
          </cell>
          <cell r="I1766">
            <v>734.38</v>
          </cell>
          <cell r="J1766">
            <v>7608</v>
          </cell>
          <cell r="K1766">
            <v>0.17</v>
          </cell>
          <cell r="L1766">
            <v>8342.5499999999902</v>
          </cell>
          <cell r="M1766">
            <v>98675</v>
          </cell>
          <cell r="N1766">
            <v>-598.75999999999897</v>
          </cell>
          <cell r="O1766">
            <v>0</v>
          </cell>
          <cell r="R1766">
            <v>202.34</v>
          </cell>
        </row>
        <row r="1767">
          <cell r="G1767">
            <v>43604.160000000003</v>
          </cell>
          <cell r="I1767">
            <v>367.19</v>
          </cell>
          <cell r="J1767">
            <v>2601.5999999999899</v>
          </cell>
          <cell r="K1767">
            <v>8.99999999999999E-2</v>
          </cell>
          <cell r="L1767">
            <v>2968.88</v>
          </cell>
          <cell r="M1767">
            <v>48145.54</v>
          </cell>
          <cell r="N1767">
            <v>1220.3</v>
          </cell>
          <cell r="O1767">
            <v>0</v>
          </cell>
          <cell r="R1767">
            <v>101.17</v>
          </cell>
        </row>
        <row r="1768">
          <cell r="G1768">
            <v>65406.239999999903</v>
          </cell>
          <cell r="I1768">
            <v>550.98</v>
          </cell>
          <cell r="J1768">
            <v>0</v>
          </cell>
          <cell r="K1768">
            <v>0.13</v>
          </cell>
          <cell r="L1768">
            <v>551.11</v>
          </cell>
          <cell r="M1768">
            <v>68214.149999999907</v>
          </cell>
          <cell r="N1768">
            <v>2635.05</v>
          </cell>
          <cell r="O1768">
            <v>0</v>
          </cell>
          <cell r="R1768">
            <v>151.74</v>
          </cell>
        </row>
        <row r="1769">
          <cell r="G1769">
            <v>1794.91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1794.91</v>
          </cell>
          <cell r="N1769">
            <v>-1794.91</v>
          </cell>
          <cell r="O1769">
            <v>0</v>
          </cell>
          <cell r="R1769">
            <v>0</v>
          </cell>
        </row>
        <row r="1770">
          <cell r="G1770">
            <v>44193.559999999903</v>
          </cell>
          <cell r="I1770">
            <v>626.67999999999904</v>
          </cell>
          <cell r="J1770">
            <v>3275.28</v>
          </cell>
          <cell r="K1770">
            <v>0</v>
          </cell>
          <cell r="L1770">
            <v>3901.96</v>
          </cell>
          <cell r="M1770">
            <v>50187.309999999903</v>
          </cell>
          <cell r="N1770">
            <v>73.25</v>
          </cell>
          <cell r="O1770">
            <v>0</v>
          </cell>
          <cell r="R1770">
            <v>209.83</v>
          </cell>
        </row>
        <row r="1771">
          <cell r="G1771">
            <v>47810.22</v>
          </cell>
          <cell r="I1771">
            <v>626.67999999999904</v>
          </cell>
          <cell r="J1771">
            <v>0</v>
          </cell>
          <cell r="K1771">
            <v>0</v>
          </cell>
          <cell r="L1771">
            <v>626.67999999999904</v>
          </cell>
          <cell r="M1771">
            <v>50445.33</v>
          </cell>
          <cell r="N1771">
            <v>-2188.0500000000002</v>
          </cell>
          <cell r="O1771">
            <v>0</v>
          </cell>
          <cell r="R1771">
            <v>226.99</v>
          </cell>
        </row>
        <row r="1772">
          <cell r="G1772">
            <v>11048.389999999899</v>
          </cell>
          <cell r="I1772">
            <v>156.66999999999899</v>
          </cell>
          <cell r="J1772">
            <v>1038.1199999999899</v>
          </cell>
          <cell r="K1772">
            <v>0</v>
          </cell>
          <cell r="L1772">
            <v>1194.79</v>
          </cell>
          <cell r="M1772">
            <v>12763.52</v>
          </cell>
          <cell r="N1772">
            <v>-261.07999999999902</v>
          </cell>
          <cell r="O1772">
            <v>0</v>
          </cell>
          <cell r="R1772">
            <v>52.45</v>
          </cell>
        </row>
        <row r="1773">
          <cell r="G1773">
            <v>22096.779999999901</v>
          </cell>
          <cell r="I1773">
            <v>313.33999999999901</v>
          </cell>
          <cell r="J1773">
            <v>1200.96</v>
          </cell>
          <cell r="K1773">
            <v>0</v>
          </cell>
          <cell r="L1773">
            <v>1514.3</v>
          </cell>
          <cell r="M1773">
            <v>24651.75</v>
          </cell>
          <cell r="N1773">
            <v>353.13</v>
          </cell>
          <cell r="O1773">
            <v>0</v>
          </cell>
          <cell r="R1773">
            <v>104.9</v>
          </cell>
        </row>
        <row r="1774">
          <cell r="G1774">
            <v>22096.779999999901</v>
          </cell>
          <cell r="I1774">
            <v>313.33999999999901</v>
          </cell>
          <cell r="J1774">
            <v>0</v>
          </cell>
          <cell r="K1774">
            <v>0</v>
          </cell>
          <cell r="L1774">
            <v>313.33999999999901</v>
          </cell>
          <cell r="M1774">
            <v>23405.98</v>
          </cell>
          <cell r="N1774">
            <v>522.01999999999896</v>
          </cell>
          <cell r="O1774">
            <v>0</v>
          </cell>
          <cell r="R1774">
            <v>104.9</v>
          </cell>
        </row>
        <row r="1775">
          <cell r="G1775">
            <v>68538.86</v>
          </cell>
          <cell r="I1775">
            <v>953.05999999999904</v>
          </cell>
          <cell r="J1775">
            <v>3829.0599999999899</v>
          </cell>
          <cell r="K1775">
            <v>0</v>
          </cell>
          <cell r="L1775">
            <v>4782.1199999999899</v>
          </cell>
          <cell r="M1775">
            <v>76580.899999999907</v>
          </cell>
          <cell r="N1775">
            <v>1746.73</v>
          </cell>
          <cell r="O1775">
            <v>0</v>
          </cell>
          <cell r="R1775">
            <v>325.43</v>
          </cell>
        </row>
        <row r="1776">
          <cell r="G1776">
            <v>95369.279999999897</v>
          </cell>
          <cell r="I1776">
            <v>1253.3399999999899</v>
          </cell>
          <cell r="J1776">
            <v>0</v>
          </cell>
          <cell r="K1776">
            <v>0</v>
          </cell>
          <cell r="L1776">
            <v>1253.3399999999899</v>
          </cell>
          <cell r="M1776">
            <v>100670.2</v>
          </cell>
          <cell r="N1776">
            <v>-3416.1999999999898</v>
          </cell>
          <cell r="O1776">
            <v>0</v>
          </cell>
          <cell r="R1776">
            <v>452.8</v>
          </cell>
        </row>
        <row r="1777">
          <cell r="G1777">
            <v>66290.339999999895</v>
          </cell>
          <cell r="I1777">
            <v>940.01999999999896</v>
          </cell>
          <cell r="J1777">
            <v>4225.92</v>
          </cell>
          <cell r="K1777">
            <v>0</v>
          </cell>
          <cell r="L1777">
            <v>5165.9399999999896</v>
          </cell>
          <cell r="M1777">
            <v>74556.350000000006</v>
          </cell>
          <cell r="N1777">
            <v>-68.75</v>
          </cell>
          <cell r="O1777">
            <v>0</v>
          </cell>
          <cell r="R1777">
            <v>314.75</v>
          </cell>
        </row>
        <row r="1778">
          <cell r="G1778">
            <v>77611.960000000006</v>
          </cell>
          <cell r="I1778">
            <v>1018.35</v>
          </cell>
          <cell r="J1778">
            <v>0</v>
          </cell>
          <cell r="K1778">
            <v>0</v>
          </cell>
          <cell r="L1778">
            <v>1018.35</v>
          </cell>
          <cell r="M1778">
            <v>81918.710000000006</v>
          </cell>
          <cell r="N1778">
            <v>-2906.79</v>
          </cell>
          <cell r="O1778">
            <v>0</v>
          </cell>
          <cell r="R1778">
            <v>368.49</v>
          </cell>
        </row>
        <row r="1779">
          <cell r="G1779">
            <v>44193.559999999903</v>
          </cell>
          <cell r="I1779">
            <v>626.67999999999904</v>
          </cell>
          <cell r="J1779">
            <v>2060.1599999999899</v>
          </cell>
          <cell r="K1779">
            <v>0</v>
          </cell>
          <cell r="L1779">
            <v>2686.84</v>
          </cell>
          <cell r="M1779">
            <v>48961.739999999903</v>
          </cell>
          <cell r="N1779">
            <v>1048.02</v>
          </cell>
          <cell r="O1779">
            <v>0</v>
          </cell>
          <cell r="R1779">
            <v>209.83</v>
          </cell>
        </row>
        <row r="1780">
          <cell r="G1780">
            <v>536503.41</v>
          </cell>
          <cell r="I1780">
            <v>7275.6999999999898</v>
          </cell>
          <cell r="J1780">
            <v>7440</v>
          </cell>
          <cell r="K1780">
            <v>0</v>
          </cell>
          <cell r="L1780">
            <v>14715.7</v>
          </cell>
          <cell r="M1780">
            <v>574383.32999999903</v>
          </cell>
          <cell r="N1780">
            <v>-17807.84</v>
          </cell>
          <cell r="O1780">
            <v>0</v>
          </cell>
          <cell r="R1780">
            <v>2547.25</v>
          </cell>
        </row>
        <row r="1781">
          <cell r="G1781">
            <v>23905.11</v>
          </cell>
          <cell r="I1781">
            <v>313.33999999999901</v>
          </cell>
          <cell r="J1781">
            <v>0</v>
          </cell>
          <cell r="K1781">
            <v>0</v>
          </cell>
          <cell r="L1781">
            <v>313.33999999999901</v>
          </cell>
          <cell r="M1781">
            <v>25229.279999999901</v>
          </cell>
          <cell r="N1781">
            <v>-942.24</v>
          </cell>
          <cell r="O1781">
            <v>0</v>
          </cell>
          <cell r="R1781">
            <v>113.5</v>
          </cell>
        </row>
        <row r="1782">
          <cell r="G1782">
            <v>1978732.79</v>
          </cell>
          <cell r="I1782">
            <v>28030.7</v>
          </cell>
          <cell r="J1782">
            <v>150959.70000000001</v>
          </cell>
          <cell r="K1782">
            <v>0</v>
          </cell>
          <cell r="L1782">
            <v>178990.399999999</v>
          </cell>
          <cell r="M1782">
            <v>2249119.2200000002</v>
          </cell>
          <cell r="N1782">
            <v>-53102.400000000001</v>
          </cell>
          <cell r="O1782">
            <v>0</v>
          </cell>
          <cell r="R1782">
            <v>9394.76</v>
          </cell>
        </row>
        <row r="1783">
          <cell r="G1783">
            <v>482446.34</v>
          </cell>
          <cell r="I1783">
            <v>6841.21</v>
          </cell>
          <cell r="J1783">
            <v>0</v>
          </cell>
          <cell r="K1783">
            <v>0</v>
          </cell>
          <cell r="L1783">
            <v>6841.21</v>
          </cell>
          <cell r="M1783">
            <v>511169.90999999898</v>
          </cell>
          <cell r="N1783">
            <v>14608.99</v>
          </cell>
          <cell r="O1783">
            <v>0</v>
          </cell>
          <cell r="R1783">
            <v>2290.59</v>
          </cell>
        </row>
        <row r="1784">
          <cell r="G1784">
            <v>23017.48</v>
          </cell>
          <cell r="I1784">
            <v>326.38</v>
          </cell>
          <cell r="J1784">
            <v>2063.2199999999898</v>
          </cell>
          <cell r="K1784">
            <v>0</v>
          </cell>
          <cell r="L1784">
            <v>2389.5999999999899</v>
          </cell>
          <cell r="M1784">
            <v>26462.9</v>
          </cell>
          <cell r="N1784">
            <v>-1094.1500000000001</v>
          </cell>
          <cell r="O1784">
            <v>0</v>
          </cell>
          <cell r="R1784">
            <v>109.3</v>
          </cell>
        </row>
        <row r="1785">
          <cell r="G1785">
            <v>22096.779999999901</v>
          </cell>
          <cell r="I1785">
            <v>313.33999999999901</v>
          </cell>
          <cell r="J1785">
            <v>1200.96</v>
          </cell>
          <cell r="K1785">
            <v>0</v>
          </cell>
          <cell r="L1785">
            <v>1514.3</v>
          </cell>
          <cell r="M1785">
            <v>24648.639999999901</v>
          </cell>
          <cell r="N1785">
            <v>280.88</v>
          </cell>
          <cell r="O1785">
            <v>0</v>
          </cell>
          <cell r="R1785">
            <v>104.9</v>
          </cell>
        </row>
        <row r="1786">
          <cell r="G1786">
            <v>55241.949999999903</v>
          </cell>
          <cell r="I1786">
            <v>783.33</v>
          </cell>
          <cell r="J1786">
            <v>2838.2399999999898</v>
          </cell>
          <cell r="K1786">
            <v>0</v>
          </cell>
          <cell r="L1786">
            <v>3621.57</v>
          </cell>
          <cell r="M1786">
            <v>61452.62</v>
          </cell>
          <cell r="N1786">
            <v>755.38</v>
          </cell>
          <cell r="O1786">
            <v>0</v>
          </cell>
          <cell r="R1786">
            <v>262.29000000000002</v>
          </cell>
        </row>
        <row r="1787">
          <cell r="G1787">
            <v>23831.5999999999</v>
          </cell>
          <cell r="I1787">
            <v>313.33999999999901</v>
          </cell>
          <cell r="J1787">
            <v>0</v>
          </cell>
          <cell r="K1787">
            <v>0</v>
          </cell>
          <cell r="L1787">
            <v>313.33999999999901</v>
          </cell>
          <cell r="M1787">
            <v>25155.77</v>
          </cell>
          <cell r="N1787">
            <v>-868.73</v>
          </cell>
          <cell r="O1787">
            <v>0</v>
          </cell>
          <cell r="R1787">
            <v>113.16</v>
          </cell>
        </row>
        <row r="1788">
          <cell r="G1788">
            <v>181377.739999999</v>
          </cell>
          <cell r="I1788">
            <v>2571.98</v>
          </cell>
          <cell r="J1788">
            <v>14574.59</v>
          </cell>
          <cell r="K1788">
            <v>0</v>
          </cell>
          <cell r="L1788">
            <v>17146.57</v>
          </cell>
          <cell r="M1788">
            <v>206906.739999999</v>
          </cell>
          <cell r="N1788">
            <v>-5498.64</v>
          </cell>
          <cell r="O1788">
            <v>0</v>
          </cell>
          <cell r="R1788">
            <v>861.15999999999894</v>
          </cell>
        </row>
        <row r="1789">
          <cell r="G1789">
            <v>506384.52</v>
          </cell>
          <cell r="I1789">
            <v>7180.67</v>
          </cell>
          <cell r="J1789">
            <v>0</v>
          </cell>
          <cell r="K1789">
            <v>0</v>
          </cell>
          <cell r="L1789">
            <v>7180.67</v>
          </cell>
          <cell r="M1789">
            <v>536534.9</v>
          </cell>
          <cell r="N1789">
            <v>15370.1</v>
          </cell>
          <cell r="O1789">
            <v>0</v>
          </cell>
          <cell r="R1789">
            <v>2404.27</v>
          </cell>
        </row>
        <row r="1790">
          <cell r="G1790">
            <v>66290.339999999895</v>
          </cell>
          <cell r="I1790">
            <v>940.01999999999896</v>
          </cell>
          <cell r="J1790">
            <v>2620.0799999999899</v>
          </cell>
          <cell r="K1790">
            <v>0</v>
          </cell>
          <cell r="L1790">
            <v>3560.0999999999899</v>
          </cell>
          <cell r="M1790">
            <v>72903.08</v>
          </cell>
          <cell r="N1790">
            <v>443.31999999999903</v>
          </cell>
          <cell r="O1790">
            <v>0</v>
          </cell>
          <cell r="R1790">
            <v>314.75</v>
          </cell>
        </row>
        <row r="1791">
          <cell r="G1791">
            <v>13944.65</v>
          </cell>
          <cell r="I1791">
            <v>182.78</v>
          </cell>
          <cell r="J1791">
            <v>0</v>
          </cell>
          <cell r="K1791">
            <v>0</v>
          </cell>
          <cell r="L1791">
            <v>182.78</v>
          </cell>
          <cell r="M1791">
            <v>14712.94</v>
          </cell>
          <cell r="N1791">
            <v>-645.03999999999905</v>
          </cell>
          <cell r="O1791">
            <v>0</v>
          </cell>
          <cell r="R1791">
            <v>66.209999999999894</v>
          </cell>
        </row>
        <row r="1792">
          <cell r="G1792">
            <v>275405.75</v>
          </cell>
          <cell r="I1792">
            <v>3850.15</v>
          </cell>
          <cell r="J1792">
            <v>0</v>
          </cell>
          <cell r="K1792">
            <v>0</v>
          </cell>
          <cell r="L1792">
            <v>3850.15</v>
          </cell>
          <cell r="M1792">
            <v>291434.22999999899</v>
          </cell>
          <cell r="N1792">
            <v>1180.43</v>
          </cell>
          <cell r="O1792">
            <v>0</v>
          </cell>
          <cell r="R1792">
            <v>1307.5899999999899</v>
          </cell>
        </row>
        <row r="1793">
          <cell r="G1793">
            <v>667507.23999999894</v>
          </cell>
          <cell r="I1793">
            <v>9465.42</v>
          </cell>
          <cell r="J1793">
            <v>34099.870000000003</v>
          </cell>
          <cell r="K1793">
            <v>0</v>
          </cell>
          <cell r="L1793">
            <v>43565.29</v>
          </cell>
          <cell r="M1793">
            <v>741918.32999999903</v>
          </cell>
          <cell r="N1793">
            <v>-770.6</v>
          </cell>
          <cell r="O1793">
            <v>0</v>
          </cell>
          <cell r="R1793">
            <v>3169.2399999999898</v>
          </cell>
        </row>
        <row r="1794">
          <cell r="G1794">
            <v>216261.44</v>
          </cell>
          <cell r="I1794">
            <v>2957.1199999999899</v>
          </cell>
          <cell r="J1794">
            <v>0</v>
          </cell>
          <cell r="K1794">
            <v>0</v>
          </cell>
          <cell r="L1794">
            <v>2957.1199999999899</v>
          </cell>
          <cell r="M1794">
            <v>228684.959999999</v>
          </cell>
          <cell r="N1794">
            <v>-1232.4000000000001</v>
          </cell>
          <cell r="O1794">
            <v>0</v>
          </cell>
          <cell r="R1794">
            <v>1026.78</v>
          </cell>
        </row>
        <row r="1795">
          <cell r="G1795">
            <v>11048.389999999899</v>
          </cell>
          <cell r="I1795">
            <v>156.66999999999899</v>
          </cell>
          <cell r="J1795">
            <v>667.55999999999904</v>
          </cell>
          <cell r="K1795">
            <v>0</v>
          </cell>
          <cell r="L1795">
            <v>824.23</v>
          </cell>
          <cell r="M1795">
            <v>12389.29</v>
          </cell>
          <cell r="N1795">
            <v>25.309999999999899</v>
          </cell>
          <cell r="O1795">
            <v>0</v>
          </cell>
          <cell r="R1795">
            <v>52.45</v>
          </cell>
        </row>
        <row r="1796">
          <cell r="G1796">
            <v>98608.58</v>
          </cell>
          <cell r="I1796">
            <v>1292.53</v>
          </cell>
          <cell r="J1796">
            <v>0</v>
          </cell>
          <cell r="K1796">
            <v>0</v>
          </cell>
          <cell r="L1796">
            <v>1292.53</v>
          </cell>
          <cell r="M1796">
            <v>104062.96</v>
          </cell>
          <cell r="N1796">
            <v>-4064.03</v>
          </cell>
          <cell r="O1796">
            <v>0</v>
          </cell>
          <cell r="R1796">
            <v>468.19</v>
          </cell>
        </row>
        <row r="1797">
          <cell r="G1797">
            <v>44193.559999999903</v>
          </cell>
          <cell r="I1797">
            <v>626.67999999999904</v>
          </cell>
          <cell r="J1797">
            <v>3662.76</v>
          </cell>
          <cell r="K1797">
            <v>0</v>
          </cell>
          <cell r="L1797">
            <v>4289.4399999999896</v>
          </cell>
          <cell r="M1797">
            <v>50556.019999999902</v>
          </cell>
          <cell r="N1797">
            <v>-746.89999999999895</v>
          </cell>
          <cell r="O1797">
            <v>0</v>
          </cell>
          <cell r="R1797">
            <v>209.83</v>
          </cell>
        </row>
        <row r="1798">
          <cell r="G1798">
            <v>66290.339999999895</v>
          </cell>
          <cell r="I1798">
            <v>940.01999999999896</v>
          </cell>
          <cell r="J1798">
            <v>0</v>
          </cell>
          <cell r="K1798">
            <v>0</v>
          </cell>
          <cell r="L1798">
            <v>940.01999999999896</v>
          </cell>
          <cell r="M1798">
            <v>70296.229999999894</v>
          </cell>
          <cell r="N1798">
            <v>3368.65</v>
          </cell>
          <cell r="O1798">
            <v>0</v>
          </cell>
          <cell r="R1798">
            <v>314.75</v>
          </cell>
        </row>
        <row r="1799">
          <cell r="G1799">
            <v>46034.959999999897</v>
          </cell>
          <cell r="I1799">
            <v>652.79999999999905</v>
          </cell>
          <cell r="J1799">
            <v>1232.02</v>
          </cell>
          <cell r="K1799">
            <v>0</v>
          </cell>
          <cell r="L1799">
            <v>1884.8199999999899</v>
          </cell>
          <cell r="M1799">
            <v>50030.199999999903</v>
          </cell>
          <cell r="N1799">
            <v>677.79999999999905</v>
          </cell>
          <cell r="O1799">
            <v>0</v>
          </cell>
          <cell r="R1799">
            <v>218.569999999999</v>
          </cell>
        </row>
        <row r="1800">
          <cell r="G1800">
            <v>68282.070000000007</v>
          </cell>
          <cell r="I1800">
            <v>940.01999999999896</v>
          </cell>
          <cell r="J1800">
            <v>2886.2399999999898</v>
          </cell>
          <cell r="K1800">
            <v>0</v>
          </cell>
          <cell r="L1800">
            <v>3826.26</v>
          </cell>
          <cell r="M1800">
            <v>75167.19</v>
          </cell>
          <cell r="N1800">
            <v>-1670.0699999999899</v>
          </cell>
          <cell r="O1800">
            <v>0</v>
          </cell>
          <cell r="R1800">
            <v>324.19</v>
          </cell>
        </row>
        <row r="1801">
          <cell r="G1801">
            <v>13907.889999999899</v>
          </cell>
          <cell r="I1801">
            <v>182.789999999999</v>
          </cell>
          <cell r="J1801">
            <v>0</v>
          </cell>
          <cell r="K1801">
            <v>0</v>
          </cell>
          <cell r="L1801">
            <v>182.789999999999</v>
          </cell>
          <cell r="M1801">
            <v>14674.69</v>
          </cell>
          <cell r="N1801">
            <v>-643.26999999999896</v>
          </cell>
          <cell r="O1801">
            <v>0</v>
          </cell>
          <cell r="R1801">
            <v>66.019999999999897</v>
          </cell>
        </row>
        <row r="1802">
          <cell r="G1802">
            <v>75497.33</v>
          </cell>
          <cell r="I1802">
            <v>1070.5599999999899</v>
          </cell>
          <cell r="J1802">
            <v>5531.6599999999899</v>
          </cell>
          <cell r="K1802">
            <v>0</v>
          </cell>
          <cell r="L1802">
            <v>6602.22</v>
          </cell>
          <cell r="M1802">
            <v>85635.32</v>
          </cell>
          <cell r="N1802">
            <v>-678.74</v>
          </cell>
          <cell r="O1802">
            <v>0</v>
          </cell>
          <cell r="R1802">
            <v>358.44</v>
          </cell>
        </row>
        <row r="1803">
          <cell r="G1803">
            <v>13944.65</v>
          </cell>
          <cell r="I1803">
            <v>182.78</v>
          </cell>
          <cell r="J1803">
            <v>0</v>
          </cell>
          <cell r="K1803">
            <v>0</v>
          </cell>
          <cell r="L1803">
            <v>182.78</v>
          </cell>
          <cell r="M1803">
            <v>14717.04</v>
          </cell>
          <cell r="N1803">
            <v>-549.6</v>
          </cell>
          <cell r="O1803">
            <v>0</v>
          </cell>
          <cell r="R1803">
            <v>66.209999999999894</v>
          </cell>
        </row>
        <row r="1804">
          <cell r="G1804">
            <v>122763.14</v>
          </cell>
          <cell r="I1804">
            <v>1665.13</v>
          </cell>
          <cell r="J1804">
            <v>0</v>
          </cell>
          <cell r="K1804">
            <v>0</v>
          </cell>
          <cell r="L1804">
            <v>1665.13</v>
          </cell>
          <cell r="M1804">
            <v>129584.52</v>
          </cell>
          <cell r="N1804">
            <v>-5691.6</v>
          </cell>
          <cell r="O1804">
            <v>0</v>
          </cell>
          <cell r="R1804">
            <v>582.86</v>
          </cell>
        </row>
        <row r="1805">
          <cell r="G1805">
            <v>103657.66</v>
          </cell>
          <cell r="I1805">
            <v>1449.19</v>
          </cell>
          <cell r="J1805">
            <v>3276.96</v>
          </cell>
          <cell r="K1805">
            <v>0</v>
          </cell>
          <cell r="L1805">
            <v>4726.1499999999896</v>
          </cell>
          <cell r="M1805">
            <v>113097.05</v>
          </cell>
          <cell r="N1805">
            <v>150.55000000000001</v>
          </cell>
          <cell r="O1805">
            <v>0</v>
          </cell>
          <cell r="R1805">
            <v>492.14999999999901</v>
          </cell>
        </row>
        <row r="1806">
          <cell r="G1806">
            <v>91149.22</v>
          </cell>
          <cell r="I1806">
            <v>1292.53</v>
          </cell>
          <cell r="J1806">
            <v>0</v>
          </cell>
          <cell r="K1806">
            <v>0</v>
          </cell>
          <cell r="L1806">
            <v>1292.53</v>
          </cell>
          <cell r="M1806">
            <v>96592.369999999893</v>
          </cell>
          <cell r="N1806">
            <v>3137.36</v>
          </cell>
          <cell r="O1806">
            <v>0</v>
          </cell>
          <cell r="R1806">
            <v>432.75999999999902</v>
          </cell>
        </row>
        <row r="1807">
          <cell r="G1807">
            <v>34141.029999999897</v>
          </cell>
          <cell r="I1807">
            <v>470</v>
          </cell>
          <cell r="J1807">
            <v>0</v>
          </cell>
          <cell r="K1807">
            <v>0</v>
          </cell>
          <cell r="L1807">
            <v>470</v>
          </cell>
          <cell r="M1807">
            <v>36107.730000000003</v>
          </cell>
          <cell r="N1807">
            <v>-146.25</v>
          </cell>
          <cell r="O1807">
            <v>0</v>
          </cell>
          <cell r="R1807">
            <v>162.09</v>
          </cell>
        </row>
        <row r="1808">
          <cell r="G1808">
            <v>22096.779999999901</v>
          </cell>
          <cell r="I1808">
            <v>313.33999999999901</v>
          </cell>
          <cell r="J1808">
            <v>0</v>
          </cell>
          <cell r="K1808">
            <v>0</v>
          </cell>
          <cell r="L1808">
            <v>313.33999999999901</v>
          </cell>
          <cell r="M1808">
            <v>23413.88</v>
          </cell>
          <cell r="N1808">
            <v>703.6</v>
          </cell>
          <cell r="O1808">
            <v>0</v>
          </cell>
          <cell r="R1808">
            <v>104.9</v>
          </cell>
        </row>
        <row r="1809">
          <cell r="G1809">
            <v>6444.89</v>
          </cell>
          <cell r="I1809">
            <v>91.39</v>
          </cell>
          <cell r="J1809">
            <v>0</v>
          </cell>
          <cell r="K1809">
            <v>0</v>
          </cell>
          <cell r="L1809">
            <v>91.39</v>
          </cell>
          <cell r="M1809">
            <v>6828.9799999999896</v>
          </cell>
          <cell r="N1809">
            <v>204.97</v>
          </cell>
          <cell r="O1809">
            <v>0</v>
          </cell>
          <cell r="R1809">
            <v>30.6</v>
          </cell>
        </row>
        <row r="1810">
          <cell r="G1810">
            <v>749856.23999999894</v>
          </cell>
          <cell r="I1810">
            <v>10614.33</v>
          </cell>
          <cell r="J1810">
            <v>48048.61</v>
          </cell>
          <cell r="K1810">
            <v>0</v>
          </cell>
          <cell r="L1810">
            <v>58662.94</v>
          </cell>
          <cell r="M1810">
            <v>843052.29</v>
          </cell>
          <cell r="N1810">
            <v>-13307.28</v>
          </cell>
          <cell r="O1810">
            <v>0</v>
          </cell>
          <cell r="R1810">
            <v>3560.2199999999898</v>
          </cell>
        </row>
        <row r="1811">
          <cell r="G1811">
            <v>79180.13</v>
          </cell>
          <cell r="I1811">
            <v>1122.8</v>
          </cell>
          <cell r="J1811">
            <v>0</v>
          </cell>
          <cell r="K1811">
            <v>0</v>
          </cell>
          <cell r="L1811">
            <v>1122.8</v>
          </cell>
          <cell r="M1811">
            <v>83898.029999999897</v>
          </cell>
          <cell r="N1811">
            <v>2482.48</v>
          </cell>
          <cell r="O1811">
            <v>0</v>
          </cell>
          <cell r="R1811">
            <v>375.94</v>
          </cell>
        </row>
        <row r="1812">
          <cell r="G1812">
            <v>168769.769999999</v>
          </cell>
          <cell r="I1812">
            <v>2440.9099999999899</v>
          </cell>
          <cell r="J1812">
            <v>10748.33</v>
          </cell>
          <cell r="K1812">
            <v>0</v>
          </cell>
          <cell r="L1812">
            <v>13189.24</v>
          </cell>
          <cell r="M1812">
            <v>189777.85</v>
          </cell>
          <cell r="N1812">
            <v>-1911.0799999999899</v>
          </cell>
          <cell r="O1812">
            <v>0</v>
          </cell>
          <cell r="R1812">
            <v>801.29999999999905</v>
          </cell>
        </row>
        <row r="1813">
          <cell r="G1813">
            <v>22096.779999999901</v>
          </cell>
          <cell r="I1813">
            <v>313.33999999999901</v>
          </cell>
          <cell r="J1813">
            <v>0</v>
          </cell>
          <cell r="K1813">
            <v>0</v>
          </cell>
          <cell r="L1813">
            <v>313.33999999999901</v>
          </cell>
          <cell r="M1813">
            <v>23410.7599999999</v>
          </cell>
          <cell r="N1813">
            <v>632.67999999999904</v>
          </cell>
          <cell r="O1813">
            <v>0</v>
          </cell>
          <cell r="R1813">
            <v>104.9</v>
          </cell>
        </row>
        <row r="1814">
          <cell r="G1814">
            <v>290577.69</v>
          </cell>
          <cell r="I1814">
            <v>4073.4099999999899</v>
          </cell>
          <cell r="J1814">
            <v>9283.5599999999904</v>
          </cell>
          <cell r="K1814">
            <v>0</v>
          </cell>
          <cell r="L1814">
            <v>13356.969999999899</v>
          </cell>
          <cell r="M1814">
            <v>317116.57</v>
          </cell>
          <cell r="N1814">
            <v>-388.32999999999902</v>
          </cell>
          <cell r="O1814">
            <v>0</v>
          </cell>
          <cell r="R1814">
            <v>1379.6099999999899</v>
          </cell>
        </row>
        <row r="1815">
          <cell r="G1815">
            <v>44193.559999999903</v>
          </cell>
          <cell r="I1815">
            <v>626.67999999999904</v>
          </cell>
          <cell r="J1815">
            <v>4152.4799999999896</v>
          </cell>
          <cell r="K1815">
            <v>0</v>
          </cell>
          <cell r="L1815">
            <v>4779.1599999999899</v>
          </cell>
          <cell r="M1815">
            <v>51060.37</v>
          </cell>
          <cell r="N1815">
            <v>-900.37</v>
          </cell>
          <cell r="O1815">
            <v>0</v>
          </cell>
          <cell r="R1815">
            <v>209.83</v>
          </cell>
        </row>
        <row r="1816">
          <cell r="G1816">
            <v>142119.62</v>
          </cell>
          <cell r="I1816">
            <v>2010.5899999999899</v>
          </cell>
          <cell r="J1816">
            <v>0</v>
          </cell>
          <cell r="K1816">
            <v>0</v>
          </cell>
          <cell r="L1816">
            <v>2010.5899999999899</v>
          </cell>
          <cell r="M1816">
            <v>150486.41</v>
          </cell>
          <cell r="N1816">
            <v>2237.59</v>
          </cell>
          <cell r="O1816">
            <v>0</v>
          </cell>
          <cell r="R1816">
            <v>674.75</v>
          </cell>
        </row>
        <row r="1817">
          <cell r="G1817">
            <v>247883.459999999</v>
          </cell>
          <cell r="I1817">
            <v>3517.73</v>
          </cell>
          <cell r="J1817">
            <v>11151.84</v>
          </cell>
          <cell r="K1817">
            <v>0</v>
          </cell>
          <cell r="L1817">
            <v>14669.57</v>
          </cell>
          <cell r="M1817">
            <v>274001.84000000003</v>
          </cell>
          <cell r="N1817">
            <v>1084.9100000000001</v>
          </cell>
          <cell r="O1817">
            <v>0</v>
          </cell>
          <cell r="R1817">
            <v>1176.95</v>
          </cell>
        </row>
        <row r="1818">
          <cell r="G1818">
            <v>98161.369999999893</v>
          </cell>
          <cell r="I1818">
            <v>1344.72</v>
          </cell>
          <cell r="J1818">
            <v>0</v>
          </cell>
          <cell r="K1818">
            <v>0</v>
          </cell>
          <cell r="L1818">
            <v>1344.72</v>
          </cell>
          <cell r="M1818">
            <v>103822.75</v>
          </cell>
          <cell r="N1818">
            <v>-104.069999999999</v>
          </cell>
          <cell r="O1818">
            <v>0</v>
          </cell>
          <cell r="R1818">
            <v>466.06</v>
          </cell>
        </row>
        <row r="1819">
          <cell r="G1819">
            <v>91306.059999999896</v>
          </cell>
          <cell r="I1819">
            <v>1266.4000000000001</v>
          </cell>
          <cell r="J1819">
            <v>2633.28</v>
          </cell>
          <cell r="K1819">
            <v>0</v>
          </cell>
          <cell r="L1819">
            <v>3899.6799999999898</v>
          </cell>
          <cell r="M1819">
            <v>99313.169999999896</v>
          </cell>
          <cell r="N1819">
            <v>-622.15999999999894</v>
          </cell>
          <cell r="O1819">
            <v>0</v>
          </cell>
          <cell r="R1819">
            <v>433.50999999999902</v>
          </cell>
        </row>
        <row r="1820">
          <cell r="G1820">
            <v>87652.08</v>
          </cell>
          <cell r="I1820">
            <v>1148.9100000000001</v>
          </cell>
          <cell r="J1820">
            <v>0</v>
          </cell>
          <cell r="K1820">
            <v>0</v>
          </cell>
          <cell r="L1820">
            <v>1148.9100000000001</v>
          </cell>
          <cell r="M1820">
            <v>92500.74</v>
          </cell>
          <cell r="N1820">
            <v>-3606.09</v>
          </cell>
          <cell r="O1820">
            <v>0</v>
          </cell>
          <cell r="R1820">
            <v>416.14999999999901</v>
          </cell>
        </row>
        <row r="1821">
          <cell r="G1821">
            <v>68131.740000000005</v>
          </cell>
          <cell r="I1821">
            <v>966.11</v>
          </cell>
          <cell r="J1821">
            <v>2699.26</v>
          </cell>
          <cell r="K1821">
            <v>0</v>
          </cell>
          <cell r="L1821">
            <v>3665.3699999999899</v>
          </cell>
          <cell r="M1821">
            <v>74891.399999999907</v>
          </cell>
          <cell r="N1821">
            <v>-542.89999999999895</v>
          </cell>
          <cell r="O1821">
            <v>0</v>
          </cell>
          <cell r="R1821">
            <v>323.48</v>
          </cell>
        </row>
        <row r="1822">
          <cell r="G1822">
            <v>33145.169999999896</v>
          </cell>
          <cell r="I1822">
            <v>470</v>
          </cell>
          <cell r="J1822">
            <v>2782.44</v>
          </cell>
          <cell r="K1822">
            <v>0</v>
          </cell>
          <cell r="L1822">
            <v>3252.44</v>
          </cell>
          <cell r="M1822">
            <v>37953.919999999896</v>
          </cell>
          <cell r="N1822">
            <v>-559.63999999999896</v>
          </cell>
          <cell r="O1822">
            <v>0</v>
          </cell>
          <cell r="R1822">
            <v>157.349999999999</v>
          </cell>
        </row>
        <row r="1823">
          <cell r="G1823">
            <v>22096.779999999901</v>
          </cell>
          <cell r="I1823">
            <v>313.33999999999901</v>
          </cell>
          <cell r="J1823">
            <v>0</v>
          </cell>
          <cell r="K1823">
            <v>0</v>
          </cell>
          <cell r="L1823">
            <v>313.33999999999901</v>
          </cell>
          <cell r="M1823">
            <v>23398.97</v>
          </cell>
          <cell r="N1823">
            <v>361.02999999999901</v>
          </cell>
          <cell r="O1823">
            <v>0</v>
          </cell>
          <cell r="R1823">
            <v>104.9</v>
          </cell>
        </row>
        <row r="1824">
          <cell r="G1824">
            <v>45521.379999999903</v>
          </cell>
          <cell r="I1824">
            <v>626.67999999999904</v>
          </cell>
          <cell r="J1824">
            <v>0</v>
          </cell>
          <cell r="K1824">
            <v>0</v>
          </cell>
          <cell r="L1824">
            <v>626.67999999999904</v>
          </cell>
          <cell r="M1824">
            <v>48161.54</v>
          </cell>
          <cell r="N1824">
            <v>217.41999999999899</v>
          </cell>
          <cell r="O1824">
            <v>0</v>
          </cell>
          <cell r="R1824">
            <v>216.13</v>
          </cell>
        </row>
        <row r="1825">
          <cell r="G1825">
            <v>23905.11</v>
          </cell>
          <cell r="I1825">
            <v>313.33999999999901</v>
          </cell>
          <cell r="J1825">
            <v>0</v>
          </cell>
          <cell r="K1825">
            <v>0</v>
          </cell>
          <cell r="L1825">
            <v>313.33999999999901</v>
          </cell>
          <cell r="M1825">
            <v>25229.279999999901</v>
          </cell>
          <cell r="N1825">
            <v>-942.24</v>
          </cell>
          <cell r="O1825">
            <v>0</v>
          </cell>
          <cell r="R1825">
            <v>113.5</v>
          </cell>
        </row>
        <row r="1826">
          <cell r="G1826">
            <v>88387.119999999893</v>
          </cell>
          <cell r="I1826">
            <v>1253.3499999999899</v>
          </cell>
          <cell r="J1826">
            <v>4505.2799999999897</v>
          </cell>
          <cell r="K1826">
            <v>0</v>
          </cell>
          <cell r="L1826">
            <v>5758.63</v>
          </cell>
          <cell r="M1826">
            <v>98279.22</v>
          </cell>
          <cell r="N1826">
            <v>1037.5799999999899</v>
          </cell>
          <cell r="O1826">
            <v>0</v>
          </cell>
          <cell r="R1826">
            <v>419.64999999999901</v>
          </cell>
        </row>
        <row r="1827">
          <cell r="G1827">
            <v>86656.029999999897</v>
          </cell>
          <cell r="I1827">
            <v>1135.8399999999899</v>
          </cell>
          <cell r="J1827">
            <v>0</v>
          </cell>
          <cell r="K1827">
            <v>0</v>
          </cell>
          <cell r="L1827">
            <v>1135.8399999999899</v>
          </cell>
          <cell r="M1827">
            <v>91430.259999999893</v>
          </cell>
          <cell r="N1827">
            <v>-4008.3099999999899</v>
          </cell>
          <cell r="O1827">
            <v>0</v>
          </cell>
          <cell r="R1827">
            <v>411.44</v>
          </cell>
        </row>
        <row r="1828">
          <cell r="G1828">
            <v>102197.61</v>
          </cell>
          <cell r="I1828">
            <v>1449.19</v>
          </cell>
          <cell r="J1828">
            <v>9650.61</v>
          </cell>
          <cell r="K1828">
            <v>0</v>
          </cell>
          <cell r="L1828">
            <v>11099.799999999899</v>
          </cell>
          <cell r="M1828">
            <v>118094.81</v>
          </cell>
          <cell r="N1828">
            <v>-2825.6799999999898</v>
          </cell>
          <cell r="O1828">
            <v>0</v>
          </cell>
          <cell r="R1828">
            <v>485.22</v>
          </cell>
        </row>
        <row r="1829">
          <cell r="G1829">
            <v>223729.89</v>
          </cell>
          <cell r="I1829">
            <v>3172.55</v>
          </cell>
          <cell r="J1829">
            <v>19905.279999999901</v>
          </cell>
          <cell r="K1829">
            <v>0</v>
          </cell>
          <cell r="L1829">
            <v>23077.83</v>
          </cell>
          <cell r="M1829">
            <v>257129.66</v>
          </cell>
          <cell r="N1829">
            <v>-9119.8099999999904</v>
          </cell>
          <cell r="O1829">
            <v>0</v>
          </cell>
          <cell r="R1829">
            <v>1062.24</v>
          </cell>
        </row>
        <row r="1830">
          <cell r="G1830">
            <v>524664.54</v>
          </cell>
          <cell r="I1830">
            <v>7343.84</v>
          </cell>
          <cell r="J1830">
            <v>18944.04</v>
          </cell>
          <cell r="K1830">
            <v>0</v>
          </cell>
          <cell r="L1830">
            <v>26287.88</v>
          </cell>
          <cell r="M1830">
            <v>574627.55000000005</v>
          </cell>
          <cell r="N1830">
            <v>-5773.9099999999899</v>
          </cell>
          <cell r="O1830">
            <v>0</v>
          </cell>
          <cell r="R1830">
            <v>2491.0700000000002</v>
          </cell>
        </row>
        <row r="1831">
          <cell r="G1831">
            <v>45114.26</v>
          </cell>
          <cell r="I1831">
            <v>639.73</v>
          </cell>
          <cell r="J1831">
            <v>0</v>
          </cell>
          <cell r="K1831">
            <v>0</v>
          </cell>
          <cell r="L1831">
            <v>639.73</v>
          </cell>
          <cell r="M1831">
            <v>47803.22</v>
          </cell>
          <cell r="N1831">
            <v>1434.43</v>
          </cell>
          <cell r="O1831">
            <v>0</v>
          </cell>
          <cell r="R1831">
            <v>214.19999999999899</v>
          </cell>
        </row>
        <row r="1832">
          <cell r="G1832">
            <v>131659.98000000001</v>
          </cell>
          <cell r="I1832">
            <v>1866.98</v>
          </cell>
          <cell r="J1832">
            <v>11971.7</v>
          </cell>
          <cell r="K1832">
            <v>0</v>
          </cell>
          <cell r="L1832">
            <v>13838.68</v>
          </cell>
          <cell r="M1832">
            <v>151703.829999999</v>
          </cell>
          <cell r="N1832">
            <v>-2609.0700000000002</v>
          </cell>
          <cell r="O1832">
            <v>0</v>
          </cell>
          <cell r="R1832">
            <v>625.13</v>
          </cell>
        </row>
        <row r="1833">
          <cell r="G1833">
            <v>0</v>
          </cell>
          <cell r="I1833">
            <v>0</v>
          </cell>
          <cell r="J1833">
            <v>130749.97</v>
          </cell>
          <cell r="K1833">
            <v>0</v>
          </cell>
          <cell r="L1833">
            <v>130749.97</v>
          </cell>
          <cell r="M1833">
            <v>130749.97</v>
          </cell>
          <cell r="N1833">
            <v>-130749.97</v>
          </cell>
          <cell r="O1833">
            <v>0</v>
          </cell>
          <cell r="R1833">
            <v>0</v>
          </cell>
        </row>
        <row r="1834">
          <cell r="G1834">
            <v>1572565.33</v>
          </cell>
          <cell r="I1834">
            <v>22469.22</v>
          </cell>
          <cell r="J1834">
            <v>92203.369999999893</v>
          </cell>
          <cell r="K1834">
            <v>0</v>
          </cell>
          <cell r="L1834">
            <v>114672.59</v>
          </cell>
          <cell r="M1834">
            <v>1760027.24</v>
          </cell>
          <cell r="N1834">
            <v>-11083.62</v>
          </cell>
          <cell r="O1834">
            <v>0</v>
          </cell>
          <cell r="R1834">
            <v>7466.34</v>
          </cell>
        </row>
        <row r="1835">
          <cell r="G1835">
            <v>24328.09</v>
          </cell>
          <cell r="I1835">
            <v>319.86</v>
          </cell>
          <cell r="J1835">
            <v>0</v>
          </cell>
          <cell r="K1835">
            <v>0</v>
          </cell>
          <cell r="L1835">
            <v>319.86</v>
          </cell>
          <cell r="M1835">
            <v>25706.06</v>
          </cell>
          <cell r="N1835">
            <v>-282.89999999999901</v>
          </cell>
          <cell r="O1835">
            <v>0</v>
          </cell>
          <cell r="R1835">
            <v>115.5</v>
          </cell>
        </row>
        <row r="1836">
          <cell r="G1836">
            <v>54728.37</v>
          </cell>
          <cell r="I1836">
            <v>757.24</v>
          </cell>
          <cell r="J1836">
            <v>1544.96</v>
          </cell>
          <cell r="K1836">
            <v>0</v>
          </cell>
          <cell r="L1836">
            <v>2302.1999999999898</v>
          </cell>
          <cell r="M1836">
            <v>59481.57</v>
          </cell>
          <cell r="N1836">
            <v>-592.37</v>
          </cell>
          <cell r="O1836">
            <v>0</v>
          </cell>
          <cell r="R1836">
            <v>259.83999999999901</v>
          </cell>
        </row>
        <row r="1837">
          <cell r="G1837">
            <v>45114.26</v>
          </cell>
          <cell r="I1837">
            <v>639.73</v>
          </cell>
          <cell r="J1837">
            <v>3326.9299999999898</v>
          </cell>
          <cell r="K1837">
            <v>0</v>
          </cell>
          <cell r="L1837">
            <v>3966.6599999999899</v>
          </cell>
          <cell r="M1837">
            <v>51174.279999999897</v>
          </cell>
          <cell r="N1837">
            <v>-876.00999999999897</v>
          </cell>
          <cell r="O1837">
            <v>0</v>
          </cell>
          <cell r="R1837">
            <v>214.19999999999899</v>
          </cell>
        </row>
        <row r="1838">
          <cell r="G1838">
            <v>23874.48</v>
          </cell>
          <cell r="I1838">
            <v>313.33999999999901</v>
          </cell>
          <cell r="J1838">
            <v>0</v>
          </cell>
          <cell r="K1838">
            <v>0</v>
          </cell>
          <cell r="L1838">
            <v>313.33999999999901</v>
          </cell>
          <cell r="M1838">
            <v>25208.779999999901</v>
          </cell>
          <cell r="N1838">
            <v>-678.13999999999896</v>
          </cell>
          <cell r="O1838">
            <v>0</v>
          </cell>
          <cell r="R1838">
            <v>113.37</v>
          </cell>
        </row>
        <row r="1839">
          <cell r="G1839">
            <v>232016.19</v>
          </cell>
          <cell r="I1839">
            <v>3290.05</v>
          </cell>
          <cell r="J1839">
            <v>11486.639999999899</v>
          </cell>
          <cell r="K1839">
            <v>0</v>
          </cell>
          <cell r="L1839">
            <v>14776.69</v>
          </cell>
          <cell r="M1839">
            <v>257582.94</v>
          </cell>
          <cell r="N1839">
            <v>1674.42</v>
          </cell>
          <cell r="O1839">
            <v>0</v>
          </cell>
          <cell r="R1839">
            <v>1101.5699999999899</v>
          </cell>
        </row>
        <row r="1840">
          <cell r="G1840">
            <v>875892.96999999904</v>
          </cell>
          <cell r="I1840">
            <v>12154.879999999899</v>
          </cell>
          <cell r="J1840">
            <v>26655.97</v>
          </cell>
          <cell r="K1840">
            <v>0</v>
          </cell>
          <cell r="L1840">
            <v>38810.849999999897</v>
          </cell>
          <cell r="M1840">
            <v>955958.71999999904</v>
          </cell>
          <cell r="N1840">
            <v>35293.82</v>
          </cell>
          <cell r="O1840">
            <v>0</v>
          </cell>
          <cell r="R1840">
            <v>4158.6400000000003</v>
          </cell>
        </row>
        <row r="1841">
          <cell r="G1841">
            <v>148232.56</v>
          </cell>
          <cell r="I1841">
            <v>2101.98</v>
          </cell>
          <cell r="J1841">
            <v>11814.92</v>
          </cell>
          <cell r="K1841">
            <v>0</v>
          </cell>
          <cell r="L1841">
            <v>13916.9</v>
          </cell>
          <cell r="M1841">
            <v>169050.519999999</v>
          </cell>
          <cell r="N1841">
            <v>-3236.23</v>
          </cell>
          <cell r="O1841">
            <v>0</v>
          </cell>
          <cell r="R1841">
            <v>703.78999999999905</v>
          </cell>
        </row>
        <row r="1842">
          <cell r="G1842">
            <v>286694.03999999899</v>
          </cell>
          <cell r="I1842">
            <v>4020.1199999999899</v>
          </cell>
          <cell r="J1842">
            <v>7020.72</v>
          </cell>
          <cell r="K1842">
            <v>0</v>
          </cell>
          <cell r="L1842">
            <v>11040.84</v>
          </cell>
          <cell r="M1842">
            <v>310583.13</v>
          </cell>
          <cell r="N1842">
            <v>-1873.76</v>
          </cell>
          <cell r="O1842">
            <v>0</v>
          </cell>
          <cell r="R1842">
            <v>1361.21</v>
          </cell>
        </row>
        <row r="1843">
          <cell r="G1843">
            <v>77338.729999999894</v>
          </cell>
          <cell r="I1843">
            <v>1096.69</v>
          </cell>
          <cell r="J1843">
            <v>4858.1999999999898</v>
          </cell>
          <cell r="K1843">
            <v>0</v>
          </cell>
          <cell r="L1843">
            <v>5954.89</v>
          </cell>
          <cell r="M1843">
            <v>86908.339999999895</v>
          </cell>
          <cell r="N1843">
            <v>-56.06</v>
          </cell>
          <cell r="O1843">
            <v>0</v>
          </cell>
          <cell r="R1843">
            <v>367.19999999999902</v>
          </cell>
        </row>
        <row r="1844">
          <cell r="G1844">
            <v>25779.58</v>
          </cell>
          <cell r="I1844">
            <v>365.56</v>
          </cell>
          <cell r="J1844">
            <v>1629.4</v>
          </cell>
          <cell r="K1844">
            <v>0</v>
          </cell>
          <cell r="L1844">
            <v>1994.96</v>
          </cell>
          <cell r="M1844">
            <v>28987.119999999901</v>
          </cell>
          <cell r="N1844">
            <v>147.479999999999</v>
          </cell>
          <cell r="O1844">
            <v>0</v>
          </cell>
          <cell r="R1844">
            <v>122.41</v>
          </cell>
        </row>
        <row r="1845">
          <cell r="G1845">
            <v>100356.21</v>
          </cell>
          <cell r="I1845">
            <v>1423.0699999999899</v>
          </cell>
          <cell r="J1845">
            <v>7960.1099999999897</v>
          </cell>
          <cell r="K1845">
            <v>0</v>
          </cell>
          <cell r="L1845">
            <v>9383.18</v>
          </cell>
          <cell r="M1845">
            <v>114423.53</v>
          </cell>
          <cell r="N1845">
            <v>-1874.04</v>
          </cell>
          <cell r="O1845">
            <v>0</v>
          </cell>
          <cell r="R1845">
            <v>476.49</v>
          </cell>
        </row>
        <row r="1846">
          <cell r="G1846">
            <v>44193.559999999903</v>
          </cell>
          <cell r="I1846">
            <v>626.67999999999904</v>
          </cell>
          <cell r="J1846">
            <v>3369.1199999999899</v>
          </cell>
          <cell r="K1846">
            <v>0</v>
          </cell>
          <cell r="L1846">
            <v>3995.8</v>
          </cell>
          <cell r="M1846">
            <v>50256.08</v>
          </cell>
          <cell r="N1846">
            <v>-597.67999999999904</v>
          </cell>
          <cell r="O1846">
            <v>0</v>
          </cell>
          <cell r="R1846">
            <v>209.83</v>
          </cell>
        </row>
        <row r="1847">
          <cell r="G1847">
            <v>44193.559999999903</v>
          </cell>
          <cell r="I1847">
            <v>626.67999999999904</v>
          </cell>
          <cell r="J1847">
            <v>2843.52</v>
          </cell>
          <cell r="K1847">
            <v>0</v>
          </cell>
          <cell r="L1847">
            <v>3470.1999999999898</v>
          </cell>
          <cell r="M1847">
            <v>49749.25</v>
          </cell>
          <cell r="N1847">
            <v>360.58999999999901</v>
          </cell>
          <cell r="O1847">
            <v>0</v>
          </cell>
          <cell r="R1847">
            <v>209.83</v>
          </cell>
        </row>
        <row r="1848">
          <cell r="G1848">
            <v>75497.33</v>
          </cell>
          <cell r="I1848">
            <v>1070.5599999999899</v>
          </cell>
          <cell r="J1848">
            <v>5895.5699999999897</v>
          </cell>
          <cell r="K1848">
            <v>0</v>
          </cell>
          <cell r="L1848">
            <v>6966.13</v>
          </cell>
          <cell r="M1848">
            <v>85951.039999999906</v>
          </cell>
          <cell r="N1848">
            <v>-2153.5999999999899</v>
          </cell>
          <cell r="O1848">
            <v>0</v>
          </cell>
          <cell r="R1848">
            <v>358.44</v>
          </cell>
        </row>
        <row r="1849">
          <cell r="G1849">
            <v>34065.870000000003</v>
          </cell>
          <cell r="I1849">
            <v>483.06999999999903</v>
          </cell>
          <cell r="J1849">
            <v>1481.0599999999899</v>
          </cell>
          <cell r="K1849">
            <v>0</v>
          </cell>
          <cell r="L1849">
            <v>1964.13</v>
          </cell>
          <cell r="M1849">
            <v>37609.730000000003</v>
          </cell>
          <cell r="N1849">
            <v>347.70999999999901</v>
          </cell>
          <cell r="O1849">
            <v>0</v>
          </cell>
          <cell r="R1849">
            <v>161.75</v>
          </cell>
        </row>
        <row r="1850">
          <cell r="G1850">
            <v>23017.48</v>
          </cell>
          <cell r="I1850">
            <v>326.38</v>
          </cell>
          <cell r="J1850">
            <v>1935.8499999999899</v>
          </cell>
          <cell r="K1850">
            <v>0</v>
          </cell>
          <cell r="L1850">
            <v>2262.23</v>
          </cell>
          <cell r="M1850">
            <v>26342.99</v>
          </cell>
          <cell r="N1850">
            <v>-794.99</v>
          </cell>
          <cell r="O1850">
            <v>0</v>
          </cell>
          <cell r="R1850">
            <v>109.3</v>
          </cell>
        </row>
        <row r="1851">
          <cell r="G1851">
            <v>65829.990000000005</v>
          </cell>
          <cell r="I1851">
            <v>933.49</v>
          </cell>
          <cell r="J1851">
            <v>0</v>
          </cell>
          <cell r="K1851">
            <v>0</v>
          </cell>
          <cell r="L1851">
            <v>933.49</v>
          </cell>
          <cell r="M1851">
            <v>69706.529999999897</v>
          </cell>
          <cell r="N1851">
            <v>1007.97</v>
          </cell>
          <cell r="O1851">
            <v>0</v>
          </cell>
          <cell r="R1851">
            <v>312.51999999999902</v>
          </cell>
        </row>
        <row r="1852">
          <cell r="G1852">
            <v>33145.169999999896</v>
          </cell>
          <cell r="I1852">
            <v>470</v>
          </cell>
          <cell r="J1852">
            <v>0</v>
          </cell>
          <cell r="K1852">
            <v>0</v>
          </cell>
          <cell r="L1852">
            <v>470</v>
          </cell>
          <cell r="M1852">
            <v>35121.849999999897</v>
          </cell>
          <cell r="N1852">
            <v>1079.6300000000001</v>
          </cell>
          <cell r="O1852">
            <v>0</v>
          </cell>
          <cell r="R1852">
            <v>157.349999999999</v>
          </cell>
        </row>
        <row r="1853">
          <cell r="G1853">
            <v>22096.779999999901</v>
          </cell>
          <cell r="I1853">
            <v>313.33999999999901</v>
          </cell>
          <cell r="J1853">
            <v>0</v>
          </cell>
          <cell r="K1853">
            <v>0</v>
          </cell>
          <cell r="L1853">
            <v>313.33999999999901</v>
          </cell>
          <cell r="M1853">
            <v>23431.7</v>
          </cell>
          <cell r="N1853">
            <v>1115.26</v>
          </cell>
          <cell r="O1853">
            <v>0</v>
          </cell>
          <cell r="R1853">
            <v>104.9</v>
          </cell>
        </row>
        <row r="1854">
          <cell r="G1854">
            <v>163178.67000000001</v>
          </cell>
          <cell r="I1854">
            <v>2322.11</v>
          </cell>
          <cell r="J1854">
            <v>0</v>
          </cell>
          <cell r="K1854">
            <v>0</v>
          </cell>
          <cell r="L1854">
            <v>2322.11</v>
          </cell>
          <cell r="M1854">
            <v>172713.049999999</v>
          </cell>
          <cell r="N1854">
            <v>580.37</v>
          </cell>
          <cell r="O1854">
            <v>0</v>
          </cell>
          <cell r="R1854">
            <v>774.74</v>
          </cell>
        </row>
        <row r="1855">
          <cell r="G1855">
            <v>885412.31999999902</v>
          </cell>
          <cell r="I1855">
            <v>12123.34</v>
          </cell>
          <cell r="J1855">
            <v>2875.1999999999898</v>
          </cell>
          <cell r="K1855">
            <v>0</v>
          </cell>
          <cell r="L1855">
            <v>14998.54</v>
          </cell>
          <cell r="M1855">
            <v>939015.09999999905</v>
          </cell>
          <cell r="N1855">
            <v>-11453.69</v>
          </cell>
          <cell r="O1855">
            <v>0</v>
          </cell>
          <cell r="R1855">
            <v>4203.8299999999899</v>
          </cell>
        </row>
        <row r="1856">
          <cell r="G1856">
            <v>91149.22</v>
          </cell>
          <cell r="I1856">
            <v>1292.53</v>
          </cell>
          <cell r="J1856">
            <v>7209.17</v>
          </cell>
          <cell r="K1856">
            <v>0</v>
          </cell>
          <cell r="L1856">
            <v>8501.7000000000007</v>
          </cell>
          <cell r="M1856">
            <v>103851.75</v>
          </cell>
          <cell r="N1856">
            <v>-2916.55</v>
          </cell>
          <cell r="O1856">
            <v>0</v>
          </cell>
          <cell r="R1856">
            <v>432.75999999999902</v>
          </cell>
        </row>
        <row r="1857">
          <cell r="G1857">
            <v>117849.49</v>
          </cell>
          <cell r="I1857">
            <v>1671.14</v>
          </cell>
          <cell r="J1857">
            <v>5518.2399999999898</v>
          </cell>
          <cell r="K1857">
            <v>0</v>
          </cell>
          <cell r="L1857">
            <v>7189.38</v>
          </cell>
          <cell r="M1857">
            <v>130457.789999999</v>
          </cell>
          <cell r="N1857">
            <v>-255.41</v>
          </cell>
          <cell r="O1857">
            <v>0</v>
          </cell>
          <cell r="R1857">
            <v>559.51999999999896</v>
          </cell>
        </row>
        <row r="1858">
          <cell r="G1858">
            <v>157182.769999999</v>
          </cell>
          <cell r="I1858">
            <v>2219.4699999999898</v>
          </cell>
          <cell r="J1858">
            <v>8415.5799999999908</v>
          </cell>
          <cell r="K1858">
            <v>0</v>
          </cell>
          <cell r="L1858">
            <v>10635.049999999899</v>
          </cell>
          <cell r="M1858">
            <v>175118.54</v>
          </cell>
          <cell r="N1858">
            <v>299.13999999999902</v>
          </cell>
          <cell r="O1858">
            <v>0</v>
          </cell>
          <cell r="R1858">
            <v>746.28999999999905</v>
          </cell>
        </row>
        <row r="1859">
          <cell r="G1859">
            <v>39841.849999999897</v>
          </cell>
          <cell r="I1859">
            <v>522.24</v>
          </cell>
          <cell r="J1859">
            <v>0</v>
          </cell>
          <cell r="K1859">
            <v>0</v>
          </cell>
          <cell r="L1859">
            <v>522.24</v>
          </cell>
          <cell r="M1859">
            <v>42050.62</v>
          </cell>
          <cell r="N1859">
            <v>-1526.8699999999899</v>
          </cell>
          <cell r="O1859">
            <v>0</v>
          </cell>
          <cell r="R1859">
            <v>189.16999999999899</v>
          </cell>
        </row>
        <row r="1860">
          <cell r="G1860">
            <v>22096.779999999901</v>
          </cell>
          <cell r="I1860">
            <v>313.33999999999901</v>
          </cell>
          <cell r="J1860">
            <v>1892.16</v>
          </cell>
          <cell r="K1860">
            <v>0</v>
          </cell>
          <cell r="L1860">
            <v>2205.5</v>
          </cell>
          <cell r="M1860">
            <v>25332.57</v>
          </cell>
          <cell r="N1860">
            <v>-578.49</v>
          </cell>
          <cell r="O1860">
            <v>0</v>
          </cell>
          <cell r="R1860">
            <v>104.9</v>
          </cell>
        </row>
        <row r="1861">
          <cell r="G1861">
            <v>211155.84</v>
          </cell>
          <cell r="I1861">
            <v>2976.73</v>
          </cell>
          <cell r="J1861">
            <v>16200.24</v>
          </cell>
          <cell r="K1861">
            <v>0</v>
          </cell>
          <cell r="L1861">
            <v>19176.97</v>
          </cell>
          <cell r="M1861">
            <v>240185.799999999</v>
          </cell>
          <cell r="N1861">
            <v>-3442.96</v>
          </cell>
          <cell r="O1861">
            <v>0</v>
          </cell>
          <cell r="R1861">
            <v>1002.53</v>
          </cell>
        </row>
        <row r="1862">
          <cell r="G1862">
            <v>133244.59</v>
          </cell>
          <cell r="I1862">
            <v>1880.04</v>
          </cell>
          <cell r="J1862">
            <v>7926</v>
          </cell>
          <cell r="K1862">
            <v>0</v>
          </cell>
          <cell r="L1862">
            <v>9806.0400000000009</v>
          </cell>
          <cell r="M1862">
            <v>149294.66</v>
          </cell>
          <cell r="N1862">
            <v>734.62</v>
          </cell>
          <cell r="O1862">
            <v>0</v>
          </cell>
          <cell r="R1862">
            <v>632.61</v>
          </cell>
        </row>
        <row r="1863">
          <cell r="G1863">
            <v>23017.48</v>
          </cell>
          <cell r="I1863">
            <v>326.38</v>
          </cell>
          <cell r="J1863">
            <v>0</v>
          </cell>
          <cell r="K1863">
            <v>0</v>
          </cell>
          <cell r="L1863">
            <v>326.38</v>
          </cell>
          <cell r="M1863">
            <v>24396.79</v>
          </cell>
          <cell r="N1863">
            <v>901.96</v>
          </cell>
          <cell r="O1863">
            <v>0</v>
          </cell>
          <cell r="R1863">
            <v>109.3</v>
          </cell>
        </row>
        <row r="1864">
          <cell r="G1864">
            <v>232493.66</v>
          </cell>
          <cell r="I1864">
            <v>3299.6999999999898</v>
          </cell>
          <cell r="J1864">
            <v>7601.88</v>
          </cell>
          <cell r="K1864">
            <v>0</v>
          </cell>
          <cell r="L1864">
            <v>10901.58</v>
          </cell>
          <cell r="M1864">
            <v>253925.239999999</v>
          </cell>
          <cell r="N1864">
            <v>-915.30999999999904</v>
          </cell>
          <cell r="O1864">
            <v>0</v>
          </cell>
          <cell r="R1864">
            <v>1103.8800000000001</v>
          </cell>
        </row>
        <row r="1865">
          <cell r="G1865">
            <v>317021.179999999</v>
          </cell>
          <cell r="I1865">
            <v>4438.9499999999898</v>
          </cell>
          <cell r="J1865">
            <v>11692.559999999899</v>
          </cell>
          <cell r="K1865">
            <v>0</v>
          </cell>
          <cell r="L1865">
            <v>16131.51</v>
          </cell>
          <cell r="M1865">
            <v>347793.81</v>
          </cell>
          <cell r="N1865">
            <v>3994.9899999999898</v>
          </cell>
          <cell r="O1865">
            <v>0</v>
          </cell>
          <cell r="R1865">
            <v>1505.16</v>
          </cell>
        </row>
        <row r="1866">
          <cell r="G1866">
            <v>289578.82</v>
          </cell>
          <cell r="I1866">
            <v>3859.02</v>
          </cell>
          <cell r="J1866">
            <v>0</v>
          </cell>
          <cell r="K1866">
            <v>0</v>
          </cell>
          <cell r="L1866">
            <v>3859.02</v>
          </cell>
          <cell r="M1866">
            <v>305701.95</v>
          </cell>
          <cell r="N1866">
            <v>-11025.7</v>
          </cell>
          <cell r="O1866">
            <v>0</v>
          </cell>
          <cell r="R1866">
            <v>1374.8599999999899</v>
          </cell>
        </row>
        <row r="1867">
          <cell r="G1867">
            <v>22096.779999999901</v>
          </cell>
          <cell r="I1867">
            <v>313.33999999999901</v>
          </cell>
          <cell r="J1867">
            <v>1335.1199999999899</v>
          </cell>
          <cell r="K1867">
            <v>0</v>
          </cell>
          <cell r="L1867">
            <v>1648.46</v>
          </cell>
          <cell r="M1867">
            <v>24785.91</v>
          </cell>
          <cell r="N1867">
            <v>218.97</v>
          </cell>
          <cell r="O1867">
            <v>0</v>
          </cell>
          <cell r="R1867">
            <v>104.9</v>
          </cell>
        </row>
        <row r="1868">
          <cell r="G1868">
            <v>67211.039999999906</v>
          </cell>
          <cell r="I1868">
            <v>953.08</v>
          </cell>
          <cell r="J1868">
            <v>1414.78</v>
          </cell>
          <cell r="K1868">
            <v>0</v>
          </cell>
          <cell r="L1868">
            <v>2367.86</v>
          </cell>
          <cell r="M1868">
            <v>72622.91</v>
          </cell>
          <cell r="N1868">
            <v>517.09</v>
          </cell>
          <cell r="O1868">
            <v>0</v>
          </cell>
          <cell r="R1868">
            <v>319.10000000000002</v>
          </cell>
        </row>
        <row r="1869">
          <cell r="G1869">
            <v>23017.48</v>
          </cell>
          <cell r="I1869">
            <v>326.38</v>
          </cell>
          <cell r="J1869">
            <v>924.40999999999894</v>
          </cell>
          <cell r="K1869">
            <v>0</v>
          </cell>
          <cell r="L1869">
            <v>1250.79</v>
          </cell>
          <cell r="M1869">
            <v>25320.91</v>
          </cell>
          <cell r="N1869">
            <v>-29.16</v>
          </cell>
          <cell r="O1869">
            <v>0</v>
          </cell>
          <cell r="R1869">
            <v>109.3</v>
          </cell>
        </row>
        <row r="1870">
          <cell r="G1870">
            <v>2845.09</v>
          </cell>
          <cell r="I1870">
            <v>39.149999999999899</v>
          </cell>
          <cell r="J1870">
            <v>216.569999999999</v>
          </cell>
          <cell r="K1870">
            <v>0</v>
          </cell>
          <cell r="L1870">
            <v>255.72</v>
          </cell>
          <cell r="M1870">
            <v>3229.59</v>
          </cell>
          <cell r="N1870">
            <v>-135.36000000000001</v>
          </cell>
          <cell r="O1870">
            <v>0</v>
          </cell>
          <cell r="R1870">
            <v>13.5</v>
          </cell>
        </row>
        <row r="1871">
          <cell r="G1871">
            <v>66290.339999999895</v>
          </cell>
          <cell r="I1871">
            <v>939.97</v>
          </cell>
          <cell r="J1871">
            <v>2685.84</v>
          </cell>
          <cell r="K1871">
            <v>0</v>
          </cell>
          <cell r="L1871">
            <v>3625.8099999999899</v>
          </cell>
          <cell r="M1871">
            <v>72980.389999999898</v>
          </cell>
          <cell r="N1871">
            <v>646.33000000000004</v>
          </cell>
          <cell r="O1871">
            <v>0</v>
          </cell>
          <cell r="R1871">
            <v>314.75</v>
          </cell>
        </row>
        <row r="1872">
          <cell r="G1872">
            <v>22909.06</v>
          </cell>
          <cell r="I1872">
            <v>300.29000000000002</v>
          </cell>
          <cell r="J1872">
            <v>0</v>
          </cell>
          <cell r="K1872">
            <v>0</v>
          </cell>
          <cell r="L1872">
            <v>300.29000000000002</v>
          </cell>
          <cell r="M1872">
            <v>24171.25</v>
          </cell>
          <cell r="N1872">
            <v>-1059.7</v>
          </cell>
          <cell r="O1872">
            <v>0</v>
          </cell>
          <cell r="R1872">
            <v>108.76</v>
          </cell>
        </row>
        <row r="1873">
          <cell r="G1873">
            <v>3986.1799999999898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3986.1799999999898</v>
          </cell>
          <cell r="N1873">
            <v>-3986.1799999999898</v>
          </cell>
          <cell r="O1873">
            <v>0</v>
          </cell>
          <cell r="R1873">
            <v>0</v>
          </cell>
        </row>
        <row r="1874">
          <cell r="G1874">
            <v>43560.959999999897</v>
          </cell>
          <cell r="I1874">
            <v>642.88</v>
          </cell>
          <cell r="J1874">
            <v>3220.1199999999899</v>
          </cell>
          <cell r="K1874">
            <v>0</v>
          </cell>
          <cell r="L1874">
            <v>3863</v>
          </cell>
          <cell r="M1874">
            <v>49515.11</v>
          </cell>
          <cell r="N1874">
            <v>1775.29</v>
          </cell>
          <cell r="O1874">
            <v>0</v>
          </cell>
          <cell r="R1874">
            <v>13.24</v>
          </cell>
        </row>
        <row r="1875">
          <cell r="G1875">
            <v>117070.07</v>
          </cell>
          <cell r="I1875">
            <v>1727.75</v>
          </cell>
          <cell r="J1875">
            <v>11454.08</v>
          </cell>
          <cell r="K1875">
            <v>0</v>
          </cell>
          <cell r="L1875">
            <v>13181.83</v>
          </cell>
          <cell r="M1875">
            <v>135884.47</v>
          </cell>
          <cell r="N1875">
            <v>2268.92</v>
          </cell>
          <cell r="O1875">
            <v>0</v>
          </cell>
          <cell r="R1875">
            <v>35.57</v>
          </cell>
        </row>
        <row r="1876">
          <cell r="G1876">
            <v>22688</v>
          </cell>
          <cell r="I1876">
            <v>334.83999999999901</v>
          </cell>
          <cell r="J1876">
            <v>1431.0699999999899</v>
          </cell>
          <cell r="K1876">
            <v>0</v>
          </cell>
          <cell r="L1876">
            <v>1765.91</v>
          </cell>
          <cell r="M1876">
            <v>25515.27</v>
          </cell>
          <cell r="N1876">
            <v>516.73</v>
          </cell>
          <cell r="O1876">
            <v>0</v>
          </cell>
          <cell r="R1876">
            <v>6.8899999999999899</v>
          </cell>
        </row>
        <row r="1877">
          <cell r="G1877">
            <v>23905.11</v>
          </cell>
          <cell r="I1877">
            <v>321.44</v>
          </cell>
          <cell r="J1877">
            <v>0</v>
          </cell>
          <cell r="K1877">
            <v>0</v>
          </cell>
          <cell r="L1877">
            <v>321.44</v>
          </cell>
          <cell r="M1877">
            <v>25242.93</v>
          </cell>
          <cell r="N1877">
            <v>-313.41000000000003</v>
          </cell>
          <cell r="O1877">
            <v>0</v>
          </cell>
          <cell r="R1877">
            <v>7.2699999999999898</v>
          </cell>
        </row>
        <row r="1878">
          <cell r="G1878">
            <v>65341.440000000002</v>
          </cell>
          <cell r="I1878">
            <v>964.32</v>
          </cell>
          <cell r="J1878">
            <v>4258.3199999999897</v>
          </cell>
          <cell r="K1878">
            <v>0</v>
          </cell>
          <cell r="L1878">
            <v>5222.6400000000003</v>
          </cell>
          <cell r="M1878">
            <v>73767.72</v>
          </cell>
          <cell r="N1878">
            <v>4809.4799999999896</v>
          </cell>
          <cell r="O1878">
            <v>0</v>
          </cell>
          <cell r="R1878">
            <v>19.850000000000001</v>
          </cell>
        </row>
        <row r="1879">
          <cell r="G1879">
            <v>43560.959999999897</v>
          </cell>
          <cell r="I1879">
            <v>642.88</v>
          </cell>
          <cell r="J1879">
            <v>2351.2800000000002</v>
          </cell>
          <cell r="K1879">
            <v>0</v>
          </cell>
          <cell r="L1879">
            <v>2994.1599999999899</v>
          </cell>
          <cell r="M1879">
            <v>48694.79</v>
          </cell>
          <cell r="N1879">
            <v>3786.4899999999898</v>
          </cell>
          <cell r="O1879">
            <v>0</v>
          </cell>
          <cell r="R1879">
            <v>13.24</v>
          </cell>
        </row>
        <row r="1880">
          <cell r="G1880">
            <v>116238.5</v>
          </cell>
          <cell r="I1880">
            <v>1689.98</v>
          </cell>
          <cell r="J1880">
            <v>5159.9099999999899</v>
          </cell>
          <cell r="K1880">
            <v>0</v>
          </cell>
          <cell r="L1880">
            <v>6849.89</v>
          </cell>
          <cell r="M1880">
            <v>128430.41</v>
          </cell>
          <cell r="N1880">
            <v>2596.6199999999899</v>
          </cell>
          <cell r="O1880">
            <v>0</v>
          </cell>
          <cell r="R1880">
            <v>35.329999999999899</v>
          </cell>
        </row>
        <row r="1881">
          <cell r="G1881">
            <v>2622932.8199999901</v>
          </cell>
          <cell r="I1881">
            <v>38707.01</v>
          </cell>
          <cell r="J1881">
            <v>203556.829999999</v>
          </cell>
          <cell r="K1881">
            <v>0</v>
          </cell>
          <cell r="L1881">
            <v>242263.84</v>
          </cell>
          <cell r="M1881">
            <v>2987597.79999999</v>
          </cell>
          <cell r="N1881">
            <v>14591.27</v>
          </cell>
          <cell r="O1881">
            <v>0</v>
          </cell>
          <cell r="R1881">
            <v>796.92999999999904</v>
          </cell>
        </row>
        <row r="1882">
          <cell r="G1882">
            <v>19511.68</v>
          </cell>
          <cell r="I1882">
            <v>287.95999999999901</v>
          </cell>
          <cell r="J1882">
            <v>0</v>
          </cell>
          <cell r="K1882">
            <v>0</v>
          </cell>
          <cell r="L1882">
            <v>287.95999999999901</v>
          </cell>
          <cell r="M1882">
            <v>20703.72</v>
          </cell>
          <cell r="N1882">
            <v>1471.5999999999899</v>
          </cell>
          <cell r="O1882">
            <v>0</v>
          </cell>
          <cell r="R1882">
            <v>5.9299999999999899</v>
          </cell>
        </row>
        <row r="1883">
          <cell r="G1883">
            <v>10890.24</v>
          </cell>
          <cell r="I1883">
            <v>160.72</v>
          </cell>
          <cell r="J1883">
            <v>907.91999999999905</v>
          </cell>
          <cell r="K1883">
            <v>0</v>
          </cell>
          <cell r="L1883">
            <v>1068.6400000000001</v>
          </cell>
          <cell r="M1883">
            <v>12481.719999999899</v>
          </cell>
          <cell r="N1883">
            <v>340.88</v>
          </cell>
          <cell r="O1883">
            <v>0</v>
          </cell>
          <cell r="R1883">
            <v>3.31</v>
          </cell>
        </row>
        <row r="1884">
          <cell r="G1884">
            <v>32670.720000000001</v>
          </cell>
          <cell r="I1884">
            <v>482.17</v>
          </cell>
          <cell r="J1884">
            <v>1419.1199999999899</v>
          </cell>
          <cell r="K1884">
            <v>0</v>
          </cell>
          <cell r="L1884">
            <v>1901.29</v>
          </cell>
          <cell r="M1884">
            <v>36131.279999999897</v>
          </cell>
          <cell r="N1884">
            <v>2113.92</v>
          </cell>
          <cell r="O1884">
            <v>0</v>
          </cell>
          <cell r="R1884">
            <v>9.9299999999999908</v>
          </cell>
        </row>
        <row r="1885">
          <cell r="G1885">
            <v>598963.13</v>
          </cell>
          <cell r="I1885">
            <v>8839.6599999999908</v>
          </cell>
          <cell r="J1885">
            <v>48296.800000000003</v>
          </cell>
          <cell r="K1885">
            <v>0</v>
          </cell>
          <cell r="L1885">
            <v>57136.459999999897</v>
          </cell>
          <cell r="M1885">
            <v>684230.4</v>
          </cell>
          <cell r="N1885">
            <v>5745.8999999999896</v>
          </cell>
          <cell r="O1885">
            <v>0</v>
          </cell>
          <cell r="R1885">
            <v>181.979999999999</v>
          </cell>
        </row>
        <row r="1886">
          <cell r="G1886">
            <v>65795.19</v>
          </cell>
          <cell r="I1886">
            <v>971.01999999999896</v>
          </cell>
          <cell r="J1886">
            <v>0</v>
          </cell>
          <cell r="K1886">
            <v>0</v>
          </cell>
          <cell r="L1886">
            <v>971.01999999999896</v>
          </cell>
          <cell r="M1886">
            <v>69814.949999999895</v>
          </cell>
          <cell r="N1886">
            <v>4962.2799999999897</v>
          </cell>
          <cell r="O1886">
            <v>0</v>
          </cell>
          <cell r="R1886">
            <v>19.989999999999899</v>
          </cell>
        </row>
        <row r="1887">
          <cell r="G1887">
            <v>6352.64</v>
          </cell>
          <cell r="I1887">
            <v>93.75</v>
          </cell>
          <cell r="J1887">
            <v>0</v>
          </cell>
          <cell r="K1887">
            <v>0</v>
          </cell>
          <cell r="L1887">
            <v>93.75</v>
          </cell>
          <cell r="M1887">
            <v>6746.04</v>
          </cell>
          <cell r="N1887">
            <v>603.96</v>
          </cell>
          <cell r="O1887">
            <v>0</v>
          </cell>
          <cell r="R1887">
            <v>1.9299999999999899</v>
          </cell>
        </row>
        <row r="1888">
          <cell r="G1888">
            <v>77139.199999999895</v>
          </cell>
          <cell r="I1888">
            <v>1138.44</v>
          </cell>
          <cell r="J1888">
            <v>4906.6099999999897</v>
          </cell>
          <cell r="K1888">
            <v>0</v>
          </cell>
          <cell r="L1888">
            <v>6045.05</v>
          </cell>
          <cell r="M1888">
            <v>86922.46</v>
          </cell>
          <cell r="N1888">
            <v>4766.3699999999899</v>
          </cell>
          <cell r="O1888">
            <v>0</v>
          </cell>
          <cell r="R1888">
            <v>23.44</v>
          </cell>
        </row>
        <row r="1889">
          <cell r="G1889">
            <v>176184.48</v>
          </cell>
          <cell r="I1889">
            <v>2571.5300000000002</v>
          </cell>
          <cell r="J1889">
            <v>0</v>
          </cell>
          <cell r="K1889">
            <v>0</v>
          </cell>
          <cell r="L1889">
            <v>2571.5300000000002</v>
          </cell>
          <cell r="M1889">
            <v>186798.81</v>
          </cell>
          <cell r="N1889">
            <v>10470.389999999899</v>
          </cell>
          <cell r="O1889">
            <v>0</v>
          </cell>
          <cell r="R1889">
            <v>53.5399999999999</v>
          </cell>
        </row>
        <row r="1890">
          <cell r="G1890">
            <v>1005725.28</v>
          </cell>
          <cell r="I1890">
            <v>14833.219999999899</v>
          </cell>
          <cell r="J1890">
            <v>54601.4</v>
          </cell>
          <cell r="K1890">
            <v>0</v>
          </cell>
          <cell r="L1890">
            <v>69434.619999999893</v>
          </cell>
          <cell r="M1890">
            <v>1123076.8700000001</v>
          </cell>
          <cell r="N1890">
            <v>52203.379999999903</v>
          </cell>
          <cell r="O1890">
            <v>0</v>
          </cell>
          <cell r="R1890">
            <v>305.57999999999902</v>
          </cell>
        </row>
        <row r="1891">
          <cell r="G1891">
            <v>108902.399999999</v>
          </cell>
          <cell r="I1891">
            <v>1607.21</v>
          </cell>
          <cell r="J1891">
            <v>0</v>
          </cell>
          <cell r="K1891">
            <v>0</v>
          </cell>
          <cell r="L1891">
            <v>1607.21</v>
          </cell>
          <cell r="M1891">
            <v>115508.75999999901</v>
          </cell>
          <cell r="N1891">
            <v>7109.3999999999896</v>
          </cell>
          <cell r="O1891">
            <v>0</v>
          </cell>
          <cell r="R1891">
            <v>33.090000000000003</v>
          </cell>
        </row>
        <row r="1892">
          <cell r="G1892">
            <v>215082.23</v>
          </cell>
          <cell r="I1892">
            <v>3174.25</v>
          </cell>
          <cell r="J1892">
            <v>18424.560000000001</v>
          </cell>
          <cell r="K1892">
            <v>0</v>
          </cell>
          <cell r="L1892">
            <v>21598.81</v>
          </cell>
          <cell r="M1892">
            <v>247118.14</v>
          </cell>
          <cell r="N1892">
            <v>8877.1399999999903</v>
          </cell>
          <cell r="O1892">
            <v>0</v>
          </cell>
          <cell r="R1892">
            <v>65.349999999999895</v>
          </cell>
        </row>
        <row r="1893">
          <cell r="G1893">
            <v>43560.959999999897</v>
          </cell>
          <cell r="I1893">
            <v>642.88</v>
          </cell>
          <cell r="J1893">
            <v>1200.96</v>
          </cell>
          <cell r="K1893">
            <v>0</v>
          </cell>
          <cell r="L1893">
            <v>1843.8399999999899</v>
          </cell>
          <cell r="M1893">
            <v>47482.69</v>
          </cell>
          <cell r="N1893">
            <v>3482.51</v>
          </cell>
          <cell r="O1893">
            <v>0</v>
          </cell>
          <cell r="R1893">
            <v>13.24</v>
          </cell>
        </row>
        <row r="1894">
          <cell r="G1894">
            <v>272644.64</v>
          </cell>
          <cell r="I1894">
            <v>4020.44</v>
          </cell>
          <cell r="J1894">
            <v>8564.2900000000009</v>
          </cell>
          <cell r="K1894">
            <v>0</v>
          </cell>
          <cell r="L1894">
            <v>12584.73</v>
          </cell>
          <cell r="M1894">
            <v>297971.20000000001</v>
          </cell>
          <cell r="N1894">
            <v>14555.389999999899</v>
          </cell>
          <cell r="O1894">
            <v>0</v>
          </cell>
          <cell r="R1894">
            <v>82.84</v>
          </cell>
        </row>
        <row r="1895">
          <cell r="G1895">
            <v>65341.440000000002</v>
          </cell>
          <cell r="I1895">
            <v>964.32</v>
          </cell>
          <cell r="J1895">
            <v>3332.4</v>
          </cell>
          <cell r="K1895">
            <v>0</v>
          </cell>
          <cell r="L1895">
            <v>4296.72</v>
          </cell>
          <cell r="M1895">
            <v>72784.169999999896</v>
          </cell>
          <cell r="N1895">
            <v>4379.9099999999899</v>
          </cell>
          <cell r="O1895">
            <v>0</v>
          </cell>
          <cell r="R1895">
            <v>19.850000000000001</v>
          </cell>
        </row>
        <row r="1896">
          <cell r="G1896">
            <v>232064.47</v>
          </cell>
          <cell r="I1896">
            <v>3415.32</v>
          </cell>
          <cell r="J1896">
            <v>13641.84</v>
          </cell>
          <cell r="K1896">
            <v>0</v>
          </cell>
          <cell r="L1896">
            <v>17057.16</v>
          </cell>
          <cell r="M1896">
            <v>260122.67</v>
          </cell>
          <cell r="N1896">
            <v>9704.6</v>
          </cell>
          <cell r="O1896">
            <v>0</v>
          </cell>
          <cell r="R1896">
            <v>70.510000000000005</v>
          </cell>
        </row>
        <row r="1897">
          <cell r="G1897">
            <v>14843.76</v>
          </cell>
          <cell r="I1897">
            <v>214.3</v>
          </cell>
          <cell r="J1897">
            <v>0</v>
          </cell>
          <cell r="K1897">
            <v>0</v>
          </cell>
          <cell r="L1897">
            <v>214.3</v>
          </cell>
          <cell r="M1897">
            <v>15721.23</v>
          </cell>
          <cell r="N1897">
            <v>545.13</v>
          </cell>
          <cell r="O1897">
            <v>0</v>
          </cell>
          <cell r="R1897">
            <v>4.5199999999999898</v>
          </cell>
        </row>
        <row r="1898">
          <cell r="G1898">
            <v>34485.760000000002</v>
          </cell>
          <cell r="I1898">
            <v>508.94</v>
          </cell>
          <cell r="J1898">
            <v>865.2</v>
          </cell>
          <cell r="K1898">
            <v>0</v>
          </cell>
          <cell r="L1898">
            <v>1374.14</v>
          </cell>
          <cell r="M1898">
            <v>37470.400000000001</v>
          </cell>
          <cell r="N1898">
            <v>2031.26</v>
          </cell>
          <cell r="O1898">
            <v>0</v>
          </cell>
          <cell r="R1898">
            <v>10.48</v>
          </cell>
        </row>
        <row r="1899">
          <cell r="G1899">
            <v>21780.48</v>
          </cell>
          <cell r="I1899">
            <v>321.44</v>
          </cell>
          <cell r="J1899">
            <v>2076.2399999999898</v>
          </cell>
          <cell r="K1899">
            <v>0</v>
          </cell>
          <cell r="L1899">
            <v>2397.6799999999898</v>
          </cell>
          <cell r="M1899">
            <v>25223.7599999999</v>
          </cell>
          <cell r="N1899">
            <v>421.44</v>
          </cell>
          <cell r="O1899">
            <v>0</v>
          </cell>
          <cell r="R1899">
            <v>6.62</v>
          </cell>
        </row>
        <row r="1900">
          <cell r="G1900">
            <v>752585.28</v>
          </cell>
          <cell r="I1900">
            <v>11049.58</v>
          </cell>
          <cell r="J1900">
            <v>61238.55</v>
          </cell>
          <cell r="K1900">
            <v>0</v>
          </cell>
          <cell r="L1900">
            <v>72288.13</v>
          </cell>
          <cell r="M1900">
            <v>860612.43999999901</v>
          </cell>
          <cell r="N1900">
            <v>15975.44</v>
          </cell>
          <cell r="O1900">
            <v>0</v>
          </cell>
          <cell r="R1900">
            <v>228.65</v>
          </cell>
        </row>
        <row r="1901">
          <cell r="G1901">
            <v>255347.98</v>
          </cell>
          <cell r="I1901">
            <v>3824.9</v>
          </cell>
          <cell r="J1901">
            <v>16215.43</v>
          </cell>
          <cell r="K1901">
            <v>0</v>
          </cell>
          <cell r="L1901">
            <v>20040.330000000002</v>
          </cell>
          <cell r="M1901">
            <v>287551.87</v>
          </cell>
          <cell r="N1901">
            <v>10789.35</v>
          </cell>
          <cell r="O1901">
            <v>0</v>
          </cell>
          <cell r="R1901">
            <v>77.569999999999894</v>
          </cell>
        </row>
        <row r="1902">
          <cell r="G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0</v>
          </cell>
          <cell r="M1902">
            <v>-22.46</v>
          </cell>
          <cell r="N1902">
            <v>-527.62</v>
          </cell>
          <cell r="O1902">
            <v>0</v>
          </cell>
          <cell r="R1902">
            <v>0</v>
          </cell>
        </row>
        <row r="1903">
          <cell r="G1903">
            <v>525040.60999999905</v>
          </cell>
          <cell r="I1903">
            <v>7721.5799999999899</v>
          </cell>
          <cell r="J1903">
            <v>21663.15</v>
          </cell>
          <cell r="K1903">
            <v>0</v>
          </cell>
          <cell r="L1903">
            <v>29384.73</v>
          </cell>
          <cell r="M1903">
            <v>579211.39</v>
          </cell>
          <cell r="N1903">
            <v>28727.299999999901</v>
          </cell>
          <cell r="O1903">
            <v>0</v>
          </cell>
          <cell r="R1903">
            <v>159.509999999999</v>
          </cell>
        </row>
        <row r="1904">
          <cell r="G1904">
            <v>21780.48</v>
          </cell>
          <cell r="I1904">
            <v>321.44</v>
          </cell>
          <cell r="J1904">
            <v>1361.28</v>
          </cell>
          <cell r="K1904">
            <v>0</v>
          </cell>
          <cell r="L1904">
            <v>1682.72</v>
          </cell>
          <cell r="M1904">
            <v>24508.799999999901</v>
          </cell>
          <cell r="N1904">
            <v>1136.4000000000001</v>
          </cell>
          <cell r="O1904">
            <v>0</v>
          </cell>
          <cell r="R1904">
            <v>6.62</v>
          </cell>
        </row>
        <row r="1905">
          <cell r="G1905">
            <v>43560.959999999897</v>
          </cell>
          <cell r="I1905">
            <v>642.88</v>
          </cell>
          <cell r="J1905">
            <v>0</v>
          </cell>
          <cell r="K1905">
            <v>0</v>
          </cell>
          <cell r="L1905">
            <v>642.88</v>
          </cell>
          <cell r="M1905">
            <v>46245.33</v>
          </cell>
          <cell r="N1905">
            <v>3827.07</v>
          </cell>
          <cell r="O1905">
            <v>0</v>
          </cell>
          <cell r="R1905">
            <v>13.24</v>
          </cell>
        </row>
        <row r="1906">
          <cell r="G1906">
            <v>417283.679999999</v>
          </cell>
          <cell r="I1906">
            <v>6160.97</v>
          </cell>
          <cell r="J1906">
            <v>22055.08</v>
          </cell>
          <cell r="K1906">
            <v>0</v>
          </cell>
          <cell r="L1906">
            <v>28216.049999999901</v>
          </cell>
          <cell r="M1906">
            <v>465487.62</v>
          </cell>
          <cell r="N1906">
            <v>24765.66</v>
          </cell>
          <cell r="O1906">
            <v>0</v>
          </cell>
          <cell r="R1906">
            <v>126.78</v>
          </cell>
        </row>
        <row r="1907">
          <cell r="G1907">
            <v>37628.69</v>
          </cell>
          <cell r="I1907">
            <v>535.74</v>
          </cell>
          <cell r="J1907">
            <v>0</v>
          </cell>
          <cell r="K1907">
            <v>0</v>
          </cell>
          <cell r="L1907">
            <v>535.74</v>
          </cell>
          <cell r="M1907">
            <v>39850.9</v>
          </cell>
          <cell r="N1907">
            <v>1515.3</v>
          </cell>
          <cell r="O1907">
            <v>0</v>
          </cell>
          <cell r="R1907">
            <v>11.43</v>
          </cell>
        </row>
        <row r="1908">
          <cell r="G1908">
            <v>300798.87</v>
          </cell>
          <cell r="I1908">
            <v>4446.34</v>
          </cell>
          <cell r="J1908">
            <v>7336.0799999999899</v>
          </cell>
          <cell r="K1908">
            <v>0</v>
          </cell>
          <cell r="L1908">
            <v>11782.42</v>
          </cell>
          <cell r="M1908">
            <v>326532.32</v>
          </cell>
          <cell r="N1908">
            <v>15651.09</v>
          </cell>
          <cell r="O1908">
            <v>0</v>
          </cell>
          <cell r="R1908">
            <v>91.4</v>
          </cell>
        </row>
        <row r="1909">
          <cell r="G1909">
            <v>35857.660000000003</v>
          </cell>
          <cell r="I1909">
            <v>482.17</v>
          </cell>
          <cell r="J1909">
            <v>0</v>
          </cell>
          <cell r="K1909">
            <v>0</v>
          </cell>
          <cell r="L1909">
            <v>482.17</v>
          </cell>
          <cell r="M1909">
            <v>37853.669999999896</v>
          </cell>
          <cell r="N1909">
            <v>-722.54999999999905</v>
          </cell>
          <cell r="O1909">
            <v>0</v>
          </cell>
          <cell r="R1909">
            <v>10.9</v>
          </cell>
        </row>
        <row r="1910">
          <cell r="G1910">
            <v>67156.479999999894</v>
          </cell>
          <cell r="I1910">
            <v>991.12</v>
          </cell>
          <cell r="J1910">
            <v>2752.5599999999899</v>
          </cell>
          <cell r="K1910">
            <v>0</v>
          </cell>
          <cell r="L1910">
            <v>3743.6799999999898</v>
          </cell>
          <cell r="M1910">
            <v>74039.979999999894</v>
          </cell>
          <cell r="N1910">
            <v>2972.02</v>
          </cell>
          <cell r="O1910">
            <v>0</v>
          </cell>
          <cell r="R1910">
            <v>20.399999999999899</v>
          </cell>
        </row>
        <row r="1911">
          <cell r="G1911">
            <v>32670.720000000001</v>
          </cell>
          <cell r="I1911">
            <v>482.17</v>
          </cell>
          <cell r="J1911">
            <v>2705.4</v>
          </cell>
          <cell r="K1911">
            <v>0</v>
          </cell>
          <cell r="L1911">
            <v>3187.57</v>
          </cell>
          <cell r="M1911">
            <v>37426.669999999896</v>
          </cell>
          <cell r="N1911">
            <v>1041.1300000000001</v>
          </cell>
          <cell r="O1911">
            <v>0</v>
          </cell>
          <cell r="R1911">
            <v>9.9299999999999908</v>
          </cell>
        </row>
        <row r="1912">
          <cell r="G1912">
            <v>66635.199999999895</v>
          </cell>
          <cell r="I1912">
            <v>964.32</v>
          </cell>
          <cell r="J1912">
            <v>0</v>
          </cell>
          <cell r="K1912">
            <v>0</v>
          </cell>
          <cell r="L1912">
            <v>964.32</v>
          </cell>
          <cell r="M1912">
            <v>70634.669999999896</v>
          </cell>
          <cell r="N1912">
            <v>3809.73</v>
          </cell>
          <cell r="O1912">
            <v>0</v>
          </cell>
          <cell r="R1912">
            <v>20.239999999999899</v>
          </cell>
        </row>
        <row r="1913">
          <cell r="G1913">
            <v>67045.86</v>
          </cell>
          <cell r="I1913">
            <v>1003.97</v>
          </cell>
          <cell r="J1913">
            <v>0</v>
          </cell>
          <cell r="K1913">
            <v>0</v>
          </cell>
          <cell r="L1913">
            <v>1003.97</v>
          </cell>
          <cell r="M1913">
            <v>71174.460000000006</v>
          </cell>
          <cell r="N1913">
            <v>5464.4799999999896</v>
          </cell>
          <cell r="O1913">
            <v>0</v>
          </cell>
          <cell r="R1913">
            <v>20.37</v>
          </cell>
        </row>
        <row r="1914">
          <cell r="G1914">
            <v>22688</v>
          </cell>
          <cell r="I1914">
            <v>334.83999999999901</v>
          </cell>
          <cell r="J1914">
            <v>1098.18</v>
          </cell>
          <cell r="K1914">
            <v>0</v>
          </cell>
          <cell r="L1914">
            <v>1433.02</v>
          </cell>
          <cell r="M1914">
            <v>25189.8499999999</v>
          </cell>
          <cell r="N1914">
            <v>1026.9000000000001</v>
          </cell>
          <cell r="O1914">
            <v>0</v>
          </cell>
          <cell r="R1914">
            <v>6.8899999999999899</v>
          </cell>
        </row>
        <row r="1915">
          <cell r="G1915">
            <v>143388.16</v>
          </cell>
          <cell r="I1915">
            <v>2116.1599999999899</v>
          </cell>
          <cell r="J1915">
            <v>3588</v>
          </cell>
          <cell r="K1915">
            <v>0</v>
          </cell>
          <cell r="L1915">
            <v>5704.1599999999899</v>
          </cell>
          <cell r="M1915">
            <v>155873.66</v>
          </cell>
          <cell r="N1915">
            <v>10455.280000000001</v>
          </cell>
          <cell r="O1915">
            <v>0</v>
          </cell>
          <cell r="R1915">
            <v>43.57</v>
          </cell>
        </row>
        <row r="1916">
          <cell r="G1916">
            <v>196293.85</v>
          </cell>
          <cell r="I1916">
            <v>2892.98</v>
          </cell>
          <cell r="J1916">
            <v>19232.400000000001</v>
          </cell>
          <cell r="K1916">
            <v>0</v>
          </cell>
          <cell r="L1916">
            <v>22125.38</v>
          </cell>
          <cell r="M1916">
            <v>227881.91</v>
          </cell>
          <cell r="N1916">
            <v>4213.4499999999898</v>
          </cell>
          <cell r="O1916">
            <v>0</v>
          </cell>
          <cell r="R1916">
            <v>59.64</v>
          </cell>
        </row>
        <row r="1917">
          <cell r="G1917">
            <v>21780.48</v>
          </cell>
          <cell r="I1917">
            <v>321.44</v>
          </cell>
          <cell r="J1917">
            <v>1779.1199999999899</v>
          </cell>
          <cell r="K1917">
            <v>0</v>
          </cell>
          <cell r="L1917">
            <v>2100.5599999999899</v>
          </cell>
          <cell r="M1917">
            <v>24893.32</v>
          </cell>
          <cell r="N1917">
            <v>-64.12</v>
          </cell>
          <cell r="O1917">
            <v>0</v>
          </cell>
          <cell r="R1917">
            <v>6.62</v>
          </cell>
        </row>
        <row r="1918">
          <cell r="G1918">
            <v>521111.27</v>
          </cell>
          <cell r="I1918">
            <v>7628.8999999999896</v>
          </cell>
          <cell r="J1918">
            <v>14291.04</v>
          </cell>
          <cell r="K1918">
            <v>0</v>
          </cell>
          <cell r="L1918">
            <v>21919.9399999999</v>
          </cell>
          <cell r="M1918">
            <v>567123.94999999902</v>
          </cell>
          <cell r="N1918">
            <v>23808.95</v>
          </cell>
          <cell r="O1918">
            <v>0</v>
          </cell>
          <cell r="R1918">
            <v>158.33000000000001</v>
          </cell>
        </row>
        <row r="1919">
          <cell r="G1919">
            <v>21780.48</v>
          </cell>
          <cell r="I1919">
            <v>321.44</v>
          </cell>
          <cell r="J1919">
            <v>1590</v>
          </cell>
          <cell r="K1919">
            <v>0</v>
          </cell>
          <cell r="L1919">
            <v>1911.44</v>
          </cell>
          <cell r="M1919">
            <v>24730.139999999901</v>
          </cell>
          <cell r="N1919">
            <v>734.58</v>
          </cell>
          <cell r="O1919">
            <v>0</v>
          </cell>
          <cell r="R1919">
            <v>6.62</v>
          </cell>
        </row>
        <row r="1920">
          <cell r="G1920">
            <v>162185.429999999</v>
          </cell>
          <cell r="I1920">
            <v>2384.0300000000002</v>
          </cell>
          <cell r="J1920">
            <v>13770.68</v>
          </cell>
          <cell r="K1920">
            <v>0</v>
          </cell>
          <cell r="L1920">
            <v>16154.709999999901</v>
          </cell>
          <cell r="M1920">
            <v>186175.92</v>
          </cell>
          <cell r="N1920">
            <v>6016</v>
          </cell>
          <cell r="O1920">
            <v>0</v>
          </cell>
          <cell r="R1920">
            <v>49.2899999999999</v>
          </cell>
        </row>
        <row r="1921">
          <cell r="G1921">
            <v>1673382.95</v>
          </cell>
          <cell r="I1921">
            <v>25030.99</v>
          </cell>
          <cell r="J1921">
            <v>96064.25</v>
          </cell>
          <cell r="K1921">
            <v>0</v>
          </cell>
          <cell r="L1921">
            <v>121095.24</v>
          </cell>
          <cell r="M1921">
            <v>1874555.03</v>
          </cell>
          <cell r="N1921">
            <v>89526.38</v>
          </cell>
          <cell r="O1921">
            <v>0</v>
          </cell>
          <cell r="R1921">
            <v>508.42</v>
          </cell>
        </row>
        <row r="1922">
          <cell r="G1922">
            <v>44468.480000000003</v>
          </cell>
          <cell r="I1922">
            <v>656.27999999999895</v>
          </cell>
          <cell r="J1922">
            <v>2351.96</v>
          </cell>
          <cell r="K1922">
            <v>0</v>
          </cell>
          <cell r="L1922">
            <v>3008.2399999999898</v>
          </cell>
          <cell r="M1922">
            <v>49602.959999999897</v>
          </cell>
          <cell r="N1922">
            <v>2548.5100000000002</v>
          </cell>
          <cell r="O1922">
            <v>0</v>
          </cell>
          <cell r="R1922">
            <v>13.51</v>
          </cell>
        </row>
        <row r="1923">
          <cell r="G1923">
            <v>22688</v>
          </cell>
          <cell r="I1923">
            <v>334.83999999999901</v>
          </cell>
          <cell r="J1923">
            <v>1747.3099999999899</v>
          </cell>
          <cell r="K1923">
            <v>0</v>
          </cell>
          <cell r="L1923">
            <v>2082.15</v>
          </cell>
          <cell r="M1923">
            <v>25838.98</v>
          </cell>
          <cell r="N1923">
            <v>377.76999999999902</v>
          </cell>
          <cell r="O1923">
            <v>0</v>
          </cell>
          <cell r="R1923">
            <v>6.8899999999999899</v>
          </cell>
        </row>
        <row r="1924">
          <cell r="G1924">
            <v>175151.359999999</v>
          </cell>
          <cell r="I1924">
            <v>2584.9299999999898</v>
          </cell>
          <cell r="J1924">
            <v>8372.67</v>
          </cell>
          <cell r="K1924">
            <v>0</v>
          </cell>
          <cell r="L1924">
            <v>10957.6</v>
          </cell>
          <cell r="M1924">
            <v>194512.35</v>
          </cell>
          <cell r="N1924">
            <v>11602.139999999899</v>
          </cell>
          <cell r="O1924">
            <v>0</v>
          </cell>
          <cell r="R1924">
            <v>53.219999999999899</v>
          </cell>
        </row>
        <row r="1925">
          <cell r="G1925">
            <v>21780.48</v>
          </cell>
          <cell r="I1925">
            <v>321.44</v>
          </cell>
          <cell r="J1925">
            <v>0</v>
          </cell>
          <cell r="K1925">
            <v>0</v>
          </cell>
          <cell r="L1925">
            <v>321.44</v>
          </cell>
          <cell r="M1925">
            <v>23122.119999999901</v>
          </cell>
          <cell r="N1925">
            <v>1901.48</v>
          </cell>
          <cell r="O1925">
            <v>0</v>
          </cell>
          <cell r="R1925">
            <v>6.62</v>
          </cell>
        </row>
        <row r="1926">
          <cell r="G1926">
            <v>1151837.6599999899</v>
          </cell>
          <cell r="I1926">
            <v>16768.8499999999</v>
          </cell>
          <cell r="J1926">
            <v>22620</v>
          </cell>
          <cell r="K1926">
            <v>0</v>
          </cell>
          <cell r="L1926">
            <v>39388.849999999897</v>
          </cell>
          <cell r="M1926">
            <v>1246327.29</v>
          </cell>
          <cell r="N1926">
            <v>105156.58</v>
          </cell>
          <cell r="O1926">
            <v>0</v>
          </cell>
          <cell r="R1926">
            <v>349.94999999999902</v>
          </cell>
        </row>
        <row r="1927">
          <cell r="G1927">
            <v>57173.760000000002</v>
          </cell>
          <cell r="I1927">
            <v>843.77999999999895</v>
          </cell>
          <cell r="J1927">
            <v>3980.4</v>
          </cell>
          <cell r="K1927">
            <v>0</v>
          </cell>
          <cell r="L1927">
            <v>4824.18</v>
          </cell>
          <cell r="M1927">
            <v>64747.58</v>
          </cell>
          <cell r="N1927">
            <v>2693.8899999999899</v>
          </cell>
          <cell r="O1927">
            <v>0</v>
          </cell>
          <cell r="R1927">
            <v>17.37</v>
          </cell>
        </row>
        <row r="1928">
          <cell r="G1928">
            <v>43560.959999999897</v>
          </cell>
          <cell r="I1928">
            <v>642.88</v>
          </cell>
          <cell r="J1928">
            <v>3137.76</v>
          </cell>
          <cell r="K1928">
            <v>0</v>
          </cell>
          <cell r="L1928">
            <v>3780.6399999999899</v>
          </cell>
          <cell r="M1928">
            <v>49432.75</v>
          </cell>
          <cell r="N1928">
            <v>1857.65</v>
          </cell>
          <cell r="O1928">
            <v>0</v>
          </cell>
          <cell r="R1928">
            <v>13.24</v>
          </cell>
        </row>
        <row r="1929">
          <cell r="G1929">
            <v>206393.28</v>
          </cell>
          <cell r="I1929">
            <v>3026.9099999999899</v>
          </cell>
          <cell r="J1929">
            <v>6341.8599999999897</v>
          </cell>
          <cell r="K1929">
            <v>0</v>
          </cell>
          <cell r="L1929">
            <v>9368.77</v>
          </cell>
          <cell r="M1929">
            <v>225465.26</v>
          </cell>
          <cell r="N1929">
            <v>12529.44</v>
          </cell>
          <cell r="O1929">
            <v>0</v>
          </cell>
          <cell r="R1929">
            <v>62.7</v>
          </cell>
        </row>
        <row r="1930">
          <cell r="G1930">
            <v>21780.48</v>
          </cell>
          <cell r="I1930">
            <v>321.44</v>
          </cell>
          <cell r="J1930">
            <v>1166.8800000000001</v>
          </cell>
          <cell r="K1930">
            <v>0</v>
          </cell>
          <cell r="L1930">
            <v>1488.3199999999899</v>
          </cell>
          <cell r="M1930">
            <v>24307.02</v>
          </cell>
          <cell r="N1930">
            <v>1157.7</v>
          </cell>
          <cell r="O1930">
            <v>0</v>
          </cell>
          <cell r="R1930">
            <v>6.62</v>
          </cell>
        </row>
        <row r="1931">
          <cell r="G1931">
            <v>65341.440000000002</v>
          </cell>
          <cell r="I1931">
            <v>964.32</v>
          </cell>
          <cell r="J1931">
            <v>4178.6400000000003</v>
          </cell>
          <cell r="K1931">
            <v>0</v>
          </cell>
          <cell r="L1931">
            <v>5142.96</v>
          </cell>
          <cell r="M1931">
            <v>73599.039999999906</v>
          </cell>
          <cell r="N1931">
            <v>2795.1199999999899</v>
          </cell>
          <cell r="O1931">
            <v>0</v>
          </cell>
          <cell r="R1931">
            <v>19.850000000000001</v>
          </cell>
        </row>
        <row r="1932">
          <cell r="G1932">
            <v>81676.800000000003</v>
          </cell>
          <cell r="I1932">
            <v>1205.4000000000001</v>
          </cell>
          <cell r="J1932">
            <v>325.19999999999902</v>
          </cell>
          <cell r="K1932">
            <v>0</v>
          </cell>
          <cell r="L1932">
            <v>1530.5999999999899</v>
          </cell>
          <cell r="M1932">
            <v>86953.3</v>
          </cell>
          <cell r="N1932">
            <v>4925.96</v>
          </cell>
          <cell r="O1932">
            <v>0</v>
          </cell>
          <cell r="R1932">
            <v>24.82</v>
          </cell>
        </row>
        <row r="1933">
          <cell r="G1933">
            <v>21780.48</v>
          </cell>
          <cell r="I1933">
            <v>321.44</v>
          </cell>
          <cell r="J1933">
            <v>1779.1199999999899</v>
          </cell>
          <cell r="K1933">
            <v>0</v>
          </cell>
          <cell r="L1933">
            <v>2100.5599999999899</v>
          </cell>
          <cell r="M1933">
            <v>24919.2599999999</v>
          </cell>
          <cell r="N1933">
            <v>545.46</v>
          </cell>
          <cell r="O1933">
            <v>0</v>
          </cell>
          <cell r="R1933">
            <v>6.62</v>
          </cell>
        </row>
        <row r="1934">
          <cell r="G1934">
            <v>21780.48</v>
          </cell>
          <cell r="I1934">
            <v>321.44</v>
          </cell>
          <cell r="J1934">
            <v>1805.52</v>
          </cell>
          <cell r="K1934">
            <v>0</v>
          </cell>
          <cell r="L1934">
            <v>2126.96</v>
          </cell>
          <cell r="M1934">
            <v>24912.23</v>
          </cell>
          <cell r="N1934">
            <v>-266.38999999999902</v>
          </cell>
          <cell r="O1934">
            <v>0</v>
          </cell>
          <cell r="R1934">
            <v>6.62</v>
          </cell>
        </row>
        <row r="1935">
          <cell r="G1935">
            <v>66248.960000000006</v>
          </cell>
          <cell r="I1935">
            <v>977.72</v>
          </cell>
          <cell r="J1935">
            <v>5693.93</v>
          </cell>
          <cell r="K1935">
            <v>0</v>
          </cell>
          <cell r="L1935">
            <v>6671.6499999999896</v>
          </cell>
          <cell r="M1935">
            <v>76125.97</v>
          </cell>
          <cell r="N1935">
            <v>2493.75</v>
          </cell>
          <cell r="O1935">
            <v>0</v>
          </cell>
          <cell r="R1935">
            <v>20.1299999999999</v>
          </cell>
        </row>
        <row r="1936">
          <cell r="G1936">
            <v>22688</v>
          </cell>
          <cell r="I1936">
            <v>334.83999999999901</v>
          </cell>
          <cell r="J1936">
            <v>1770.41</v>
          </cell>
          <cell r="K1936">
            <v>0</v>
          </cell>
          <cell r="L1936">
            <v>2105.25</v>
          </cell>
          <cell r="M1936">
            <v>25888.99</v>
          </cell>
          <cell r="N1936">
            <v>986.00999999999897</v>
          </cell>
          <cell r="O1936">
            <v>0</v>
          </cell>
          <cell r="R1936">
            <v>6.8899999999999899</v>
          </cell>
        </row>
        <row r="1937">
          <cell r="G1937">
            <v>22688</v>
          </cell>
          <cell r="I1937">
            <v>334.83999999999901</v>
          </cell>
          <cell r="J1937">
            <v>1072.46</v>
          </cell>
          <cell r="K1937">
            <v>0</v>
          </cell>
          <cell r="L1937">
            <v>1407.3</v>
          </cell>
          <cell r="M1937">
            <v>25156.66</v>
          </cell>
          <cell r="N1937">
            <v>875.34</v>
          </cell>
          <cell r="O1937">
            <v>0</v>
          </cell>
          <cell r="R1937">
            <v>6.8899999999999899</v>
          </cell>
        </row>
        <row r="1938">
          <cell r="G1938">
            <v>43107.199999999903</v>
          </cell>
          <cell r="I1938">
            <v>636.19000000000005</v>
          </cell>
          <cell r="J1938">
            <v>0</v>
          </cell>
          <cell r="K1938">
            <v>0</v>
          </cell>
          <cell r="L1938">
            <v>636.19000000000005</v>
          </cell>
          <cell r="M1938">
            <v>45718.23</v>
          </cell>
          <cell r="N1938">
            <v>2719.07</v>
          </cell>
          <cell r="O1938">
            <v>0</v>
          </cell>
          <cell r="R1938">
            <v>13.1</v>
          </cell>
        </row>
        <row r="1939">
          <cell r="G1939">
            <v>21780.48</v>
          </cell>
          <cell r="I1939">
            <v>321.44</v>
          </cell>
          <cell r="J1939">
            <v>0</v>
          </cell>
          <cell r="K1939">
            <v>0</v>
          </cell>
          <cell r="L1939">
            <v>321.44</v>
          </cell>
          <cell r="M1939">
            <v>23096.66</v>
          </cell>
          <cell r="N1939">
            <v>1301.98</v>
          </cell>
          <cell r="O1939">
            <v>0</v>
          </cell>
          <cell r="R1939">
            <v>6.62</v>
          </cell>
        </row>
        <row r="1940">
          <cell r="G1940">
            <v>22688</v>
          </cell>
          <cell r="I1940">
            <v>334.83999999999901</v>
          </cell>
          <cell r="J1940">
            <v>1390.18</v>
          </cell>
          <cell r="K1940">
            <v>0</v>
          </cell>
          <cell r="L1940">
            <v>1725.02</v>
          </cell>
          <cell r="M1940">
            <v>25474.38</v>
          </cell>
          <cell r="N1940">
            <v>557.62</v>
          </cell>
          <cell r="O1940">
            <v>0</v>
          </cell>
          <cell r="R1940">
            <v>6.8899999999999899</v>
          </cell>
        </row>
        <row r="1941">
          <cell r="G1941">
            <v>302515.16999999899</v>
          </cell>
          <cell r="I1941">
            <v>4513.05</v>
          </cell>
          <cell r="J1941">
            <v>4064.51</v>
          </cell>
          <cell r="K1941">
            <v>0</v>
          </cell>
          <cell r="L1941">
            <v>8577.5599999999904</v>
          </cell>
          <cell r="M1941">
            <v>325147.489999999</v>
          </cell>
          <cell r="N1941">
            <v>19580.779999999901</v>
          </cell>
          <cell r="O1941">
            <v>0</v>
          </cell>
          <cell r="R1941">
            <v>91.92</v>
          </cell>
        </row>
        <row r="1942">
          <cell r="G1942">
            <v>21780.48</v>
          </cell>
          <cell r="I1942">
            <v>321.44</v>
          </cell>
          <cell r="J1942">
            <v>0</v>
          </cell>
          <cell r="K1942">
            <v>0</v>
          </cell>
          <cell r="L1942">
            <v>321.44</v>
          </cell>
          <cell r="M1942">
            <v>23122.119999999901</v>
          </cell>
          <cell r="N1942">
            <v>1901.48</v>
          </cell>
          <cell r="O1942">
            <v>0</v>
          </cell>
          <cell r="R1942">
            <v>6.62</v>
          </cell>
        </row>
        <row r="1943">
          <cell r="G1943">
            <v>43560.959999999897</v>
          </cell>
          <cell r="I1943">
            <v>642.88</v>
          </cell>
          <cell r="J1943">
            <v>2212.8000000000002</v>
          </cell>
          <cell r="K1943">
            <v>0</v>
          </cell>
          <cell r="L1943">
            <v>2855.6799999999898</v>
          </cell>
          <cell r="M1943">
            <v>48507.79</v>
          </cell>
          <cell r="N1943">
            <v>2782.61</v>
          </cell>
          <cell r="O1943">
            <v>0</v>
          </cell>
          <cell r="R1943">
            <v>13.24</v>
          </cell>
        </row>
        <row r="1944">
          <cell r="G1944">
            <v>22688</v>
          </cell>
          <cell r="I1944">
            <v>334.83999999999901</v>
          </cell>
          <cell r="J1944">
            <v>1265.5</v>
          </cell>
          <cell r="K1944">
            <v>0</v>
          </cell>
          <cell r="L1944">
            <v>1600.3399999999899</v>
          </cell>
          <cell r="M1944">
            <v>25349.7</v>
          </cell>
          <cell r="N1944">
            <v>682.29999999999905</v>
          </cell>
          <cell r="O1944">
            <v>0</v>
          </cell>
          <cell r="R1944">
            <v>6.8899999999999899</v>
          </cell>
        </row>
        <row r="1945">
          <cell r="G1945">
            <v>21780.48</v>
          </cell>
          <cell r="I1945">
            <v>321.44</v>
          </cell>
          <cell r="J1945">
            <v>1335.1199999999899</v>
          </cell>
          <cell r="K1945">
            <v>0</v>
          </cell>
          <cell r="L1945">
            <v>1656.5599999999899</v>
          </cell>
          <cell r="M1945">
            <v>24505.24</v>
          </cell>
          <cell r="N1945">
            <v>1696.04</v>
          </cell>
          <cell r="O1945">
            <v>0</v>
          </cell>
          <cell r="R1945">
            <v>6.62</v>
          </cell>
        </row>
        <row r="1946">
          <cell r="G1946">
            <v>1199529.98</v>
          </cell>
          <cell r="I1946">
            <v>17684.959999999901</v>
          </cell>
          <cell r="J1946">
            <v>15192.629999999899</v>
          </cell>
          <cell r="K1946">
            <v>0</v>
          </cell>
          <cell r="L1946">
            <v>32877.589999999902</v>
          </cell>
          <cell r="M1946">
            <v>1287794.4299999899</v>
          </cell>
          <cell r="N1946">
            <v>70704.309999999896</v>
          </cell>
          <cell r="O1946">
            <v>0</v>
          </cell>
          <cell r="R1946">
            <v>364.44999999999902</v>
          </cell>
        </row>
        <row r="1947">
          <cell r="G1947">
            <v>177873.92000000001</v>
          </cell>
          <cell r="I1947">
            <v>2625.11</v>
          </cell>
          <cell r="J1947">
            <v>12442.6</v>
          </cell>
          <cell r="K1947">
            <v>0</v>
          </cell>
          <cell r="L1947">
            <v>15067.709999999901</v>
          </cell>
          <cell r="M1947">
            <v>201329.38</v>
          </cell>
          <cell r="N1947">
            <v>4401.13</v>
          </cell>
          <cell r="O1947">
            <v>0</v>
          </cell>
          <cell r="R1947">
            <v>54.0399999999999</v>
          </cell>
        </row>
        <row r="1948">
          <cell r="G1948">
            <v>14520.32</v>
          </cell>
          <cell r="I1948">
            <v>214.289999999999</v>
          </cell>
          <cell r="J1948">
            <v>0</v>
          </cell>
          <cell r="K1948">
            <v>0</v>
          </cell>
          <cell r="L1948">
            <v>214.289999999999</v>
          </cell>
          <cell r="M1948">
            <v>15407.459999999901</v>
          </cell>
          <cell r="N1948">
            <v>1095.26</v>
          </cell>
          <cell r="O1948">
            <v>0</v>
          </cell>
          <cell r="R1948">
            <v>4.41</v>
          </cell>
        </row>
        <row r="1949">
          <cell r="G1949">
            <v>88936.960000000006</v>
          </cell>
          <cell r="I1949">
            <v>1312.5599999999899</v>
          </cell>
          <cell r="J1949">
            <v>6483.84</v>
          </cell>
          <cell r="K1949">
            <v>0</v>
          </cell>
          <cell r="L1949">
            <v>7796.3999999999896</v>
          </cell>
          <cell r="M1949">
            <v>100981.69</v>
          </cell>
          <cell r="N1949">
            <v>3218.98</v>
          </cell>
          <cell r="O1949">
            <v>0</v>
          </cell>
          <cell r="R1949">
            <v>27.03</v>
          </cell>
        </row>
        <row r="1950">
          <cell r="G1950">
            <v>174431.959999999</v>
          </cell>
          <cell r="I1950">
            <v>2561.09</v>
          </cell>
          <cell r="J1950">
            <v>9402.3099999999904</v>
          </cell>
          <cell r="K1950">
            <v>0</v>
          </cell>
          <cell r="L1950">
            <v>11963.4</v>
          </cell>
          <cell r="M1950">
            <v>194637.64</v>
          </cell>
          <cell r="N1950">
            <v>7524.31</v>
          </cell>
          <cell r="O1950">
            <v>0</v>
          </cell>
          <cell r="R1950">
            <v>53.009999999999899</v>
          </cell>
        </row>
        <row r="1951">
          <cell r="G1951">
            <v>163353.60000000001</v>
          </cell>
          <cell r="I1951">
            <v>2410.8200000000002</v>
          </cell>
          <cell r="J1951">
            <v>13277.52</v>
          </cell>
          <cell r="K1951">
            <v>0</v>
          </cell>
          <cell r="L1951">
            <v>15688.34</v>
          </cell>
          <cell r="M1951">
            <v>187002.799999999</v>
          </cell>
          <cell r="N1951">
            <v>8256.0400000000009</v>
          </cell>
          <cell r="O1951">
            <v>0</v>
          </cell>
          <cell r="R1951">
            <v>49.63</v>
          </cell>
        </row>
        <row r="1952">
          <cell r="G1952">
            <v>22427.369999999901</v>
          </cell>
          <cell r="I1952">
            <v>321.44</v>
          </cell>
          <cell r="J1952">
            <v>1419.1199999999899</v>
          </cell>
          <cell r="K1952">
            <v>0</v>
          </cell>
          <cell r="L1952">
            <v>1740.5599999999899</v>
          </cell>
          <cell r="M1952">
            <v>25187.389999999901</v>
          </cell>
          <cell r="N1952">
            <v>-182.509999999999</v>
          </cell>
          <cell r="O1952">
            <v>0</v>
          </cell>
          <cell r="R1952">
            <v>6.82</v>
          </cell>
        </row>
        <row r="1953">
          <cell r="G1953">
            <v>22427.360000000001</v>
          </cell>
          <cell r="I1953">
            <v>321.44</v>
          </cell>
          <cell r="J1953">
            <v>856.79999999999905</v>
          </cell>
          <cell r="K1953">
            <v>0</v>
          </cell>
          <cell r="L1953">
            <v>1178.24</v>
          </cell>
          <cell r="M1953">
            <v>24650.11</v>
          </cell>
          <cell r="N1953">
            <v>969.40999999999894</v>
          </cell>
          <cell r="O1953">
            <v>0</v>
          </cell>
          <cell r="R1953">
            <v>6.82</v>
          </cell>
        </row>
        <row r="1954">
          <cell r="G1954">
            <v>132405.07</v>
          </cell>
          <cell r="I1954">
            <v>1968.5699999999899</v>
          </cell>
          <cell r="J1954">
            <v>2423.04</v>
          </cell>
          <cell r="K1954">
            <v>0</v>
          </cell>
          <cell r="L1954">
            <v>4391.6099999999897</v>
          </cell>
          <cell r="M1954">
            <v>142942.679999999</v>
          </cell>
          <cell r="N1954">
            <v>7804.2399999999898</v>
          </cell>
          <cell r="O1954">
            <v>0</v>
          </cell>
          <cell r="R1954">
            <v>40.229999999999897</v>
          </cell>
        </row>
        <row r="1955">
          <cell r="G1955">
            <v>22427.360000000001</v>
          </cell>
          <cell r="I1955">
            <v>321.44</v>
          </cell>
          <cell r="J1955">
            <v>1684.5599999999899</v>
          </cell>
          <cell r="K1955">
            <v>0</v>
          </cell>
          <cell r="L1955">
            <v>2006</v>
          </cell>
          <cell r="M1955">
            <v>25494.13</v>
          </cell>
          <cell r="N1955">
            <v>523.07000000000005</v>
          </cell>
          <cell r="O1955">
            <v>0</v>
          </cell>
          <cell r="R1955">
            <v>6.82</v>
          </cell>
        </row>
        <row r="1956">
          <cell r="G1956">
            <v>1293258.22</v>
          </cell>
          <cell r="I1956">
            <v>19099.82</v>
          </cell>
          <cell r="J1956">
            <v>38728.489999999903</v>
          </cell>
          <cell r="K1956">
            <v>0</v>
          </cell>
          <cell r="L1956">
            <v>57828.309999999903</v>
          </cell>
          <cell r="M1956">
            <v>1411730.46</v>
          </cell>
          <cell r="N1956">
            <v>75711.83</v>
          </cell>
          <cell r="O1956">
            <v>0</v>
          </cell>
          <cell r="R1956">
            <v>392.94</v>
          </cell>
        </row>
        <row r="1957">
          <cell r="G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-7.4199999999999902</v>
          </cell>
          <cell r="N1957">
            <v>-174.58</v>
          </cell>
          <cell r="O1957">
            <v>0</v>
          </cell>
          <cell r="R1957">
            <v>0</v>
          </cell>
        </row>
        <row r="1958">
          <cell r="G1958">
            <v>67156.479999999894</v>
          </cell>
          <cell r="I1958">
            <v>991.12</v>
          </cell>
          <cell r="J1958">
            <v>4384.5799999999899</v>
          </cell>
          <cell r="K1958">
            <v>0</v>
          </cell>
          <cell r="L1958">
            <v>5375.6999999999898</v>
          </cell>
          <cell r="M1958">
            <v>75765</v>
          </cell>
          <cell r="N1958">
            <v>3528.03</v>
          </cell>
          <cell r="O1958">
            <v>0</v>
          </cell>
          <cell r="R1958">
            <v>20.399999999999899</v>
          </cell>
        </row>
        <row r="1959">
          <cell r="G1959">
            <v>110843.039999999</v>
          </cell>
          <cell r="I1959">
            <v>1607.2</v>
          </cell>
          <cell r="J1959">
            <v>9946.3199999999906</v>
          </cell>
          <cell r="K1959">
            <v>0</v>
          </cell>
          <cell r="L1959">
            <v>11553.52</v>
          </cell>
          <cell r="M1959">
            <v>127658.39</v>
          </cell>
          <cell r="N1959">
            <v>1401.6099999999899</v>
          </cell>
          <cell r="O1959">
            <v>0</v>
          </cell>
          <cell r="R1959">
            <v>33.689999999999898</v>
          </cell>
        </row>
        <row r="1960">
          <cell r="G1960">
            <v>21780.48</v>
          </cell>
          <cell r="I1960">
            <v>321.44</v>
          </cell>
          <cell r="J1960">
            <v>1484.88</v>
          </cell>
          <cell r="K1960">
            <v>0</v>
          </cell>
          <cell r="L1960">
            <v>1806.3199999999899</v>
          </cell>
          <cell r="M1960">
            <v>24631.31</v>
          </cell>
          <cell r="N1960">
            <v>988.21</v>
          </cell>
          <cell r="O1960">
            <v>0</v>
          </cell>
          <cell r="R1960">
            <v>6.62</v>
          </cell>
        </row>
        <row r="1961">
          <cell r="G1961">
            <v>69675.100000000006</v>
          </cell>
          <cell r="I1961">
            <v>1043.6199999999899</v>
          </cell>
          <cell r="J1961">
            <v>4214.18</v>
          </cell>
          <cell r="K1961">
            <v>0</v>
          </cell>
          <cell r="L1961">
            <v>5257.8</v>
          </cell>
          <cell r="M1961">
            <v>78238.509999999893</v>
          </cell>
          <cell r="N1961">
            <v>2840.3699999999899</v>
          </cell>
          <cell r="O1961">
            <v>0</v>
          </cell>
          <cell r="R1961">
            <v>21.17</v>
          </cell>
        </row>
        <row r="1962">
          <cell r="G1962">
            <v>51728.629999999903</v>
          </cell>
          <cell r="I1962">
            <v>763.42999999999904</v>
          </cell>
          <cell r="J1962">
            <v>4194.8599999999897</v>
          </cell>
          <cell r="K1962">
            <v>0</v>
          </cell>
          <cell r="L1962">
            <v>4958.29</v>
          </cell>
          <cell r="M1962">
            <v>59167.629999999903</v>
          </cell>
          <cell r="N1962">
            <v>1678.16</v>
          </cell>
          <cell r="O1962">
            <v>0</v>
          </cell>
          <cell r="R1962">
            <v>15.71</v>
          </cell>
        </row>
        <row r="1963">
          <cell r="G1963">
            <v>868.05999999999904</v>
          </cell>
          <cell r="I1963">
            <v>0</v>
          </cell>
          <cell r="J1963">
            <v>-133.19999999999899</v>
          </cell>
          <cell r="K1963">
            <v>0</v>
          </cell>
          <cell r="L1963">
            <v>-133.19999999999899</v>
          </cell>
          <cell r="M1963">
            <v>734.86</v>
          </cell>
          <cell r="N1963">
            <v>-734.86</v>
          </cell>
          <cell r="O1963">
            <v>0</v>
          </cell>
          <cell r="R1963">
            <v>0</v>
          </cell>
        </row>
        <row r="1964">
          <cell r="G1964">
            <v>1757738.23</v>
          </cell>
          <cell r="I1964">
            <v>0</v>
          </cell>
          <cell r="J1964">
            <v>0</v>
          </cell>
          <cell r="K1964">
            <v>0</v>
          </cell>
          <cell r="L1964">
            <v>0</v>
          </cell>
          <cell r="M1964">
            <v>1871092.77</v>
          </cell>
          <cell r="N1964">
            <v>343204.799999999</v>
          </cell>
          <cell r="O1964">
            <v>0</v>
          </cell>
          <cell r="R1964">
            <v>0</v>
          </cell>
        </row>
        <row r="1965">
          <cell r="G1965">
            <v>22511.8499999999</v>
          </cell>
          <cell r="I1965">
            <v>0</v>
          </cell>
          <cell r="J1965">
            <v>1780.8</v>
          </cell>
          <cell r="K1965">
            <v>0</v>
          </cell>
          <cell r="L1965">
            <v>1780.8</v>
          </cell>
          <cell r="M1965">
            <v>25699.389999999901</v>
          </cell>
          <cell r="N1965">
            <v>1780.6099999999899</v>
          </cell>
          <cell r="O1965">
            <v>0</v>
          </cell>
          <cell r="R1965">
            <v>0</v>
          </cell>
        </row>
        <row r="1966">
          <cell r="G1966">
            <v>23544.889999999901</v>
          </cell>
          <cell r="I1966">
            <v>0</v>
          </cell>
          <cell r="J1966">
            <v>1456.8</v>
          </cell>
          <cell r="K1966">
            <v>0</v>
          </cell>
          <cell r="L1966">
            <v>1456.8</v>
          </cell>
          <cell r="M1966">
            <v>26398.61</v>
          </cell>
          <cell r="N1966">
            <v>889.14999999999895</v>
          </cell>
          <cell r="O1966">
            <v>0</v>
          </cell>
          <cell r="R1966">
            <v>0</v>
          </cell>
        </row>
        <row r="1967">
          <cell r="G1967">
            <v>22511.8499999999</v>
          </cell>
          <cell r="I1967">
            <v>0</v>
          </cell>
          <cell r="J1967">
            <v>1365.8399999999899</v>
          </cell>
          <cell r="K1967">
            <v>0</v>
          </cell>
          <cell r="L1967">
            <v>1365.8399999999899</v>
          </cell>
          <cell r="M1967">
            <v>25222.98</v>
          </cell>
          <cell r="N1967">
            <v>1057.02</v>
          </cell>
          <cell r="O1967">
            <v>0</v>
          </cell>
          <cell r="R1967">
            <v>0</v>
          </cell>
        </row>
        <row r="1968">
          <cell r="G1968">
            <v>23449.84</v>
          </cell>
          <cell r="I1968">
            <v>0</v>
          </cell>
          <cell r="J1968">
            <v>1810.49</v>
          </cell>
          <cell r="K1968">
            <v>0</v>
          </cell>
          <cell r="L1968">
            <v>1810.49</v>
          </cell>
          <cell r="M1968">
            <v>26626.45</v>
          </cell>
          <cell r="N1968">
            <v>60.299999999999898</v>
          </cell>
          <cell r="O1968">
            <v>0</v>
          </cell>
          <cell r="R1968">
            <v>0</v>
          </cell>
        </row>
        <row r="1969">
          <cell r="G1969">
            <v>32829.779999999897</v>
          </cell>
          <cell r="I1969">
            <v>0</v>
          </cell>
          <cell r="J1969">
            <v>0</v>
          </cell>
          <cell r="K1969">
            <v>0</v>
          </cell>
          <cell r="L1969">
            <v>0</v>
          </cell>
          <cell r="M1969">
            <v>34786.879999999903</v>
          </cell>
          <cell r="N1969">
            <v>3443.6199999999899</v>
          </cell>
          <cell r="O1969">
            <v>0</v>
          </cell>
          <cell r="R1969">
            <v>0</v>
          </cell>
        </row>
        <row r="1970">
          <cell r="G1970">
            <v>202606.649999999</v>
          </cell>
          <cell r="I1970">
            <v>0</v>
          </cell>
          <cell r="J1970">
            <v>10422.719999999899</v>
          </cell>
          <cell r="K1970">
            <v>0</v>
          </cell>
          <cell r="L1970">
            <v>10422.719999999899</v>
          </cell>
          <cell r="M1970">
            <v>225436.87</v>
          </cell>
          <cell r="N1970">
            <v>16935.29</v>
          </cell>
          <cell r="O1970">
            <v>0</v>
          </cell>
          <cell r="R1970">
            <v>0</v>
          </cell>
        </row>
        <row r="1971">
          <cell r="G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0</v>
          </cell>
          <cell r="M1971">
            <v>-5.12</v>
          </cell>
          <cell r="N1971">
            <v>-94.719999999999899</v>
          </cell>
          <cell r="O1971">
            <v>0</v>
          </cell>
          <cell r="R1971">
            <v>0</v>
          </cell>
        </row>
        <row r="1972">
          <cell r="G1972">
            <v>67535.55</v>
          </cell>
          <cell r="I1972">
            <v>0</v>
          </cell>
          <cell r="J1972">
            <v>2557.44</v>
          </cell>
          <cell r="K1972">
            <v>0</v>
          </cell>
          <cell r="L1972">
            <v>2557.44</v>
          </cell>
          <cell r="M1972">
            <v>74228.86</v>
          </cell>
          <cell r="N1972">
            <v>6561.8599999999897</v>
          </cell>
          <cell r="O1972">
            <v>0</v>
          </cell>
          <cell r="R1972">
            <v>0</v>
          </cell>
        </row>
        <row r="1973">
          <cell r="G1973">
            <v>96800.589999999895</v>
          </cell>
          <cell r="I1973">
            <v>0</v>
          </cell>
          <cell r="J1973">
            <v>1392.96</v>
          </cell>
          <cell r="K1973">
            <v>0</v>
          </cell>
          <cell r="L1973">
            <v>1392.96</v>
          </cell>
          <cell r="M1973">
            <v>103947.96</v>
          </cell>
          <cell r="N1973">
            <v>8459.52</v>
          </cell>
          <cell r="O1973">
            <v>0</v>
          </cell>
          <cell r="R1973">
            <v>0</v>
          </cell>
        </row>
        <row r="1974">
          <cell r="G1974">
            <v>35697.449999999903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37831.760000000002</v>
          </cell>
          <cell r="N1974">
            <v>3860.44</v>
          </cell>
          <cell r="O1974">
            <v>0</v>
          </cell>
          <cell r="R1974">
            <v>0</v>
          </cell>
        </row>
        <row r="1975">
          <cell r="G1975">
            <v>45023.699999999903</v>
          </cell>
          <cell r="I1975">
            <v>0</v>
          </cell>
          <cell r="J1975">
            <v>1780.8</v>
          </cell>
          <cell r="K1975">
            <v>0</v>
          </cell>
          <cell r="L1975">
            <v>1780.8</v>
          </cell>
          <cell r="M1975">
            <v>49562.709999999897</v>
          </cell>
          <cell r="N1975">
            <v>4317.29</v>
          </cell>
          <cell r="O1975">
            <v>0</v>
          </cell>
          <cell r="R1975">
            <v>0</v>
          </cell>
        </row>
        <row r="1976">
          <cell r="G1976">
            <v>45961.69</v>
          </cell>
          <cell r="I1976">
            <v>0</v>
          </cell>
          <cell r="J1976">
            <v>3012.52</v>
          </cell>
          <cell r="K1976">
            <v>0</v>
          </cell>
          <cell r="L1976">
            <v>3012.52</v>
          </cell>
          <cell r="M1976">
            <v>51820.75</v>
          </cell>
          <cell r="N1976">
            <v>3784.25</v>
          </cell>
          <cell r="O1976">
            <v>0</v>
          </cell>
          <cell r="R1976">
            <v>0</v>
          </cell>
        </row>
        <row r="1977">
          <cell r="G1977">
            <v>90047.399999999907</v>
          </cell>
          <cell r="I1977">
            <v>0</v>
          </cell>
          <cell r="J1977">
            <v>8059.1999999999898</v>
          </cell>
          <cell r="K1977">
            <v>0</v>
          </cell>
          <cell r="L1977">
            <v>8059.1999999999898</v>
          </cell>
          <cell r="M1977">
            <v>103488.81</v>
          </cell>
          <cell r="N1977">
            <v>1648.23</v>
          </cell>
          <cell r="O1977">
            <v>0</v>
          </cell>
          <cell r="R1977">
            <v>0</v>
          </cell>
        </row>
        <row r="1978">
          <cell r="G1978">
            <v>99125.77</v>
          </cell>
          <cell r="I1978">
            <v>0</v>
          </cell>
          <cell r="J1978">
            <v>6947.68</v>
          </cell>
          <cell r="K1978">
            <v>0</v>
          </cell>
          <cell r="L1978">
            <v>6947.68</v>
          </cell>
          <cell r="M1978">
            <v>112189.21</v>
          </cell>
          <cell r="N1978">
            <v>7276.8599999999897</v>
          </cell>
          <cell r="O1978">
            <v>0</v>
          </cell>
          <cell r="R1978">
            <v>0</v>
          </cell>
        </row>
        <row r="1979">
          <cell r="G1979">
            <v>553848.53</v>
          </cell>
          <cell r="I1979">
            <v>0</v>
          </cell>
          <cell r="J1979">
            <v>12453.84</v>
          </cell>
          <cell r="K1979">
            <v>0</v>
          </cell>
          <cell r="L1979">
            <v>12453.84</v>
          </cell>
          <cell r="M1979">
            <v>599135.41</v>
          </cell>
          <cell r="N1979">
            <v>42233.55</v>
          </cell>
          <cell r="O1979">
            <v>0</v>
          </cell>
          <cell r="R1979">
            <v>0</v>
          </cell>
        </row>
        <row r="1980">
          <cell r="G1980">
            <v>22545.7599999999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23887.7599999999</v>
          </cell>
          <cell r="N1980">
            <v>2327.44</v>
          </cell>
          <cell r="O1980">
            <v>0</v>
          </cell>
          <cell r="R1980">
            <v>0</v>
          </cell>
        </row>
        <row r="1981">
          <cell r="G1981">
            <v>23449.84</v>
          </cell>
          <cell r="I1981">
            <v>0</v>
          </cell>
          <cell r="J1981">
            <v>2280.36</v>
          </cell>
          <cell r="K1981">
            <v>0</v>
          </cell>
          <cell r="L1981">
            <v>2280.36</v>
          </cell>
          <cell r="M1981">
            <v>27106.0099999999</v>
          </cell>
          <cell r="N1981">
            <v>-231.009999999999</v>
          </cell>
          <cell r="O1981">
            <v>0</v>
          </cell>
          <cell r="R1981">
            <v>0</v>
          </cell>
        </row>
        <row r="1982">
          <cell r="G1982">
            <v>22511.8499999999</v>
          </cell>
          <cell r="I1982">
            <v>0</v>
          </cell>
          <cell r="J1982">
            <v>2119.1999999999898</v>
          </cell>
          <cell r="K1982">
            <v>0</v>
          </cell>
          <cell r="L1982">
            <v>2119.1999999999898</v>
          </cell>
          <cell r="M1982">
            <v>25976.34</v>
          </cell>
          <cell r="N1982">
            <v>303.66000000000003</v>
          </cell>
          <cell r="O1982">
            <v>0</v>
          </cell>
          <cell r="R1982">
            <v>0</v>
          </cell>
        </row>
        <row r="1983">
          <cell r="G1983">
            <v>88640.399999999907</v>
          </cell>
          <cell r="I1983">
            <v>0</v>
          </cell>
          <cell r="J1983">
            <v>4365.1499999999896</v>
          </cell>
          <cell r="K1983">
            <v>0</v>
          </cell>
          <cell r="L1983">
            <v>4365.1499999999896</v>
          </cell>
          <cell r="M1983">
            <v>98326.27</v>
          </cell>
          <cell r="N1983">
            <v>5610.68</v>
          </cell>
          <cell r="O1983">
            <v>0</v>
          </cell>
          <cell r="R1983">
            <v>0</v>
          </cell>
        </row>
        <row r="1984">
          <cell r="G1984">
            <v>45091.519999999902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47775.529999999897</v>
          </cell>
          <cell r="N1984">
            <v>4654.8699999999899</v>
          </cell>
          <cell r="O1984">
            <v>0</v>
          </cell>
          <cell r="R1984">
            <v>0</v>
          </cell>
        </row>
        <row r="1985">
          <cell r="G1985">
            <v>132533.20000000001</v>
          </cell>
          <cell r="I1985">
            <v>0</v>
          </cell>
          <cell r="J1985">
            <v>1322.52</v>
          </cell>
          <cell r="K1985">
            <v>0</v>
          </cell>
          <cell r="L1985">
            <v>1322.52</v>
          </cell>
          <cell r="M1985">
            <v>141766.64000000001</v>
          </cell>
          <cell r="N1985">
            <v>12767.309999999899</v>
          </cell>
          <cell r="O1985">
            <v>0</v>
          </cell>
          <cell r="R1985">
            <v>0</v>
          </cell>
        </row>
        <row r="1986">
          <cell r="G1986">
            <v>22511.8499999999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23853.8499999999</v>
          </cell>
          <cell r="N1986">
            <v>2361.3499999999899</v>
          </cell>
          <cell r="O1986">
            <v>0</v>
          </cell>
          <cell r="R1986">
            <v>0</v>
          </cell>
        </row>
        <row r="1987">
          <cell r="G1987">
            <v>22511.8499999999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23853.8499999999</v>
          </cell>
          <cell r="N1987">
            <v>2361.3499999999899</v>
          </cell>
          <cell r="O1987">
            <v>0</v>
          </cell>
          <cell r="R1987">
            <v>0</v>
          </cell>
        </row>
        <row r="1988">
          <cell r="G1988">
            <v>45023.699999999903</v>
          </cell>
          <cell r="I1988">
            <v>0</v>
          </cell>
          <cell r="J1988">
            <v>1248</v>
          </cell>
          <cell r="K1988">
            <v>0</v>
          </cell>
          <cell r="L1988">
            <v>1248</v>
          </cell>
          <cell r="M1988">
            <v>46271.699999999903</v>
          </cell>
          <cell r="N1988">
            <v>5801.34</v>
          </cell>
          <cell r="O1988">
            <v>0</v>
          </cell>
          <cell r="R1988">
            <v>0</v>
          </cell>
        </row>
        <row r="1989">
          <cell r="G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-219.84</v>
          </cell>
          <cell r="O1989">
            <v>0</v>
          </cell>
          <cell r="R1989">
            <v>0</v>
          </cell>
        </row>
        <row r="1990">
          <cell r="G1990">
            <v>45023.699999999903</v>
          </cell>
          <cell r="I1990">
            <v>0</v>
          </cell>
          <cell r="J1990">
            <v>4415.5200000000004</v>
          </cell>
          <cell r="K1990">
            <v>0</v>
          </cell>
          <cell r="L1990">
            <v>4415.5200000000004</v>
          </cell>
          <cell r="M1990">
            <v>49439.22</v>
          </cell>
          <cell r="N1990">
            <v>5520.7799999999897</v>
          </cell>
          <cell r="O1990">
            <v>0</v>
          </cell>
          <cell r="R1990">
            <v>0</v>
          </cell>
        </row>
        <row r="1991">
          <cell r="G1991">
            <v>33784.730000000003</v>
          </cell>
          <cell r="I1991">
            <v>0</v>
          </cell>
          <cell r="J1991">
            <v>2325.36</v>
          </cell>
          <cell r="K1991">
            <v>0</v>
          </cell>
          <cell r="L1991">
            <v>2325.36</v>
          </cell>
          <cell r="M1991">
            <v>36734.559999999903</v>
          </cell>
          <cell r="N1991">
            <v>1560.92</v>
          </cell>
          <cell r="O1991">
            <v>0</v>
          </cell>
          <cell r="R1991">
            <v>0</v>
          </cell>
        </row>
        <row r="1992">
          <cell r="G1992">
            <v>10657.67</v>
          </cell>
          <cell r="I1992">
            <v>0</v>
          </cell>
          <cell r="J1992">
            <v>0</v>
          </cell>
          <cell r="K1992">
            <v>0</v>
          </cell>
          <cell r="L1992">
            <v>0</v>
          </cell>
          <cell r="M1992">
            <v>11328.66</v>
          </cell>
          <cell r="N1992">
            <v>1778.94</v>
          </cell>
          <cell r="O1992">
            <v>0</v>
          </cell>
          <cell r="R1992">
            <v>0</v>
          </cell>
        </row>
        <row r="1993">
          <cell r="G1993">
            <v>46899.68</v>
          </cell>
          <cell r="I1993">
            <v>0</v>
          </cell>
          <cell r="J1993">
            <v>4457.3199999999897</v>
          </cell>
          <cell r="K1993">
            <v>0</v>
          </cell>
          <cell r="L1993">
            <v>4457.3199999999897</v>
          </cell>
          <cell r="M1993">
            <v>51357</v>
          </cell>
          <cell r="N1993">
            <v>2393</v>
          </cell>
          <cell r="O1993">
            <v>0</v>
          </cell>
          <cell r="R1993">
            <v>0</v>
          </cell>
        </row>
        <row r="1994">
          <cell r="G1994">
            <v>1020338.61</v>
          </cell>
          <cell r="I1994">
            <v>0</v>
          </cell>
          <cell r="J1994">
            <v>43573.04</v>
          </cell>
          <cell r="K1994">
            <v>0</v>
          </cell>
          <cell r="L1994">
            <v>43573.04</v>
          </cell>
          <cell r="M1994">
            <v>1082199.5</v>
          </cell>
          <cell r="N1994">
            <v>134746.89000000001</v>
          </cell>
          <cell r="O1994">
            <v>0</v>
          </cell>
          <cell r="R1994">
            <v>0</v>
          </cell>
        </row>
        <row r="1995">
          <cell r="G1995">
            <v>90183.179999999906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95589.02</v>
          </cell>
          <cell r="N1995">
            <v>10010.98</v>
          </cell>
          <cell r="O1995">
            <v>0</v>
          </cell>
          <cell r="R1995">
            <v>0</v>
          </cell>
        </row>
        <row r="1996">
          <cell r="G1996">
            <v>23449.84</v>
          </cell>
          <cell r="I1996">
            <v>0</v>
          </cell>
          <cell r="J1996">
            <v>1685.8099999999899</v>
          </cell>
          <cell r="K1996">
            <v>0</v>
          </cell>
          <cell r="L1996">
            <v>1685.8099999999899</v>
          </cell>
          <cell r="M1996">
            <v>25135.65</v>
          </cell>
          <cell r="N1996">
            <v>2792.3499999999899</v>
          </cell>
          <cell r="O1996">
            <v>0</v>
          </cell>
          <cell r="R1996">
            <v>0</v>
          </cell>
        </row>
        <row r="1997">
          <cell r="G1997">
            <v>9810.3700000000008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9810.3700000000008</v>
          </cell>
          <cell r="N1997">
            <v>1112.6300000000001</v>
          </cell>
          <cell r="O1997">
            <v>0</v>
          </cell>
          <cell r="R1997">
            <v>0</v>
          </cell>
        </row>
        <row r="1998">
          <cell r="G1998">
            <v>555974.78</v>
          </cell>
          <cell r="I1998">
            <v>0</v>
          </cell>
          <cell r="J1998">
            <v>9203.52</v>
          </cell>
          <cell r="K1998">
            <v>0</v>
          </cell>
          <cell r="L1998">
            <v>9203.52</v>
          </cell>
          <cell r="M1998">
            <v>579611.07999999903</v>
          </cell>
          <cell r="N1998">
            <v>92808.55</v>
          </cell>
          <cell r="O1998">
            <v>0</v>
          </cell>
          <cell r="R1998">
            <v>0</v>
          </cell>
        </row>
        <row r="1999">
          <cell r="G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-2559.5999999999899</v>
          </cell>
          <cell r="O1999">
            <v>0</v>
          </cell>
          <cell r="R1999">
            <v>0</v>
          </cell>
        </row>
        <row r="2000">
          <cell r="G2000">
            <v>22511.84</v>
          </cell>
          <cell r="I2000">
            <v>0</v>
          </cell>
          <cell r="J2000">
            <v>1749.1199999999899</v>
          </cell>
          <cell r="K2000">
            <v>0</v>
          </cell>
          <cell r="L2000">
            <v>1749.1199999999899</v>
          </cell>
          <cell r="M2000">
            <v>24260.959999999901</v>
          </cell>
          <cell r="N2000">
            <v>3219.04</v>
          </cell>
          <cell r="O2000">
            <v>0</v>
          </cell>
          <cell r="R2000">
            <v>0</v>
          </cell>
        </row>
        <row r="2001">
          <cell r="G2001">
            <v>30015.799999999901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30015.799999999901</v>
          </cell>
          <cell r="N2001">
            <v>4937.8</v>
          </cell>
          <cell r="O2001">
            <v>0</v>
          </cell>
          <cell r="R2001">
            <v>0</v>
          </cell>
        </row>
        <row r="2002">
          <cell r="G2002">
            <v>120063.2</v>
          </cell>
          <cell r="I2002">
            <v>0</v>
          </cell>
          <cell r="J2002">
            <v>8241.92</v>
          </cell>
          <cell r="K2002">
            <v>0</v>
          </cell>
          <cell r="L2002">
            <v>8241.92</v>
          </cell>
          <cell r="M2002">
            <v>128305.12</v>
          </cell>
          <cell r="N2002">
            <v>17293.68</v>
          </cell>
          <cell r="O2002">
            <v>0</v>
          </cell>
          <cell r="R2002">
            <v>0</v>
          </cell>
        </row>
        <row r="2003">
          <cell r="G2003">
            <v>7503.9499999999898</v>
          </cell>
          <cell r="I2003">
            <v>0</v>
          </cell>
          <cell r="J2003">
            <v>0</v>
          </cell>
          <cell r="K2003">
            <v>0</v>
          </cell>
          <cell r="L2003">
            <v>0</v>
          </cell>
          <cell r="M2003">
            <v>7503.9499999999898</v>
          </cell>
          <cell r="N2003">
            <v>1234.45</v>
          </cell>
          <cell r="O2003">
            <v>0</v>
          </cell>
          <cell r="R2003">
            <v>0</v>
          </cell>
        </row>
        <row r="2004">
          <cell r="G2004">
            <v>22511.84</v>
          </cell>
          <cell r="I2004">
            <v>0</v>
          </cell>
          <cell r="J2004">
            <v>2163.36</v>
          </cell>
          <cell r="K2004">
            <v>0</v>
          </cell>
          <cell r="L2004">
            <v>2163.36</v>
          </cell>
          <cell r="M2004">
            <v>24675.200000000001</v>
          </cell>
          <cell r="N2004">
            <v>1604.8</v>
          </cell>
          <cell r="O2004">
            <v>0</v>
          </cell>
          <cell r="R2004">
            <v>0</v>
          </cell>
        </row>
        <row r="2005">
          <cell r="G2005">
            <v>22511.8499999999</v>
          </cell>
          <cell r="I2005">
            <v>0</v>
          </cell>
          <cell r="J2005">
            <v>1886.64</v>
          </cell>
          <cell r="K2005">
            <v>0</v>
          </cell>
          <cell r="L2005">
            <v>1886.64</v>
          </cell>
          <cell r="M2005">
            <v>24398.49</v>
          </cell>
          <cell r="N2005">
            <v>3081.51</v>
          </cell>
          <cell r="O2005">
            <v>0</v>
          </cell>
          <cell r="R2005">
            <v>0</v>
          </cell>
        </row>
        <row r="2006">
          <cell r="G2006">
            <v>28139.81</v>
          </cell>
          <cell r="I2006">
            <v>0</v>
          </cell>
          <cell r="J2006">
            <v>1515.5999999999899</v>
          </cell>
          <cell r="K2006">
            <v>0</v>
          </cell>
          <cell r="L2006">
            <v>1515.5999999999899</v>
          </cell>
          <cell r="M2006">
            <v>29655.41</v>
          </cell>
          <cell r="N2006">
            <v>4694.59</v>
          </cell>
          <cell r="O2006">
            <v>0</v>
          </cell>
          <cell r="R2006">
            <v>0</v>
          </cell>
        </row>
        <row r="2007">
          <cell r="G2007">
            <v>86329.33</v>
          </cell>
          <cell r="I2007">
            <v>0</v>
          </cell>
          <cell r="J2007">
            <v>0</v>
          </cell>
          <cell r="K2007">
            <v>0</v>
          </cell>
          <cell r="L2007">
            <v>0</v>
          </cell>
          <cell r="M2007">
            <v>87671.33</v>
          </cell>
          <cell r="N2007">
            <v>12820.27</v>
          </cell>
          <cell r="O2007">
            <v>0</v>
          </cell>
          <cell r="R2007">
            <v>0</v>
          </cell>
        </row>
        <row r="2008">
          <cell r="G2008">
            <v>9379.94</v>
          </cell>
          <cell r="I2008">
            <v>0</v>
          </cell>
          <cell r="J2008">
            <v>0</v>
          </cell>
          <cell r="K2008">
            <v>0</v>
          </cell>
          <cell r="L2008">
            <v>0</v>
          </cell>
          <cell r="M2008">
            <v>9379.94</v>
          </cell>
          <cell r="N2008">
            <v>1543.0599999999899</v>
          </cell>
          <cell r="O2008">
            <v>0</v>
          </cell>
          <cell r="R2008">
            <v>0</v>
          </cell>
        </row>
        <row r="2009">
          <cell r="G2009">
            <v>85350.229999999894</v>
          </cell>
          <cell r="I2009">
            <v>0</v>
          </cell>
          <cell r="J2009">
            <v>0</v>
          </cell>
          <cell r="K2009">
            <v>0</v>
          </cell>
          <cell r="L2009">
            <v>0</v>
          </cell>
          <cell r="M2009">
            <v>85350.229999999894</v>
          </cell>
          <cell r="N2009">
            <v>10164.969999999899</v>
          </cell>
          <cell r="O2009">
            <v>0</v>
          </cell>
          <cell r="R2009">
            <v>0</v>
          </cell>
        </row>
        <row r="2010">
          <cell r="G2010">
            <v>45938.239999999903</v>
          </cell>
          <cell r="I2010">
            <v>0</v>
          </cell>
          <cell r="J2010">
            <v>0</v>
          </cell>
          <cell r="K2010">
            <v>0</v>
          </cell>
          <cell r="L2010">
            <v>0</v>
          </cell>
          <cell r="M2010">
            <v>45938.239999999903</v>
          </cell>
          <cell r="N2010">
            <v>7370.97</v>
          </cell>
          <cell r="O2010">
            <v>0</v>
          </cell>
          <cell r="R2010">
            <v>0</v>
          </cell>
        </row>
        <row r="2011">
          <cell r="G2011">
            <v>23544.889999999901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23544.889999999901</v>
          </cell>
          <cell r="N2011">
            <v>2855.11</v>
          </cell>
          <cell r="O2011">
            <v>0</v>
          </cell>
          <cell r="R2011">
            <v>0</v>
          </cell>
        </row>
        <row r="2012">
          <cell r="G2012">
            <v>23449.84</v>
          </cell>
          <cell r="I2012">
            <v>0</v>
          </cell>
          <cell r="J2012">
            <v>1261.4000000000001</v>
          </cell>
          <cell r="K2012">
            <v>0</v>
          </cell>
          <cell r="L2012">
            <v>1261.4000000000001</v>
          </cell>
          <cell r="M2012">
            <v>24711.24</v>
          </cell>
          <cell r="N2012">
            <v>3216.76</v>
          </cell>
          <cell r="O2012">
            <v>0</v>
          </cell>
          <cell r="R2012">
            <v>0</v>
          </cell>
        </row>
        <row r="2013">
          <cell r="G2013">
            <v>93296.33</v>
          </cell>
          <cell r="I2013">
            <v>0</v>
          </cell>
          <cell r="J2013">
            <v>2063.2199999999898</v>
          </cell>
          <cell r="K2013">
            <v>0</v>
          </cell>
          <cell r="L2013">
            <v>2063.2199999999898</v>
          </cell>
          <cell r="M2013">
            <v>95359.55</v>
          </cell>
          <cell r="N2013">
            <v>12836.219999999899</v>
          </cell>
          <cell r="O2013">
            <v>0</v>
          </cell>
          <cell r="R2013">
            <v>0</v>
          </cell>
        </row>
        <row r="2014">
          <cell r="G2014">
            <v>22511.8499999999</v>
          </cell>
          <cell r="I2014">
            <v>0</v>
          </cell>
          <cell r="J2014">
            <v>1833.8399999999899</v>
          </cell>
          <cell r="K2014">
            <v>0</v>
          </cell>
          <cell r="L2014">
            <v>1833.8399999999899</v>
          </cell>
          <cell r="M2014">
            <v>24345.6899999999</v>
          </cell>
          <cell r="N2014">
            <v>2942.07</v>
          </cell>
          <cell r="O2014">
            <v>0</v>
          </cell>
          <cell r="R2014">
            <v>0</v>
          </cell>
        </row>
        <row r="2015">
          <cell r="G2015">
            <v>22511.8499999999</v>
          </cell>
          <cell r="I2015">
            <v>0</v>
          </cell>
          <cell r="J2015">
            <v>1344.96</v>
          </cell>
          <cell r="K2015">
            <v>0</v>
          </cell>
          <cell r="L2015">
            <v>1344.96</v>
          </cell>
          <cell r="M2015">
            <v>23856.81</v>
          </cell>
          <cell r="N2015">
            <v>2239.3499999999899</v>
          </cell>
          <cell r="O2015">
            <v>0</v>
          </cell>
          <cell r="R2015">
            <v>0</v>
          </cell>
        </row>
        <row r="2016">
          <cell r="G2016">
            <v>78791.47</v>
          </cell>
          <cell r="I2016">
            <v>0</v>
          </cell>
          <cell r="J2016">
            <v>7068.3599999999897</v>
          </cell>
          <cell r="K2016">
            <v>0</v>
          </cell>
          <cell r="L2016">
            <v>7068.3599999999897</v>
          </cell>
          <cell r="M2016">
            <v>85859.83</v>
          </cell>
          <cell r="N2016">
            <v>9647.3299999999908</v>
          </cell>
          <cell r="O2016">
            <v>0</v>
          </cell>
          <cell r="R2016">
            <v>0</v>
          </cell>
        </row>
        <row r="2017">
          <cell r="G2017">
            <v>58155.61</v>
          </cell>
          <cell r="I2017">
            <v>0</v>
          </cell>
          <cell r="J2017">
            <v>4653.1999999999898</v>
          </cell>
          <cell r="K2017">
            <v>0</v>
          </cell>
          <cell r="L2017">
            <v>4653.1999999999898</v>
          </cell>
          <cell r="M2017">
            <v>62808.809999999903</v>
          </cell>
          <cell r="N2017">
            <v>6605.1099999999897</v>
          </cell>
          <cell r="O2017">
            <v>0</v>
          </cell>
          <cell r="R2017">
            <v>0</v>
          </cell>
        </row>
        <row r="2018">
          <cell r="G2018">
            <v>22511.8499999999</v>
          </cell>
          <cell r="I2018">
            <v>0</v>
          </cell>
          <cell r="J2018">
            <v>0</v>
          </cell>
          <cell r="K2018">
            <v>0</v>
          </cell>
          <cell r="L2018">
            <v>0</v>
          </cell>
          <cell r="M2018">
            <v>22511.8499999999</v>
          </cell>
          <cell r="N2018">
            <v>3703.3499999999899</v>
          </cell>
          <cell r="O2018">
            <v>0</v>
          </cell>
          <cell r="R2018">
            <v>0</v>
          </cell>
        </row>
        <row r="2019">
          <cell r="G2019">
            <v>69809.729999999894</v>
          </cell>
          <cell r="I2019">
            <v>0</v>
          </cell>
          <cell r="J2019">
            <v>2388.4099999999899</v>
          </cell>
          <cell r="K2019">
            <v>0</v>
          </cell>
          <cell r="L2019">
            <v>2388.4099999999899</v>
          </cell>
          <cell r="M2019">
            <v>72198.139999999898</v>
          </cell>
          <cell r="N2019">
            <v>11764.559999999899</v>
          </cell>
          <cell r="O2019">
            <v>0</v>
          </cell>
          <cell r="R2019">
            <v>0</v>
          </cell>
        </row>
        <row r="2020">
          <cell r="G2020">
            <v>22545.7599999999</v>
          </cell>
          <cell r="I2020">
            <v>0</v>
          </cell>
          <cell r="J2020">
            <v>0</v>
          </cell>
          <cell r="K2020">
            <v>0</v>
          </cell>
          <cell r="L2020">
            <v>0</v>
          </cell>
          <cell r="M2020">
            <v>23897.25</v>
          </cell>
          <cell r="N2020">
            <v>2502.75</v>
          </cell>
          <cell r="O2020">
            <v>0</v>
          </cell>
          <cell r="R2020">
            <v>0</v>
          </cell>
        </row>
        <row r="2021">
          <cell r="G2021">
            <v>563082.65</v>
          </cell>
          <cell r="I2021">
            <v>0</v>
          </cell>
          <cell r="J2021">
            <v>1620.69</v>
          </cell>
          <cell r="K2021">
            <v>0</v>
          </cell>
          <cell r="L2021">
            <v>1620.69</v>
          </cell>
          <cell r="M2021">
            <v>564703.33999999904</v>
          </cell>
          <cell r="N2021">
            <v>88300.289999999906</v>
          </cell>
          <cell r="O2021">
            <v>0</v>
          </cell>
          <cell r="R2021">
            <v>0</v>
          </cell>
        </row>
        <row r="2022">
          <cell r="G2022">
            <v>67637.279999999897</v>
          </cell>
          <cell r="I2022">
            <v>0</v>
          </cell>
          <cell r="J2022">
            <v>0</v>
          </cell>
          <cell r="K2022">
            <v>0</v>
          </cell>
          <cell r="L2022">
            <v>0</v>
          </cell>
          <cell r="M2022">
            <v>71737.119999999893</v>
          </cell>
          <cell r="N2022">
            <v>8349.92</v>
          </cell>
          <cell r="O2022">
            <v>0</v>
          </cell>
          <cell r="R2022">
            <v>0</v>
          </cell>
        </row>
        <row r="2023">
          <cell r="G2023">
            <v>22511.8499999999</v>
          </cell>
          <cell r="I2023">
            <v>0</v>
          </cell>
          <cell r="J2023">
            <v>2163.36</v>
          </cell>
          <cell r="K2023">
            <v>0</v>
          </cell>
          <cell r="L2023">
            <v>2163.36</v>
          </cell>
          <cell r="M2023">
            <v>24675.209999999901</v>
          </cell>
          <cell r="N2023">
            <v>1420.95</v>
          </cell>
          <cell r="O2023">
            <v>0</v>
          </cell>
          <cell r="R2023">
            <v>0</v>
          </cell>
        </row>
        <row r="2024">
          <cell r="G2024">
            <v>22511.8499999999</v>
          </cell>
          <cell r="I2024">
            <v>0</v>
          </cell>
          <cell r="J2024">
            <v>1727.76</v>
          </cell>
          <cell r="K2024">
            <v>0</v>
          </cell>
          <cell r="L2024">
            <v>1727.76</v>
          </cell>
          <cell r="M2024">
            <v>24239.61</v>
          </cell>
          <cell r="N2024">
            <v>3240.3899999999899</v>
          </cell>
          <cell r="O2024">
            <v>0</v>
          </cell>
          <cell r="R2024">
            <v>0</v>
          </cell>
        </row>
        <row r="2025">
          <cell r="G2025">
            <v>47089.779999999897</v>
          </cell>
          <cell r="I2025">
            <v>0</v>
          </cell>
          <cell r="J2025">
            <v>4238.3999999999896</v>
          </cell>
          <cell r="K2025">
            <v>0</v>
          </cell>
          <cell r="L2025">
            <v>4238.3999999999896</v>
          </cell>
          <cell r="M2025">
            <v>51328.18</v>
          </cell>
          <cell r="N2025">
            <v>1976.78</v>
          </cell>
          <cell r="O2025">
            <v>0</v>
          </cell>
          <cell r="R2025">
            <v>0</v>
          </cell>
        </row>
        <row r="2026">
          <cell r="G2026">
            <v>45091.519999999902</v>
          </cell>
          <cell r="I2026">
            <v>0</v>
          </cell>
          <cell r="J2026">
            <v>0</v>
          </cell>
          <cell r="K2026">
            <v>0</v>
          </cell>
          <cell r="L2026">
            <v>0</v>
          </cell>
          <cell r="M2026">
            <v>47794.47</v>
          </cell>
          <cell r="N2026">
            <v>5005.5299999999897</v>
          </cell>
          <cell r="O2026">
            <v>0</v>
          </cell>
          <cell r="R2026">
            <v>0</v>
          </cell>
        </row>
        <row r="2027">
          <cell r="G2027">
            <v>22511.8499999999</v>
          </cell>
          <cell r="I2027">
            <v>0</v>
          </cell>
          <cell r="J2027">
            <v>1980.72</v>
          </cell>
          <cell r="K2027">
            <v>0</v>
          </cell>
          <cell r="L2027">
            <v>1980.72</v>
          </cell>
          <cell r="M2027">
            <v>24492.57</v>
          </cell>
          <cell r="N2027">
            <v>2795.19</v>
          </cell>
          <cell r="O2027">
            <v>0</v>
          </cell>
          <cell r="R2027">
            <v>0</v>
          </cell>
        </row>
        <row r="2028">
          <cell r="G2028">
            <v>38681.160000000003</v>
          </cell>
          <cell r="I2028">
            <v>287.3</v>
          </cell>
          <cell r="J2028">
            <v>5707.92</v>
          </cell>
          <cell r="K2028">
            <v>0.13</v>
          </cell>
          <cell r="L2028">
            <v>5995.35</v>
          </cell>
          <cell r="M2028">
            <v>46416.18</v>
          </cell>
          <cell r="N2028">
            <v>8197.26</v>
          </cell>
          <cell r="O2028">
            <v>0</v>
          </cell>
          <cell r="R2028">
            <v>89.76</v>
          </cell>
        </row>
        <row r="2029">
          <cell r="G2029">
            <v>12893.719999999899</v>
          </cell>
          <cell r="I2029">
            <v>95.769999999999897</v>
          </cell>
          <cell r="J2029">
            <v>1892.16</v>
          </cell>
          <cell r="K2029">
            <v>0.04</v>
          </cell>
          <cell r="L2029">
            <v>1987.97</v>
          </cell>
          <cell r="M2029">
            <v>15495.74</v>
          </cell>
          <cell r="N2029">
            <v>3781.0599999999899</v>
          </cell>
          <cell r="O2029">
            <v>0</v>
          </cell>
          <cell r="R2029">
            <v>29.92</v>
          </cell>
        </row>
        <row r="2030">
          <cell r="G2030">
            <v>12893.719999999899</v>
          </cell>
          <cell r="I2030">
            <v>95.769999999999897</v>
          </cell>
          <cell r="J2030">
            <v>1883.64</v>
          </cell>
          <cell r="K2030">
            <v>0.04</v>
          </cell>
          <cell r="L2030">
            <v>1979.45</v>
          </cell>
          <cell r="M2030">
            <v>15462.27</v>
          </cell>
          <cell r="N2030">
            <v>3031.17</v>
          </cell>
          <cell r="O2030">
            <v>0</v>
          </cell>
          <cell r="R2030">
            <v>29.92</v>
          </cell>
        </row>
        <row r="2031">
          <cell r="G2031">
            <v>12893.719999999899</v>
          </cell>
          <cell r="I2031">
            <v>95.769999999999897</v>
          </cell>
          <cell r="J2031">
            <v>1742.4</v>
          </cell>
          <cell r="K2031">
            <v>0.04</v>
          </cell>
          <cell r="L2031">
            <v>1838.21</v>
          </cell>
          <cell r="M2031">
            <v>15328.26</v>
          </cell>
          <cell r="N2031">
            <v>3392.2199999999898</v>
          </cell>
          <cell r="O2031">
            <v>0</v>
          </cell>
          <cell r="R2031">
            <v>29.92</v>
          </cell>
        </row>
        <row r="2032">
          <cell r="G2032">
            <v>25787.4399999999</v>
          </cell>
          <cell r="I2032">
            <v>191.53</v>
          </cell>
          <cell r="J2032">
            <v>3631.6799999999898</v>
          </cell>
          <cell r="K2032">
            <v>8.99999999999999E-2</v>
          </cell>
          <cell r="L2032">
            <v>3823.3</v>
          </cell>
          <cell r="M2032">
            <v>30818.049999999901</v>
          </cell>
          <cell r="N2032">
            <v>7082.75</v>
          </cell>
          <cell r="O2032">
            <v>0</v>
          </cell>
          <cell r="R2032">
            <v>59.85</v>
          </cell>
        </row>
        <row r="2033">
          <cell r="G2033">
            <v>29195.4199999999</v>
          </cell>
          <cell r="I2033">
            <v>191.53</v>
          </cell>
          <cell r="J2033">
            <v>0</v>
          </cell>
          <cell r="K2033">
            <v>8.99999999999999E-2</v>
          </cell>
          <cell r="L2033">
            <v>191.62</v>
          </cell>
          <cell r="M2033">
            <v>30526.45</v>
          </cell>
          <cell r="N2033">
            <v>5242.67</v>
          </cell>
          <cell r="O2033">
            <v>0</v>
          </cell>
          <cell r="R2033">
            <v>67.73</v>
          </cell>
        </row>
        <row r="2034">
          <cell r="G2034">
            <v>77362.350000000006</v>
          </cell>
          <cell r="I2034">
            <v>574.6</v>
          </cell>
          <cell r="J2034">
            <v>10840.08</v>
          </cell>
          <cell r="K2034">
            <v>0.26</v>
          </cell>
          <cell r="L2034">
            <v>11414.94</v>
          </cell>
          <cell r="M2034">
            <v>92302.99</v>
          </cell>
          <cell r="N2034">
            <v>18379.0099999999</v>
          </cell>
          <cell r="O2034">
            <v>0</v>
          </cell>
          <cell r="R2034">
            <v>179.5</v>
          </cell>
        </row>
        <row r="2035">
          <cell r="G2035">
            <v>19340.580000000002</v>
          </cell>
          <cell r="I2035">
            <v>143.65</v>
          </cell>
          <cell r="J2035">
            <v>1379.76</v>
          </cell>
          <cell r="K2035">
            <v>5.9999999999999901E-2</v>
          </cell>
          <cell r="L2035">
            <v>1523.47</v>
          </cell>
          <cell r="M2035">
            <v>21759.529999999901</v>
          </cell>
          <cell r="N2035">
            <v>6352.27</v>
          </cell>
          <cell r="O2035">
            <v>0</v>
          </cell>
          <cell r="R2035">
            <v>44.869999999999898</v>
          </cell>
        </row>
        <row r="2036">
          <cell r="G2036">
            <v>12893.719999999899</v>
          </cell>
          <cell r="I2036">
            <v>95.76</v>
          </cell>
          <cell r="J2036">
            <v>1542.72</v>
          </cell>
          <cell r="K2036">
            <v>0.04</v>
          </cell>
          <cell r="L2036">
            <v>1638.52</v>
          </cell>
          <cell r="M2036">
            <v>15135.91</v>
          </cell>
          <cell r="N2036">
            <v>3814.4899999999898</v>
          </cell>
          <cell r="O2036">
            <v>0</v>
          </cell>
          <cell r="R2036">
            <v>29.92</v>
          </cell>
        </row>
        <row r="2037">
          <cell r="G2037">
            <v>458.12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458.12</v>
          </cell>
          <cell r="N2037">
            <v>-458.12</v>
          </cell>
          <cell r="O2037">
            <v>0</v>
          </cell>
          <cell r="R2037">
            <v>0</v>
          </cell>
        </row>
        <row r="2038">
          <cell r="G2038">
            <v>25845.54</v>
          </cell>
          <cell r="I2038">
            <v>165</v>
          </cell>
          <cell r="J2038">
            <v>3274.5599999999899</v>
          </cell>
          <cell r="K2038">
            <v>0</v>
          </cell>
          <cell r="L2038">
            <v>3439.5599999999899</v>
          </cell>
          <cell r="M2038">
            <v>30906.5</v>
          </cell>
          <cell r="N2038">
            <v>8051.26</v>
          </cell>
          <cell r="O2038">
            <v>0</v>
          </cell>
          <cell r="R2038">
            <v>122.7</v>
          </cell>
        </row>
        <row r="2039">
          <cell r="G2039">
            <v>6576.1099999999897</v>
          </cell>
          <cell r="I2039">
            <v>41.25</v>
          </cell>
          <cell r="J2039">
            <v>965.75999999999897</v>
          </cell>
          <cell r="K2039">
            <v>0</v>
          </cell>
          <cell r="L2039">
            <v>1007.01</v>
          </cell>
          <cell r="M2039">
            <v>7986.4499999999898</v>
          </cell>
          <cell r="N2039">
            <v>1704.39</v>
          </cell>
          <cell r="O2039">
            <v>0</v>
          </cell>
          <cell r="R2039">
            <v>31.21</v>
          </cell>
        </row>
        <row r="2040">
          <cell r="G2040">
            <v>6576.1099999999897</v>
          </cell>
          <cell r="I2040">
            <v>41.25</v>
          </cell>
          <cell r="J2040">
            <v>1038.1199999999899</v>
          </cell>
          <cell r="K2040">
            <v>0</v>
          </cell>
          <cell r="L2040">
            <v>1079.3699999999899</v>
          </cell>
          <cell r="M2040">
            <v>8067.54</v>
          </cell>
          <cell r="N2040">
            <v>1832.46</v>
          </cell>
          <cell r="O2040">
            <v>0</v>
          </cell>
          <cell r="R2040">
            <v>31.21</v>
          </cell>
        </row>
        <row r="2041">
          <cell r="G2041">
            <v>13152.219999999899</v>
          </cell>
          <cell r="I2041">
            <v>82.5</v>
          </cell>
          <cell r="J2041">
            <v>1999.3199999999899</v>
          </cell>
          <cell r="K2041">
            <v>0</v>
          </cell>
          <cell r="L2041">
            <v>2081.8200000000002</v>
          </cell>
          <cell r="M2041">
            <v>16040.7</v>
          </cell>
          <cell r="N2041">
            <v>3340.98</v>
          </cell>
          <cell r="O2041">
            <v>0</v>
          </cell>
          <cell r="R2041">
            <v>62.46</v>
          </cell>
        </row>
        <row r="2042">
          <cell r="G2042">
            <v>13152.219999999899</v>
          </cell>
          <cell r="I2042">
            <v>82.5</v>
          </cell>
          <cell r="J2042">
            <v>1030.0799999999899</v>
          </cell>
          <cell r="K2042">
            <v>0</v>
          </cell>
          <cell r="L2042">
            <v>1112.5799999999899</v>
          </cell>
          <cell r="M2042">
            <v>15071.459999999901</v>
          </cell>
          <cell r="N2042">
            <v>4310.22</v>
          </cell>
          <cell r="O2042">
            <v>0</v>
          </cell>
          <cell r="R2042">
            <v>62.46</v>
          </cell>
        </row>
        <row r="2043">
          <cell r="G2043">
            <v>27400.459999999901</v>
          </cell>
          <cell r="I2043">
            <v>171.88</v>
          </cell>
          <cell r="J2043">
            <v>4550.72</v>
          </cell>
          <cell r="K2043">
            <v>0</v>
          </cell>
          <cell r="L2043">
            <v>4722.6000000000004</v>
          </cell>
          <cell r="M2043">
            <v>33750.559999999903</v>
          </cell>
          <cell r="N2043">
            <v>5354.4399999999896</v>
          </cell>
          <cell r="O2043">
            <v>0</v>
          </cell>
          <cell r="R2043">
            <v>130.09</v>
          </cell>
        </row>
        <row r="2044">
          <cell r="G2044">
            <v>13152.219999999899</v>
          </cell>
          <cell r="I2044">
            <v>82.5</v>
          </cell>
          <cell r="J2044">
            <v>1684.5599999999899</v>
          </cell>
          <cell r="K2044">
            <v>0</v>
          </cell>
          <cell r="L2044">
            <v>1767.0599999999899</v>
          </cell>
          <cell r="M2044">
            <v>15743.299999999899</v>
          </cell>
          <cell r="N2044">
            <v>4056.6999999999898</v>
          </cell>
          <cell r="O2044">
            <v>0</v>
          </cell>
          <cell r="R2044">
            <v>62.46</v>
          </cell>
        </row>
        <row r="2045">
          <cell r="G2045">
            <v>13152.219999999899</v>
          </cell>
          <cell r="I2045">
            <v>82.5</v>
          </cell>
          <cell r="J2045">
            <v>2076.2399999999898</v>
          </cell>
          <cell r="K2045">
            <v>0</v>
          </cell>
          <cell r="L2045">
            <v>2158.7399999999898</v>
          </cell>
          <cell r="M2045">
            <v>16120.07</v>
          </cell>
          <cell r="N2045">
            <v>3319.9299999999898</v>
          </cell>
          <cell r="O2045">
            <v>0</v>
          </cell>
          <cell r="R2045">
            <v>62.46</v>
          </cell>
        </row>
        <row r="2046">
          <cell r="G2046">
            <v>13152.219999999899</v>
          </cell>
          <cell r="I2046">
            <v>82.5</v>
          </cell>
          <cell r="J2046">
            <v>1971.1199999999899</v>
          </cell>
          <cell r="K2046">
            <v>0</v>
          </cell>
          <cell r="L2046">
            <v>2053.6199999999899</v>
          </cell>
          <cell r="M2046">
            <v>16012.5</v>
          </cell>
          <cell r="N2046">
            <v>3369.1799999999898</v>
          </cell>
          <cell r="O2046">
            <v>0</v>
          </cell>
          <cell r="R2046">
            <v>62.46</v>
          </cell>
        </row>
        <row r="2047">
          <cell r="G2047">
            <v>13152.219999999899</v>
          </cell>
          <cell r="I2047">
            <v>82.5</v>
          </cell>
          <cell r="J2047">
            <v>0</v>
          </cell>
          <cell r="K2047">
            <v>0</v>
          </cell>
          <cell r="L2047">
            <v>82.5</v>
          </cell>
          <cell r="M2047">
            <v>13993.54</v>
          </cell>
          <cell r="N2047">
            <v>4238.0600000000004</v>
          </cell>
          <cell r="O2047">
            <v>0</v>
          </cell>
          <cell r="R2047">
            <v>62.46</v>
          </cell>
        </row>
        <row r="2048">
          <cell r="G2048">
            <v>6576.1099999999897</v>
          </cell>
          <cell r="I2048">
            <v>41.25</v>
          </cell>
          <cell r="J2048">
            <v>913.55999999999904</v>
          </cell>
          <cell r="K2048">
            <v>0</v>
          </cell>
          <cell r="L2048">
            <v>954.80999999999904</v>
          </cell>
          <cell r="M2048">
            <v>7935.4399999999896</v>
          </cell>
          <cell r="N2048">
            <v>1784.5599999999899</v>
          </cell>
          <cell r="O2048">
            <v>0</v>
          </cell>
          <cell r="R2048">
            <v>31.21</v>
          </cell>
        </row>
        <row r="2049">
          <cell r="G2049">
            <v>86037.440000000002</v>
          </cell>
          <cell r="I2049">
            <v>539.69000000000005</v>
          </cell>
          <cell r="J2049">
            <v>13900.94</v>
          </cell>
          <cell r="K2049">
            <v>0</v>
          </cell>
          <cell r="L2049">
            <v>14440.629999999899</v>
          </cell>
          <cell r="M2049">
            <v>105736.22</v>
          </cell>
          <cell r="N2049">
            <v>20603.299999999901</v>
          </cell>
          <cell r="O2049">
            <v>0</v>
          </cell>
          <cell r="R2049">
            <v>408.5</v>
          </cell>
        </row>
        <row r="2050">
          <cell r="G2050">
            <v>13152.219999999899</v>
          </cell>
          <cell r="I2050">
            <v>82.5</v>
          </cell>
          <cell r="J2050">
            <v>1590</v>
          </cell>
          <cell r="K2050">
            <v>0</v>
          </cell>
          <cell r="L2050">
            <v>1672.5</v>
          </cell>
          <cell r="M2050">
            <v>15648.74</v>
          </cell>
          <cell r="N2050">
            <v>4151.26</v>
          </cell>
          <cell r="O2050">
            <v>0</v>
          </cell>
          <cell r="R2050">
            <v>62.46</v>
          </cell>
        </row>
        <row r="2051">
          <cell r="G2051">
            <v>31236.529999999901</v>
          </cell>
          <cell r="I2051">
            <v>195.94</v>
          </cell>
          <cell r="J2051">
            <v>1685.8099999999899</v>
          </cell>
          <cell r="K2051">
            <v>0</v>
          </cell>
          <cell r="L2051">
            <v>1881.75</v>
          </cell>
          <cell r="M2051">
            <v>34973.629999999903</v>
          </cell>
          <cell r="N2051">
            <v>9606.0699999999906</v>
          </cell>
          <cell r="O2051">
            <v>0</v>
          </cell>
          <cell r="R2051">
            <v>148.31</v>
          </cell>
        </row>
        <row r="2052">
          <cell r="G2052">
            <v>26304.2599999999</v>
          </cell>
          <cell r="I2052">
            <v>165</v>
          </cell>
          <cell r="J2052">
            <v>1779.1199999999899</v>
          </cell>
          <cell r="K2052">
            <v>0</v>
          </cell>
          <cell r="L2052">
            <v>1944.1199999999899</v>
          </cell>
          <cell r="M2052">
            <v>29813.959999999901</v>
          </cell>
          <cell r="N2052">
            <v>7802.4399999999896</v>
          </cell>
          <cell r="O2052">
            <v>0</v>
          </cell>
          <cell r="R2052">
            <v>124.89</v>
          </cell>
        </row>
        <row r="2053">
          <cell r="G2053">
            <v>13152.219999999899</v>
          </cell>
          <cell r="I2053">
            <v>82.5</v>
          </cell>
          <cell r="J2053">
            <v>1852.8</v>
          </cell>
          <cell r="K2053">
            <v>0</v>
          </cell>
          <cell r="L2053">
            <v>1935.3</v>
          </cell>
          <cell r="M2053">
            <v>15894.18</v>
          </cell>
          <cell r="N2053">
            <v>3487.5</v>
          </cell>
          <cell r="O2053">
            <v>0</v>
          </cell>
          <cell r="R2053">
            <v>62.46</v>
          </cell>
        </row>
        <row r="2054">
          <cell r="G2054">
            <v>26304.4399999999</v>
          </cell>
          <cell r="I2054">
            <v>165</v>
          </cell>
          <cell r="J2054">
            <v>3863.28</v>
          </cell>
          <cell r="K2054">
            <v>0</v>
          </cell>
          <cell r="L2054">
            <v>4028.28</v>
          </cell>
          <cell r="M2054">
            <v>31934.709999999901</v>
          </cell>
          <cell r="N2054">
            <v>6556.4899999999898</v>
          </cell>
          <cell r="O2054">
            <v>0</v>
          </cell>
          <cell r="R2054">
            <v>124.89</v>
          </cell>
        </row>
        <row r="2055">
          <cell r="G2055">
            <v>157826.64000000001</v>
          </cell>
          <cell r="I2055">
            <v>989.98</v>
          </cell>
          <cell r="J2055">
            <v>18621.959999999901</v>
          </cell>
          <cell r="K2055">
            <v>0</v>
          </cell>
          <cell r="L2055">
            <v>19611.9399999999</v>
          </cell>
          <cell r="M2055">
            <v>187073.5</v>
          </cell>
          <cell r="N2055">
            <v>44430.019999999902</v>
          </cell>
          <cell r="O2055">
            <v>0</v>
          </cell>
          <cell r="R2055">
            <v>749.35</v>
          </cell>
        </row>
        <row r="2056">
          <cell r="G2056">
            <v>84.25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84.25</v>
          </cell>
          <cell r="N2056">
            <v>-84.25</v>
          </cell>
          <cell r="O2056">
            <v>0</v>
          </cell>
          <cell r="R2056">
            <v>0</v>
          </cell>
        </row>
        <row r="2057">
          <cell r="G2057">
            <v>17234.82</v>
          </cell>
          <cell r="I2057">
            <v>345.39999999999901</v>
          </cell>
          <cell r="J2057">
            <v>0</v>
          </cell>
          <cell r="K2057">
            <v>0</v>
          </cell>
          <cell r="L2057">
            <v>345.39999999999901</v>
          </cell>
          <cell r="M2057">
            <v>18483.900000000001</v>
          </cell>
          <cell r="N2057">
            <v>3680.78</v>
          </cell>
          <cell r="O2057">
            <v>0</v>
          </cell>
          <cell r="R2057">
            <v>5.24</v>
          </cell>
        </row>
        <row r="2058">
          <cell r="G2058">
            <v>13122.719999999899</v>
          </cell>
          <cell r="I2058">
            <v>296.06</v>
          </cell>
          <cell r="J2058">
            <v>1931.52</v>
          </cell>
          <cell r="K2058">
            <v>0</v>
          </cell>
          <cell r="L2058">
            <v>2227.5799999999899</v>
          </cell>
          <cell r="M2058">
            <v>16147.02</v>
          </cell>
          <cell r="N2058">
            <v>3395.6999999999898</v>
          </cell>
          <cell r="O2058">
            <v>0</v>
          </cell>
          <cell r="R2058">
            <v>3.98</v>
          </cell>
        </row>
        <row r="2059">
          <cell r="G2059">
            <v>4924.2299999999896</v>
          </cell>
          <cell r="I2059">
            <v>98.689999999999898</v>
          </cell>
          <cell r="J2059">
            <v>0</v>
          </cell>
          <cell r="K2059">
            <v>0</v>
          </cell>
          <cell r="L2059">
            <v>98.689999999999898</v>
          </cell>
          <cell r="M2059">
            <v>5280.3999999999896</v>
          </cell>
          <cell r="N2059">
            <v>1035.1199999999899</v>
          </cell>
          <cell r="O2059">
            <v>0</v>
          </cell>
          <cell r="R2059">
            <v>1.49</v>
          </cell>
        </row>
        <row r="2060">
          <cell r="G2060">
            <v>15303.98</v>
          </cell>
          <cell r="I2060">
            <v>308.38999999999902</v>
          </cell>
          <cell r="J2060">
            <v>0</v>
          </cell>
          <cell r="K2060">
            <v>0</v>
          </cell>
          <cell r="L2060">
            <v>308.38999999999902</v>
          </cell>
          <cell r="M2060">
            <v>16415.799999999901</v>
          </cell>
          <cell r="N2060">
            <v>3291.3899999999899</v>
          </cell>
          <cell r="O2060">
            <v>0</v>
          </cell>
          <cell r="R2060">
            <v>4.6500000000000004</v>
          </cell>
        </row>
        <row r="2061">
          <cell r="G2061">
            <v>26245.4399999999</v>
          </cell>
          <cell r="I2061">
            <v>592.12</v>
          </cell>
          <cell r="J2061">
            <v>4047.36</v>
          </cell>
          <cell r="K2061">
            <v>0</v>
          </cell>
          <cell r="L2061">
            <v>4639.4799999999896</v>
          </cell>
          <cell r="M2061">
            <v>32478.49</v>
          </cell>
          <cell r="N2061">
            <v>6606.9499999999898</v>
          </cell>
          <cell r="O2061">
            <v>0</v>
          </cell>
          <cell r="R2061">
            <v>7.96999999999999</v>
          </cell>
        </row>
        <row r="2062">
          <cell r="G2062">
            <v>13122.719999999899</v>
          </cell>
          <cell r="I2062">
            <v>296.06</v>
          </cell>
          <cell r="J2062">
            <v>1590</v>
          </cell>
          <cell r="K2062">
            <v>0</v>
          </cell>
          <cell r="L2062">
            <v>1886.0599999999899</v>
          </cell>
          <cell r="M2062">
            <v>15805.5</v>
          </cell>
          <cell r="N2062">
            <v>3737.2199999999898</v>
          </cell>
          <cell r="O2062">
            <v>0</v>
          </cell>
          <cell r="R2062">
            <v>3.98</v>
          </cell>
        </row>
        <row r="2063">
          <cell r="G2063">
            <v>13122.719999999899</v>
          </cell>
          <cell r="I2063">
            <v>296.06</v>
          </cell>
          <cell r="J2063">
            <v>1931.52</v>
          </cell>
          <cell r="K2063">
            <v>0</v>
          </cell>
          <cell r="L2063">
            <v>2227.5799999999899</v>
          </cell>
          <cell r="M2063">
            <v>16152.75</v>
          </cell>
          <cell r="N2063">
            <v>3528.4499999999898</v>
          </cell>
          <cell r="O2063">
            <v>0</v>
          </cell>
          <cell r="R2063">
            <v>3.98</v>
          </cell>
        </row>
        <row r="2064">
          <cell r="G2064">
            <v>24621.1699999999</v>
          </cell>
          <cell r="I2064">
            <v>493.43</v>
          </cell>
          <cell r="J2064">
            <v>0</v>
          </cell>
          <cell r="K2064">
            <v>0</v>
          </cell>
          <cell r="L2064">
            <v>493.43</v>
          </cell>
          <cell r="M2064">
            <v>26403.1899999999</v>
          </cell>
          <cell r="N2064">
            <v>5202.97</v>
          </cell>
          <cell r="O2064">
            <v>0</v>
          </cell>
          <cell r="R2064">
            <v>7.46999999999999</v>
          </cell>
        </row>
        <row r="2065">
          <cell r="G2065">
            <v>25852.22</v>
          </cell>
          <cell r="I2065">
            <v>518.1</v>
          </cell>
          <cell r="J2065">
            <v>0</v>
          </cell>
          <cell r="K2065">
            <v>0</v>
          </cell>
          <cell r="L2065">
            <v>518.1</v>
          </cell>
          <cell r="M2065">
            <v>27720</v>
          </cell>
          <cell r="N2065">
            <v>5383.8999999999896</v>
          </cell>
          <cell r="O2065">
            <v>0</v>
          </cell>
          <cell r="R2065">
            <v>7.86</v>
          </cell>
        </row>
        <row r="2066">
          <cell r="G2066">
            <v>13122.719999999899</v>
          </cell>
          <cell r="I2066">
            <v>296.06</v>
          </cell>
          <cell r="J2066">
            <v>2076.2399999999898</v>
          </cell>
          <cell r="K2066">
            <v>0</v>
          </cell>
          <cell r="L2066">
            <v>2372.3000000000002</v>
          </cell>
          <cell r="M2066">
            <v>16297.469999999899</v>
          </cell>
          <cell r="N2066">
            <v>3383.73</v>
          </cell>
          <cell r="O2066">
            <v>0</v>
          </cell>
          <cell r="R2066">
            <v>3.98</v>
          </cell>
        </row>
        <row r="2067">
          <cell r="G2067">
            <v>14772.7</v>
          </cell>
          <cell r="I2067">
            <v>296.06</v>
          </cell>
          <cell r="J2067">
            <v>0</v>
          </cell>
          <cell r="K2067">
            <v>0</v>
          </cell>
          <cell r="L2067">
            <v>296.06</v>
          </cell>
          <cell r="M2067">
            <v>15846.65</v>
          </cell>
          <cell r="N2067">
            <v>3233.3499999999899</v>
          </cell>
          <cell r="O2067">
            <v>0</v>
          </cell>
          <cell r="R2067">
            <v>4.4800000000000004</v>
          </cell>
        </row>
        <row r="2068">
          <cell r="G2068">
            <v>31166.45</v>
          </cell>
          <cell r="I2068">
            <v>703.14999999999895</v>
          </cell>
          <cell r="J2068">
            <v>3919.9699999999898</v>
          </cell>
          <cell r="K2068">
            <v>0</v>
          </cell>
          <cell r="L2068">
            <v>4623.1199999999899</v>
          </cell>
          <cell r="M2068">
            <v>37649.11</v>
          </cell>
          <cell r="N2068">
            <v>7960.5799999999899</v>
          </cell>
          <cell r="O2068">
            <v>0</v>
          </cell>
          <cell r="R2068">
            <v>9.4700000000000006</v>
          </cell>
        </row>
        <row r="2069">
          <cell r="G2069">
            <v>13122.719999999899</v>
          </cell>
          <cell r="I2069">
            <v>296.06</v>
          </cell>
          <cell r="J2069">
            <v>1815.8399999999899</v>
          </cell>
          <cell r="K2069">
            <v>0</v>
          </cell>
          <cell r="L2069">
            <v>2111.9</v>
          </cell>
          <cell r="M2069">
            <v>16031.34</v>
          </cell>
          <cell r="N2069">
            <v>3511.38</v>
          </cell>
          <cell r="O2069">
            <v>0</v>
          </cell>
          <cell r="R2069">
            <v>3.98</v>
          </cell>
        </row>
        <row r="2070">
          <cell r="G2070">
            <v>28656.32</v>
          </cell>
          <cell r="I2070">
            <v>592.12</v>
          </cell>
          <cell r="J2070">
            <v>1529.28</v>
          </cell>
          <cell r="K2070">
            <v>0</v>
          </cell>
          <cell r="L2070">
            <v>2121.4</v>
          </cell>
          <cell r="M2070">
            <v>32346.99</v>
          </cell>
          <cell r="N2070">
            <v>6144.21</v>
          </cell>
          <cell r="O2070">
            <v>0</v>
          </cell>
          <cell r="R2070">
            <v>8.7100000000000009</v>
          </cell>
        </row>
        <row r="2071">
          <cell r="G2071">
            <v>127946.539999999</v>
          </cell>
          <cell r="I2071">
            <v>2886.57</v>
          </cell>
          <cell r="J2071">
            <v>16649.34</v>
          </cell>
          <cell r="K2071">
            <v>0</v>
          </cell>
          <cell r="L2071">
            <v>19535.91</v>
          </cell>
          <cell r="M2071">
            <v>155181.76000000001</v>
          </cell>
          <cell r="N2071">
            <v>33663.32</v>
          </cell>
          <cell r="O2071">
            <v>0</v>
          </cell>
          <cell r="R2071">
            <v>38.869999999999898</v>
          </cell>
        </row>
        <row r="2072">
          <cell r="G2072">
            <v>7386.3599999999897</v>
          </cell>
          <cell r="I2072">
            <v>0</v>
          </cell>
          <cell r="J2072">
            <v>0</v>
          </cell>
          <cell r="K2072">
            <v>0</v>
          </cell>
          <cell r="L2072">
            <v>0</v>
          </cell>
          <cell r="M2072">
            <v>7871.29</v>
          </cell>
          <cell r="N2072">
            <v>1601.99</v>
          </cell>
          <cell r="O2072">
            <v>0</v>
          </cell>
          <cell r="R2072">
            <v>0</v>
          </cell>
        </row>
        <row r="2073">
          <cell r="G2073">
            <v>3693.17</v>
          </cell>
          <cell r="I2073">
            <v>0</v>
          </cell>
          <cell r="J2073">
            <v>0</v>
          </cell>
          <cell r="K2073">
            <v>0</v>
          </cell>
          <cell r="L2073">
            <v>0</v>
          </cell>
          <cell r="M2073">
            <v>3941.9299999999898</v>
          </cell>
          <cell r="N2073">
            <v>918.07</v>
          </cell>
          <cell r="O2073">
            <v>0</v>
          </cell>
          <cell r="R2073">
            <v>0</v>
          </cell>
        </row>
        <row r="2074">
          <cell r="G2074">
            <v>14772.7</v>
          </cell>
          <cell r="I2074">
            <v>0</v>
          </cell>
          <cell r="J2074">
            <v>0</v>
          </cell>
          <cell r="K2074">
            <v>0</v>
          </cell>
          <cell r="L2074">
            <v>0</v>
          </cell>
          <cell r="M2074">
            <v>15749.44</v>
          </cell>
          <cell r="N2074">
            <v>3330.5599999999899</v>
          </cell>
          <cell r="O2074">
            <v>0</v>
          </cell>
          <cell r="R2074">
            <v>0</v>
          </cell>
        </row>
        <row r="2075">
          <cell r="G2075">
            <v>49242.339999999902</v>
          </cell>
          <cell r="I2075">
            <v>0</v>
          </cell>
          <cell r="J2075">
            <v>0</v>
          </cell>
          <cell r="K2075">
            <v>0</v>
          </cell>
          <cell r="L2075">
            <v>0</v>
          </cell>
          <cell r="M2075">
            <v>52543.93</v>
          </cell>
          <cell r="N2075">
            <v>11949.889999999899</v>
          </cell>
          <cell r="O2075">
            <v>0</v>
          </cell>
          <cell r="R2075">
            <v>0</v>
          </cell>
        </row>
        <row r="2076">
          <cell r="G2076">
            <v>0</v>
          </cell>
          <cell r="I2076">
            <v>54.18</v>
          </cell>
          <cell r="J2076">
            <v>0</v>
          </cell>
          <cell r="K2076">
            <v>0</v>
          </cell>
          <cell r="L2076">
            <v>54.18</v>
          </cell>
          <cell r="M2076">
            <v>54.18</v>
          </cell>
          <cell r="N2076">
            <v>-54.18</v>
          </cell>
          <cell r="O2076">
            <v>0</v>
          </cell>
          <cell r="R2076">
            <v>0</v>
          </cell>
        </row>
        <row r="2077">
          <cell r="G2077">
            <v>17320.490000000002</v>
          </cell>
          <cell r="I2077">
            <v>14.08</v>
          </cell>
          <cell r="J2077">
            <v>0</v>
          </cell>
          <cell r="K2077">
            <v>0.04</v>
          </cell>
          <cell r="L2077">
            <v>14.1199999999999</v>
          </cell>
          <cell r="M2077">
            <v>17885.09</v>
          </cell>
          <cell r="N2077">
            <v>-605.09</v>
          </cell>
          <cell r="O2077">
            <v>0</v>
          </cell>
          <cell r="R2077">
            <v>40.189999999999898</v>
          </cell>
        </row>
        <row r="2078">
          <cell r="G2078">
            <v>51961.48</v>
          </cell>
          <cell r="I2078">
            <v>80.87</v>
          </cell>
          <cell r="J2078">
            <v>0</v>
          </cell>
          <cell r="K2078">
            <v>0</v>
          </cell>
          <cell r="L2078">
            <v>80.87</v>
          </cell>
          <cell r="M2078">
            <v>54199.86</v>
          </cell>
          <cell r="N2078">
            <v>-2359.86</v>
          </cell>
          <cell r="O2078">
            <v>0</v>
          </cell>
          <cell r="R2078">
            <v>246.69</v>
          </cell>
        </row>
        <row r="2079">
          <cell r="G2079">
            <v>3247.5999999999899</v>
          </cell>
          <cell r="I2079">
            <v>2004.4</v>
          </cell>
          <cell r="J2079">
            <v>0</v>
          </cell>
          <cell r="K2079">
            <v>0</v>
          </cell>
          <cell r="L2079">
            <v>2004.4</v>
          </cell>
          <cell r="M2079">
            <v>5383.3</v>
          </cell>
          <cell r="N2079">
            <v>-2162.7399999999898</v>
          </cell>
          <cell r="O2079">
            <v>0</v>
          </cell>
          <cell r="R2079">
            <v>0.98999999999999899</v>
          </cell>
        </row>
        <row r="2080">
          <cell r="G2080">
            <v>2862358.54999999</v>
          </cell>
          <cell r="I2080">
            <v>32852.019999999902</v>
          </cell>
          <cell r="J2080">
            <v>0</v>
          </cell>
          <cell r="K2080">
            <v>7.5199999999999898</v>
          </cell>
          <cell r="L2080">
            <v>32859.54</v>
          </cell>
          <cell r="M2080">
            <v>2977017.71</v>
          </cell>
          <cell r="N2080">
            <v>-409078.65</v>
          </cell>
          <cell r="O2080">
            <v>0</v>
          </cell>
          <cell r="R2080">
            <v>6641.2299999999896</v>
          </cell>
        </row>
        <row r="2081">
          <cell r="G2081">
            <v>13164.17</v>
          </cell>
          <cell r="I2081">
            <v>14.08</v>
          </cell>
          <cell r="J2081">
            <v>1892.16</v>
          </cell>
          <cell r="K2081">
            <v>0.04</v>
          </cell>
          <cell r="L2081">
            <v>1906.28</v>
          </cell>
          <cell r="M2081">
            <v>15638.44</v>
          </cell>
          <cell r="N2081">
            <v>2192.5999999999899</v>
          </cell>
          <cell r="O2081">
            <v>0</v>
          </cell>
          <cell r="R2081">
            <v>30.53</v>
          </cell>
        </row>
        <row r="2082">
          <cell r="G2082">
            <v>13164.17</v>
          </cell>
          <cell r="I2082">
            <v>14.08</v>
          </cell>
          <cell r="J2082">
            <v>0</v>
          </cell>
          <cell r="K2082">
            <v>0.04</v>
          </cell>
          <cell r="L2082">
            <v>14.1199999999999</v>
          </cell>
          <cell r="M2082">
            <v>13702.69</v>
          </cell>
          <cell r="N2082">
            <v>2760.59</v>
          </cell>
          <cell r="O2082">
            <v>0</v>
          </cell>
          <cell r="R2082">
            <v>30.53</v>
          </cell>
        </row>
        <row r="2083">
          <cell r="G2083">
            <v>13164.17</v>
          </cell>
          <cell r="I2083">
            <v>14.08</v>
          </cell>
          <cell r="J2083">
            <v>0</v>
          </cell>
          <cell r="K2083">
            <v>0.04</v>
          </cell>
          <cell r="L2083">
            <v>14.1199999999999</v>
          </cell>
          <cell r="M2083">
            <v>13717.08</v>
          </cell>
          <cell r="N2083">
            <v>3196.44</v>
          </cell>
          <cell r="O2083">
            <v>0</v>
          </cell>
          <cell r="R2083">
            <v>30.53</v>
          </cell>
        </row>
        <row r="2084">
          <cell r="G2084">
            <v>13164.17</v>
          </cell>
          <cell r="I2084">
            <v>14.08</v>
          </cell>
          <cell r="J2084">
            <v>1090.5599999999899</v>
          </cell>
          <cell r="K2084">
            <v>0.04</v>
          </cell>
          <cell r="L2084">
            <v>1104.68</v>
          </cell>
          <cell r="M2084">
            <v>14831.209999999901</v>
          </cell>
          <cell r="N2084">
            <v>2822.23</v>
          </cell>
          <cell r="O2084">
            <v>0</v>
          </cell>
          <cell r="R2084">
            <v>30.53</v>
          </cell>
        </row>
        <row r="2085">
          <cell r="G2085">
            <v>591.24</v>
          </cell>
          <cell r="I2085">
            <v>0</v>
          </cell>
          <cell r="J2085">
            <v>0</v>
          </cell>
          <cell r="K2085">
            <v>0</v>
          </cell>
          <cell r="L2085">
            <v>0</v>
          </cell>
          <cell r="M2085">
            <v>591.24</v>
          </cell>
          <cell r="N2085">
            <v>-591.24</v>
          </cell>
          <cell r="O2085">
            <v>0</v>
          </cell>
          <cell r="R2085">
            <v>0</v>
          </cell>
        </row>
        <row r="2086">
          <cell r="G2086">
            <v>13149.379999999899</v>
          </cell>
          <cell r="I2086">
            <v>105.52</v>
          </cell>
          <cell r="J2086">
            <v>2005.92</v>
          </cell>
          <cell r="K2086">
            <v>0</v>
          </cell>
          <cell r="L2086">
            <v>2111.44</v>
          </cell>
          <cell r="M2086">
            <v>16005.48</v>
          </cell>
          <cell r="N2086">
            <v>1886.52</v>
          </cell>
          <cell r="O2086">
            <v>0</v>
          </cell>
          <cell r="R2086">
            <v>62.439999999999898</v>
          </cell>
        </row>
        <row r="2087">
          <cell r="G2087">
            <v>13149.379999999899</v>
          </cell>
          <cell r="I2087">
            <v>105.52</v>
          </cell>
          <cell r="J2087">
            <v>2076.2399999999898</v>
          </cell>
          <cell r="K2087">
            <v>0</v>
          </cell>
          <cell r="L2087">
            <v>2181.7600000000002</v>
          </cell>
          <cell r="M2087">
            <v>16070.57</v>
          </cell>
          <cell r="N2087">
            <v>1695.43</v>
          </cell>
          <cell r="O2087">
            <v>0</v>
          </cell>
          <cell r="R2087">
            <v>62.439999999999898</v>
          </cell>
        </row>
        <row r="2088">
          <cell r="G2088">
            <v>-591.82000000000005</v>
          </cell>
          <cell r="I2088">
            <v>0</v>
          </cell>
          <cell r="J2088">
            <v>0</v>
          </cell>
          <cell r="K2088">
            <v>0</v>
          </cell>
          <cell r="L2088">
            <v>0</v>
          </cell>
          <cell r="M2088">
            <v>-591.82000000000005</v>
          </cell>
          <cell r="N2088">
            <v>591.82000000000005</v>
          </cell>
          <cell r="O2088">
            <v>0</v>
          </cell>
          <cell r="R2088">
            <v>-2.7999999999999901</v>
          </cell>
        </row>
        <row r="2089">
          <cell r="G2089">
            <v>6574.6899999999896</v>
          </cell>
          <cell r="I2089">
            <v>52.77</v>
          </cell>
          <cell r="J2089">
            <v>946.08</v>
          </cell>
          <cell r="K2089">
            <v>0</v>
          </cell>
          <cell r="L2089">
            <v>998.85</v>
          </cell>
          <cell r="M2089">
            <v>7946.9499999999898</v>
          </cell>
          <cell r="N2089">
            <v>1026.05</v>
          </cell>
          <cell r="O2089">
            <v>0</v>
          </cell>
          <cell r="R2089">
            <v>31.21</v>
          </cell>
        </row>
        <row r="2090">
          <cell r="G2090">
            <v>13149.389999999899</v>
          </cell>
          <cell r="I2090">
            <v>105.52</v>
          </cell>
          <cell r="J2090">
            <v>0</v>
          </cell>
          <cell r="K2090">
            <v>0</v>
          </cell>
          <cell r="L2090">
            <v>105.52</v>
          </cell>
          <cell r="M2090">
            <v>13949.98</v>
          </cell>
          <cell r="N2090">
            <v>2750.1799999999898</v>
          </cell>
          <cell r="O2090">
            <v>0</v>
          </cell>
          <cell r="R2090">
            <v>62.439999999999898</v>
          </cell>
        </row>
        <row r="2091">
          <cell r="G2091">
            <v>26980.02</v>
          </cell>
          <cell r="I2091">
            <v>197.849999999999</v>
          </cell>
          <cell r="J2091">
            <v>0</v>
          </cell>
          <cell r="K2091">
            <v>0</v>
          </cell>
          <cell r="L2091">
            <v>197.849999999999</v>
          </cell>
          <cell r="M2091">
            <v>28494.2599999999</v>
          </cell>
          <cell r="N2091">
            <v>3135.34</v>
          </cell>
          <cell r="O2091">
            <v>0</v>
          </cell>
          <cell r="R2091">
            <v>128.09</v>
          </cell>
        </row>
        <row r="2092">
          <cell r="G2092">
            <v>12947.77</v>
          </cell>
          <cell r="I2092">
            <v>146.34</v>
          </cell>
          <cell r="J2092">
            <v>0</v>
          </cell>
          <cell r="K2092">
            <v>0</v>
          </cell>
          <cell r="L2092">
            <v>146.34</v>
          </cell>
          <cell r="M2092">
            <v>13789.41</v>
          </cell>
          <cell r="N2092">
            <v>3265.9499999999898</v>
          </cell>
          <cell r="O2092">
            <v>0</v>
          </cell>
          <cell r="R2092">
            <v>3.9399999999999902</v>
          </cell>
        </row>
        <row r="2093">
          <cell r="G2093">
            <v>13487.26</v>
          </cell>
          <cell r="I2093">
            <v>152.44</v>
          </cell>
          <cell r="J2093">
            <v>1935.8499999999899</v>
          </cell>
          <cell r="K2093">
            <v>0</v>
          </cell>
          <cell r="L2093">
            <v>2088.29</v>
          </cell>
          <cell r="M2093">
            <v>16330.309999999899</v>
          </cell>
          <cell r="N2093">
            <v>2182.94</v>
          </cell>
          <cell r="O2093">
            <v>0</v>
          </cell>
          <cell r="R2093">
            <v>4.0999999999999899</v>
          </cell>
        </row>
        <row r="2094">
          <cell r="G2094">
            <v>12947.78</v>
          </cell>
          <cell r="I2094">
            <v>146.33000000000001</v>
          </cell>
          <cell r="J2094">
            <v>1090.5599999999899</v>
          </cell>
          <cell r="K2094">
            <v>0</v>
          </cell>
          <cell r="L2094">
            <v>1236.8900000000001</v>
          </cell>
          <cell r="M2094">
            <v>14928.75</v>
          </cell>
          <cell r="N2094">
            <v>3321.09</v>
          </cell>
          <cell r="O2094">
            <v>0</v>
          </cell>
          <cell r="R2094">
            <v>3.9399999999999902</v>
          </cell>
        </row>
        <row r="2095">
          <cell r="G2095">
            <v>650.89999999999895</v>
          </cell>
          <cell r="I2095">
            <v>0</v>
          </cell>
          <cell r="J2095">
            <v>0</v>
          </cell>
          <cell r="K2095">
            <v>0</v>
          </cell>
          <cell r="L2095">
            <v>0</v>
          </cell>
          <cell r="M2095">
            <v>650.89999999999895</v>
          </cell>
          <cell r="N2095">
            <v>-650.89999999999895</v>
          </cell>
          <cell r="O2095">
            <v>0</v>
          </cell>
          <cell r="R2095">
            <v>0</v>
          </cell>
        </row>
        <row r="2096">
          <cell r="G2096">
            <v>12118.299999999899</v>
          </cell>
          <cell r="I2096">
            <v>274.07999999999902</v>
          </cell>
          <cell r="J2096">
            <v>1030.0799999999899</v>
          </cell>
          <cell r="K2096">
            <v>0.04</v>
          </cell>
          <cell r="L2096">
            <v>1304.2</v>
          </cell>
          <cell r="M2096">
            <v>13982.57</v>
          </cell>
          <cell r="N2096">
            <v>3599.8299999999899</v>
          </cell>
          <cell r="O2096">
            <v>0</v>
          </cell>
          <cell r="R2096">
            <v>28.12</v>
          </cell>
        </row>
        <row r="2097">
          <cell r="G2097">
            <v>12118.299999999899</v>
          </cell>
          <cell r="I2097">
            <v>274.07999999999902</v>
          </cell>
          <cell r="J2097">
            <v>1637.28</v>
          </cell>
          <cell r="K2097">
            <v>0.04</v>
          </cell>
          <cell r="L2097">
            <v>1911.4</v>
          </cell>
          <cell r="M2097">
            <v>14577.29</v>
          </cell>
          <cell r="N2097">
            <v>2613.9099999999899</v>
          </cell>
          <cell r="O2097">
            <v>0</v>
          </cell>
          <cell r="R2097">
            <v>28.12</v>
          </cell>
        </row>
        <row r="2098">
          <cell r="G2098">
            <v>13884.43</v>
          </cell>
          <cell r="I2098">
            <v>274.07999999999902</v>
          </cell>
          <cell r="J2098">
            <v>0</v>
          </cell>
          <cell r="K2098">
            <v>0.04</v>
          </cell>
          <cell r="L2098">
            <v>274.12</v>
          </cell>
          <cell r="M2098">
            <v>14699.719999999899</v>
          </cell>
          <cell r="N2098">
            <v>2289.1599999999899</v>
          </cell>
          <cell r="O2098">
            <v>0</v>
          </cell>
          <cell r="R2098">
            <v>32.21</v>
          </cell>
        </row>
        <row r="2099">
          <cell r="G2099">
            <v>12118.299999999899</v>
          </cell>
          <cell r="I2099">
            <v>274.07999999999902</v>
          </cell>
          <cell r="J2099">
            <v>1130.6400000000001</v>
          </cell>
          <cell r="K2099">
            <v>0.04</v>
          </cell>
          <cell r="L2099">
            <v>1404.76</v>
          </cell>
          <cell r="M2099">
            <v>14085.42</v>
          </cell>
          <cell r="N2099">
            <v>3568.02</v>
          </cell>
          <cell r="O2099">
            <v>0</v>
          </cell>
          <cell r="R2099">
            <v>28.12</v>
          </cell>
        </row>
        <row r="2100">
          <cell r="G2100">
            <v>12118.299999999899</v>
          </cell>
          <cell r="I2100">
            <v>274.07999999999902</v>
          </cell>
          <cell r="J2100">
            <v>688.55999999999904</v>
          </cell>
          <cell r="K2100">
            <v>0.04</v>
          </cell>
          <cell r="L2100">
            <v>962.67999999999904</v>
          </cell>
          <cell r="M2100">
            <v>13644.969999999899</v>
          </cell>
          <cell r="N2100">
            <v>4061.75</v>
          </cell>
          <cell r="O2100">
            <v>0</v>
          </cell>
          <cell r="R2100">
            <v>28.12</v>
          </cell>
        </row>
        <row r="2101">
          <cell r="G2101">
            <v>24236.5999999999</v>
          </cell>
          <cell r="I2101">
            <v>548.13999999999896</v>
          </cell>
          <cell r="J2101">
            <v>2501.7600000000002</v>
          </cell>
          <cell r="K2101">
            <v>8.99999999999999E-2</v>
          </cell>
          <cell r="L2101">
            <v>3049.9899999999898</v>
          </cell>
          <cell r="M2101">
            <v>28414.6899999999</v>
          </cell>
          <cell r="N2101">
            <v>6998.75</v>
          </cell>
          <cell r="O2101">
            <v>0</v>
          </cell>
          <cell r="R2101">
            <v>56.219999999999899</v>
          </cell>
        </row>
        <row r="2102">
          <cell r="G2102">
            <v>12623.23</v>
          </cell>
          <cell r="I2102">
            <v>285.49</v>
          </cell>
          <cell r="J2102">
            <v>882.58</v>
          </cell>
          <cell r="K2102">
            <v>0.04</v>
          </cell>
          <cell r="L2102">
            <v>1168.1099999999899</v>
          </cell>
          <cell r="M2102">
            <v>14384.77</v>
          </cell>
          <cell r="N2102">
            <v>4244.7299999999896</v>
          </cell>
          <cell r="O2102">
            <v>0</v>
          </cell>
          <cell r="R2102">
            <v>29.3</v>
          </cell>
        </row>
        <row r="2103">
          <cell r="G2103">
            <v>12118.299999999899</v>
          </cell>
          <cell r="I2103">
            <v>274.07999999999902</v>
          </cell>
          <cell r="J2103">
            <v>1979.52</v>
          </cell>
          <cell r="K2103">
            <v>0.04</v>
          </cell>
          <cell r="L2103">
            <v>2253.6399999999899</v>
          </cell>
          <cell r="M2103">
            <v>14935.93</v>
          </cell>
          <cell r="N2103">
            <v>2770.79</v>
          </cell>
          <cell r="O2103">
            <v>0</v>
          </cell>
          <cell r="R2103">
            <v>28.12</v>
          </cell>
        </row>
        <row r="2104">
          <cell r="G2104">
            <v>12623.23</v>
          </cell>
          <cell r="I2104">
            <v>285.49</v>
          </cell>
          <cell r="J2104">
            <v>1644.45</v>
          </cell>
          <cell r="K2104">
            <v>0.04</v>
          </cell>
          <cell r="L2104">
            <v>1929.98</v>
          </cell>
          <cell r="M2104">
            <v>15134.82</v>
          </cell>
          <cell r="N2104">
            <v>3124.6799999999898</v>
          </cell>
          <cell r="O2104">
            <v>0</v>
          </cell>
          <cell r="R2104">
            <v>29.3</v>
          </cell>
        </row>
        <row r="2105">
          <cell r="G2105">
            <v>72709.679999999906</v>
          </cell>
          <cell r="I2105">
            <v>1644.41</v>
          </cell>
          <cell r="J2105">
            <v>7639.4399999999896</v>
          </cell>
          <cell r="K2105">
            <v>0.26</v>
          </cell>
          <cell r="L2105">
            <v>9284.11</v>
          </cell>
          <cell r="M2105">
            <v>85248.07</v>
          </cell>
          <cell r="N2105">
            <v>16912.0099999999</v>
          </cell>
          <cell r="O2105">
            <v>0</v>
          </cell>
          <cell r="R2105">
            <v>168.69999999999899</v>
          </cell>
        </row>
        <row r="2106">
          <cell r="G2106">
            <v>75739.38</v>
          </cell>
          <cell r="I2106">
            <v>1712.93</v>
          </cell>
          <cell r="J2106">
            <v>0</v>
          </cell>
          <cell r="K2106">
            <v>0.27</v>
          </cell>
          <cell r="L2106">
            <v>1713.2</v>
          </cell>
          <cell r="M2106">
            <v>80821.320000000007</v>
          </cell>
          <cell r="N2106">
            <v>24933.18</v>
          </cell>
          <cell r="O2106">
            <v>0</v>
          </cell>
          <cell r="R2106">
            <v>175.74</v>
          </cell>
        </row>
        <row r="2107">
          <cell r="G2107">
            <v>12118.299999999899</v>
          </cell>
          <cell r="I2107">
            <v>274.07999999999902</v>
          </cell>
          <cell r="J2107">
            <v>1518.96</v>
          </cell>
          <cell r="K2107">
            <v>0.04</v>
          </cell>
          <cell r="L2107">
            <v>1793.0799999999899</v>
          </cell>
          <cell r="M2107">
            <v>14488.389999999899</v>
          </cell>
          <cell r="N2107">
            <v>3626.8099999999899</v>
          </cell>
          <cell r="O2107">
            <v>0</v>
          </cell>
          <cell r="R2107">
            <v>28.12</v>
          </cell>
        </row>
        <row r="2108">
          <cell r="G2108">
            <v>12118.299999999899</v>
          </cell>
          <cell r="I2108">
            <v>274.07999999999902</v>
          </cell>
          <cell r="J2108">
            <v>1871.76</v>
          </cell>
          <cell r="K2108">
            <v>0.04</v>
          </cell>
          <cell r="L2108">
            <v>2145.88</v>
          </cell>
          <cell r="M2108">
            <v>14822.57</v>
          </cell>
          <cell r="N2108">
            <v>2706.55</v>
          </cell>
          <cell r="O2108">
            <v>0</v>
          </cell>
          <cell r="R2108">
            <v>28.12</v>
          </cell>
        </row>
        <row r="2109">
          <cell r="G2109">
            <v>196922.39</v>
          </cell>
          <cell r="I2109">
            <v>4453.63</v>
          </cell>
          <cell r="J2109">
            <v>0</v>
          </cell>
          <cell r="K2109">
            <v>0.69999999999999896</v>
          </cell>
          <cell r="L2109">
            <v>4454.3299999999899</v>
          </cell>
          <cell r="M2109">
            <v>210115.06</v>
          </cell>
          <cell r="N2109">
            <v>64207.639999999898</v>
          </cell>
          <cell r="O2109">
            <v>0</v>
          </cell>
          <cell r="R2109">
            <v>456.88999999999902</v>
          </cell>
        </row>
        <row r="2110">
          <cell r="G2110">
            <v>12118.299999999899</v>
          </cell>
          <cell r="I2110">
            <v>274.07999999999902</v>
          </cell>
          <cell r="J2110">
            <v>0</v>
          </cell>
          <cell r="K2110">
            <v>0.04</v>
          </cell>
          <cell r="L2110">
            <v>274.12</v>
          </cell>
          <cell r="M2110">
            <v>12918.44</v>
          </cell>
          <cell r="N2110">
            <v>3594.76</v>
          </cell>
          <cell r="O2110">
            <v>0</v>
          </cell>
          <cell r="R2110">
            <v>28.12</v>
          </cell>
        </row>
        <row r="2111">
          <cell r="G2111">
            <v>18934.8499999999</v>
          </cell>
          <cell r="I2111">
            <v>428.23</v>
          </cell>
          <cell r="J2111">
            <v>0</v>
          </cell>
          <cell r="K2111">
            <v>7.0000000000000007E-2</v>
          </cell>
          <cell r="L2111">
            <v>428.3</v>
          </cell>
          <cell r="M2111">
            <v>20186.59</v>
          </cell>
          <cell r="N2111">
            <v>5664.17</v>
          </cell>
          <cell r="O2111">
            <v>0</v>
          </cell>
          <cell r="R2111">
            <v>43.93</v>
          </cell>
        </row>
        <row r="2112">
          <cell r="G2112">
            <v>101995.69</v>
          </cell>
          <cell r="I2112">
            <v>2306.75</v>
          </cell>
          <cell r="J2112">
            <v>11673.7</v>
          </cell>
          <cell r="K2112">
            <v>0.35999999999999899</v>
          </cell>
          <cell r="L2112">
            <v>13980.809999999899</v>
          </cell>
          <cell r="M2112">
            <v>120660.95</v>
          </cell>
          <cell r="N2112">
            <v>26398.57</v>
          </cell>
          <cell r="O2112">
            <v>0</v>
          </cell>
          <cell r="R2112">
            <v>236.63999999999899</v>
          </cell>
        </row>
        <row r="2113">
          <cell r="G2113">
            <v>72674.710000000006</v>
          </cell>
          <cell r="I2113">
            <v>1518.8099999999899</v>
          </cell>
          <cell r="J2113">
            <v>0</v>
          </cell>
          <cell r="K2113">
            <v>0.23</v>
          </cell>
          <cell r="L2113">
            <v>1519.04</v>
          </cell>
          <cell r="M2113">
            <v>77173.479999999894</v>
          </cell>
          <cell r="N2113">
            <v>16367.6</v>
          </cell>
          <cell r="O2113">
            <v>0</v>
          </cell>
          <cell r="R2113">
            <v>168.62</v>
          </cell>
        </row>
        <row r="2114">
          <cell r="G2114">
            <v>7069.01</v>
          </cell>
          <cell r="I2114">
            <v>159.87</v>
          </cell>
          <cell r="J2114">
            <v>827.82</v>
          </cell>
          <cell r="K2114">
            <v>2.9999999999999898E-2</v>
          </cell>
          <cell r="L2114">
            <v>987.72</v>
          </cell>
          <cell r="M2114">
            <v>8382.3999999999905</v>
          </cell>
          <cell r="N2114">
            <v>1842.92</v>
          </cell>
          <cell r="O2114">
            <v>0</v>
          </cell>
          <cell r="R2114">
            <v>16.399999999999899</v>
          </cell>
        </row>
        <row r="2115">
          <cell r="G2115">
            <v>72893.210000000006</v>
          </cell>
          <cell r="I2115">
            <v>1438.8699999999899</v>
          </cell>
          <cell r="J2115">
            <v>0</v>
          </cell>
          <cell r="K2115">
            <v>0.23</v>
          </cell>
          <cell r="L2115">
            <v>1439.0999999999899</v>
          </cell>
          <cell r="M2115">
            <v>77158.729999999894</v>
          </cell>
          <cell r="N2115">
            <v>11570.68</v>
          </cell>
          <cell r="O2115">
            <v>0</v>
          </cell>
          <cell r="R2115">
            <v>169.13</v>
          </cell>
        </row>
        <row r="2116">
          <cell r="G2116">
            <v>48473.199999999903</v>
          </cell>
          <cell r="I2116">
            <v>1096.27</v>
          </cell>
          <cell r="J2116">
            <v>7314.2399999999898</v>
          </cell>
          <cell r="K2116">
            <v>0.17</v>
          </cell>
          <cell r="L2116">
            <v>8410.68</v>
          </cell>
          <cell r="M2116">
            <v>59094.87</v>
          </cell>
          <cell r="N2116">
            <v>10314.57</v>
          </cell>
          <cell r="O2116">
            <v>0</v>
          </cell>
          <cell r="R2116">
            <v>112.47</v>
          </cell>
        </row>
        <row r="2117">
          <cell r="G2117">
            <v>6059.1499999999896</v>
          </cell>
          <cell r="I2117">
            <v>137.03</v>
          </cell>
          <cell r="J2117">
            <v>600.48</v>
          </cell>
          <cell r="K2117">
            <v>0.02</v>
          </cell>
          <cell r="L2117">
            <v>737.52999999999895</v>
          </cell>
          <cell r="M2117">
            <v>6813.8699999999899</v>
          </cell>
          <cell r="N2117">
            <v>-6273.8699999999899</v>
          </cell>
          <cell r="O2117">
            <v>0</v>
          </cell>
          <cell r="R2117">
            <v>14.07</v>
          </cell>
        </row>
        <row r="2118">
          <cell r="G2118">
            <v>28347.360000000001</v>
          </cell>
          <cell r="I2118">
            <v>559.54999999999905</v>
          </cell>
          <cell r="J2118">
            <v>0</v>
          </cell>
          <cell r="K2118">
            <v>8.99999999999999E-2</v>
          </cell>
          <cell r="L2118">
            <v>559.63999999999896</v>
          </cell>
          <cell r="M2118">
            <v>30007.5</v>
          </cell>
          <cell r="N2118">
            <v>4538.97</v>
          </cell>
          <cell r="O2118">
            <v>0</v>
          </cell>
          <cell r="R2118">
            <v>65.790000000000006</v>
          </cell>
        </row>
        <row r="2119">
          <cell r="G2119">
            <v>49483.059999999903</v>
          </cell>
          <cell r="I2119">
            <v>1119.1099999999899</v>
          </cell>
          <cell r="J2119">
            <v>4154.7799999999897</v>
          </cell>
          <cell r="K2119">
            <v>0.17999999999999899</v>
          </cell>
          <cell r="L2119">
            <v>5274.0699999999897</v>
          </cell>
          <cell r="M2119">
            <v>56982.419999999896</v>
          </cell>
          <cell r="N2119">
            <v>12876.219999999899</v>
          </cell>
          <cell r="O2119">
            <v>0</v>
          </cell>
          <cell r="R2119">
            <v>114.81</v>
          </cell>
        </row>
        <row r="2120">
          <cell r="G2120">
            <v>6942.21</v>
          </cell>
          <cell r="I2120">
            <v>137.03</v>
          </cell>
          <cell r="J2120">
            <v>0</v>
          </cell>
          <cell r="K2120">
            <v>0.02</v>
          </cell>
          <cell r="L2120">
            <v>137.05000000000001</v>
          </cell>
          <cell r="M2120">
            <v>7348.79</v>
          </cell>
          <cell r="N2120">
            <v>1111.5699999999899</v>
          </cell>
          <cell r="O2120">
            <v>0</v>
          </cell>
          <cell r="R2120">
            <v>16.1099999999999</v>
          </cell>
        </row>
        <row r="2121">
          <cell r="G2121">
            <v>12118.299999999899</v>
          </cell>
          <cell r="I2121">
            <v>274.07999999999902</v>
          </cell>
          <cell r="J2121">
            <v>1030.0799999999899</v>
          </cell>
          <cell r="K2121">
            <v>0.04</v>
          </cell>
          <cell r="L2121">
            <v>1304.2</v>
          </cell>
          <cell r="M2121">
            <v>13990.49</v>
          </cell>
          <cell r="N2121">
            <v>3840.55</v>
          </cell>
          <cell r="O2121">
            <v>0</v>
          </cell>
          <cell r="R2121">
            <v>28.12</v>
          </cell>
        </row>
        <row r="2122">
          <cell r="G2122">
            <v>18682.38</v>
          </cell>
          <cell r="I2122">
            <v>422.51999999999902</v>
          </cell>
          <cell r="J2122">
            <v>0</v>
          </cell>
          <cell r="K2122">
            <v>7.0000000000000007E-2</v>
          </cell>
          <cell r="L2122">
            <v>422.58999999999901</v>
          </cell>
          <cell r="M2122">
            <v>19939.23</v>
          </cell>
          <cell r="N2122">
            <v>6249.8299999999899</v>
          </cell>
          <cell r="O2122">
            <v>0</v>
          </cell>
          <cell r="R2122">
            <v>43.34</v>
          </cell>
        </row>
        <row r="2123">
          <cell r="G2123">
            <v>12118.299999999899</v>
          </cell>
          <cell r="I2123">
            <v>274.07999999999902</v>
          </cell>
          <cell r="J2123">
            <v>0</v>
          </cell>
          <cell r="K2123">
            <v>0.04</v>
          </cell>
          <cell r="L2123">
            <v>274.12</v>
          </cell>
          <cell r="M2123">
            <v>12919.98</v>
          </cell>
          <cell r="N2123">
            <v>3643.38</v>
          </cell>
          <cell r="O2123">
            <v>0</v>
          </cell>
          <cell r="R2123">
            <v>28.12</v>
          </cell>
        </row>
        <row r="2124">
          <cell r="G2124">
            <v>13775.629999999899</v>
          </cell>
          <cell r="I2124">
            <v>274.07999999999902</v>
          </cell>
          <cell r="J2124">
            <v>0</v>
          </cell>
          <cell r="K2124">
            <v>0.04</v>
          </cell>
          <cell r="L2124">
            <v>274.12</v>
          </cell>
          <cell r="M2124">
            <v>14577.309999999899</v>
          </cell>
          <cell r="N2124">
            <v>1986.05</v>
          </cell>
          <cell r="O2124">
            <v>0</v>
          </cell>
          <cell r="R2124">
            <v>31.969999999999899</v>
          </cell>
        </row>
        <row r="2125">
          <cell r="G2125">
            <v>12118.299999999899</v>
          </cell>
          <cell r="I2125">
            <v>274.07999999999902</v>
          </cell>
          <cell r="J2125">
            <v>2076.2399999999898</v>
          </cell>
          <cell r="K2125">
            <v>0.04</v>
          </cell>
          <cell r="L2125">
            <v>2350.36</v>
          </cell>
          <cell r="M2125">
            <v>15019.32</v>
          </cell>
          <cell r="N2125">
            <v>2267.1599999999899</v>
          </cell>
          <cell r="O2125">
            <v>0</v>
          </cell>
          <cell r="R2125">
            <v>28.12</v>
          </cell>
        </row>
        <row r="2126">
          <cell r="G2126">
            <v>7069.01</v>
          </cell>
          <cell r="I2126">
            <v>159.87</v>
          </cell>
          <cell r="J2126">
            <v>0</v>
          </cell>
          <cell r="K2126">
            <v>2.9999999999999898E-2</v>
          </cell>
          <cell r="L2126">
            <v>159.9</v>
          </cell>
          <cell r="M2126">
            <v>7542.38</v>
          </cell>
          <cell r="N2126">
            <v>2298.2199999999898</v>
          </cell>
          <cell r="O2126">
            <v>0</v>
          </cell>
          <cell r="R2126">
            <v>16.399999999999899</v>
          </cell>
        </row>
        <row r="2127">
          <cell r="G2127">
            <v>42414.05</v>
          </cell>
          <cell r="I2127">
            <v>959.24</v>
          </cell>
          <cell r="J2127">
            <v>6358.1999999999898</v>
          </cell>
          <cell r="K2127">
            <v>0.149999999999999</v>
          </cell>
          <cell r="L2127">
            <v>7317.59</v>
          </cell>
          <cell r="M2127">
            <v>51688.559999999903</v>
          </cell>
          <cell r="N2127">
            <v>9743.2800000000007</v>
          </cell>
          <cell r="O2127">
            <v>0</v>
          </cell>
          <cell r="R2127">
            <v>98.43</v>
          </cell>
        </row>
        <row r="2128">
          <cell r="G2128">
            <v>12118.299999999899</v>
          </cell>
          <cell r="I2128">
            <v>274.07999999999902</v>
          </cell>
          <cell r="J2128">
            <v>0</v>
          </cell>
          <cell r="K2128">
            <v>0.04</v>
          </cell>
          <cell r="L2128">
            <v>274.12</v>
          </cell>
          <cell r="M2128">
            <v>12929.809999999899</v>
          </cell>
          <cell r="N2128">
            <v>3939.79</v>
          </cell>
          <cell r="O2128">
            <v>0</v>
          </cell>
          <cell r="R2128">
            <v>28.12</v>
          </cell>
        </row>
        <row r="2129">
          <cell r="G2129">
            <v>12118.299999999899</v>
          </cell>
          <cell r="I2129">
            <v>274.07999999999902</v>
          </cell>
          <cell r="J2129">
            <v>0</v>
          </cell>
          <cell r="K2129">
            <v>0.04</v>
          </cell>
          <cell r="L2129">
            <v>274.12</v>
          </cell>
          <cell r="M2129">
            <v>12918.44</v>
          </cell>
          <cell r="N2129">
            <v>3594.76</v>
          </cell>
          <cell r="O2129">
            <v>0</v>
          </cell>
          <cell r="R2129">
            <v>28.12</v>
          </cell>
        </row>
        <row r="2130">
          <cell r="G2130">
            <v>7069.01</v>
          </cell>
          <cell r="I2130">
            <v>159.87</v>
          </cell>
          <cell r="J2130">
            <v>1149.8199999999899</v>
          </cell>
          <cell r="K2130">
            <v>2.9999999999999898E-2</v>
          </cell>
          <cell r="L2130">
            <v>1309.72</v>
          </cell>
          <cell r="M2130">
            <v>8706.77</v>
          </cell>
          <cell r="N2130">
            <v>1591.0699999999899</v>
          </cell>
          <cell r="O2130">
            <v>0</v>
          </cell>
          <cell r="R2130">
            <v>16.399999999999899</v>
          </cell>
        </row>
        <row r="2131">
          <cell r="G2131">
            <v>12118.299999999899</v>
          </cell>
          <cell r="I2131">
            <v>274.07999999999902</v>
          </cell>
          <cell r="J2131">
            <v>0</v>
          </cell>
          <cell r="K2131">
            <v>0.04</v>
          </cell>
          <cell r="L2131">
            <v>274.12</v>
          </cell>
          <cell r="M2131">
            <v>12922.129999999899</v>
          </cell>
          <cell r="N2131">
            <v>3707.9499999999898</v>
          </cell>
          <cell r="O2131">
            <v>0</v>
          </cell>
          <cell r="R2131">
            <v>28.12</v>
          </cell>
        </row>
        <row r="2132">
          <cell r="G2132">
            <v>24236.5999999999</v>
          </cell>
          <cell r="I2132">
            <v>548.13999999999896</v>
          </cell>
          <cell r="J2132">
            <v>0</v>
          </cell>
          <cell r="K2132">
            <v>8.99999999999999E-2</v>
          </cell>
          <cell r="L2132">
            <v>548.23</v>
          </cell>
          <cell r="M2132">
            <v>25838.2</v>
          </cell>
          <cell r="N2132">
            <v>7229.96</v>
          </cell>
          <cell r="O2132">
            <v>0</v>
          </cell>
          <cell r="R2132">
            <v>56.219999999999899</v>
          </cell>
        </row>
        <row r="2133">
          <cell r="G2133">
            <v>39044.849999999897</v>
          </cell>
          <cell r="I2133">
            <v>776.52999999999895</v>
          </cell>
          <cell r="J2133">
            <v>0</v>
          </cell>
          <cell r="K2133">
            <v>0.12</v>
          </cell>
          <cell r="L2133">
            <v>776.64999999999895</v>
          </cell>
          <cell r="M2133">
            <v>41348.379999999903</v>
          </cell>
          <cell r="N2133">
            <v>6585.14</v>
          </cell>
          <cell r="O2133">
            <v>0</v>
          </cell>
          <cell r="R2133">
            <v>90.599999999999895</v>
          </cell>
        </row>
        <row r="2134">
          <cell r="G2134">
            <v>25454.77</v>
          </cell>
          <cell r="I2134">
            <v>502.45999999999901</v>
          </cell>
          <cell r="J2134">
            <v>0</v>
          </cell>
          <cell r="K2134">
            <v>0.08</v>
          </cell>
          <cell r="L2134">
            <v>502.54</v>
          </cell>
          <cell r="M2134">
            <v>26945.18</v>
          </cell>
          <cell r="N2134">
            <v>4067.6199999999899</v>
          </cell>
          <cell r="O2134">
            <v>0</v>
          </cell>
          <cell r="R2134">
            <v>59.06</v>
          </cell>
        </row>
        <row r="2135">
          <cell r="G2135">
            <v>24236.5999999999</v>
          </cell>
          <cell r="I2135">
            <v>548.13999999999896</v>
          </cell>
          <cell r="J2135">
            <v>0</v>
          </cell>
          <cell r="K2135">
            <v>8.99999999999999E-2</v>
          </cell>
          <cell r="L2135">
            <v>548.23</v>
          </cell>
          <cell r="M2135">
            <v>25836.869999999901</v>
          </cell>
          <cell r="N2135">
            <v>7189.77</v>
          </cell>
          <cell r="O2135">
            <v>0</v>
          </cell>
          <cell r="R2135">
            <v>56.219999999999899</v>
          </cell>
        </row>
        <row r="2136">
          <cell r="G2136">
            <v>13775.629999999899</v>
          </cell>
          <cell r="I2136">
            <v>274.07999999999902</v>
          </cell>
          <cell r="J2136">
            <v>0</v>
          </cell>
          <cell r="K2136">
            <v>0.04</v>
          </cell>
          <cell r="L2136">
            <v>274.12</v>
          </cell>
          <cell r="M2136">
            <v>14577.309999999899</v>
          </cell>
          <cell r="N2136">
            <v>1986.05</v>
          </cell>
          <cell r="O2136">
            <v>0</v>
          </cell>
          <cell r="R2136">
            <v>31.969999999999899</v>
          </cell>
        </row>
        <row r="2137">
          <cell r="G2137">
            <v>10413.32</v>
          </cell>
          <cell r="I2137">
            <v>205.55</v>
          </cell>
          <cell r="J2137">
            <v>0</v>
          </cell>
          <cell r="K2137">
            <v>2.9999999999999898E-2</v>
          </cell>
          <cell r="L2137">
            <v>205.58</v>
          </cell>
          <cell r="M2137">
            <v>11025.059999999899</v>
          </cell>
          <cell r="N2137">
            <v>1725.1199999999899</v>
          </cell>
          <cell r="O2137">
            <v>0</v>
          </cell>
          <cell r="R2137">
            <v>24.17</v>
          </cell>
        </row>
        <row r="2138">
          <cell r="G2138">
            <v>0</v>
          </cell>
          <cell r="I2138">
            <v>0</v>
          </cell>
          <cell r="J2138">
            <v>86397.839999999895</v>
          </cell>
          <cell r="K2138">
            <v>0</v>
          </cell>
          <cell r="L2138">
            <v>86397.839999999895</v>
          </cell>
          <cell r="M2138">
            <v>86397.839999999895</v>
          </cell>
          <cell r="N2138">
            <v>-86397.839999999895</v>
          </cell>
          <cell r="O2138">
            <v>0</v>
          </cell>
          <cell r="R2138">
            <v>0</v>
          </cell>
        </row>
        <row r="2139">
          <cell r="G2139">
            <v>36354.9</v>
          </cell>
          <cell r="I2139">
            <v>822.21</v>
          </cell>
          <cell r="J2139">
            <v>1856.76</v>
          </cell>
          <cell r="K2139">
            <v>0.13</v>
          </cell>
          <cell r="L2139">
            <v>2679.0999999999899</v>
          </cell>
          <cell r="M2139">
            <v>40653.709999999897</v>
          </cell>
          <cell r="N2139">
            <v>10192.57</v>
          </cell>
          <cell r="O2139">
            <v>0</v>
          </cell>
          <cell r="R2139">
            <v>84.37</v>
          </cell>
        </row>
        <row r="2140">
          <cell r="G2140">
            <v>8099.25</v>
          </cell>
          <cell r="I2140">
            <v>159.87</v>
          </cell>
          <cell r="J2140">
            <v>0</v>
          </cell>
          <cell r="K2140">
            <v>2.9999999999999898E-2</v>
          </cell>
          <cell r="L2140">
            <v>159.9</v>
          </cell>
          <cell r="M2140">
            <v>8578.9699999999903</v>
          </cell>
          <cell r="N2140">
            <v>1460.43</v>
          </cell>
          <cell r="O2140">
            <v>0</v>
          </cell>
          <cell r="R2140">
            <v>18.8</v>
          </cell>
        </row>
        <row r="2141">
          <cell r="G2141">
            <v>12118.299999999899</v>
          </cell>
          <cell r="I2141">
            <v>274.07999999999902</v>
          </cell>
          <cell r="J2141">
            <v>0</v>
          </cell>
          <cell r="K2141">
            <v>0.04</v>
          </cell>
          <cell r="L2141">
            <v>274.12</v>
          </cell>
          <cell r="M2141">
            <v>12918.44</v>
          </cell>
          <cell r="N2141">
            <v>3594.76</v>
          </cell>
          <cell r="O2141">
            <v>0</v>
          </cell>
          <cell r="R2141">
            <v>28.12</v>
          </cell>
        </row>
        <row r="2142">
          <cell r="G2142">
            <v>6059.1499999999896</v>
          </cell>
          <cell r="I2142">
            <v>137.03</v>
          </cell>
          <cell r="J2142">
            <v>0</v>
          </cell>
          <cell r="K2142">
            <v>0.02</v>
          </cell>
          <cell r="L2142">
            <v>137.05000000000001</v>
          </cell>
          <cell r="M2142">
            <v>6458.4099999999899</v>
          </cell>
          <cell r="N2142">
            <v>1773.23</v>
          </cell>
          <cell r="O2142">
            <v>0</v>
          </cell>
          <cell r="R2142">
            <v>14.07</v>
          </cell>
        </row>
        <row r="2143">
          <cell r="G2143">
            <v>234339.09</v>
          </cell>
          <cell r="I2143">
            <v>5252.9899999999898</v>
          </cell>
          <cell r="J2143">
            <v>6929.7299999999896</v>
          </cell>
          <cell r="K2143">
            <v>0.81999999999999895</v>
          </cell>
          <cell r="L2143">
            <v>12183.54</v>
          </cell>
          <cell r="M2143">
            <v>257052.95</v>
          </cell>
          <cell r="N2143">
            <v>73524.809999999896</v>
          </cell>
          <cell r="O2143">
            <v>0</v>
          </cell>
          <cell r="R2143">
            <v>543.71</v>
          </cell>
        </row>
        <row r="2144">
          <cell r="G2144">
            <v>241715.1</v>
          </cell>
          <cell r="I2144">
            <v>5481.3699999999899</v>
          </cell>
          <cell r="J2144">
            <v>35204.160000000003</v>
          </cell>
          <cell r="K2144">
            <v>0.85999999999999899</v>
          </cell>
          <cell r="L2144">
            <v>40686.389999999898</v>
          </cell>
          <cell r="M2144">
            <v>293636.75</v>
          </cell>
          <cell r="N2144">
            <v>59072.529999999897</v>
          </cell>
          <cell r="O2144">
            <v>0</v>
          </cell>
          <cell r="R2144">
            <v>560.82000000000005</v>
          </cell>
        </row>
        <row r="2145">
          <cell r="G2145">
            <v>18177.45</v>
          </cell>
          <cell r="I2145">
            <v>411.1</v>
          </cell>
          <cell r="J2145">
            <v>780.48</v>
          </cell>
          <cell r="K2145">
            <v>5.9999999999999901E-2</v>
          </cell>
          <cell r="L2145">
            <v>1191.6400000000001</v>
          </cell>
          <cell r="M2145">
            <v>20192.2</v>
          </cell>
          <cell r="N2145">
            <v>5646.8</v>
          </cell>
          <cell r="O2145">
            <v>0</v>
          </cell>
          <cell r="R2145">
            <v>42.159999999999897</v>
          </cell>
        </row>
        <row r="2146">
          <cell r="G2146">
            <v>12118.299999999899</v>
          </cell>
          <cell r="I2146">
            <v>274.07999999999902</v>
          </cell>
          <cell r="J2146">
            <v>1253.52</v>
          </cell>
          <cell r="K2146">
            <v>0.04</v>
          </cell>
          <cell r="L2146">
            <v>1527.64</v>
          </cell>
          <cell r="M2146">
            <v>14206.01</v>
          </cell>
          <cell r="N2146">
            <v>3376.3899999999899</v>
          </cell>
          <cell r="O2146">
            <v>0</v>
          </cell>
          <cell r="R2146">
            <v>28.12</v>
          </cell>
        </row>
        <row r="2147">
          <cell r="G2147">
            <v>12118.299999999899</v>
          </cell>
          <cell r="I2147">
            <v>274.07999999999902</v>
          </cell>
          <cell r="J2147">
            <v>1779.1199999999899</v>
          </cell>
          <cell r="K2147">
            <v>0.04</v>
          </cell>
          <cell r="L2147">
            <v>2053.2399999999898</v>
          </cell>
          <cell r="M2147">
            <v>14729.93</v>
          </cell>
          <cell r="N2147">
            <v>2799.19</v>
          </cell>
          <cell r="O2147">
            <v>0</v>
          </cell>
          <cell r="R2147">
            <v>28.12</v>
          </cell>
        </row>
        <row r="2148">
          <cell r="G2148">
            <v>18177.45</v>
          </cell>
          <cell r="I2148">
            <v>411.1</v>
          </cell>
          <cell r="J2148">
            <v>1229.76</v>
          </cell>
          <cell r="K2148">
            <v>5.9999999999999901E-2</v>
          </cell>
          <cell r="L2148">
            <v>1640.92</v>
          </cell>
          <cell r="M2148">
            <v>20664.4199999999</v>
          </cell>
          <cell r="N2148">
            <v>5895.6599999999899</v>
          </cell>
          <cell r="O2148">
            <v>0</v>
          </cell>
          <cell r="R2148">
            <v>42.159999999999897</v>
          </cell>
        </row>
        <row r="2149">
          <cell r="G2149">
            <v>24236.5999999999</v>
          </cell>
          <cell r="I2149">
            <v>548.13999999999896</v>
          </cell>
          <cell r="J2149">
            <v>1970.88</v>
          </cell>
          <cell r="K2149">
            <v>8.99999999999999E-2</v>
          </cell>
          <cell r="L2149">
            <v>2519.11</v>
          </cell>
          <cell r="M2149">
            <v>27872.41</v>
          </cell>
          <cell r="N2149">
            <v>7185.8299999999899</v>
          </cell>
          <cell r="O2149">
            <v>0</v>
          </cell>
          <cell r="R2149">
            <v>56.219999999999899</v>
          </cell>
        </row>
        <row r="2150">
          <cell r="G2150">
            <v>5049.29</v>
          </cell>
          <cell r="I2150">
            <v>114.2</v>
          </cell>
          <cell r="J2150">
            <v>0</v>
          </cell>
          <cell r="K2150">
            <v>0.02</v>
          </cell>
          <cell r="L2150">
            <v>114.22</v>
          </cell>
          <cell r="M2150">
            <v>5383.3599999999897</v>
          </cell>
          <cell r="N2150">
            <v>1518.04</v>
          </cell>
          <cell r="O2150">
            <v>0</v>
          </cell>
          <cell r="R2150">
            <v>11.72</v>
          </cell>
        </row>
        <row r="2151">
          <cell r="G2151">
            <v>12118.299999999899</v>
          </cell>
          <cell r="I2151">
            <v>274.07999999999902</v>
          </cell>
          <cell r="J2151">
            <v>0</v>
          </cell>
          <cell r="K2151">
            <v>0.04</v>
          </cell>
          <cell r="L2151">
            <v>274.12</v>
          </cell>
          <cell r="M2151">
            <v>12920.52</v>
          </cell>
          <cell r="N2151">
            <v>3659.4</v>
          </cell>
          <cell r="O2151">
            <v>0</v>
          </cell>
          <cell r="R2151">
            <v>28.12</v>
          </cell>
        </row>
        <row r="2152">
          <cell r="G2152">
            <v>13775.639999999899</v>
          </cell>
          <cell r="I2152">
            <v>274.07999999999902</v>
          </cell>
          <cell r="J2152">
            <v>0</v>
          </cell>
          <cell r="K2152">
            <v>0.04</v>
          </cell>
          <cell r="L2152">
            <v>274.12</v>
          </cell>
          <cell r="M2152">
            <v>14577.86</v>
          </cell>
          <cell r="N2152">
            <v>2002.0599999999899</v>
          </cell>
          <cell r="O2152">
            <v>0</v>
          </cell>
          <cell r="R2152">
            <v>31.969999999999899</v>
          </cell>
        </row>
        <row r="2153">
          <cell r="G2153">
            <v>12118.299999999899</v>
          </cell>
          <cell r="I2153">
            <v>274.07999999999902</v>
          </cell>
          <cell r="J2153">
            <v>0</v>
          </cell>
          <cell r="K2153">
            <v>0.04</v>
          </cell>
          <cell r="L2153">
            <v>274.12</v>
          </cell>
          <cell r="M2153">
            <v>12923.75</v>
          </cell>
          <cell r="N2153">
            <v>3756.25</v>
          </cell>
          <cell r="O2153">
            <v>0</v>
          </cell>
          <cell r="R2153">
            <v>28.12</v>
          </cell>
        </row>
        <row r="2154">
          <cell r="G2154">
            <v>24741.529999999901</v>
          </cell>
          <cell r="I2154">
            <v>559.54999999999905</v>
          </cell>
          <cell r="J2154">
            <v>3476.23</v>
          </cell>
          <cell r="K2154">
            <v>8.99999999999999E-2</v>
          </cell>
          <cell r="L2154">
            <v>4035.8699999999899</v>
          </cell>
          <cell r="M2154">
            <v>29917.4399999999</v>
          </cell>
          <cell r="N2154">
            <v>5871.18</v>
          </cell>
          <cell r="O2154">
            <v>0</v>
          </cell>
          <cell r="R2154">
            <v>57.42</v>
          </cell>
        </row>
        <row r="2155">
          <cell r="G2155">
            <v>127242.149999999</v>
          </cell>
          <cell r="I2155">
            <v>2877.73</v>
          </cell>
          <cell r="J2155">
            <v>16498.2</v>
          </cell>
          <cell r="K2155">
            <v>0.45</v>
          </cell>
          <cell r="L2155">
            <v>19376.38</v>
          </cell>
          <cell r="M2155">
            <v>152498.31</v>
          </cell>
          <cell r="N2155">
            <v>32085.45</v>
          </cell>
          <cell r="O2155">
            <v>0</v>
          </cell>
          <cell r="R2155">
            <v>295.23</v>
          </cell>
        </row>
        <row r="2156">
          <cell r="G2156">
            <v>24236.5999999999</v>
          </cell>
          <cell r="I2156">
            <v>548.13999999999896</v>
          </cell>
          <cell r="J2156">
            <v>1892.16</v>
          </cell>
          <cell r="K2156">
            <v>8.99999999999999E-2</v>
          </cell>
          <cell r="L2156">
            <v>2440.3899999999899</v>
          </cell>
          <cell r="M2156">
            <v>27755.23</v>
          </cell>
          <cell r="N2156">
            <v>6094.6099999999897</v>
          </cell>
          <cell r="O2156">
            <v>0</v>
          </cell>
          <cell r="R2156">
            <v>56.219999999999899</v>
          </cell>
        </row>
        <row r="2157">
          <cell r="G2157">
            <v>24236.5999999999</v>
          </cell>
          <cell r="I2157">
            <v>548.13999999999896</v>
          </cell>
          <cell r="J2157">
            <v>3274.5599999999899</v>
          </cell>
          <cell r="K2157">
            <v>8.99999999999999E-2</v>
          </cell>
          <cell r="L2157">
            <v>3822.79</v>
          </cell>
          <cell r="M2157">
            <v>29179.52</v>
          </cell>
          <cell r="N2157">
            <v>5985.2799999999897</v>
          </cell>
          <cell r="O2157">
            <v>0</v>
          </cell>
          <cell r="R2157">
            <v>56.219999999999899</v>
          </cell>
        </row>
        <row r="2158">
          <cell r="G2158">
            <v>12118.299999999899</v>
          </cell>
          <cell r="I2158">
            <v>274.07999999999902</v>
          </cell>
          <cell r="J2158">
            <v>1300.8</v>
          </cell>
          <cell r="K2158">
            <v>0.04</v>
          </cell>
          <cell r="L2158">
            <v>1574.92</v>
          </cell>
          <cell r="M2158">
            <v>14257.209999999901</v>
          </cell>
          <cell r="N2158">
            <v>3449.51</v>
          </cell>
          <cell r="O2158">
            <v>0</v>
          </cell>
          <cell r="R2158">
            <v>28.12</v>
          </cell>
        </row>
        <row r="2159">
          <cell r="G2159">
            <v>12118.299999999899</v>
          </cell>
          <cell r="I2159">
            <v>274.07999999999902</v>
          </cell>
          <cell r="J2159">
            <v>1484.88</v>
          </cell>
          <cell r="K2159">
            <v>0.04</v>
          </cell>
          <cell r="L2159">
            <v>1759</v>
          </cell>
          <cell r="M2159">
            <v>14441.29</v>
          </cell>
          <cell r="N2159">
            <v>3265.4299999999898</v>
          </cell>
          <cell r="O2159">
            <v>0</v>
          </cell>
          <cell r="R2159">
            <v>28.12</v>
          </cell>
        </row>
        <row r="2160">
          <cell r="G2160">
            <v>12118.299999999899</v>
          </cell>
          <cell r="I2160">
            <v>274.07999999999902</v>
          </cell>
          <cell r="J2160">
            <v>1931.52</v>
          </cell>
          <cell r="K2160">
            <v>0.04</v>
          </cell>
          <cell r="L2160">
            <v>2205.6399999999899</v>
          </cell>
          <cell r="M2160">
            <v>14882.33</v>
          </cell>
          <cell r="N2160">
            <v>2646.79</v>
          </cell>
          <cell r="O2160">
            <v>0</v>
          </cell>
          <cell r="R2160">
            <v>28.12</v>
          </cell>
        </row>
        <row r="2161">
          <cell r="G2161">
            <v>24236.5999999999</v>
          </cell>
          <cell r="I2161">
            <v>548.13999999999896</v>
          </cell>
          <cell r="J2161">
            <v>0</v>
          </cell>
          <cell r="K2161">
            <v>8.99999999999999E-2</v>
          </cell>
          <cell r="L2161">
            <v>548.23</v>
          </cell>
          <cell r="M2161">
            <v>25836.869999999901</v>
          </cell>
          <cell r="N2161">
            <v>7189.5299999999897</v>
          </cell>
          <cell r="O2161">
            <v>0</v>
          </cell>
          <cell r="R2161">
            <v>56.219999999999899</v>
          </cell>
        </row>
        <row r="2162">
          <cell r="G2162">
            <v>13128.16</v>
          </cell>
          <cell r="I2162">
            <v>296.91000000000003</v>
          </cell>
          <cell r="J2162">
            <v>0</v>
          </cell>
          <cell r="K2162">
            <v>0.05</v>
          </cell>
          <cell r="L2162">
            <v>296.95999999999901</v>
          </cell>
          <cell r="M2162">
            <v>14008.049999999899</v>
          </cell>
          <cell r="N2162">
            <v>4292.9099999999899</v>
          </cell>
          <cell r="O2162">
            <v>0</v>
          </cell>
          <cell r="R2162">
            <v>30.4499999999999</v>
          </cell>
        </row>
        <row r="2163">
          <cell r="G2163">
            <v>6059.1499999999896</v>
          </cell>
          <cell r="I2163">
            <v>135.88999999999899</v>
          </cell>
          <cell r="J2163">
            <v>0</v>
          </cell>
          <cell r="K2163">
            <v>0.53</v>
          </cell>
          <cell r="L2163">
            <v>136.41999999999899</v>
          </cell>
          <cell r="M2163">
            <v>6458.55</v>
          </cell>
          <cell r="N2163">
            <v>1798.05</v>
          </cell>
          <cell r="O2163">
            <v>0</v>
          </cell>
          <cell r="R2163">
            <v>14.07</v>
          </cell>
        </row>
        <row r="2164">
          <cell r="G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R2164">
            <v>0</v>
          </cell>
        </row>
        <row r="2165">
          <cell r="G2165">
            <v>14196.83</v>
          </cell>
          <cell r="I2165">
            <v>295.17</v>
          </cell>
          <cell r="J2165">
            <v>0</v>
          </cell>
          <cell r="K2165">
            <v>0</v>
          </cell>
          <cell r="L2165">
            <v>295.17</v>
          </cell>
          <cell r="M2165">
            <v>15209.03</v>
          </cell>
          <cell r="N2165">
            <v>2019.13</v>
          </cell>
          <cell r="O2165">
            <v>0</v>
          </cell>
          <cell r="R2165">
            <v>67.42</v>
          </cell>
        </row>
        <row r="2166">
          <cell r="G2166">
            <v>23823</v>
          </cell>
          <cell r="I2166">
            <v>504.24</v>
          </cell>
          <cell r="J2166">
            <v>0</v>
          </cell>
          <cell r="K2166">
            <v>0</v>
          </cell>
          <cell r="L2166">
            <v>504.24</v>
          </cell>
          <cell r="M2166">
            <v>25562.09</v>
          </cell>
          <cell r="N2166">
            <v>4109.2299999999896</v>
          </cell>
          <cell r="O2166">
            <v>0</v>
          </cell>
          <cell r="R2166">
            <v>113.11</v>
          </cell>
        </row>
        <row r="2167">
          <cell r="G2167">
            <v>12256.9</v>
          </cell>
          <cell r="I2167">
            <v>295.17</v>
          </cell>
          <cell r="J2167">
            <v>1300.8</v>
          </cell>
          <cell r="K2167">
            <v>0</v>
          </cell>
          <cell r="L2167">
            <v>1595.97</v>
          </cell>
          <cell r="M2167">
            <v>14597.53</v>
          </cell>
          <cell r="N2167">
            <v>3294.4699999999898</v>
          </cell>
          <cell r="O2167">
            <v>0</v>
          </cell>
          <cell r="R2167">
            <v>58.18</v>
          </cell>
        </row>
        <row r="2168">
          <cell r="G2168">
            <v>6128.4499999999898</v>
          </cell>
          <cell r="I2168">
            <v>147.59</v>
          </cell>
          <cell r="J2168">
            <v>1038.1199999999899</v>
          </cell>
          <cell r="K2168">
            <v>0</v>
          </cell>
          <cell r="L2168">
            <v>1185.71</v>
          </cell>
          <cell r="M2168">
            <v>7696.2399999999898</v>
          </cell>
          <cell r="N2168">
            <v>1483.76</v>
          </cell>
          <cell r="O2168">
            <v>0</v>
          </cell>
          <cell r="R2168">
            <v>29.079999999999899</v>
          </cell>
        </row>
        <row r="2169">
          <cell r="G2169">
            <v>12256.9</v>
          </cell>
          <cell r="I2169">
            <v>295.17</v>
          </cell>
          <cell r="J2169">
            <v>1030.0799999999899</v>
          </cell>
          <cell r="K2169">
            <v>0</v>
          </cell>
          <cell r="L2169">
            <v>1325.25</v>
          </cell>
          <cell r="M2169">
            <v>14331.299999999899</v>
          </cell>
          <cell r="N2169">
            <v>3668.6999999999898</v>
          </cell>
          <cell r="O2169">
            <v>0</v>
          </cell>
          <cell r="R2169">
            <v>58.18</v>
          </cell>
        </row>
        <row r="2170">
          <cell r="G2170">
            <v>76605.589999999895</v>
          </cell>
          <cell r="I2170">
            <v>1844.8</v>
          </cell>
          <cell r="J2170">
            <v>0</v>
          </cell>
          <cell r="K2170">
            <v>0</v>
          </cell>
          <cell r="L2170">
            <v>1844.8</v>
          </cell>
          <cell r="M2170">
            <v>83038.899999999907</v>
          </cell>
          <cell r="N2170">
            <v>27211.0999999999</v>
          </cell>
          <cell r="O2170">
            <v>0</v>
          </cell>
          <cell r="R2170">
            <v>363.73</v>
          </cell>
        </row>
        <row r="2171">
          <cell r="G2171">
            <v>25024.5</v>
          </cell>
          <cell r="I2171">
            <v>602.63</v>
          </cell>
          <cell r="J2171">
            <v>3944.6599999999899</v>
          </cell>
          <cell r="K2171">
            <v>0</v>
          </cell>
          <cell r="L2171">
            <v>4547.29</v>
          </cell>
          <cell r="M2171">
            <v>31069.91</v>
          </cell>
          <cell r="N2171">
            <v>4926.34</v>
          </cell>
          <cell r="O2171">
            <v>0</v>
          </cell>
          <cell r="R2171">
            <v>118.819999999999</v>
          </cell>
        </row>
        <row r="2172">
          <cell r="G2172">
            <v>12256.9</v>
          </cell>
          <cell r="I2172">
            <v>295.17</v>
          </cell>
          <cell r="J2172">
            <v>0</v>
          </cell>
          <cell r="K2172">
            <v>0</v>
          </cell>
          <cell r="L2172">
            <v>295.17</v>
          </cell>
          <cell r="M2172">
            <v>13271.23</v>
          </cell>
          <cell r="N2172">
            <v>4008.77</v>
          </cell>
          <cell r="O2172">
            <v>0</v>
          </cell>
          <cell r="R2172">
            <v>58.18</v>
          </cell>
        </row>
        <row r="2173">
          <cell r="G2173">
            <v>58785.029999999897</v>
          </cell>
          <cell r="I2173">
            <v>1315.95</v>
          </cell>
          <cell r="J2173">
            <v>0</v>
          </cell>
          <cell r="K2173">
            <v>0</v>
          </cell>
          <cell r="L2173">
            <v>1315.95</v>
          </cell>
          <cell r="M2173">
            <v>63202.16</v>
          </cell>
          <cell r="N2173">
            <v>11309.85</v>
          </cell>
          <cell r="O2173">
            <v>0</v>
          </cell>
          <cell r="R2173">
            <v>279.10000000000002</v>
          </cell>
        </row>
        <row r="2174">
          <cell r="G2174">
            <v>29110.13</v>
          </cell>
          <cell r="I2174">
            <v>701.01999999999896</v>
          </cell>
          <cell r="J2174">
            <v>4100.5600000000004</v>
          </cell>
          <cell r="K2174">
            <v>0</v>
          </cell>
          <cell r="L2174">
            <v>4801.5799999999899</v>
          </cell>
          <cell r="M2174">
            <v>35631.33</v>
          </cell>
          <cell r="N2174">
            <v>5687.3999999999896</v>
          </cell>
          <cell r="O2174">
            <v>0</v>
          </cell>
          <cell r="R2174">
            <v>138.22</v>
          </cell>
        </row>
        <row r="2175">
          <cell r="G2175">
            <v>74027.97</v>
          </cell>
          <cell r="I2175">
            <v>1598.8199999999899</v>
          </cell>
          <cell r="J2175">
            <v>0</v>
          </cell>
          <cell r="K2175">
            <v>0</v>
          </cell>
          <cell r="L2175">
            <v>1598.8199999999899</v>
          </cell>
          <cell r="M2175">
            <v>79483.199999999895</v>
          </cell>
          <cell r="N2175">
            <v>13176.48</v>
          </cell>
          <cell r="O2175">
            <v>0</v>
          </cell>
          <cell r="R2175">
            <v>351.45999999999901</v>
          </cell>
        </row>
        <row r="2176">
          <cell r="G2176">
            <v>12256.9</v>
          </cell>
          <cell r="I2176">
            <v>295.17</v>
          </cell>
          <cell r="J2176">
            <v>1200.96</v>
          </cell>
          <cell r="K2176">
            <v>0</v>
          </cell>
          <cell r="L2176">
            <v>1496.13</v>
          </cell>
          <cell r="M2176">
            <v>14496.969999999899</v>
          </cell>
          <cell r="N2176">
            <v>3377.03</v>
          </cell>
          <cell r="O2176">
            <v>0</v>
          </cell>
          <cell r="R2176">
            <v>58.18</v>
          </cell>
        </row>
        <row r="2177">
          <cell r="G2177">
            <v>7553.63</v>
          </cell>
          <cell r="I2177">
            <v>159.88</v>
          </cell>
          <cell r="J2177">
            <v>0</v>
          </cell>
          <cell r="K2177">
            <v>0</v>
          </cell>
          <cell r="L2177">
            <v>159.88</v>
          </cell>
          <cell r="M2177">
            <v>8101.89</v>
          </cell>
          <cell r="N2177">
            <v>1230.03</v>
          </cell>
          <cell r="O2177">
            <v>0</v>
          </cell>
          <cell r="R2177">
            <v>35.869999999999898</v>
          </cell>
        </row>
        <row r="2178">
          <cell r="G2178">
            <v>11235.49</v>
          </cell>
          <cell r="I2178">
            <v>270.56999999999903</v>
          </cell>
          <cell r="J2178">
            <v>0</v>
          </cell>
          <cell r="K2178">
            <v>0</v>
          </cell>
          <cell r="L2178">
            <v>270.56999999999903</v>
          </cell>
          <cell r="M2178">
            <v>12178.209999999901</v>
          </cell>
          <cell r="N2178">
            <v>3971.69</v>
          </cell>
          <cell r="O2178">
            <v>0</v>
          </cell>
          <cell r="R2178">
            <v>53.3599999999999</v>
          </cell>
        </row>
        <row r="2179">
          <cell r="G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344.52999999999901</v>
          </cell>
          <cell r="N2179">
            <v>7933.31</v>
          </cell>
          <cell r="O2179">
            <v>0</v>
          </cell>
          <cell r="R2179">
            <v>0</v>
          </cell>
        </row>
        <row r="2180">
          <cell r="G2180">
            <v>13945.16</v>
          </cell>
          <cell r="I2180">
            <v>295.17</v>
          </cell>
          <cell r="J2180">
            <v>0</v>
          </cell>
          <cell r="K2180">
            <v>0</v>
          </cell>
          <cell r="L2180">
            <v>295.17</v>
          </cell>
          <cell r="M2180">
            <v>14955.2</v>
          </cell>
          <cell r="N2180">
            <v>2221.1199999999899</v>
          </cell>
          <cell r="O2180">
            <v>0</v>
          </cell>
          <cell r="R2180">
            <v>66.219999999999899</v>
          </cell>
        </row>
        <row r="2181">
          <cell r="G2181">
            <v>32685.06</v>
          </cell>
          <cell r="I2181">
            <v>787.11</v>
          </cell>
          <cell r="J2181">
            <v>1082.6400000000001</v>
          </cell>
          <cell r="K2181">
            <v>0</v>
          </cell>
          <cell r="L2181">
            <v>1869.75</v>
          </cell>
          <cell r="M2181">
            <v>36467.669999999896</v>
          </cell>
          <cell r="N2181">
            <v>9493.5300000000007</v>
          </cell>
          <cell r="O2181">
            <v>0</v>
          </cell>
          <cell r="R2181">
            <v>155.16999999999899</v>
          </cell>
        </row>
        <row r="2182">
          <cell r="G2182">
            <v>31252.880000000001</v>
          </cell>
          <cell r="I2182">
            <v>645.67999999999904</v>
          </cell>
          <cell r="J2182">
            <v>0</v>
          </cell>
          <cell r="K2182">
            <v>0</v>
          </cell>
          <cell r="L2182">
            <v>645.67999999999904</v>
          </cell>
          <cell r="M2182">
            <v>33458.339999999902</v>
          </cell>
          <cell r="N2182">
            <v>4018.7399999999898</v>
          </cell>
          <cell r="O2182">
            <v>0</v>
          </cell>
          <cell r="R2182">
            <v>148.38999999999899</v>
          </cell>
        </row>
        <row r="2183">
          <cell r="G2183">
            <v>32685.06</v>
          </cell>
          <cell r="I2183">
            <v>787.11</v>
          </cell>
          <cell r="J2183">
            <v>0</v>
          </cell>
          <cell r="K2183">
            <v>0</v>
          </cell>
          <cell r="L2183">
            <v>787.11</v>
          </cell>
          <cell r="M2183">
            <v>35351.72</v>
          </cell>
          <cell r="N2183">
            <v>9810.1200000000008</v>
          </cell>
          <cell r="O2183">
            <v>0</v>
          </cell>
          <cell r="R2183">
            <v>155.16999999999899</v>
          </cell>
        </row>
        <row r="2184">
          <cell r="G2184">
            <v>12256.9</v>
          </cell>
          <cell r="I2184">
            <v>295.17</v>
          </cell>
          <cell r="J2184">
            <v>977.51999999999896</v>
          </cell>
          <cell r="K2184">
            <v>0</v>
          </cell>
          <cell r="L2184">
            <v>1272.69</v>
          </cell>
          <cell r="M2184">
            <v>14273.53</v>
          </cell>
          <cell r="N2184">
            <v>3600.4699999999898</v>
          </cell>
          <cell r="O2184">
            <v>0</v>
          </cell>
          <cell r="R2184">
            <v>58.18</v>
          </cell>
        </row>
        <row r="2185">
          <cell r="G2185">
            <v>28408.34</v>
          </cell>
          <cell r="I2185">
            <v>651.83000000000004</v>
          </cell>
          <cell r="J2185">
            <v>1888.99</v>
          </cell>
          <cell r="K2185">
            <v>0</v>
          </cell>
          <cell r="L2185">
            <v>2540.8200000000002</v>
          </cell>
          <cell r="M2185">
            <v>32551.95</v>
          </cell>
          <cell r="N2185">
            <v>5957.0699999999897</v>
          </cell>
          <cell r="O2185">
            <v>0</v>
          </cell>
          <cell r="R2185">
            <v>134.849999999999</v>
          </cell>
        </row>
        <row r="2186">
          <cell r="G2186">
            <v>15831.82</v>
          </cell>
          <cell r="I2186">
            <v>381.25</v>
          </cell>
          <cell r="J2186">
            <v>0</v>
          </cell>
          <cell r="K2186">
            <v>0</v>
          </cell>
          <cell r="L2186">
            <v>381.25</v>
          </cell>
          <cell r="M2186">
            <v>17132.740000000002</v>
          </cell>
          <cell r="N2186">
            <v>4964.0600000000004</v>
          </cell>
          <cell r="O2186">
            <v>0</v>
          </cell>
          <cell r="R2186">
            <v>75.17</v>
          </cell>
        </row>
        <row r="2187">
          <cell r="G2187">
            <v>12767.6</v>
          </cell>
          <cell r="I2187">
            <v>307.45999999999901</v>
          </cell>
          <cell r="J2187">
            <v>2275.36</v>
          </cell>
          <cell r="K2187">
            <v>0</v>
          </cell>
          <cell r="L2187">
            <v>2582.8200000000002</v>
          </cell>
          <cell r="M2187">
            <v>16109.959999999901</v>
          </cell>
          <cell r="N2187">
            <v>2140.04</v>
          </cell>
          <cell r="O2187">
            <v>0</v>
          </cell>
          <cell r="R2187">
            <v>60.619999999999898</v>
          </cell>
        </row>
        <row r="2188">
          <cell r="G2188">
            <v>6128.4499999999898</v>
          </cell>
          <cell r="I2188">
            <v>147.59</v>
          </cell>
          <cell r="J2188">
            <v>667.55999999999904</v>
          </cell>
          <cell r="K2188">
            <v>0</v>
          </cell>
          <cell r="L2188">
            <v>815.14999999999895</v>
          </cell>
          <cell r="M2188">
            <v>7325.68</v>
          </cell>
          <cell r="N2188">
            <v>1854.3199999999899</v>
          </cell>
          <cell r="O2188">
            <v>0</v>
          </cell>
          <cell r="R2188">
            <v>29.079999999999899</v>
          </cell>
        </row>
        <row r="2189">
          <cell r="G2189">
            <v>24507.4399999999</v>
          </cell>
          <cell r="I2189">
            <v>565.74</v>
          </cell>
          <cell r="J2189">
            <v>0</v>
          </cell>
          <cell r="K2189">
            <v>0</v>
          </cell>
          <cell r="L2189">
            <v>565.74</v>
          </cell>
          <cell r="M2189">
            <v>26444.720000000001</v>
          </cell>
          <cell r="N2189">
            <v>6509.92</v>
          </cell>
          <cell r="O2189">
            <v>0</v>
          </cell>
          <cell r="R2189">
            <v>116.34</v>
          </cell>
        </row>
        <row r="2190">
          <cell r="G2190">
            <v>18593.54</v>
          </cell>
          <cell r="I2190">
            <v>393.56</v>
          </cell>
          <cell r="J2190">
            <v>0</v>
          </cell>
          <cell r="K2190">
            <v>0</v>
          </cell>
          <cell r="L2190">
            <v>393.56</v>
          </cell>
          <cell r="M2190">
            <v>19939.79</v>
          </cell>
          <cell r="N2190">
            <v>2950.4499999999898</v>
          </cell>
          <cell r="O2190">
            <v>0</v>
          </cell>
          <cell r="R2190">
            <v>88.28</v>
          </cell>
        </row>
        <row r="2191">
          <cell r="G2191">
            <v>12256.9</v>
          </cell>
          <cell r="I2191">
            <v>295.17</v>
          </cell>
          <cell r="J2191">
            <v>1903.3199999999899</v>
          </cell>
          <cell r="K2191">
            <v>0</v>
          </cell>
          <cell r="L2191">
            <v>2198.4899999999898</v>
          </cell>
          <cell r="M2191">
            <v>15204.54</v>
          </cell>
          <cell r="N2191">
            <v>2795.46</v>
          </cell>
          <cell r="O2191">
            <v>0</v>
          </cell>
          <cell r="R2191">
            <v>58.18</v>
          </cell>
        </row>
        <row r="2192">
          <cell r="G2192">
            <v>13945.16</v>
          </cell>
          <cell r="I2192">
            <v>295.17</v>
          </cell>
          <cell r="J2192">
            <v>0</v>
          </cell>
          <cell r="K2192">
            <v>0</v>
          </cell>
          <cell r="L2192">
            <v>295.17</v>
          </cell>
          <cell r="M2192">
            <v>14957.36</v>
          </cell>
          <cell r="N2192">
            <v>2270.8000000000002</v>
          </cell>
          <cell r="O2192">
            <v>0</v>
          </cell>
          <cell r="R2192">
            <v>66.219999999999899</v>
          </cell>
        </row>
        <row r="2193">
          <cell r="G2193">
            <v>6972.5799999999899</v>
          </cell>
          <cell r="I2193">
            <v>147.59</v>
          </cell>
          <cell r="J2193">
            <v>0</v>
          </cell>
          <cell r="K2193">
            <v>0</v>
          </cell>
          <cell r="L2193">
            <v>147.59</v>
          </cell>
          <cell r="M2193">
            <v>7475.14</v>
          </cell>
          <cell r="N2193">
            <v>1052.54</v>
          </cell>
          <cell r="O2193">
            <v>0</v>
          </cell>
          <cell r="R2193">
            <v>33.1</v>
          </cell>
        </row>
        <row r="2194">
          <cell r="G2194">
            <v>12256.9</v>
          </cell>
          <cell r="I2194">
            <v>295.17</v>
          </cell>
          <cell r="J2194">
            <v>2124.2399999999898</v>
          </cell>
          <cell r="K2194">
            <v>0</v>
          </cell>
          <cell r="L2194">
            <v>2419.4099999999899</v>
          </cell>
          <cell r="M2194">
            <v>15425.459999999901</v>
          </cell>
          <cell r="N2194">
            <v>2574.54</v>
          </cell>
          <cell r="O2194">
            <v>0</v>
          </cell>
          <cell r="R2194">
            <v>58.18</v>
          </cell>
        </row>
        <row r="2195">
          <cell r="G2195">
            <v>12256.9</v>
          </cell>
          <cell r="I2195">
            <v>295.17</v>
          </cell>
          <cell r="J2195">
            <v>1590</v>
          </cell>
          <cell r="K2195">
            <v>0</v>
          </cell>
          <cell r="L2195">
            <v>1885.17</v>
          </cell>
          <cell r="M2195">
            <v>14906.19</v>
          </cell>
          <cell r="N2195">
            <v>3453.8099999999899</v>
          </cell>
          <cell r="O2195">
            <v>0</v>
          </cell>
          <cell r="R2195">
            <v>58.18</v>
          </cell>
        </row>
        <row r="2196">
          <cell r="G2196">
            <v>12256.9</v>
          </cell>
          <cell r="I2196">
            <v>295.17</v>
          </cell>
          <cell r="J2196">
            <v>1971.1199999999899</v>
          </cell>
          <cell r="K2196">
            <v>0</v>
          </cell>
          <cell r="L2196">
            <v>2266.29</v>
          </cell>
          <cell r="M2196">
            <v>15294.98</v>
          </cell>
          <cell r="N2196">
            <v>3248.6199999999899</v>
          </cell>
          <cell r="O2196">
            <v>0</v>
          </cell>
          <cell r="R2196">
            <v>58.18</v>
          </cell>
        </row>
        <row r="2197">
          <cell r="G2197">
            <v>12256.9</v>
          </cell>
          <cell r="I2197">
            <v>295.17</v>
          </cell>
          <cell r="J2197">
            <v>0</v>
          </cell>
          <cell r="K2197">
            <v>0</v>
          </cell>
          <cell r="L2197">
            <v>295.17</v>
          </cell>
          <cell r="M2197">
            <v>13271.23</v>
          </cell>
          <cell r="N2197">
            <v>4008.77</v>
          </cell>
          <cell r="O2197">
            <v>0</v>
          </cell>
          <cell r="R2197">
            <v>58.18</v>
          </cell>
        </row>
        <row r="2198">
          <cell r="G2198">
            <v>24513.799999999901</v>
          </cell>
          <cell r="I2198">
            <v>590.34</v>
          </cell>
          <cell r="J2198">
            <v>2094.48</v>
          </cell>
          <cell r="K2198">
            <v>0</v>
          </cell>
          <cell r="L2198">
            <v>2684.82</v>
          </cell>
          <cell r="M2198">
            <v>28662.0999999999</v>
          </cell>
          <cell r="N2198">
            <v>6502.6999999999898</v>
          </cell>
          <cell r="O2198">
            <v>0</v>
          </cell>
          <cell r="R2198">
            <v>116.4</v>
          </cell>
        </row>
        <row r="2199">
          <cell r="G2199">
            <v>119058.55</v>
          </cell>
          <cell r="I2199">
            <v>2459.7199999999898</v>
          </cell>
          <cell r="J2199">
            <v>0</v>
          </cell>
          <cell r="K2199">
            <v>0</v>
          </cell>
          <cell r="L2199">
            <v>2459.7199999999898</v>
          </cell>
          <cell r="M2199">
            <v>127493.42</v>
          </cell>
          <cell r="N2199">
            <v>16074.58</v>
          </cell>
          <cell r="O2199">
            <v>0</v>
          </cell>
          <cell r="R2199">
            <v>565.26999999999896</v>
          </cell>
        </row>
        <row r="2200">
          <cell r="G2200">
            <v>14882.32</v>
          </cell>
          <cell r="I2200">
            <v>307.45999999999901</v>
          </cell>
          <cell r="J2200">
            <v>0</v>
          </cell>
          <cell r="K2200">
            <v>0</v>
          </cell>
          <cell r="L2200">
            <v>307.45999999999901</v>
          </cell>
          <cell r="M2200">
            <v>15933.719999999899</v>
          </cell>
          <cell r="N2200">
            <v>1940.28</v>
          </cell>
          <cell r="O2200">
            <v>0</v>
          </cell>
          <cell r="R2200">
            <v>70.650000000000006</v>
          </cell>
        </row>
        <row r="2201">
          <cell r="G2201">
            <v>28496.869999999901</v>
          </cell>
          <cell r="I2201">
            <v>676.42999999999904</v>
          </cell>
          <cell r="J2201">
            <v>2401.92</v>
          </cell>
          <cell r="K2201">
            <v>0</v>
          </cell>
          <cell r="L2201">
            <v>3078.3499999999899</v>
          </cell>
          <cell r="M2201">
            <v>33258.139999999898</v>
          </cell>
          <cell r="N2201">
            <v>7177.5799999999899</v>
          </cell>
          <cell r="O2201">
            <v>0</v>
          </cell>
          <cell r="R2201">
            <v>135.319999999999</v>
          </cell>
        </row>
        <row r="2202">
          <cell r="G2202">
            <v>103253.649999999</v>
          </cell>
          <cell r="I2202">
            <v>2410.54</v>
          </cell>
          <cell r="J2202">
            <v>5224.3199999999897</v>
          </cell>
          <cell r="K2202">
            <v>0</v>
          </cell>
          <cell r="L2202">
            <v>7634.8599999999897</v>
          </cell>
          <cell r="M2202">
            <v>117114.86</v>
          </cell>
          <cell r="N2202">
            <v>32490.639999999901</v>
          </cell>
          <cell r="O2202">
            <v>0</v>
          </cell>
          <cell r="R2202">
            <v>490.24</v>
          </cell>
        </row>
        <row r="2203">
          <cell r="G2203">
            <v>98055.199999999895</v>
          </cell>
          <cell r="I2203">
            <v>2361.3299999999899</v>
          </cell>
          <cell r="J2203">
            <v>14154</v>
          </cell>
          <cell r="K2203">
            <v>0</v>
          </cell>
          <cell r="L2203">
            <v>16515.330000000002</v>
          </cell>
          <cell r="M2203">
            <v>120503.69</v>
          </cell>
          <cell r="N2203">
            <v>22056.31</v>
          </cell>
          <cell r="O2203">
            <v>0</v>
          </cell>
          <cell r="R2203">
            <v>465.54</v>
          </cell>
        </row>
        <row r="2204">
          <cell r="G2204">
            <v>13945.16</v>
          </cell>
          <cell r="I2204">
            <v>295.17</v>
          </cell>
          <cell r="J2204">
            <v>0</v>
          </cell>
          <cell r="K2204">
            <v>0</v>
          </cell>
          <cell r="L2204">
            <v>295.17</v>
          </cell>
          <cell r="M2204">
            <v>14974.5</v>
          </cell>
          <cell r="N2204">
            <v>2665.5</v>
          </cell>
          <cell r="O2204">
            <v>0</v>
          </cell>
          <cell r="R2204">
            <v>66.219999999999899</v>
          </cell>
        </row>
        <row r="2205">
          <cell r="G2205">
            <v>25357.93</v>
          </cell>
          <cell r="I2205">
            <v>590.34</v>
          </cell>
          <cell r="J2205">
            <v>1500.48</v>
          </cell>
          <cell r="K2205">
            <v>0</v>
          </cell>
          <cell r="L2205">
            <v>2090.8200000000002</v>
          </cell>
          <cell r="M2205">
            <v>28910.6699999999</v>
          </cell>
          <cell r="N2205">
            <v>6215.6099999999897</v>
          </cell>
          <cell r="O2205">
            <v>0</v>
          </cell>
          <cell r="R2205">
            <v>120.38</v>
          </cell>
        </row>
        <row r="2206">
          <cell r="G2206">
            <v>7553.63</v>
          </cell>
          <cell r="I2206">
            <v>159.88</v>
          </cell>
          <cell r="J2206">
            <v>0</v>
          </cell>
          <cell r="K2206">
            <v>0</v>
          </cell>
          <cell r="L2206">
            <v>159.88</v>
          </cell>
          <cell r="M2206">
            <v>8100.6999999999898</v>
          </cell>
          <cell r="N2206">
            <v>1203.1400000000001</v>
          </cell>
          <cell r="O2206">
            <v>0</v>
          </cell>
          <cell r="R2206">
            <v>35.869999999999898</v>
          </cell>
        </row>
        <row r="2207">
          <cell r="G2207">
            <v>12767.6</v>
          </cell>
          <cell r="I2207">
            <v>307.45999999999901</v>
          </cell>
          <cell r="J2207">
            <v>2034.25</v>
          </cell>
          <cell r="K2207">
            <v>0</v>
          </cell>
          <cell r="L2207">
            <v>2341.71</v>
          </cell>
          <cell r="M2207">
            <v>15868.85</v>
          </cell>
          <cell r="N2207">
            <v>2381.15</v>
          </cell>
          <cell r="O2207">
            <v>0</v>
          </cell>
          <cell r="R2207">
            <v>60.619999999999898</v>
          </cell>
        </row>
        <row r="2208">
          <cell r="G2208">
            <v>13656.23</v>
          </cell>
          <cell r="I2208">
            <v>295.17</v>
          </cell>
          <cell r="J2208">
            <v>819.84</v>
          </cell>
          <cell r="K2208">
            <v>0</v>
          </cell>
          <cell r="L2208">
            <v>1115.01</v>
          </cell>
          <cell r="M2208">
            <v>15518.18</v>
          </cell>
          <cell r="N2208">
            <v>2427.8200000000002</v>
          </cell>
          <cell r="O2208">
            <v>0</v>
          </cell>
          <cell r="R2208">
            <v>64.849999999999895</v>
          </cell>
        </row>
        <row r="2209">
          <cell r="G2209">
            <v>12767.6</v>
          </cell>
          <cell r="I2209">
            <v>307.45999999999901</v>
          </cell>
          <cell r="J2209">
            <v>2034.25</v>
          </cell>
          <cell r="K2209">
            <v>0</v>
          </cell>
          <cell r="L2209">
            <v>2341.71</v>
          </cell>
          <cell r="M2209">
            <v>15868.85</v>
          </cell>
          <cell r="N2209">
            <v>2381.15</v>
          </cell>
          <cell r="O2209">
            <v>0</v>
          </cell>
          <cell r="R2209">
            <v>60.619999999999898</v>
          </cell>
        </row>
        <row r="2210">
          <cell r="G2210">
            <v>24513.799999999901</v>
          </cell>
          <cell r="I2210">
            <v>590.34</v>
          </cell>
          <cell r="J2210">
            <v>0</v>
          </cell>
          <cell r="K2210">
            <v>0</v>
          </cell>
          <cell r="L2210">
            <v>590.34</v>
          </cell>
          <cell r="M2210">
            <v>26532.45</v>
          </cell>
          <cell r="N2210">
            <v>7785.63</v>
          </cell>
          <cell r="O2210">
            <v>0</v>
          </cell>
          <cell r="R2210">
            <v>116.4</v>
          </cell>
        </row>
        <row r="2211">
          <cell r="G2211">
            <v>12256.9</v>
          </cell>
          <cell r="I2211">
            <v>295.17</v>
          </cell>
          <cell r="J2211">
            <v>0</v>
          </cell>
          <cell r="K2211">
            <v>0</v>
          </cell>
          <cell r="L2211">
            <v>295.17</v>
          </cell>
          <cell r="M2211">
            <v>13241.42</v>
          </cell>
          <cell r="N2211">
            <v>3321.94</v>
          </cell>
          <cell r="O2211">
            <v>0</v>
          </cell>
          <cell r="R2211">
            <v>58.18</v>
          </cell>
        </row>
        <row r="2212">
          <cell r="G2212">
            <v>12256.9</v>
          </cell>
          <cell r="I2212">
            <v>295.17</v>
          </cell>
          <cell r="J2212">
            <v>0</v>
          </cell>
          <cell r="K2212">
            <v>0</v>
          </cell>
          <cell r="L2212">
            <v>295.17</v>
          </cell>
          <cell r="M2212">
            <v>13251.34</v>
          </cell>
          <cell r="N2212">
            <v>3550.34</v>
          </cell>
          <cell r="O2212">
            <v>0</v>
          </cell>
          <cell r="R2212">
            <v>58.18</v>
          </cell>
        </row>
        <row r="2213">
          <cell r="G2213">
            <v>14882.32</v>
          </cell>
          <cell r="I2213">
            <v>307.45999999999901</v>
          </cell>
          <cell r="J2213">
            <v>0</v>
          </cell>
          <cell r="K2213">
            <v>0</v>
          </cell>
          <cell r="L2213">
            <v>307.45999999999901</v>
          </cell>
          <cell r="M2213">
            <v>15934.44</v>
          </cell>
          <cell r="N2213">
            <v>1957.5599999999899</v>
          </cell>
          <cell r="O2213">
            <v>0</v>
          </cell>
          <cell r="R2213">
            <v>70.650000000000006</v>
          </cell>
        </row>
        <row r="2214">
          <cell r="G2214">
            <v>14299.719999999899</v>
          </cell>
          <cell r="I2214">
            <v>344.37</v>
          </cell>
          <cell r="J2214">
            <v>0</v>
          </cell>
          <cell r="K2214">
            <v>0</v>
          </cell>
          <cell r="L2214">
            <v>344.37</v>
          </cell>
          <cell r="M2214">
            <v>15475.1</v>
          </cell>
          <cell r="N2214">
            <v>4491.9399999999896</v>
          </cell>
          <cell r="O2214">
            <v>0</v>
          </cell>
          <cell r="R2214">
            <v>67.900000000000006</v>
          </cell>
        </row>
        <row r="2215">
          <cell r="G2215">
            <v>5229.43</v>
          </cell>
          <cell r="I2215">
            <v>110.68</v>
          </cell>
          <cell r="J2215">
            <v>0</v>
          </cell>
          <cell r="K2215">
            <v>0</v>
          </cell>
          <cell r="L2215">
            <v>110.68</v>
          </cell>
          <cell r="M2215">
            <v>5609.8199999999897</v>
          </cell>
          <cell r="N2215">
            <v>870.17999999999904</v>
          </cell>
          <cell r="O2215">
            <v>0</v>
          </cell>
          <cell r="R2215">
            <v>24.82</v>
          </cell>
        </row>
        <row r="2216">
          <cell r="G2216">
            <v>12256.9</v>
          </cell>
          <cell r="I2216">
            <v>295.17</v>
          </cell>
          <cell r="J2216">
            <v>0</v>
          </cell>
          <cell r="K2216">
            <v>0</v>
          </cell>
          <cell r="L2216">
            <v>295.17</v>
          </cell>
          <cell r="M2216">
            <v>13266.17</v>
          </cell>
          <cell r="N2216">
            <v>3892.8699999999899</v>
          </cell>
          <cell r="O2216">
            <v>0</v>
          </cell>
          <cell r="R2216">
            <v>58.18</v>
          </cell>
        </row>
        <row r="2217">
          <cell r="G2217">
            <v>24513.799999999901</v>
          </cell>
          <cell r="I2217">
            <v>590.34</v>
          </cell>
          <cell r="J2217">
            <v>3369.1199999999899</v>
          </cell>
          <cell r="K2217">
            <v>0</v>
          </cell>
          <cell r="L2217">
            <v>3959.46</v>
          </cell>
          <cell r="M2217">
            <v>30001.5099999999</v>
          </cell>
          <cell r="N2217">
            <v>6718.4899999999898</v>
          </cell>
          <cell r="O2217">
            <v>0</v>
          </cell>
          <cell r="R2217">
            <v>116.4</v>
          </cell>
        </row>
        <row r="2218">
          <cell r="G2218">
            <v>38098.739999999903</v>
          </cell>
          <cell r="I2218">
            <v>787.11</v>
          </cell>
          <cell r="J2218">
            <v>0</v>
          </cell>
          <cell r="K2218">
            <v>0</v>
          </cell>
          <cell r="L2218">
            <v>787.11</v>
          </cell>
          <cell r="M2218">
            <v>40792.160000000003</v>
          </cell>
          <cell r="N2218">
            <v>5011.3599999999897</v>
          </cell>
          <cell r="O2218">
            <v>0</v>
          </cell>
          <cell r="R2218">
            <v>180.87</v>
          </cell>
        </row>
        <row r="2219">
          <cell r="G2219">
            <v>6972.5799999999899</v>
          </cell>
          <cell r="I2219">
            <v>147.59</v>
          </cell>
          <cell r="J2219">
            <v>0</v>
          </cell>
          <cell r="K2219">
            <v>0</v>
          </cell>
          <cell r="L2219">
            <v>147.59</v>
          </cell>
          <cell r="M2219">
            <v>7479.77</v>
          </cell>
          <cell r="N2219">
            <v>1160.23</v>
          </cell>
          <cell r="O2219">
            <v>0</v>
          </cell>
          <cell r="R2219">
            <v>33.1</v>
          </cell>
        </row>
        <row r="2220">
          <cell r="G2220">
            <v>12767.6</v>
          </cell>
          <cell r="I2220">
            <v>307.3</v>
          </cell>
          <cell r="J2220">
            <v>990.00999999999897</v>
          </cell>
          <cell r="K2220">
            <v>0</v>
          </cell>
          <cell r="L2220">
            <v>1297.3099999999899</v>
          </cell>
          <cell r="M2220">
            <v>14819.17</v>
          </cell>
          <cell r="N2220">
            <v>3303.0799999999899</v>
          </cell>
          <cell r="O2220">
            <v>0</v>
          </cell>
          <cell r="R2220">
            <v>60.619999999999898</v>
          </cell>
        </row>
        <row r="2221">
          <cell r="G2221">
            <v>105.47</v>
          </cell>
          <cell r="I2221">
            <v>0</v>
          </cell>
          <cell r="J2221">
            <v>0</v>
          </cell>
          <cell r="K2221">
            <v>0</v>
          </cell>
          <cell r="L2221">
            <v>0</v>
          </cell>
          <cell r="M2221">
            <v>105.47</v>
          </cell>
          <cell r="N2221">
            <v>-105.47</v>
          </cell>
          <cell r="O2221">
            <v>0</v>
          </cell>
          <cell r="R2221">
            <v>0</v>
          </cell>
        </row>
        <row r="2222">
          <cell r="G2222">
            <v>6002.18</v>
          </cell>
          <cell r="I2222">
            <v>176.9</v>
          </cell>
          <cell r="J2222">
            <v>475.68</v>
          </cell>
          <cell r="K2222">
            <v>0</v>
          </cell>
          <cell r="L2222">
            <v>652.58000000000004</v>
          </cell>
          <cell r="M2222">
            <v>7021.68</v>
          </cell>
          <cell r="N2222">
            <v>1978.3199999999899</v>
          </cell>
          <cell r="O2222">
            <v>0</v>
          </cell>
          <cell r="R2222">
            <v>1.83</v>
          </cell>
        </row>
        <row r="2223">
          <cell r="G2223">
            <v>12759.19</v>
          </cell>
          <cell r="I2223">
            <v>324.33999999999901</v>
          </cell>
          <cell r="J2223">
            <v>0</v>
          </cell>
          <cell r="K2223">
            <v>0</v>
          </cell>
          <cell r="L2223">
            <v>324.33999999999901</v>
          </cell>
          <cell r="M2223">
            <v>13740.62</v>
          </cell>
          <cell r="N2223">
            <v>2376.46</v>
          </cell>
          <cell r="O2223">
            <v>0</v>
          </cell>
          <cell r="R2223">
            <v>3.8799999999999901</v>
          </cell>
        </row>
        <row r="2224">
          <cell r="G2224">
            <v>18006.54</v>
          </cell>
          <cell r="I2224">
            <v>530.73</v>
          </cell>
          <cell r="J2224">
            <v>0</v>
          </cell>
          <cell r="K2224">
            <v>0</v>
          </cell>
          <cell r="L2224">
            <v>530.73</v>
          </cell>
          <cell r="M2224">
            <v>19587.7</v>
          </cell>
          <cell r="N2224">
            <v>6176.7799999999897</v>
          </cell>
          <cell r="O2224">
            <v>0</v>
          </cell>
          <cell r="R2224">
            <v>5.46999999999999</v>
          </cell>
        </row>
        <row r="2225">
          <cell r="G2225">
            <v>12004.36</v>
          </cell>
          <cell r="I2225">
            <v>353.81999999999903</v>
          </cell>
          <cell r="J2225">
            <v>688.55999999999904</v>
          </cell>
          <cell r="K2225">
            <v>0</v>
          </cell>
          <cell r="L2225">
            <v>1042.3800000000001</v>
          </cell>
          <cell r="M2225">
            <v>13790.82</v>
          </cell>
          <cell r="N2225">
            <v>4459.0200000000004</v>
          </cell>
          <cell r="O2225">
            <v>0</v>
          </cell>
          <cell r="R2225">
            <v>3.64</v>
          </cell>
        </row>
        <row r="2226">
          <cell r="G2226">
            <v>12004.36</v>
          </cell>
          <cell r="I2226">
            <v>353.81999999999903</v>
          </cell>
          <cell r="J2226">
            <v>898.79999999999905</v>
          </cell>
          <cell r="K2226">
            <v>0</v>
          </cell>
          <cell r="L2226">
            <v>1252.6199999999899</v>
          </cell>
          <cell r="M2226">
            <v>14001.059999999899</v>
          </cell>
          <cell r="N2226">
            <v>4248.7799999999897</v>
          </cell>
          <cell r="O2226">
            <v>0</v>
          </cell>
          <cell r="R2226">
            <v>3.64</v>
          </cell>
        </row>
        <row r="2227">
          <cell r="G2227">
            <v>6002.18</v>
          </cell>
          <cell r="I2227">
            <v>176.9</v>
          </cell>
          <cell r="J2227">
            <v>1038.1199999999899</v>
          </cell>
          <cell r="K2227">
            <v>0</v>
          </cell>
          <cell r="L2227">
            <v>1215.02</v>
          </cell>
          <cell r="M2227">
            <v>7589.25</v>
          </cell>
          <cell r="N2227">
            <v>1535.67</v>
          </cell>
          <cell r="O2227">
            <v>0</v>
          </cell>
          <cell r="R2227">
            <v>1.83</v>
          </cell>
        </row>
        <row r="2228">
          <cell r="G2228">
            <v>12004.36</v>
          </cell>
          <cell r="I2228">
            <v>353.81999999999903</v>
          </cell>
          <cell r="J2228">
            <v>0</v>
          </cell>
          <cell r="K2228">
            <v>0</v>
          </cell>
          <cell r="L2228">
            <v>353.81999999999903</v>
          </cell>
          <cell r="M2228">
            <v>13057.809999999899</v>
          </cell>
          <cell r="N2228">
            <v>4101.2299999999896</v>
          </cell>
          <cell r="O2228">
            <v>0</v>
          </cell>
          <cell r="R2228">
            <v>3.64</v>
          </cell>
        </row>
        <row r="2229">
          <cell r="G2229">
            <v>12004.36</v>
          </cell>
          <cell r="I2229">
            <v>353.81999999999903</v>
          </cell>
          <cell r="J2229">
            <v>951.36</v>
          </cell>
          <cell r="K2229">
            <v>0</v>
          </cell>
          <cell r="L2229">
            <v>1305.18</v>
          </cell>
          <cell r="M2229">
            <v>14048.36</v>
          </cell>
          <cell r="N2229">
            <v>4073.0799999999899</v>
          </cell>
          <cell r="O2229">
            <v>0</v>
          </cell>
          <cell r="R2229">
            <v>3.64</v>
          </cell>
        </row>
        <row r="2230">
          <cell r="G2230">
            <v>100036.3</v>
          </cell>
          <cell r="I2230">
            <v>2948.4499999999898</v>
          </cell>
          <cell r="J2230">
            <v>0</v>
          </cell>
          <cell r="K2230">
            <v>0</v>
          </cell>
          <cell r="L2230">
            <v>2948.4499999999898</v>
          </cell>
          <cell r="M2230">
            <v>108978.03</v>
          </cell>
          <cell r="N2230">
            <v>38021.97</v>
          </cell>
          <cell r="O2230">
            <v>0</v>
          </cell>
          <cell r="R2230">
            <v>30.399999999999899</v>
          </cell>
        </row>
        <row r="2231">
          <cell r="G2231">
            <v>24008.720000000001</v>
          </cell>
          <cell r="I2231">
            <v>707.63</v>
          </cell>
          <cell r="J2231">
            <v>2312.6399999999899</v>
          </cell>
          <cell r="K2231">
            <v>0</v>
          </cell>
          <cell r="L2231">
            <v>3020.27</v>
          </cell>
          <cell r="M2231">
            <v>28511.119999999901</v>
          </cell>
          <cell r="N2231">
            <v>7841.92</v>
          </cell>
          <cell r="O2231">
            <v>0</v>
          </cell>
          <cell r="R2231">
            <v>7.29</v>
          </cell>
        </row>
        <row r="2232">
          <cell r="G2232">
            <v>15505.629999999899</v>
          </cell>
          <cell r="I2232">
            <v>457.00999999999902</v>
          </cell>
          <cell r="J2232">
            <v>0</v>
          </cell>
          <cell r="K2232">
            <v>0</v>
          </cell>
          <cell r="L2232">
            <v>457.00999999999902</v>
          </cell>
          <cell r="M2232">
            <v>16862.02</v>
          </cell>
          <cell r="N2232">
            <v>5198.0600000000004</v>
          </cell>
          <cell r="O2232">
            <v>0</v>
          </cell>
          <cell r="R2232">
            <v>4.7</v>
          </cell>
        </row>
        <row r="2233">
          <cell r="G2233">
            <v>41014.889999999898</v>
          </cell>
          <cell r="I2233">
            <v>1208.8699999999899</v>
          </cell>
          <cell r="J2233">
            <v>3944.6399999999899</v>
          </cell>
          <cell r="K2233">
            <v>0</v>
          </cell>
          <cell r="L2233">
            <v>5153.51</v>
          </cell>
          <cell r="M2233">
            <v>48662.459999999897</v>
          </cell>
          <cell r="N2233">
            <v>12510.379999999899</v>
          </cell>
          <cell r="O2233">
            <v>0</v>
          </cell>
          <cell r="R2233">
            <v>12.46</v>
          </cell>
        </row>
        <row r="2234">
          <cell r="G2234">
            <v>50286.79</v>
          </cell>
          <cell r="I2234">
            <v>1267.8399999999899</v>
          </cell>
          <cell r="J2234">
            <v>0</v>
          </cell>
          <cell r="K2234">
            <v>0</v>
          </cell>
          <cell r="L2234">
            <v>1267.8399999999899</v>
          </cell>
          <cell r="M2234">
            <v>54106.459999999897</v>
          </cell>
          <cell r="N2234">
            <v>8484.76</v>
          </cell>
          <cell r="O2234">
            <v>0</v>
          </cell>
          <cell r="R2234">
            <v>15.2799999999999</v>
          </cell>
        </row>
        <row r="2235">
          <cell r="G2235">
            <v>24008.97</v>
          </cell>
          <cell r="I2235">
            <v>707.63</v>
          </cell>
          <cell r="J2235">
            <v>1940.16</v>
          </cell>
          <cell r="K2235">
            <v>0</v>
          </cell>
          <cell r="L2235">
            <v>2647.79</v>
          </cell>
          <cell r="M2235">
            <v>28161.360000000001</v>
          </cell>
          <cell r="N2235">
            <v>8742.2399999999907</v>
          </cell>
          <cell r="O2235">
            <v>0</v>
          </cell>
          <cell r="R2235">
            <v>7.29</v>
          </cell>
        </row>
        <row r="2236">
          <cell r="G2236">
            <v>20507.4399999999</v>
          </cell>
          <cell r="I2236">
            <v>604.42999999999904</v>
          </cell>
          <cell r="J2236">
            <v>0</v>
          </cell>
          <cell r="K2236">
            <v>0</v>
          </cell>
          <cell r="L2236">
            <v>604.42999999999904</v>
          </cell>
          <cell r="M2236">
            <v>22332.66</v>
          </cell>
          <cell r="N2236">
            <v>7609.85</v>
          </cell>
          <cell r="O2236">
            <v>0</v>
          </cell>
          <cell r="R2236">
            <v>6.23</v>
          </cell>
        </row>
        <row r="2237">
          <cell r="G2237">
            <v>13919.12</v>
          </cell>
          <cell r="I2237">
            <v>353.81999999999903</v>
          </cell>
          <cell r="J2237">
            <v>0</v>
          </cell>
          <cell r="K2237">
            <v>0</v>
          </cell>
          <cell r="L2237">
            <v>353.81999999999903</v>
          </cell>
          <cell r="M2237">
            <v>14984.91</v>
          </cell>
          <cell r="N2237">
            <v>2478.69</v>
          </cell>
          <cell r="O2237">
            <v>0</v>
          </cell>
          <cell r="R2237">
            <v>4.2300000000000004</v>
          </cell>
        </row>
        <row r="2238">
          <cell r="G2238">
            <v>13582.66</v>
          </cell>
          <cell r="I2238">
            <v>353.81999999999903</v>
          </cell>
          <cell r="J2238">
            <v>1335.1199999999899</v>
          </cell>
          <cell r="K2238">
            <v>0</v>
          </cell>
          <cell r="L2238">
            <v>1688.94</v>
          </cell>
          <cell r="M2238">
            <v>16005.49</v>
          </cell>
          <cell r="N2238">
            <v>1994.51</v>
          </cell>
          <cell r="O2238">
            <v>0</v>
          </cell>
          <cell r="R2238">
            <v>4.1299999999999901</v>
          </cell>
        </row>
        <row r="2239">
          <cell r="G2239">
            <v>26474.45</v>
          </cell>
          <cell r="I2239">
            <v>685.51999999999896</v>
          </cell>
          <cell r="J2239">
            <v>0</v>
          </cell>
          <cell r="K2239">
            <v>0</v>
          </cell>
          <cell r="L2239">
            <v>685.51999999999896</v>
          </cell>
          <cell r="M2239">
            <v>28537.33</v>
          </cell>
          <cell r="N2239">
            <v>5244.92</v>
          </cell>
          <cell r="O2239">
            <v>0</v>
          </cell>
          <cell r="R2239">
            <v>8.0399999999999903</v>
          </cell>
        </row>
        <row r="2240">
          <cell r="G2240">
            <v>56387.07</v>
          </cell>
          <cell r="I2240">
            <v>1592.17</v>
          </cell>
          <cell r="J2240">
            <v>0</v>
          </cell>
          <cell r="K2240">
            <v>0</v>
          </cell>
          <cell r="L2240">
            <v>1592.17</v>
          </cell>
          <cell r="M2240">
            <v>61118.98</v>
          </cell>
          <cell r="N2240">
            <v>15889.34</v>
          </cell>
          <cell r="O2240">
            <v>0</v>
          </cell>
          <cell r="R2240">
            <v>17.12</v>
          </cell>
        </row>
        <row r="2241">
          <cell r="G2241">
            <v>5001.8100000000004</v>
          </cell>
          <cell r="I2241">
            <v>147.41999999999899</v>
          </cell>
          <cell r="J2241">
            <v>0</v>
          </cell>
          <cell r="K2241">
            <v>0</v>
          </cell>
          <cell r="L2241">
            <v>147.41999999999899</v>
          </cell>
          <cell r="M2241">
            <v>5440.6999999999898</v>
          </cell>
          <cell r="N2241">
            <v>1708.9</v>
          </cell>
          <cell r="O2241">
            <v>0</v>
          </cell>
          <cell r="R2241">
            <v>1.52</v>
          </cell>
        </row>
        <row r="2242">
          <cell r="G2242">
            <v>24008.720000000001</v>
          </cell>
          <cell r="I2242">
            <v>707.63</v>
          </cell>
          <cell r="J2242">
            <v>4047.36</v>
          </cell>
          <cell r="K2242">
            <v>0</v>
          </cell>
          <cell r="L2242">
            <v>4754.9899999999898</v>
          </cell>
          <cell r="M2242">
            <v>30260.81</v>
          </cell>
          <cell r="N2242">
            <v>6459.1899999999896</v>
          </cell>
          <cell r="O2242">
            <v>0</v>
          </cell>
          <cell r="R2242">
            <v>7.29</v>
          </cell>
        </row>
        <row r="2243">
          <cell r="G2243">
            <v>30010.889999999901</v>
          </cell>
          <cell r="I2243">
            <v>884.53999999999905</v>
          </cell>
          <cell r="J2243">
            <v>0</v>
          </cell>
          <cell r="K2243">
            <v>0</v>
          </cell>
          <cell r="L2243">
            <v>884.53999999999905</v>
          </cell>
          <cell r="M2243">
            <v>32677.63</v>
          </cell>
          <cell r="N2243">
            <v>11034.1</v>
          </cell>
          <cell r="O2243">
            <v>0</v>
          </cell>
          <cell r="R2243">
            <v>9.1199999999999903</v>
          </cell>
        </row>
        <row r="2244">
          <cell r="G2244">
            <v>10503.809999999899</v>
          </cell>
          <cell r="I2244">
            <v>309.58999999999901</v>
          </cell>
          <cell r="J2244">
            <v>0</v>
          </cell>
          <cell r="K2244">
            <v>0</v>
          </cell>
          <cell r="L2244">
            <v>309.58999999999901</v>
          </cell>
          <cell r="M2244">
            <v>11442.709999999901</v>
          </cell>
          <cell r="N2244">
            <v>3992.29</v>
          </cell>
          <cell r="O2244">
            <v>0</v>
          </cell>
          <cell r="R2244">
            <v>3.1899999999999902</v>
          </cell>
        </row>
        <row r="2245">
          <cell r="G2245">
            <v>57020.709999999897</v>
          </cell>
          <cell r="I2245">
            <v>1680.6099999999899</v>
          </cell>
          <cell r="J2245">
            <v>7261.1999999999898</v>
          </cell>
          <cell r="K2245">
            <v>0</v>
          </cell>
          <cell r="L2245">
            <v>8941.8099999999904</v>
          </cell>
          <cell r="M2245">
            <v>69417.979999999894</v>
          </cell>
          <cell r="N2245">
            <v>15336.58</v>
          </cell>
          <cell r="O2245">
            <v>0</v>
          </cell>
          <cell r="R2245">
            <v>17.329999999999899</v>
          </cell>
        </row>
        <row r="2246">
          <cell r="G2246">
            <v>60021.779999999897</v>
          </cell>
          <cell r="I2246">
            <v>1769.0699999999899</v>
          </cell>
          <cell r="J2246">
            <v>0</v>
          </cell>
          <cell r="K2246">
            <v>0</v>
          </cell>
          <cell r="L2246">
            <v>1769.0699999999899</v>
          </cell>
          <cell r="M2246">
            <v>65352.699999999903</v>
          </cell>
          <cell r="N2246">
            <v>22009.799999999901</v>
          </cell>
          <cell r="O2246">
            <v>0</v>
          </cell>
          <cell r="R2246">
            <v>18.23</v>
          </cell>
        </row>
        <row r="2247">
          <cell r="G2247">
            <v>12004.36</v>
          </cell>
          <cell r="I2247">
            <v>353.81999999999903</v>
          </cell>
          <cell r="J2247">
            <v>1300.8</v>
          </cell>
          <cell r="K2247">
            <v>0</v>
          </cell>
          <cell r="L2247">
            <v>1654.6199999999899</v>
          </cell>
          <cell r="M2247">
            <v>14397.799999999899</v>
          </cell>
          <cell r="N2247">
            <v>3723.6399999999899</v>
          </cell>
          <cell r="O2247">
            <v>0</v>
          </cell>
          <cell r="R2247">
            <v>3.64</v>
          </cell>
        </row>
        <row r="2248">
          <cell r="G2248">
            <v>6002.18</v>
          </cell>
          <cell r="I2248">
            <v>176.9</v>
          </cell>
          <cell r="J2248">
            <v>946.08</v>
          </cell>
          <cell r="K2248">
            <v>0</v>
          </cell>
          <cell r="L2248">
            <v>1122.98</v>
          </cell>
          <cell r="M2248">
            <v>7492.0799999999899</v>
          </cell>
          <cell r="N2248">
            <v>1507.92</v>
          </cell>
          <cell r="O2248">
            <v>0</v>
          </cell>
          <cell r="R2248">
            <v>1.83</v>
          </cell>
        </row>
        <row r="2249">
          <cell r="G2249">
            <v>19006.889999999901</v>
          </cell>
          <cell r="I2249">
            <v>560.21</v>
          </cell>
          <cell r="J2249">
            <v>1251.5599999999899</v>
          </cell>
          <cell r="K2249">
            <v>0</v>
          </cell>
          <cell r="L2249">
            <v>1811.77</v>
          </cell>
          <cell r="M2249">
            <v>21964.29</v>
          </cell>
          <cell r="N2249">
            <v>6134.97</v>
          </cell>
          <cell r="O2249">
            <v>0</v>
          </cell>
          <cell r="R2249">
            <v>5.78</v>
          </cell>
        </row>
        <row r="2250">
          <cell r="G2250">
            <v>58736.98</v>
          </cell>
          <cell r="I2250">
            <v>1488.98</v>
          </cell>
          <cell r="J2250">
            <v>0</v>
          </cell>
          <cell r="K2250">
            <v>0</v>
          </cell>
          <cell r="L2250">
            <v>1488.98</v>
          </cell>
          <cell r="M2250">
            <v>63238.86</v>
          </cell>
          <cell r="N2250">
            <v>10660.389999999899</v>
          </cell>
          <cell r="O2250">
            <v>0</v>
          </cell>
          <cell r="R2250">
            <v>17.8599999999999</v>
          </cell>
        </row>
        <row r="2251">
          <cell r="G2251">
            <v>8002.8999999999896</v>
          </cell>
          <cell r="I2251">
            <v>235.87</v>
          </cell>
          <cell r="J2251">
            <v>530</v>
          </cell>
          <cell r="K2251">
            <v>0</v>
          </cell>
          <cell r="L2251">
            <v>765.87</v>
          </cell>
          <cell r="M2251">
            <v>9246.8199999999906</v>
          </cell>
          <cell r="N2251">
            <v>2478.7800000000002</v>
          </cell>
          <cell r="O2251">
            <v>0</v>
          </cell>
          <cell r="R2251">
            <v>2.4300000000000002</v>
          </cell>
        </row>
        <row r="2252">
          <cell r="G2252">
            <v>28540.959999999901</v>
          </cell>
          <cell r="I2252">
            <v>751.86</v>
          </cell>
          <cell r="J2252">
            <v>0</v>
          </cell>
          <cell r="K2252">
            <v>0</v>
          </cell>
          <cell r="L2252">
            <v>751.86</v>
          </cell>
          <cell r="M2252">
            <v>30805.91</v>
          </cell>
          <cell r="N2252">
            <v>6306.51</v>
          </cell>
          <cell r="O2252">
            <v>0</v>
          </cell>
          <cell r="R2252">
            <v>8.6699999999999893</v>
          </cell>
        </row>
        <row r="2253">
          <cell r="G2253">
            <v>12504.54</v>
          </cell>
          <cell r="I2253">
            <v>368.56</v>
          </cell>
          <cell r="J2253">
            <v>1341.43</v>
          </cell>
          <cell r="K2253">
            <v>0</v>
          </cell>
          <cell r="L2253">
            <v>1709.99</v>
          </cell>
          <cell r="M2253">
            <v>14964.04</v>
          </cell>
          <cell r="N2253">
            <v>3418.71</v>
          </cell>
          <cell r="O2253">
            <v>0</v>
          </cell>
          <cell r="R2253">
            <v>3.7999999999999901</v>
          </cell>
        </row>
        <row r="2254">
          <cell r="G2254">
            <v>12004.36</v>
          </cell>
          <cell r="I2254">
            <v>353.81999999999903</v>
          </cell>
          <cell r="J2254">
            <v>0</v>
          </cell>
          <cell r="K2254">
            <v>0</v>
          </cell>
          <cell r="L2254">
            <v>353.81999999999903</v>
          </cell>
          <cell r="M2254">
            <v>13053.48</v>
          </cell>
          <cell r="N2254">
            <v>4001.88</v>
          </cell>
          <cell r="O2254">
            <v>0</v>
          </cell>
          <cell r="R2254">
            <v>3.64</v>
          </cell>
        </row>
        <row r="2255">
          <cell r="G2255">
            <v>48017.440000000002</v>
          </cell>
          <cell r="I2255">
            <v>1415.26</v>
          </cell>
          <cell r="J2255">
            <v>8803.2000000000007</v>
          </cell>
          <cell r="K2255">
            <v>0</v>
          </cell>
          <cell r="L2255">
            <v>10218.459999999901</v>
          </cell>
          <cell r="M2255">
            <v>61218.12</v>
          </cell>
          <cell r="N2255">
            <v>11928.36</v>
          </cell>
          <cell r="O2255">
            <v>0</v>
          </cell>
          <cell r="R2255">
            <v>14.59</v>
          </cell>
        </row>
        <row r="2256">
          <cell r="G2256">
            <v>5001.8100000000004</v>
          </cell>
          <cell r="I2256">
            <v>147.41999999999899</v>
          </cell>
          <cell r="J2256">
            <v>0</v>
          </cell>
          <cell r="K2256">
            <v>0</v>
          </cell>
          <cell r="L2256">
            <v>147.41999999999899</v>
          </cell>
          <cell r="M2256">
            <v>5448.88</v>
          </cell>
          <cell r="N2256">
            <v>1901.1199999999899</v>
          </cell>
          <cell r="O2256">
            <v>0</v>
          </cell>
          <cell r="R2256">
            <v>1.52</v>
          </cell>
        </row>
        <row r="2257">
          <cell r="G2257">
            <v>0</v>
          </cell>
          <cell r="I2257">
            <v>0</v>
          </cell>
          <cell r="J2257">
            <v>34977.419999999896</v>
          </cell>
          <cell r="K2257">
            <v>0</v>
          </cell>
          <cell r="L2257">
            <v>34977.419999999896</v>
          </cell>
          <cell r="M2257">
            <v>34977.419999999896</v>
          </cell>
          <cell r="N2257">
            <v>-34977.419999999896</v>
          </cell>
          <cell r="O2257">
            <v>0</v>
          </cell>
          <cell r="R2257">
            <v>0</v>
          </cell>
        </row>
        <row r="2258">
          <cell r="G2258">
            <v>60021.8</v>
          </cell>
          <cell r="I2258">
            <v>1769.0699999999899</v>
          </cell>
          <cell r="J2258">
            <v>4336.3199999999897</v>
          </cell>
          <cell r="K2258">
            <v>0</v>
          </cell>
          <cell r="L2258">
            <v>6105.39</v>
          </cell>
          <cell r="M2258">
            <v>69747.789999999906</v>
          </cell>
          <cell r="N2258">
            <v>19057.25</v>
          </cell>
          <cell r="O2258">
            <v>0</v>
          </cell>
          <cell r="R2258">
            <v>18.23</v>
          </cell>
        </row>
        <row r="2259">
          <cell r="G2259">
            <v>103055.5</v>
          </cell>
          <cell r="I2259">
            <v>2565.15</v>
          </cell>
          <cell r="J2259">
            <v>0</v>
          </cell>
          <cell r="K2259">
            <v>0</v>
          </cell>
          <cell r="L2259">
            <v>2565.15</v>
          </cell>
          <cell r="M2259">
            <v>110824.03</v>
          </cell>
          <cell r="N2259">
            <v>16801.97</v>
          </cell>
          <cell r="O2259">
            <v>0</v>
          </cell>
          <cell r="R2259">
            <v>31.32</v>
          </cell>
        </row>
        <row r="2260">
          <cell r="G2260">
            <v>30010.9</v>
          </cell>
          <cell r="I2260">
            <v>884.53999999999905</v>
          </cell>
          <cell r="J2260">
            <v>1200.96</v>
          </cell>
          <cell r="K2260">
            <v>0</v>
          </cell>
          <cell r="L2260">
            <v>2085.5</v>
          </cell>
          <cell r="M2260">
            <v>33874.57</v>
          </cell>
          <cell r="N2260">
            <v>9737.9899999999907</v>
          </cell>
          <cell r="O2260">
            <v>0</v>
          </cell>
          <cell r="R2260">
            <v>9.1199999999999903</v>
          </cell>
        </row>
        <row r="2261">
          <cell r="G2261">
            <v>5799.63</v>
          </cell>
          <cell r="I2261">
            <v>147.41999999999899</v>
          </cell>
          <cell r="J2261">
            <v>0</v>
          </cell>
          <cell r="K2261">
            <v>0</v>
          </cell>
          <cell r="L2261">
            <v>147.41999999999899</v>
          </cell>
          <cell r="M2261">
            <v>6246.6999999999898</v>
          </cell>
          <cell r="N2261">
            <v>1103.3</v>
          </cell>
          <cell r="O2261">
            <v>0</v>
          </cell>
          <cell r="R2261">
            <v>1.76</v>
          </cell>
        </row>
        <row r="2262">
          <cell r="G2262">
            <v>12004.36</v>
          </cell>
          <cell r="I2262">
            <v>353.81999999999903</v>
          </cell>
          <cell r="J2262">
            <v>1300.8</v>
          </cell>
          <cell r="K2262">
            <v>0</v>
          </cell>
          <cell r="L2262">
            <v>1654.6199999999899</v>
          </cell>
          <cell r="M2262">
            <v>14407.559999999899</v>
          </cell>
          <cell r="N2262">
            <v>3952.44</v>
          </cell>
          <cell r="O2262">
            <v>0</v>
          </cell>
          <cell r="R2262">
            <v>3.64</v>
          </cell>
        </row>
        <row r="2263">
          <cell r="G2263">
            <v>90921.649999999907</v>
          </cell>
          <cell r="I2263">
            <v>2447.1999999999898</v>
          </cell>
          <cell r="J2263">
            <v>5014.0799999999899</v>
          </cell>
          <cell r="K2263">
            <v>0</v>
          </cell>
          <cell r="L2263">
            <v>7461.2799999999897</v>
          </cell>
          <cell r="M2263">
            <v>103575.71</v>
          </cell>
          <cell r="N2263">
            <v>23790.0099999999</v>
          </cell>
          <cell r="O2263">
            <v>0</v>
          </cell>
          <cell r="R2263">
            <v>27.62</v>
          </cell>
        </row>
        <row r="2264">
          <cell r="G2264">
            <v>18006.54</v>
          </cell>
          <cell r="I2264">
            <v>530.73</v>
          </cell>
          <cell r="J2264">
            <v>2261.4</v>
          </cell>
          <cell r="K2264">
            <v>0</v>
          </cell>
          <cell r="L2264">
            <v>2792.13</v>
          </cell>
          <cell r="M2264">
            <v>21919.24</v>
          </cell>
          <cell r="N2264">
            <v>5565.8</v>
          </cell>
          <cell r="O2264">
            <v>0</v>
          </cell>
          <cell r="R2264">
            <v>5.46999999999999</v>
          </cell>
        </row>
        <row r="2265">
          <cell r="G2265">
            <v>42015.26</v>
          </cell>
          <cell r="I2265">
            <v>1238.3399999999899</v>
          </cell>
          <cell r="J2265">
            <v>0</v>
          </cell>
          <cell r="K2265">
            <v>0</v>
          </cell>
          <cell r="L2265">
            <v>1238.3399999999899</v>
          </cell>
          <cell r="M2265">
            <v>45701.07</v>
          </cell>
          <cell r="N2265">
            <v>14329.65</v>
          </cell>
          <cell r="O2265">
            <v>0</v>
          </cell>
          <cell r="R2265">
            <v>12.77</v>
          </cell>
        </row>
        <row r="2266">
          <cell r="G2266">
            <v>12504.54</v>
          </cell>
          <cell r="I2266">
            <v>368.56</v>
          </cell>
          <cell r="J2266">
            <v>1517.0799999999899</v>
          </cell>
          <cell r="K2266">
            <v>0</v>
          </cell>
          <cell r="L2266">
            <v>1885.64</v>
          </cell>
          <cell r="M2266">
            <v>15149.58</v>
          </cell>
          <cell r="N2266">
            <v>3475.42</v>
          </cell>
          <cell r="O2266">
            <v>0</v>
          </cell>
          <cell r="R2266">
            <v>3.7999999999999901</v>
          </cell>
        </row>
        <row r="2267">
          <cell r="G2267">
            <v>6002.18</v>
          </cell>
          <cell r="I2267">
            <v>176.9</v>
          </cell>
          <cell r="J2267">
            <v>902.75999999999897</v>
          </cell>
          <cell r="K2267">
            <v>0</v>
          </cell>
          <cell r="L2267">
            <v>1079.6600000000001</v>
          </cell>
          <cell r="M2267">
            <v>7441.7299999999896</v>
          </cell>
          <cell r="N2267">
            <v>1384.99</v>
          </cell>
          <cell r="O2267">
            <v>0</v>
          </cell>
          <cell r="R2267">
            <v>1.83</v>
          </cell>
        </row>
        <row r="2268">
          <cell r="G2268">
            <v>14898.45</v>
          </cell>
          <cell r="I2268">
            <v>368.56</v>
          </cell>
          <cell r="J2268">
            <v>0</v>
          </cell>
          <cell r="K2268">
            <v>0</v>
          </cell>
          <cell r="L2268">
            <v>368.56</v>
          </cell>
          <cell r="M2268">
            <v>16011.67</v>
          </cell>
          <cell r="N2268">
            <v>2253.0799999999899</v>
          </cell>
          <cell r="O2268">
            <v>0</v>
          </cell>
          <cell r="R2268">
            <v>4.53</v>
          </cell>
        </row>
        <row r="2269">
          <cell r="G2269">
            <v>14147.92</v>
          </cell>
          <cell r="I2269">
            <v>353.81999999999903</v>
          </cell>
          <cell r="J2269">
            <v>0</v>
          </cell>
          <cell r="K2269">
            <v>0</v>
          </cell>
          <cell r="L2269">
            <v>353.81999999999903</v>
          </cell>
          <cell r="M2269">
            <v>15215.84</v>
          </cell>
          <cell r="N2269">
            <v>2300.8000000000002</v>
          </cell>
          <cell r="O2269">
            <v>0</v>
          </cell>
          <cell r="R2269">
            <v>4.2999999999999901</v>
          </cell>
        </row>
        <row r="2270">
          <cell r="G2270">
            <v>6959.56</v>
          </cell>
          <cell r="I2270">
            <v>176.9</v>
          </cell>
          <cell r="J2270">
            <v>0</v>
          </cell>
          <cell r="K2270">
            <v>0</v>
          </cell>
          <cell r="L2270">
            <v>176.9</v>
          </cell>
          <cell r="M2270">
            <v>7492.47</v>
          </cell>
          <cell r="N2270">
            <v>1239.3299999999899</v>
          </cell>
          <cell r="O2270">
            <v>0</v>
          </cell>
          <cell r="R2270">
            <v>2.1099999999999901</v>
          </cell>
        </row>
        <row r="2271">
          <cell r="G2271">
            <v>11003.99</v>
          </cell>
          <cell r="I2271">
            <v>324.33999999999901</v>
          </cell>
          <cell r="J2271">
            <v>0</v>
          </cell>
          <cell r="K2271">
            <v>0</v>
          </cell>
          <cell r="L2271">
            <v>324.33999999999901</v>
          </cell>
          <cell r="M2271">
            <v>11972.07</v>
          </cell>
          <cell r="N2271">
            <v>3817.53</v>
          </cell>
          <cell r="O2271">
            <v>0</v>
          </cell>
          <cell r="R2271">
            <v>3.3399999999999901</v>
          </cell>
        </row>
        <row r="2272">
          <cell r="G2272">
            <v>7923.22</v>
          </cell>
          <cell r="I2272">
            <v>206.38999999999899</v>
          </cell>
          <cell r="J2272">
            <v>0</v>
          </cell>
          <cell r="K2272">
            <v>0</v>
          </cell>
          <cell r="L2272">
            <v>206.38999999999899</v>
          </cell>
          <cell r="M2272">
            <v>8540.5499999999902</v>
          </cell>
          <cell r="N2272">
            <v>1539.45</v>
          </cell>
          <cell r="O2272">
            <v>0</v>
          </cell>
          <cell r="R2272">
            <v>2.41</v>
          </cell>
        </row>
        <row r="2273">
          <cell r="G2273">
            <v>68271.899999999907</v>
          </cell>
          <cell r="I2273">
            <v>1901.75</v>
          </cell>
          <cell r="J2273">
            <v>0</v>
          </cell>
          <cell r="K2273">
            <v>0</v>
          </cell>
          <cell r="L2273">
            <v>1901.75</v>
          </cell>
          <cell r="M2273">
            <v>73943.339999999895</v>
          </cell>
          <cell r="N2273">
            <v>18517.619999999901</v>
          </cell>
          <cell r="O2273">
            <v>0</v>
          </cell>
          <cell r="R2273">
            <v>20.739999999999899</v>
          </cell>
        </row>
        <row r="2274">
          <cell r="G2274">
            <v>5894.97</v>
          </cell>
          <cell r="I2274">
            <v>147.41999999999899</v>
          </cell>
          <cell r="J2274">
            <v>0</v>
          </cell>
          <cell r="K2274">
            <v>0</v>
          </cell>
          <cell r="L2274">
            <v>147.41999999999899</v>
          </cell>
          <cell r="M2274">
            <v>6341.1499999999896</v>
          </cell>
          <cell r="N2274">
            <v>986.85</v>
          </cell>
          <cell r="O2274">
            <v>0</v>
          </cell>
          <cell r="R2274">
            <v>1.79</v>
          </cell>
        </row>
        <row r="2275">
          <cell r="G2275">
            <v>24508.9</v>
          </cell>
          <cell r="I2275">
            <v>722.38</v>
          </cell>
          <cell r="J2275">
            <v>3697.13</v>
          </cell>
          <cell r="K2275">
            <v>0</v>
          </cell>
          <cell r="L2275">
            <v>4419.51</v>
          </cell>
          <cell r="M2275">
            <v>30421.18</v>
          </cell>
          <cell r="N2275">
            <v>6193.17</v>
          </cell>
          <cell r="O2275">
            <v>0</v>
          </cell>
          <cell r="R2275">
            <v>7.45</v>
          </cell>
        </row>
        <row r="2276">
          <cell r="G2276">
            <v>11504.17</v>
          </cell>
          <cell r="I2276">
            <v>339.07999999999902</v>
          </cell>
          <cell r="J2276">
            <v>0</v>
          </cell>
          <cell r="K2276">
            <v>0</v>
          </cell>
          <cell r="L2276">
            <v>339.07999999999902</v>
          </cell>
          <cell r="M2276">
            <v>12523.559999999899</v>
          </cell>
          <cell r="N2276">
            <v>4161.76</v>
          </cell>
          <cell r="O2276">
            <v>0</v>
          </cell>
          <cell r="R2276">
            <v>3.49</v>
          </cell>
        </row>
        <row r="2277">
          <cell r="G2277">
            <v>12004.36</v>
          </cell>
          <cell r="I2277">
            <v>353.81999999999903</v>
          </cell>
          <cell r="J2277">
            <v>0</v>
          </cell>
          <cell r="K2277">
            <v>0</v>
          </cell>
          <cell r="L2277">
            <v>353.81999999999903</v>
          </cell>
          <cell r="M2277">
            <v>13055.629999999899</v>
          </cell>
          <cell r="N2277">
            <v>4051.57</v>
          </cell>
          <cell r="O2277">
            <v>0</v>
          </cell>
          <cell r="R2277">
            <v>3.64</v>
          </cell>
        </row>
        <row r="2278">
          <cell r="G2278">
            <v>12004.36</v>
          </cell>
          <cell r="I2278">
            <v>353.81999999999903</v>
          </cell>
          <cell r="J2278">
            <v>2119.1999999999898</v>
          </cell>
          <cell r="K2278">
            <v>0</v>
          </cell>
          <cell r="L2278">
            <v>2473.02</v>
          </cell>
          <cell r="M2278">
            <v>15220.719999999899</v>
          </cell>
          <cell r="N2278">
            <v>3010.88</v>
          </cell>
          <cell r="O2278">
            <v>0</v>
          </cell>
          <cell r="R2278">
            <v>3.64</v>
          </cell>
        </row>
        <row r="2279">
          <cell r="G2279">
            <v>66524.160000000003</v>
          </cell>
          <cell r="I2279">
            <v>1960.72</v>
          </cell>
          <cell r="J2279">
            <v>9343.69</v>
          </cell>
          <cell r="K2279">
            <v>0</v>
          </cell>
          <cell r="L2279">
            <v>11304.41</v>
          </cell>
          <cell r="M2279">
            <v>81936.119999999893</v>
          </cell>
          <cell r="N2279">
            <v>18811.57</v>
          </cell>
          <cell r="O2279">
            <v>0</v>
          </cell>
          <cell r="R2279">
            <v>20.21</v>
          </cell>
        </row>
        <row r="2280">
          <cell r="G2280">
            <v>12004.36</v>
          </cell>
          <cell r="I2280">
            <v>353.81999999999903</v>
          </cell>
          <cell r="J2280">
            <v>1419.1199999999899</v>
          </cell>
          <cell r="K2280">
            <v>0</v>
          </cell>
          <cell r="L2280">
            <v>1772.94</v>
          </cell>
          <cell r="M2280">
            <v>14520.639999999899</v>
          </cell>
          <cell r="N2280">
            <v>3710.96</v>
          </cell>
          <cell r="O2280">
            <v>0</v>
          </cell>
          <cell r="R2280">
            <v>3.64</v>
          </cell>
        </row>
        <row r="2281">
          <cell r="G2281">
            <v>13919.12</v>
          </cell>
          <cell r="I2281">
            <v>353.81999999999903</v>
          </cell>
          <cell r="J2281">
            <v>0</v>
          </cell>
          <cell r="K2281">
            <v>0</v>
          </cell>
          <cell r="L2281">
            <v>353.81999999999903</v>
          </cell>
          <cell r="M2281">
            <v>14992.11</v>
          </cell>
          <cell r="N2281">
            <v>2647.8899999999899</v>
          </cell>
          <cell r="O2281">
            <v>0</v>
          </cell>
          <cell r="R2281">
            <v>4.2300000000000004</v>
          </cell>
        </row>
        <row r="2282">
          <cell r="G2282">
            <v>12004.36</v>
          </cell>
          <cell r="I2282">
            <v>353.81999999999903</v>
          </cell>
          <cell r="J2282">
            <v>1815.8399999999899</v>
          </cell>
          <cell r="K2282">
            <v>0</v>
          </cell>
          <cell r="L2282">
            <v>2169.6599999999899</v>
          </cell>
          <cell r="M2282">
            <v>14915.11</v>
          </cell>
          <cell r="N2282">
            <v>3261.29</v>
          </cell>
          <cell r="O2282">
            <v>0</v>
          </cell>
          <cell r="R2282">
            <v>3.64</v>
          </cell>
        </row>
        <row r="2283">
          <cell r="G2283">
            <v>6002.18</v>
          </cell>
          <cell r="I2283">
            <v>176.9</v>
          </cell>
          <cell r="J2283">
            <v>0</v>
          </cell>
          <cell r="K2283">
            <v>0</v>
          </cell>
          <cell r="L2283">
            <v>176.9</v>
          </cell>
          <cell r="M2283">
            <v>6528.8299999999899</v>
          </cell>
          <cell r="N2283">
            <v>2050.69</v>
          </cell>
          <cell r="O2283">
            <v>0</v>
          </cell>
          <cell r="R2283">
            <v>1.83</v>
          </cell>
        </row>
        <row r="2284">
          <cell r="G2284">
            <v>12004.36</v>
          </cell>
          <cell r="I2284">
            <v>353.69999999999902</v>
          </cell>
          <cell r="J2284">
            <v>0</v>
          </cell>
          <cell r="K2284">
            <v>0</v>
          </cell>
          <cell r="L2284">
            <v>353.69999999999902</v>
          </cell>
          <cell r="M2284">
            <v>13057.69</v>
          </cell>
          <cell r="N2284">
            <v>4101.3500000000004</v>
          </cell>
          <cell r="O2284">
            <v>0</v>
          </cell>
          <cell r="R2284">
            <v>3.64</v>
          </cell>
        </row>
        <row r="2285">
          <cell r="G2285">
            <v>11649.08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12416.969999999899</v>
          </cell>
          <cell r="N2285">
            <v>2583.0300000000002</v>
          </cell>
          <cell r="O2285">
            <v>0</v>
          </cell>
          <cell r="R2285">
            <v>0</v>
          </cell>
        </row>
        <row r="2286">
          <cell r="G2286">
            <v>24307.200000000001</v>
          </cell>
          <cell r="I2286">
            <v>0</v>
          </cell>
          <cell r="J2286">
            <v>0</v>
          </cell>
          <cell r="K2286">
            <v>0</v>
          </cell>
          <cell r="L2286">
            <v>0</v>
          </cell>
          <cell r="M2286">
            <v>26113.23</v>
          </cell>
          <cell r="N2286">
            <v>9166.77</v>
          </cell>
          <cell r="O2286">
            <v>0</v>
          </cell>
          <cell r="R2286">
            <v>0</v>
          </cell>
        </row>
        <row r="2287">
          <cell r="G2287">
            <v>24307.16</v>
          </cell>
          <cell r="I2287">
            <v>0</v>
          </cell>
          <cell r="J2287">
            <v>4650.72</v>
          </cell>
          <cell r="K2287">
            <v>0</v>
          </cell>
          <cell r="L2287">
            <v>4650.72</v>
          </cell>
          <cell r="M2287">
            <v>30861.119999999901</v>
          </cell>
          <cell r="N2287">
            <v>6316.8</v>
          </cell>
          <cell r="O2287">
            <v>0</v>
          </cell>
          <cell r="R2287">
            <v>0</v>
          </cell>
        </row>
        <row r="2288">
          <cell r="G2288">
            <v>75959.869999999893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81678.679999999906</v>
          </cell>
          <cell r="N2288">
            <v>30033.82</v>
          </cell>
          <cell r="O2288">
            <v>0</v>
          </cell>
          <cell r="R2288">
            <v>0</v>
          </cell>
        </row>
        <row r="2289">
          <cell r="G2289">
            <v>12153.58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13050.29</v>
          </cell>
          <cell r="N2289">
            <v>4466.3500000000004</v>
          </cell>
          <cell r="O2289">
            <v>0</v>
          </cell>
          <cell r="R2289">
            <v>0</v>
          </cell>
        </row>
        <row r="2290">
          <cell r="G2290">
            <v>15750.35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16855.9399999999</v>
          </cell>
          <cell r="N2290">
            <v>4741.8100000000004</v>
          </cell>
          <cell r="O2290">
            <v>0</v>
          </cell>
          <cell r="R2290">
            <v>0</v>
          </cell>
        </row>
        <row r="2291">
          <cell r="G2291">
            <v>7571.9099999999899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8067.5</v>
          </cell>
          <cell r="N2291">
            <v>1614.25</v>
          </cell>
          <cell r="O2291">
            <v>0</v>
          </cell>
          <cell r="R2291">
            <v>0</v>
          </cell>
        </row>
        <row r="2292">
          <cell r="G2292">
            <v>12153.58</v>
          </cell>
          <cell r="I2292">
            <v>0</v>
          </cell>
          <cell r="J2292">
            <v>1992.72</v>
          </cell>
          <cell r="K2292">
            <v>0</v>
          </cell>
          <cell r="L2292">
            <v>1992.72</v>
          </cell>
          <cell r="M2292">
            <v>15104.62</v>
          </cell>
          <cell r="N2292">
            <v>3615.38</v>
          </cell>
          <cell r="O2292">
            <v>0</v>
          </cell>
          <cell r="R2292">
            <v>0</v>
          </cell>
        </row>
        <row r="2293">
          <cell r="G2293">
            <v>33422.339999999902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35938.629999999903</v>
          </cell>
          <cell r="N2293">
            <v>13214.87</v>
          </cell>
          <cell r="O2293">
            <v>0</v>
          </cell>
          <cell r="R2293">
            <v>0</v>
          </cell>
        </row>
        <row r="2294">
          <cell r="G2294">
            <v>5894.96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6276.1999999999898</v>
          </cell>
          <cell r="N2294">
            <v>1171.3</v>
          </cell>
          <cell r="O2294">
            <v>0</v>
          </cell>
          <cell r="R2294">
            <v>0</v>
          </cell>
        </row>
        <row r="2295">
          <cell r="G2295">
            <v>12153.58</v>
          </cell>
          <cell r="I2295">
            <v>0</v>
          </cell>
          <cell r="J2295">
            <v>2325.36</v>
          </cell>
          <cell r="K2295">
            <v>0</v>
          </cell>
          <cell r="L2295">
            <v>2325.36</v>
          </cell>
          <cell r="M2295">
            <v>15437.26</v>
          </cell>
          <cell r="N2295">
            <v>3282.7399999999898</v>
          </cell>
          <cell r="O2295">
            <v>0</v>
          </cell>
          <cell r="R2295">
            <v>0</v>
          </cell>
        </row>
        <row r="2296">
          <cell r="G2296">
            <v>5063.9899999999898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5447.9399999999896</v>
          </cell>
          <cell r="N2296">
            <v>2052.0599999999899</v>
          </cell>
          <cell r="O2296">
            <v>0</v>
          </cell>
          <cell r="R2296">
            <v>0</v>
          </cell>
        </row>
        <row r="2297">
          <cell r="G2297">
            <v>10634.37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11434.98</v>
          </cell>
          <cell r="N2297">
            <v>4204.7700000000004</v>
          </cell>
          <cell r="O2297">
            <v>0</v>
          </cell>
          <cell r="R2297">
            <v>0</v>
          </cell>
        </row>
        <row r="2298">
          <cell r="G2298">
            <v>12153.58</v>
          </cell>
          <cell r="I2298">
            <v>0</v>
          </cell>
          <cell r="J2298">
            <v>2207.7600000000002</v>
          </cell>
          <cell r="K2298">
            <v>0</v>
          </cell>
          <cell r="L2298">
            <v>2207.7600000000002</v>
          </cell>
          <cell r="M2298">
            <v>15319.66</v>
          </cell>
          <cell r="N2298">
            <v>3400.34</v>
          </cell>
          <cell r="O2298">
            <v>0</v>
          </cell>
          <cell r="R2298">
            <v>0</v>
          </cell>
        </row>
        <row r="2299">
          <cell r="G2299">
            <v>6076.79</v>
          </cell>
          <cell r="I2299">
            <v>0</v>
          </cell>
          <cell r="J2299">
            <v>1016.88</v>
          </cell>
          <cell r="K2299">
            <v>0</v>
          </cell>
          <cell r="L2299">
            <v>1016.88</v>
          </cell>
          <cell r="M2299">
            <v>7572.8199999999897</v>
          </cell>
          <cell r="N2299">
            <v>1787.18</v>
          </cell>
          <cell r="O2299">
            <v>0</v>
          </cell>
          <cell r="R2299">
            <v>0</v>
          </cell>
        </row>
        <row r="2300">
          <cell r="G2300">
            <v>12659.98</v>
          </cell>
          <cell r="I2300">
            <v>0</v>
          </cell>
          <cell r="J2300">
            <v>1094.0799999999899</v>
          </cell>
          <cell r="K2300">
            <v>0</v>
          </cell>
          <cell r="L2300">
            <v>1094.0799999999899</v>
          </cell>
          <cell r="M2300">
            <v>13754.059999999899</v>
          </cell>
          <cell r="N2300">
            <v>5245.9399999999896</v>
          </cell>
          <cell r="O2300">
            <v>0</v>
          </cell>
          <cell r="R2300">
            <v>0</v>
          </cell>
        </row>
        <row r="2301">
          <cell r="G2301">
            <v>0</v>
          </cell>
          <cell r="I2301">
            <v>0</v>
          </cell>
          <cell r="J2301">
            <v>57515.32</v>
          </cell>
          <cell r="K2301">
            <v>0</v>
          </cell>
          <cell r="L2301">
            <v>57515.32</v>
          </cell>
          <cell r="M2301">
            <v>57515.32</v>
          </cell>
          <cell r="N2301">
            <v>-57515.32</v>
          </cell>
          <cell r="O2301">
            <v>0</v>
          </cell>
          <cell r="R2301">
            <v>0</v>
          </cell>
        </row>
        <row r="2302">
          <cell r="G2302">
            <v>12153.58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12153.58</v>
          </cell>
          <cell r="N2302">
            <v>5486.42</v>
          </cell>
          <cell r="O2302">
            <v>0</v>
          </cell>
          <cell r="R2302">
            <v>0</v>
          </cell>
        </row>
        <row r="2303">
          <cell r="G2303">
            <v>225644.62</v>
          </cell>
          <cell r="I2303">
            <v>0</v>
          </cell>
          <cell r="J2303">
            <v>0</v>
          </cell>
          <cell r="K2303">
            <v>0</v>
          </cell>
          <cell r="L2303">
            <v>0</v>
          </cell>
          <cell r="M2303">
            <v>240176.84</v>
          </cell>
          <cell r="N2303">
            <v>43698.16</v>
          </cell>
          <cell r="O2303">
            <v>0</v>
          </cell>
          <cell r="R2303">
            <v>0</v>
          </cell>
        </row>
        <row r="2304">
          <cell r="G2304">
            <v>76214.960000000006</v>
          </cell>
          <cell r="I2304">
            <v>0</v>
          </cell>
          <cell r="J2304">
            <v>1545.3599999999899</v>
          </cell>
          <cell r="K2304">
            <v>0</v>
          </cell>
          <cell r="L2304">
            <v>1545.3599999999899</v>
          </cell>
          <cell r="M2304">
            <v>79191.83</v>
          </cell>
          <cell r="N2304">
            <v>30595.6899999999</v>
          </cell>
          <cell r="O2304">
            <v>0</v>
          </cell>
          <cell r="R2304">
            <v>0</v>
          </cell>
        </row>
        <row r="2305">
          <cell r="G2305">
            <v>6989.4399999999896</v>
          </cell>
          <cell r="I2305">
            <v>0</v>
          </cell>
          <cell r="J2305">
            <v>0</v>
          </cell>
          <cell r="K2305">
            <v>0</v>
          </cell>
          <cell r="L2305">
            <v>0</v>
          </cell>
          <cell r="M2305">
            <v>7446.93</v>
          </cell>
          <cell r="N2305">
            <v>1490.0699999999899</v>
          </cell>
          <cell r="O2305">
            <v>0</v>
          </cell>
          <cell r="R2305">
            <v>0</v>
          </cell>
        </row>
        <row r="2306">
          <cell r="G2306">
            <v>8234.3099999999904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8760.44</v>
          </cell>
          <cell r="N2306">
            <v>1517.1099999999899</v>
          </cell>
          <cell r="O2306">
            <v>0</v>
          </cell>
          <cell r="R2306">
            <v>0</v>
          </cell>
        </row>
        <row r="2307">
          <cell r="G2307">
            <v>5478.5699999999897</v>
          </cell>
          <cell r="I2307">
            <v>0</v>
          </cell>
          <cell r="J2307">
            <v>0</v>
          </cell>
          <cell r="K2307">
            <v>0</v>
          </cell>
          <cell r="L2307">
            <v>0</v>
          </cell>
          <cell r="M2307">
            <v>5843.88</v>
          </cell>
          <cell r="N2307">
            <v>1291.42</v>
          </cell>
          <cell r="O2307">
            <v>0</v>
          </cell>
          <cell r="R2307">
            <v>0</v>
          </cell>
        </row>
        <row r="2308">
          <cell r="G2308">
            <v>12153.58</v>
          </cell>
          <cell r="I2308">
            <v>0</v>
          </cell>
          <cell r="J2308">
            <v>1992.72</v>
          </cell>
          <cell r="K2308">
            <v>0</v>
          </cell>
          <cell r="L2308">
            <v>1992.72</v>
          </cell>
          <cell r="M2308">
            <v>14146.299999999899</v>
          </cell>
          <cell r="N2308">
            <v>4442.6599999999899</v>
          </cell>
          <cell r="O2308">
            <v>0</v>
          </cell>
          <cell r="R2308">
            <v>0</v>
          </cell>
        </row>
        <row r="2309">
          <cell r="G2309">
            <v>42537.529999999897</v>
          </cell>
          <cell r="I2309">
            <v>0</v>
          </cell>
          <cell r="J2309">
            <v>3234.48</v>
          </cell>
          <cell r="K2309">
            <v>0</v>
          </cell>
          <cell r="L2309">
            <v>3234.48</v>
          </cell>
          <cell r="M2309">
            <v>45772.01</v>
          </cell>
          <cell r="N2309">
            <v>19747.990000000002</v>
          </cell>
          <cell r="O2309">
            <v>0</v>
          </cell>
          <cell r="R2309">
            <v>0</v>
          </cell>
        </row>
        <row r="2310">
          <cell r="G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-200</v>
          </cell>
          <cell r="O2310">
            <v>0</v>
          </cell>
          <cell r="R2310">
            <v>0</v>
          </cell>
        </row>
        <row r="2311">
          <cell r="G2311">
            <v>8736.8099999999904</v>
          </cell>
          <cell r="I2311">
            <v>0</v>
          </cell>
          <cell r="J2311">
            <v>0</v>
          </cell>
          <cell r="K2311">
            <v>0</v>
          </cell>
          <cell r="L2311">
            <v>0</v>
          </cell>
          <cell r="M2311">
            <v>9308.6599999999908</v>
          </cell>
          <cell r="N2311">
            <v>1862.5899999999899</v>
          </cell>
          <cell r="O2311">
            <v>0</v>
          </cell>
          <cell r="R2311">
            <v>0</v>
          </cell>
        </row>
        <row r="2312">
          <cell r="G2312">
            <v>24813.56</v>
          </cell>
          <cell r="I2312">
            <v>0</v>
          </cell>
          <cell r="J2312">
            <v>4388.5799999999899</v>
          </cell>
          <cell r="K2312">
            <v>0</v>
          </cell>
          <cell r="L2312">
            <v>4388.5799999999899</v>
          </cell>
          <cell r="M2312">
            <v>29202.139999999901</v>
          </cell>
          <cell r="N2312">
            <v>8253.8199999999906</v>
          </cell>
          <cell r="O2312">
            <v>0</v>
          </cell>
          <cell r="R2312">
            <v>0</v>
          </cell>
        </row>
        <row r="2313">
          <cell r="G2313">
            <v>12153.58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12153.58</v>
          </cell>
          <cell r="N2313">
            <v>5720.42</v>
          </cell>
          <cell r="O2313">
            <v>0</v>
          </cell>
          <cell r="R2313">
            <v>0</v>
          </cell>
        </row>
        <row r="2314">
          <cell r="G2314">
            <v>12153.58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12153.58</v>
          </cell>
          <cell r="N2314">
            <v>5720.42</v>
          </cell>
          <cell r="O2314">
            <v>0</v>
          </cell>
          <cell r="R2314">
            <v>0</v>
          </cell>
        </row>
        <row r="2315">
          <cell r="G2315">
            <v>12153.58</v>
          </cell>
          <cell r="I2315">
            <v>0</v>
          </cell>
          <cell r="J2315">
            <v>0</v>
          </cell>
          <cell r="K2315">
            <v>0</v>
          </cell>
          <cell r="L2315">
            <v>0</v>
          </cell>
          <cell r="M2315">
            <v>12153.58</v>
          </cell>
          <cell r="N2315">
            <v>5005.46</v>
          </cell>
          <cell r="O2315">
            <v>0</v>
          </cell>
          <cell r="R2315">
            <v>0</v>
          </cell>
        </row>
        <row r="2316">
          <cell r="G2316">
            <v>30383.95</v>
          </cell>
          <cell r="I2316">
            <v>0</v>
          </cell>
          <cell r="J2316">
            <v>5065.4399999999896</v>
          </cell>
          <cell r="K2316">
            <v>0</v>
          </cell>
          <cell r="L2316">
            <v>5065.4399999999896</v>
          </cell>
          <cell r="M2316">
            <v>35449.389999999898</v>
          </cell>
          <cell r="N2316">
            <v>11023.01</v>
          </cell>
          <cell r="O2316">
            <v>0</v>
          </cell>
          <cell r="R2316">
            <v>0</v>
          </cell>
        </row>
        <row r="2317">
          <cell r="G2317">
            <v>24307.16</v>
          </cell>
          <cell r="I2317">
            <v>0</v>
          </cell>
          <cell r="J2317">
            <v>3667.6799999999898</v>
          </cell>
          <cell r="K2317">
            <v>0</v>
          </cell>
          <cell r="L2317">
            <v>3667.6799999999898</v>
          </cell>
          <cell r="M2317">
            <v>27974.84</v>
          </cell>
          <cell r="N2317">
            <v>9465.1599999999908</v>
          </cell>
          <cell r="O2317">
            <v>0</v>
          </cell>
          <cell r="R2317">
            <v>0</v>
          </cell>
        </row>
        <row r="2318">
          <cell r="G2318">
            <v>30653.82</v>
          </cell>
          <cell r="I2318">
            <v>0</v>
          </cell>
          <cell r="J2318">
            <v>0</v>
          </cell>
          <cell r="K2318">
            <v>0</v>
          </cell>
          <cell r="L2318">
            <v>0</v>
          </cell>
          <cell r="M2318">
            <v>32650.299999999901</v>
          </cell>
          <cell r="N2318">
            <v>6349.6999999999898</v>
          </cell>
          <cell r="O2318">
            <v>0</v>
          </cell>
          <cell r="R2318">
            <v>0</v>
          </cell>
        </row>
        <row r="2319">
          <cell r="G2319">
            <v>8102.39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8102.39</v>
          </cell>
          <cell r="N2319">
            <v>3813.61</v>
          </cell>
          <cell r="O2319">
            <v>0</v>
          </cell>
          <cell r="R2319">
            <v>0</v>
          </cell>
        </row>
        <row r="2320">
          <cell r="G2320">
            <v>4051.1999999999898</v>
          </cell>
          <cell r="I2320">
            <v>0</v>
          </cell>
          <cell r="J2320">
            <v>0</v>
          </cell>
          <cell r="K2320">
            <v>0</v>
          </cell>
          <cell r="L2320">
            <v>0</v>
          </cell>
          <cell r="M2320">
            <v>4051.1999999999898</v>
          </cell>
          <cell r="N2320">
            <v>1906.8</v>
          </cell>
          <cell r="O2320">
            <v>0</v>
          </cell>
          <cell r="R2320">
            <v>0</v>
          </cell>
        </row>
        <row r="2321">
          <cell r="G2321">
            <v>12153.58</v>
          </cell>
          <cell r="I2321">
            <v>0</v>
          </cell>
          <cell r="J2321">
            <v>0</v>
          </cell>
          <cell r="K2321">
            <v>0</v>
          </cell>
          <cell r="L2321">
            <v>0</v>
          </cell>
          <cell r="M2321">
            <v>12153.58</v>
          </cell>
          <cell r="N2321">
            <v>5720.42</v>
          </cell>
          <cell r="O2321">
            <v>0</v>
          </cell>
          <cell r="R2321">
            <v>0</v>
          </cell>
        </row>
        <row r="2322">
          <cell r="G2322">
            <v>1122.4100000000001</v>
          </cell>
          <cell r="I2322">
            <v>0</v>
          </cell>
          <cell r="J2322">
            <v>0</v>
          </cell>
          <cell r="K2322">
            <v>0</v>
          </cell>
          <cell r="L2322">
            <v>0</v>
          </cell>
          <cell r="M2322">
            <v>1122.4100000000001</v>
          </cell>
          <cell r="N2322">
            <v>-1122.4100000000001</v>
          </cell>
          <cell r="O2322">
            <v>0</v>
          </cell>
          <cell r="R2322">
            <v>0</v>
          </cell>
        </row>
        <row r="2323">
          <cell r="G2323">
            <v>37214.5</v>
          </cell>
          <cell r="I2323">
            <v>54.799999999999898</v>
          </cell>
          <cell r="J2323">
            <v>3188.96</v>
          </cell>
          <cell r="K2323">
            <v>8.99999999999999E-2</v>
          </cell>
          <cell r="L2323">
            <v>3243.8499999999899</v>
          </cell>
          <cell r="M2323">
            <v>42052.480000000003</v>
          </cell>
          <cell r="N2323">
            <v>7992.3199999999897</v>
          </cell>
          <cell r="O2323">
            <v>0</v>
          </cell>
          <cell r="R2323">
            <v>86.329999999999899</v>
          </cell>
        </row>
        <row r="2324">
          <cell r="G2324">
            <v>19168.45</v>
          </cell>
          <cell r="I2324">
            <v>27.399999999999899</v>
          </cell>
          <cell r="J2324">
            <v>1030.0799999999899</v>
          </cell>
          <cell r="K2324">
            <v>0.04</v>
          </cell>
          <cell r="L2324">
            <v>1057.52</v>
          </cell>
          <cell r="M2324">
            <v>21029.02</v>
          </cell>
          <cell r="N2324">
            <v>4180.5799999999899</v>
          </cell>
          <cell r="O2324">
            <v>0</v>
          </cell>
          <cell r="R2324">
            <v>44.469999999999899</v>
          </cell>
        </row>
        <row r="2325">
          <cell r="G2325">
            <v>19168.45</v>
          </cell>
          <cell r="I2325">
            <v>27.399999999999899</v>
          </cell>
          <cell r="J2325">
            <v>1892.16</v>
          </cell>
          <cell r="K2325">
            <v>0.04</v>
          </cell>
          <cell r="L2325">
            <v>1919.5999999999899</v>
          </cell>
          <cell r="M2325">
            <v>21891.0999999999</v>
          </cell>
          <cell r="N2325">
            <v>3318.5</v>
          </cell>
          <cell r="O2325">
            <v>0</v>
          </cell>
          <cell r="R2325">
            <v>44.469999999999899</v>
          </cell>
        </row>
        <row r="2326">
          <cell r="G2326">
            <v>19168.45</v>
          </cell>
          <cell r="I2326">
            <v>27.399999999999899</v>
          </cell>
          <cell r="J2326">
            <v>1511.04</v>
          </cell>
          <cell r="K2326">
            <v>0.04</v>
          </cell>
          <cell r="L2326">
            <v>1538.48</v>
          </cell>
          <cell r="M2326">
            <v>21502</v>
          </cell>
          <cell r="N2326">
            <v>3458</v>
          </cell>
          <cell r="O2326">
            <v>0</v>
          </cell>
          <cell r="R2326">
            <v>44.469999999999899</v>
          </cell>
        </row>
        <row r="2327">
          <cell r="G2327">
            <v>38336.9</v>
          </cell>
          <cell r="I2327">
            <v>54.799999999999898</v>
          </cell>
          <cell r="J2327">
            <v>3757.92</v>
          </cell>
          <cell r="K2327">
            <v>8.99999999999999E-2</v>
          </cell>
          <cell r="L2327">
            <v>3812.8099999999899</v>
          </cell>
          <cell r="M2327">
            <v>43728.73</v>
          </cell>
          <cell r="N2327">
            <v>5841.8299999999899</v>
          </cell>
          <cell r="O2327">
            <v>0</v>
          </cell>
          <cell r="R2327">
            <v>88.939999999999898</v>
          </cell>
        </row>
        <row r="2328">
          <cell r="G2328">
            <v>19168.45</v>
          </cell>
          <cell r="I2328">
            <v>27.399999999999899</v>
          </cell>
          <cell r="J2328">
            <v>1082.6400000000001</v>
          </cell>
          <cell r="K2328">
            <v>0.04</v>
          </cell>
          <cell r="L2328">
            <v>1110.0799999999899</v>
          </cell>
          <cell r="M2328">
            <v>21083.33</v>
          </cell>
          <cell r="N2328">
            <v>4183.8699999999899</v>
          </cell>
          <cell r="O2328">
            <v>0</v>
          </cell>
          <cell r="R2328">
            <v>44.469999999999899</v>
          </cell>
        </row>
        <row r="2329">
          <cell r="G2329">
            <v>105426.48</v>
          </cell>
          <cell r="I2329">
            <v>150.71</v>
          </cell>
          <cell r="J2329">
            <v>4856.6400000000003</v>
          </cell>
          <cell r="K2329">
            <v>0.23999999999999899</v>
          </cell>
          <cell r="L2329">
            <v>5007.59</v>
          </cell>
          <cell r="M2329">
            <v>114690.98</v>
          </cell>
          <cell r="N2329">
            <v>18947.2599999999</v>
          </cell>
          <cell r="O2329">
            <v>0</v>
          </cell>
          <cell r="R2329">
            <v>244.599999999999</v>
          </cell>
        </row>
        <row r="2330">
          <cell r="G2330">
            <v>19168.45</v>
          </cell>
          <cell r="I2330">
            <v>27.399999999999899</v>
          </cell>
          <cell r="J2330">
            <v>0</v>
          </cell>
          <cell r="K2330">
            <v>0.04</v>
          </cell>
          <cell r="L2330">
            <v>27.44</v>
          </cell>
          <cell r="M2330">
            <v>19956.5999999999</v>
          </cell>
          <cell r="N2330">
            <v>3923.4</v>
          </cell>
          <cell r="O2330">
            <v>0</v>
          </cell>
          <cell r="R2330">
            <v>44.469999999999899</v>
          </cell>
        </row>
        <row r="2331">
          <cell r="G2331">
            <v>38336.910000000003</v>
          </cell>
          <cell r="I2331">
            <v>54.799999999999898</v>
          </cell>
          <cell r="J2331">
            <v>3662.76</v>
          </cell>
          <cell r="K2331">
            <v>8.99999999999999E-2</v>
          </cell>
          <cell r="L2331">
            <v>3717.65</v>
          </cell>
          <cell r="M2331">
            <v>43633.58</v>
          </cell>
          <cell r="N2331">
            <v>5936.9799999999896</v>
          </cell>
          <cell r="O2331">
            <v>0</v>
          </cell>
          <cell r="R2331">
            <v>88.939999999999898</v>
          </cell>
        </row>
        <row r="2332">
          <cell r="G2332">
            <v>19168.45</v>
          </cell>
          <cell r="I2332">
            <v>27.399999999999899</v>
          </cell>
          <cell r="J2332">
            <v>1082.6400000000001</v>
          </cell>
          <cell r="K2332">
            <v>0.04</v>
          </cell>
          <cell r="L2332">
            <v>1110.0799999999899</v>
          </cell>
          <cell r="M2332">
            <v>21056.82</v>
          </cell>
          <cell r="N2332">
            <v>3377.0999999999899</v>
          </cell>
          <cell r="O2332">
            <v>0</v>
          </cell>
          <cell r="R2332">
            <v>44.469999999999899</v>
          </cell>
        </row>
        <row r="2333">
          <cell r="G2333">
            <v>19168.45</v>
          </cell>
          <cell r="I2333">
            <v>27.399999999999899</v>
          </cell>
          <cell r="J2333">
            <v>1300.8</v>
          </cell>
          <cell r="K2333">
            <v>0.04</v>
          </cell>
          <cell r="L2333">
            <v>1328.24</v>
          </cell>
          <cell r="M2333">
            <v>21291.7599999999</v>
          </cell>
          <cell r="N2333">
            <v>3668.2399999999898</v>
          </cell>
          <cell r="O2333">
            <v>0</v>
          </cell>
          <cell r="R2333">
            <v>44.469999999999899</v>
          </cell>
        </row>
        <row r="2334">
          <cell r="G2334">
            <v>115010.71</v>
          </cell>
          <cell r="I2334">
            <v>164.41</v>
          </cell>
          <cell r="J2334">
            <v>10890.84</v>
          </cell>
          <cell r="K2334">
            <v>0.26</v>
          </cell>
          <cell r="L2334">
            <v>11055.51</v>
          </cell>
          <cell r="M2334">
            <v>130760.41</v>
          </cell>
          <cell r="N2334">
            <v>16603.43</v>
          </cell>
          <cell r="O2334">
            <v>0</v>
          </cell>
          <cell r="R2334">
            <v>266.83999999999901</v>
          </cell>
        </row>
        <row r="2335">
          <cell r="G2335">
            <v>57505.349999999897</v>
          </cell>
          <cell r="I2335">
            <v>82.2</v>
          </cell>
          <cell r="J2335">
            <v>2312.6399999999899</v>
          </cell>
          <cell r="K2335">
            <v>0.13</v>
          </cell>
          <cell r="L2335">
            <v>2394.9699999999898</v>
          </cell>
          <cell r="M2335">
            <v>62199.98</v>
          </cell>
          <cell r="N2335">
            <v>9994.18</v>
          </cell>
          <cell r="O2335">
            <v>0</v>
          </cell>
          <cell r="R2335">
            <v>133.43</v>
          </cell>
        </row>
        <row r="2336">
          <cell r="G2336">
            <v>19168.45</v>
          </cell>
          <cell r="I2336">
            <v>27.399999999999899</v>
          </cell>
          <cell r="J2336">
            <v>0</v>
          </cell>
          <cell r="K2336">
            <v>0.04</v>
          </cell>
          <cell r="L2336">
            <v>27.44</v>
          </cell>
          <cell r="M2336">
            <v>19951.27</v>
          </cell>
          <cell r="N2336">
            <v>3761.69</v>
          </cell>
          <cell r="O2336">
            <v>0</v>
          </cell>
          <cell r="R2336">
            <v>44.469999999999899</v>
          </cell>
        </row>
        <row r="2337">
          <cell r="G2337">
            <v>19168.45</v>
          </cell>
          <cell r="I2337">
            <v>27.399999999999899</v>
          </cell>
          <cell r="J2337">
            <v>0</v>
          </cell>
          <cell r="K2337">
            <v>0.04</v>
          </cell>
          <cell r="L2337">
            <v>27.44</v>
          </cell>
          <cell r="M2337">
            <v>19964.209999999901</v>
          </cell>
          <cell r="N2337">
            <v>4154.59</v>
          </cell>
          <cell r="O2337">
            <v>0</v>
          </cell>
          <cell r="R2337">
            <v>44.469999999999899</v>
          </cell>
        </row>
        <row r="2338">
          <cell r="G2338">
            <v>116608.08</v>
          </cell>
          <cell r="I2338">
            <v>166.69</v>
          </cell>
          <cell r="J2338">
            <v>1676.64</v>
          </cell>
          <cell r="K2338">
            <v>0.26</v>
          </cell>
          <cell r="L2338">
            <v>1843.5899999999899</v>
          </cell>
          <cell r="M2338">
            <v>123172.1</v>
          </cell>
          <cell r="N2338">
            <v>25016.959999999901</v>
          </cell>
          <cell r="O2338">
            <v>0</v>
          </cell>
          <cell r="R2338">
            <v>270.54000000000002</v>
          </cell>
        </row>
        <row r="2339">
          <cell r="G2339">
            <v>7986.8599999999897</v>
          </cell>
          <cell r="I2339">
            <v>11.42</v>
          </cell>
          <cell r="J2339">
            <v>0</v>
          </cell>
          <cell r="K2339">
            <v>0.02</v>
          </cell>
          <cell r="L2339">
            <v>11.44</v>
          </cell>
          <cell r="M2339">
            <v>8312.9799999999905</v>
          </cell>
          <cell r="N2339">
            <v>1567.42</v>
          </cell>
          <cell r="O2339">
            <v>0</v>
          </cell>
          <cell r="R2339">
            <v>18.53</v>
          </cell>
        </row>
        <row r="2340">
          <cell r="G2340">
            <v>62297.459999999897</v>
          </cell>
          <cell r="I2340">
            <v>89.06</v>
          </cell>
          <cell r="J2340">
            <v>3192.96</v>
          </cell>
          <cell r="K2340">
            <v>0.14000000000000001</v>
          </cell>
          <cell r="L2340">
            <v>3282.1599999999899</v>
          </cell>
          <cell r="M2340">
            <v>68046.539999999906</v>
          </cell>
          <cell r="N2340">
            <v>9398.5799999999908</v>
          </cell>
          <cell r="O2340">
            <v>0</v>
          </cell>
          <cell r="R2340">
            <v>144.539999999999</v>
          </cell>
        </row>
        <row r="2341">
          <cell r="G2341">
            <v>1597.3099999999899</v>
          </cell>
          <cell r="I2341">
            <v>2.27999999999999</v>
          </cell>
          <cell r="J2341">
            <v>0</v>
          </cell>
          <cell r="K2341">
            <v>0</v>
          </cell>
          <cell r="L2341">
            <v>2.27999999999999</v>
          </cell>
          <cell r="M2341">
            <v>1692.1199999999899</v>
          </cell>
          <cell r="N2341">
            <v>1212.68</v>
          </cell>
          <cell r="O2341">
            <v>0</v>
          </cell>
          <cell r="R2341">
            <v>3.71</v>
          </cell>
        </row>
        <row r="2342">
          <cell r="G2342">
            <v>76673.8</v>
          </cell>
          <cell r="I2342">
            <v>109.599999999999</v>
          </cell>
          <cell r="J2342">
            <v>6690.96</v>
          </cell>
          <cell r="K2342">
            <v>0.17</v>
          </cell>
          <cell r="L2342">
            <v>6800.7299999999896</v>
          </cell>
          <cell r="M2342">
            <v>86632.61</v>
          </cell>
          <cell r="N2342">
            <v>12508.51</v>
          </cell>
          <cell r="O2342">
            <v>0</v>
          </cell>
          <cell r="R2342">
            <v>177.91</v>
          </cell>
        </row>
        <row r="2343">
          <cell r="G2343">
            <v>76673.8</v>
          </cell>
          <cell r="I2343">
            <v>109.599999999999</v>
          </cell>
          <cell r="J2343">
            <v>5939.52</v>
          </cell>
          <cell r="K2343">
            <v>0.17</v>
          </cell>
          <cell r="L2343">
            <v>6049.29</v>
          </cell>
          <cell r="M2343">
            <v>85903.419999999896</v>
          </cell>
          <cell r="N2343">
            <v>13936.58</v>
          </cell>
          <cell r="O2343">
            <v>0</v>
          </cell>
          <cell r="R2343">
            <v>177.91</v>
          </cell>
        </row>
        <row r="2344">
          <cell r="G2344">
            <v>19168.45</v>
          </cell>
          <cell r="I2344">
            <v>27.44</v>
          </cell>
          <cell r="J2344">
            <v>1779.1199999999899</v>
          </cell>
          <cell r="K2344">
            <v>0.04</v>
          </cell>
          <cell r="L2344">
            <v>1806.5999999999899</v>
          </cell>
          <cell r="M2344">
            <v>21764.57</v>
          </cell>
          <cell r="N2344">
            <v>3020.71</v>
          </cell>
          <cell r="O2344">
            <v>0</v>
          </cell>
          <cell r="R2344">
            <v>44.469999999999899</v>
          </cell>
        </row>
        <row r="2345">
          <cell r="G2345">
            <v>37481.440000000002</v>
          </cell>
          <cell r="I2345">
            <v>565.76999999999896</v>
          </cell>
          <cell r="J2345">
            <v>0</v>
          </cell>
          <cell r="K2345">
            <v>0</v>
          </cell>
          <cell r="L2345">
            <v>565.76999999999896</v>
          </cell>
          <cell r="M2345">
            <v>40048.889999999898</v>
          </cell>
          <cell r="N2345">
            <v>8046.39</v>
          </cell>
          <cell r="O2345">
            <v>0</v>
          </cell>
          <cell r="R2345">
            <v>177.94</v>
          </cell>
        </row>
        <row r="2346">
          <cell r="G2346">
            <v>56222.16</v>
          </cell>
          <cell r="I2346">
            <v>848.63999999999896</v>
          </cell>
          <cell r="J2346">
            <v>3855.1199999999899</v>
          </cell>
          <cell r="K2346">
            <v>0</v>
          </cell>
          <cell r="L2346">
            <v>4703.76</v>
          </cell>
          <cell r="M2346">
            <v>64053.41</v>
          </cell>
          <cell r="N2346">
            <v>11092.99</v>
          </cell>
          <cell r="O2346">
            <v>0</v>
          </cell>
          <cell r="R2346">
            <v>266.92</v>
          </cell>
        </row>
        <row r="2347">
          <cell r="G2347">
            <v>18740.72</v>
          </cell>
          <cell r="I2347">
            <v>282.88</v>
          </cell>
          <cell r="J2347">
            <v>898.79999999999905</v>
          </cell>
          <cell r="K2347">
            <v>0</v>
          </cell>
          <cell r="L2347">
            <v>1181.68</v>
          </cell>
          <cell r="M2347">
            <v>20964.9199999999</v>
          </cell>
          <cell r="N2347">
            <v>4083.88</v>
          </cell>
          <cell r="O2347">
            <v>0</v>
          </cell>
          <cell r="R2347">
            <v>88.989999999999895</v>
          </cell>
        </row>
        <row r="2348">
          <cell r="G2348">
            <v>63249.93</v>
          </cell>
          <cell r="I2348">
            <v>954.7</v>
          </cell>
          <cell r="J2348">
            <v>2835</v>
          </cell>
          <cell r="K2348">
            <v>0</v>
          </cell>
          <cell r="L2348">
            <v>3789.6999999999898</v>
          </cell>
          <cell r="M2348">
            <v>70587.61</v>
          </cell>
          <cell r="N2348">
            <v>14661.59</v>
          </cell>
          <cell r="O2348">
            <v>0</v>
          </cell>
          <cell r="R2348">
            <v>300.31999999999903</v>
          </cell>
        </row>
        <row r="2349">
          <cell r="G2349">
            <v>14055.54</v>
          </cell>
          <cell r="I2349">
            <v>212.15</v>
          </cell>
          <cell r="J2349">
            <v>0</v>
          </cell>
          <cell r="K2349">
            <v>0</v>
          </cell>
          <cell r="L2349">
            <v>212.15</v>
          </cell>
          <cell r="M2349">
            <v>15018.35</v>
          </cell>
          <cell r="N2349">
            <v>3017.4699999999898</v>
          </cell>
          <cell r="O2349">
            <v>0</v>
          </cell>
          <cell r="R2349">
            <v>66.739999999999895</v>
          </cell>
        </row>
        <row r="2350">
          <cell r="G2350">
            <v>78086.33</v>
          </cell>
          <cell r="I2350">
            <v>1178.67</v>
          </cell>
          <cell r="J2350">
            <v>0</v>
          </cell>
          <cell r="K2350">
            <v>0</v>
          </cell>
          <cell r="L2350">
            <v>1178.67</v>
          </cell>
          <cell r="M2350">
            <v>83467.66</v>
          </cell>
          <cell r="N2350">
            <v>17512.34</v>
          </cell>
          <cell r="O2350">
            <v>0</v>
          </cell>
          <cell r="R2350">
            <v>370.75999999999902</v>
          </cell>
        </row>
        <row r="2351">
          <cell r="G2351">
            <v>18740.72</v>
          </cell>
          <cell r="I2351">
            <v>282.88</v>
          </cell>
          <cell r="J2351">
            <v>1511.04</v>
          </cell>
          <cell r="K2351">
            <v>0</v>
          </cell>
          <cell r="L2351">
            <v>1793.92</v>
          </cell>
          <cell r="M2351">
            <v>21573.45</v>
          </cell>
          <cell r="N2351">
            <v>3386.55</v>
          </cell>
          <cell r="O2351">
            <v>0</v>
          </cell>
          <cell r="R2351">
            <v>88.989999999999895</v>
          </cell>
        </row>
        <row r="2352">
          <cell r="G2352">
            <v>9370.36</v>
          </cell>
          <cell r="I2352">
            <v>141.44</v>
          </cell>
          <cell r="J2352">
            <v>0</v>
          </cell>
          <cell r="K2352">
            <v>0</v>
          </cell>
          <cell r="L2352">
            <v>141.44</v>
          </cell>
          <cell r="M2352">
            <v>10015.700000000001</v>
          </cell>
          <cell r="N2352">
            <v>2092.54</v>
          </cell>
          <cell r="O2352">
            <v>0</v>
          </cell>
          <cell r="R2352">
            <v>44.479999999999897</v>
          </cell>
        </row>
        <row r="2353">
          <cell r="G2353">
            <v>18740.72</v>
          </cell>
          <cell r="I2353">
            <v>282.88</v>
          </cell>
          <cell r="J2353">
            <v>1878.96</v>
          </cell>
          <cell r="K2353">
            <v>0</v>
          </cell>
          <cell r="L2353">
            <v>2161.84</v>
          </cell>
          <cell r="M2353">
            <v>21934.13</v>
          </cell>
          <cell r="N2353">
            <v>2851.15</v>
          </cell>
          <cell r="O2353">
            <v>0</v>
          </cell>
          <cell r="R2353">
            <v>88.989999999999895</v>
          </cell>
        </row>
        <row r="2354">
          <cell r="G2354">
            <v>46851.8</v>
          </cell>
          <cell r="I2354">
            <v>707.19</v>
          </cell>
          <cell r="J2354">
            <v>0</v>
          </cell>
          <cell r="K2354">
            <v>0</v>
          </cell>
          <cell r="L2354">
            <v>707.19</v>
          </cell>
          <cell r="M2354">
            <v>50075.449999999903</v>
          </cell>
          <cell r="N2354">
            <v>10390.15</v>
          </cell>
          <cell r="O2354">
            <v>0</v>
          </cell>
          <cell r="R2354">
            <v>222.46</v>
          </cell>
        </row>
        <row r="2355">
          <cell r="G2355">
            <v>18740.72</v>
          </cell>
          <cell r="I2355">
            <v>282.88</v>
          </cell>
          <cell r="J2355">
            <v>0</v>
          </cell>
          <cell r="K2355">
            <v>0</v>
          </cell>
          <cell r="L2355">
            <v>282.88</v>
          </cell>
          <cell r="M2355">
            <v>20042.47</v>
          </cell>
          <cell r="N2355">
            <v>4437.5299999999897</v>
          </cell>
          <cell r="O2355">
            <v>0</v>
          </cell>
          <cell r="R2355">
            <v>88.989999999999895</v>
          </cell>
        </row>
        <row r="2356">
          <cell r="G2356">
            <v>18740.72</v>
          </cell>
          <cell r="I2356">
            <v>282.88</v>
          </cell>
          <cell r="J2356">
            <v>977.51999999999896</v>
          </cell>
          <cell r="K2356">
            <v>0</v>
          </cell>
          <cell r="L2356">
            <v>1260.4000000000001</v>
          </cell>
          <cell r="M2356">
            <v>21036.2599999999</v>
          </cell>
          <cell r="N2356">
            <v>3836.1399999999899</v>
          </cell>
          <cell r="O2356">
            <v>0</v>
          </cell>
          <cell r="R2356">
            <v>88.989999999999895</v>
          </cell>
        </row>
        <row r="2357">
          <cell r="G2357">
            <v>18740.72</v>
          </cell>
          <cell r="I2357">
            <v>282.88</v>
          </cell>
          <cell r="J2357">
            <v>0</v>
          </cell>
          <cell r="K2357">
            <v>0</v>
          </cell>
          <cell r="L2357">
            <v>282.88</v>
          </cell>
          <cell r="M2357">
            <v>20017.4399999999</v>
          </cell>
          <cell r="N2357">
            <v>3861.36</v>
          </cell>
          <cell r="O2357">
            <v>0</v>
          </cell>
          <cell r="R2357">
            <v>88.989999999999895</v>
          </cell>
        </row>
        <row r="2358">
          <cell r="G2358">
            <v>157734.39000000001</v>
          </cell>
          <cell r="I2358">
            <v>2380.8899999999899</v>
          </cell>
          <cell r="J2358">
            <v>13616.969999999899</v>
          </cell>
          <cell r="K2358">
            <v>0</v>
          </cell>
          <cell r="L2358">
            <v>15997.86</v>
          </cell>
          <cell r="M2358">
            <v>182414.6</v>
          </cell>
          <cell r="N2358">
            <v>26200.63</v>
          </cell>
          <cell r="O2358">
            <v>0</v>
          </cell>
          <cell r="R2358">
            <v>748.89999999999895</v>
          </cell>
        </row>
        <row r="2359">
          <cell r="G2359">
            <v>5931.04</v>
          </cell>
          <cell r="I2359">
            <v>82.51</v>
          </cell>
          <cell r="J2359">
            <v>0</v>
          </cell>
          <cell r="K2359">
            <v>0</v>
          </cell>
          <cell r="L2359">
            <v>82.51</v>
          </cell>
          <cell r="M2359">
            <v>6306.8599999999897</v>
          </cell>
          <cell r="N2359">
            <v>740.32</v>
          </cell>
          <cell r="O2359">
            <v>0</v>
          </cell>
          <cell r="R2359">
            <v>28.18</v>
          </cell>
        </row>
        <row r="2360">
          <cell r="G2360">
            <v>35919.709999999897</v>
          </cell>
          <cell r="I2360">
            <v>542.16999999999905</v>
          </cell>
          <cell r="J2360">
            <v>0</v>
          </cell>
          <cell r="K2360">
            <v>0</v>
          </cell>
          <cell r="L2360">
            <v>542.16999999999905</v>
          </cell>
          <cell r="M2360">
            <v>38416</v>
          </cell>
          <cell r="N2360">
            <v>8537.18</v>
          </cell>
          <cell r="O2360">
            <v>0</v>
          </cell>
          <cell r="R2360">
            <v>170.539999999999</v>
          </cell>
        </row>
        <row r="2361">
          <cell r="G2361">
            <v>8472.93</v>
          </cell>
          <cell r="I2361">
            <v>117.87</v>
          </cell>
          <cell r="J2361">
            <v>0</v>
          </cell>
          <cell r="K2361">
            <v>0</v>
          </cell>
          <cell r="L2361">
            <v>117.87</v>
          </cell>
          <cell r="M2361">
            <v>9012.3999999999905</v>
          </cell>
          <cell r="N2361">
            <v>1116.2</v>
          </cell>
          <cell r="O2361">
            <v>0</v>
          </cell>
          <cell r="R2361">
            <v>40.24</v>
          </cell>
        </row>
        <row r="2362">
          <cell r="G2362">
            <v>18740.72</v>
          </cell>
          <cell r="I2362">
            <v>282.88</v>
          </cell>
          <cell r="J2362">
            <v>1419.1199999999899</v>
          </cell>
          <cell r="K2362">
            <v>0</v>
          </cell>
          <cell r="L2362">
            <v>1702</v>
          </cell>
          <cell r="M2362">
            <v>21481.029999999901</v>
          </cell>
          <cell r="N2362">
            <v>3466.9699999999898</v>
          </cell>
          <cell r="O2362">
            <v>0</v>
          </cell>
          <cell r="R2362">
            <v>88.989999999999895</v>
          </cell>
        </row>
        <row r="2363">
          <cell r="G2363">
            <v>18740.72</v>
          </cell>
          <cell r="I2363">
            <v>282.88</v>
          </cell>
          <cell r="J2363">
            <v>0</v>
          </cell>
          <cell r="K2363">
            <v>0</v>
          </cell>
          <cell r="L2363">
            <v>282.88</v>
          </cell>
          <cell r="M2363">
            <v>20014.4399999999</v>
          </cell>
          <cell r="N2363">
            <v>3792.1199999999899</v>
          </cell>
          <cell r="O2363">
            <v>0</v>
          </cell>
          <cell r="R2363">
            <v>88.989999999999895</v>
          </cell>
        </row>
        <row r="2364">
          <cell r="G2364">
            <v>9370.36</v>
          </cell>
          <cell r="I2364">
            <v>141.44</v>
          </cell>
          <cell r="J2364">
            <v>0</v>
          </cell>
          <cell r="K2364">
            <v>0</v>
          </cell>
          <cell r="L2364">
            <v>141.44</v>
          </cell>
          <cell r="M2364">
            <v>10017.639999999899</v>
          </cell>
          <cell r="N2364">
            <v>2136.6799999999898</v>
          </cell>
          <cell r="O2364">
            <v>0</v>
          </cell>
          <cell r="R2364">
            <v>44.479999999999897</v>
          </cell>
        </row>
        <row r="2365">
          <cell r="G2365">
            <v>37481.440000000002</v>
          </cell>
          <cell r="I2365">
            <v>565.76999999999896</v>
          </cell>
          <cell r="J2365">
            <v>3815.1599999999899</v>
          </cell>
          <cell r="K2365">
            <v>0</v>
          </cell>
          <cell r="L2365">
            <v>4380.93</v>
          </cell>
          <cell r="M2365">
            <v>43925.43</v>
          </cell>
          <cell r="N2365">
            <v>5645.13</v>
          </cell>
          <cell r="O2365">
            <v>0</v>
          </cell>
          <cell r="R2365">
            <v>177.94</v>
          </cell>
        </row>
        <row r="2366">
          <cell r="G2366">
            <v>21864.1699999999</v>
          </cell>
          <cell r="I2366">
            <v>330.01999999999902</v>
          </cell>
          <cell r="J2366">
            <v>0</v>
          </cell>
          <cell r="K2366">
            <v>0</v>
          </cell>
          <cell r="L2366">
            <v>330.01999999999902</v>
          </cell>
          <cell r="M2366">
            <v>23370.93</v>
          </cell>
          <cell r="N2366">
            <v>4903.47</v>
          </cell>
          <cell r="O2366">
            <v>0</v>
          </cell>
          <cell r="R2366">
            <v>103.81</v>
          </cell>
        </row>
        <row r="2367">
          <cell r="G2367">
            <v>18740.72</v>
          </cell>
          <cell r="I2367">
            <v>282.88</v>
          </cell>
          <cell r="J2367">
            <v>0</v>
          </cell>
          <cell r="K2367">
            <v>0</v>
          </cell>
          <cell r="L2367">
            <v>282.88</v>
          </cell>
          <cell r="M2367">
            <v>20014.4399999999</v>
          </cell>
          <cell r="N2367">
            <v>3792.1199999999899</v>
          </cell>
          <cell r="O2367">
            <v>0</v>
          </cell>
          <cell r="R2367">
            <v>88.989999999999895</v>
          </cell>
        </row>
        <row r="2368">
          <cell r="G2368">
            <v>81209.8</v>
          </cell>
          <cell r="I2368">
            <v>1225.8099999999899</v>
          </cell>
          <cell r="J2368">
            <v>0</v>
          </cell>
          <cell r="K2368">
            <v>0</v>
          </cell>
          <cell r="L2368">
            <v>1225.8099999999899</v>
          </cell>
          <cell r="M2368">
            <v>86807.49</v>
          </cell>
          <cell r="N2368">
            <v>18238.23</v>
          </cell>
          <cell r="O2368">
            <v>0</v>
          </cell>
          <cell r="R2368">
            <v>385.57999999999902</v>
          </cell>
        </row>
        <row r="2369">
          <cell r="G2369">
            <v>168666.48</v>
          </cell>
          <cell r="I2369">
            <v>2545.9099999999899</v>
          </cell>
          <cell r="J2369">
            <v>3726.7199999999898</v>
          </cell>
          <cell r="K2369">
            <v>0</v>
          </cell>
          <cell r="L2369">
            <v>6272.63</v>
          </cell>
          <cell r="M2369">
            <v>184040.829999999</v>
          </cell>
          <cell r="N2369">
            <v>34650.050000000003</v>
          </cell>
          <cell r="O2369">
            <v>0</v>
          </cell>
          <cell r="R2369">
            <v>800.78999999999905</v>
          </cell>
        </row>
        <row r="2370">
          <cell r="G2370">
            <v>9370.36</v>
          </cell>
          <cell r="I2370">
            <v>141.44</v>
          </cell>
          <cell r="J2370">
            <v>946.08</v>
          </cell>
          <cell r="K2370">
            <v>0</v>
          </cell>
          <cell r="L2370">
            <v>1087.52</v>
          </cell>
          <cell r="M2370">
            <v>10980.69</v>
          </cell>
          <cell r="N2370">
            <v>1581.51</v>
          </cell>
          <cell r="O2370">
            <v>0</v>
          </cell>
          <cell r="R2370">
            <v>44.479999999999897</v>
          </cell>
        </row>
        <row r="2371">
          <cell r="G2371">
            <v>18740.72</v>
          </cell>
          <cell r="I2371">
            <v>282.88</v>
          </cell>
          <cell r="J2371">
            <v>0</v>
          </cell>
          <cell r="K2371">
            <v>0</v>
          </cell>
          <cell r="L2371">
            <v>282.88</v>
          </cell>
          <cell r="M2371">
            <v>20021.4199999999</v>
          </cell>
          <cell r="N2371">
            <v>3953.86</v>
          </cell>
          <cell r="O2371">
            <v>0</v>
          </cell>
          <cell r="R2371">
            <v>88.989999999999895</v>
          </cell>
        </row>
        <row r="2372">
          <cell r="G2372">
            <v>37481.440000000002</v>
          </cell>
          <cell r="I2372">
            <v>565.76999999999896</v>
          </cell>
          <cell r="J2372">
            <v>1419.1199999999899</v>
          </cell>
          <cell r="K2372">
            <v>0</v>
          </cell>
          <cell r="L2372">
            <v>1984.89</v>
          </cell>
          <cell r="M2372">
            <v>41484.76</v>
          </cell>
          <cell r="N2372">
            <v>7013.4799999999896</v>
          </cell>
          <cell r="O2372">
            <v>0</v>
          </cell>
          <cell r="R2372">
            <v>177.94</v>
          </cell>
        </row>
        <row r="2373">
          <cell r="G2373">
            <v>71839.419999999896</v>
          </cell>
          <cell r="I2373">
            <v>1084.3699999999899</v>
          </cell>
          <cell r="J2373">
            <v>5990.3199999999897</v>
          </cell>
          <cell r="K2373">
            <v>0</v>
          </cell>
          <cell r="L2373">
            <v>7074.6899999999896</v>
          </cell>
          <cell r="M2373">
            <v>82883.539999999906</v>
          </cell>
          <cell r="N2373">
            <v>12492.16</v>
          </cell>
          <cell r="O2373">
            <v>0</v>
          </cell>
          <cell r="R2373">
            <v>341.07999999999902</v>
          </cell>
        </row>
        <row r="2374">
          <cell r="G2374">
            <v>20701.029999999901</v>
          </cell>
          <cell r="I2374">
            <v>306.44999999999902</v>
          </cell>
          <cell r="J2374">
            <v>0</v>
          </cell>
          <cell r="K2374">
            <v>0</v>
          </cell>
          <cell r="L2374">
            <v>306.44999999999902</v>
          </cell>
          <cell r="M2374">
            <v>22104.639999999901</v>
          </cell>
          <cell r="N2374">
            <v>4257.92</v>
          </cell>
          <cell r="O2374">
            <v>0</v>
          </cell>
          <cell r="R2374">
            <v>98.299999999999898</v>
          </cell>
        </row>
        <row r="2375">
          <cell r="G2375">
            <v>19521.580000000002</v>
          </cell>
          <cell r="I2375">
            <v>294.64999999999901</v>
          </cell>
          <cell r="J2375">
            <v>1345.53</v>
          </cell>
          <cell r="K2375">
            <v>0</v>
          </cell>
          <cell r="L2375">
            <v>1640.18</v>
          </cell>
          <cell r="M2375">
            <v>22219.56</v>
          </cell>
          <cell r="N2375">
            <v>3195.69</v>
          </cell>
          <cell r="O2375">
            <v>0</v>
          </cell>
          <cell r="R2375">
            <v>92.689999999999898</v>
          </cell>
        </row>
        <row r="2376">
          <cell r="G2376">
            <v>37481.440000000002</v>
          </cell>
          <cell r="I2376">
            <v>565.76999999999896</v>
          </cell>
          <cell r="J2376">
            <v>0</v>
          </cell>
          <cell r="K2376">
            <v>0</v>
          </cell>
          <cell r="L2376">
            <v>565.76999999999896</v>
          </cell>
          <cell r="M2376">
            <v>40045.83</v>
          </cell>
          <cell r="N2376">
            <v>7975.77</v>
          </cell>
          <cell r="O2376">
            <v>0</v>
          </cell>
          <cell r="R2376">
            <v>177.94</v>
          </cell>
        </row>
        <row r="2377">
          <cell r="G2377">
            <v>44509.209999999897</v>
          </cell>
          <cell r="I2377">
            <v>671.84</v>
          </cell>
          <cell r="J2377">
            <v>2275.6199999999899</v>
          </cell>
          <cell r="K2377">
            <v>0</v>
          </cell>
          <cell r="L2377">
            <v>2947.46</v>
          </cell>
          <cell r="M2377">
            <v>49892.779999999897</v>
          </cell>
          <cell r="N2377">
            <v>8641.09</v>
          </cell>
          <cell r="O2377">
            <v>0</v>
          </cell>
          <cell r="R2377">
            <v>211.31</v>
          </cell>
        </row>
        <row r="2378">
          <cell r="G2378">
            <v>74962.880000000005</v>
          </cell>
          <cell r="I2378">
            <v>1131.5</v>
          </cell>
          <cell r="J2378">
            <v>7605.6</v>
          </cell>
          <cell r="K2378">
            <v>0</v>
          </cell>
          <cell r="L2378">
            <v>8737.1</v>
          </cell>
          <cell r="M2378">
            <v>87872.089999999895</v>
          </cell>
          <cell r="N2378">
            <v>12373.51</v>
          </cell>
          <cell r="O2378">
            <v>0</v>
          </cell>
          <cell r="R2378">
            <v>355.91</v>
          </cell>
        </row>
        <row r="2379">
          <cell r="G2379">
            <v>3389.17</v>
          </cell>
          <cell r="I2379">
            <v>47.149999999999899</v>
          </cell>
          <cell r="J2379">
            <v>0</v>
          </cell>
          <cell r="K2379">
            <v>0</v>
          </cell>
          <cell r="L2379">
            <v>47.149999999999899</v>
          </cell>
          <cell r="M2379">
            <v>3608.61</v>
          </cell>
          <cell r="N2379">
            <v>531.38999999999896</v>
          </cell>
          <cell r="O2379">
            <v>0</v>
          </cell>
          <cell r="R2379">
            <v>16.09</v>
          </cell>
        </row>
        <row r="2380">
          <cell r="G2380">
            <v>37481.440000000002</v>
          </cell>
          <cell r="I2380">
            <v>565.76999999999896</v>
          </cell>
          <cell r="J2380">
            <v>4038.2399999999898</v>
          </cell>
          <cell r="K2380">
            <v>0</v>
          </cell>
          <cell r="L2380">
            <v>4604.01</v>
          </cell>
          <cell r="M2380">
            <v>44173.62</v>
          </cell>
          <cell r="N2380">
            <v>5999.5799999999899</v>
          </cell>
          <cell r="O2380">
            <v>0</v>
          </cell>
          <cell r="R2380">
            <v>177.94</v>
          </cell>
        </row>
        <row r="2381">
          <cell r="G2381">
            <v>0</v>
          </cell>
          <cell r="I2381">
            <v>0</v>
          </cell>
          <cell r="J2381">
            <v>54279.5</v>
          </cell>
          <cell r="K2381">
            <v>0</v>
          </cell>
          <cell r="L2381">
            <v>54279.5</v>
          </cell>
          <cell r="M2381">
            <v>54279.5</v>
          </cell>
          <cell r="N2381">
            <v>-54279.5</v>
          </cell>
          <cell r="O2381">
            <v>0</v>
          </cell>
          <cell r="R2381">
            <v>0</v>
          </cell>
        </row>
        <row r="2382">
          <cell r="G2382">
            <v>93703.6</v>
          </cell>
          <cell r="I2382">
            <v>1414.39</v>
          </cell>
          <cell r="J2382">
            <v>2462.4</v>
          </cell>
          <cell r="K2382">
            <v>0</v>
          </cell>
          <cell r="L2382">
            <v>3876.79</v>
          </cell>
          <cell r="M2382">
            <v>102652.24</v>
          </cell>
          <cell r="N2382">
            <v>19210.639999999901</v>
          </cell>
          <cell r="O2382">
            <v>0</v>
          </cell>
          <cell r="R2382">
            <v>444.88</v>
          </cell>
        </row>
        <row r="2383">
          <cell r="G2383">
            <v>37481.440000000002</v>
          </cell>
          <cell r="I2383">
            <v>565.76999999999896</v>
          </cell>
          <cell r="J2383">
            <v>1200.96</v>
          </cell>
          <cell r="K2383">
            <v>0</v>
          </cell>
          <cell r="L2383">
            <v>1766.73</v>
          </cell>
          <cell r="M2383">
            <v>41277.669999999896</v>
          </cell>
          <cell r="N2383">
            <v>7485.6499999999896</v>
          </cell>
          <cell r="O2383">
            <v>0</v>
          </cell>
          <cell r="R2383">
            <v>177.94</v>
          </cell>
        </row>
        <row r="2384">
          <cell r="G2384">
            <v>8472.93</v>
          </cell>
          <cell r="I2384">
            <v>117.87</v>
          </cell>
          <cell r="J2384">
            <v>0</v>
          </cell>
          <cell r="K2384">
            <v>0</v>
          </cell>
          <cell r="L2384">
            <v>117.87</v>
          </cell>
          <cell r="M2384">
            <v>9011.0599999999904</v>
          </cell>
          <cell r="N2384">
            <v>1086.94</v>
          </cell>
          <cell r="O2384">
            <v>0</v>
          </cell>
          <cell r="R2384">
            <v>40.24</v>
          </cell>
        </row>
        <row r="2385">
          <cell r="G2385">
            <v>34357.989999999903</v>
          </cell>
          <cell r="I2385">
            <v>518.62</v>
          </cell>
          <cell r="J2385">
            <v>0</v>
          </cell>
          <cell r="K2385">
            <v>0</v>
          </cell>
          <cell r="L2385">
            <v>518.62</v>
          </cell>
          <cell r="M2385">
            <v>36784.69</v>
          </cell>
          <cell r="N2385">
            <v>9062.75</v>
          </cell>
          <cell r="O2385">
            <v>0</v>
          </cell>
          <cell r="R2385">
            <v>163.13</v>
          </cell>
        </row>
        <row r="2386">
          <cell r="G2386">
            <v>18740.72</v>
          </cell>
          <cell r="I2386">
            <v>282.88</v>
          </cell>
          <cell r="J2386">
            <v>1971.1199999999899</v>
          </cell>
          <cell r="K2386">
            <v>0</v>
          </cell>
          <cell r="L2386">
            <v>2254</v>
          </cell>
          <cell r="M2386">
            <v>22040.400000000001</v>
          </cell>
          <cell r="N2386">
            <v>3084</v>
          </cell>
          <cell r="O2386">
            <v>0</v>
          </cell>
          <cell r="R2386">
            <v>88.989999999999895</v>
          </cell>
        </row>
        <row r="2387">
          <cell r="G2387">
            <v>56222.16</v>
          </cell>
          <cell r="I2387">
            <v>848.63999999999896</v>
          </cell>
          <cell r="J2387">
            <v>1419.1199999999899</v>
          </cell>
          <cell r="K2387">
            <v>0</v>
          </cell>
          <cell r="L2387">
            <v>2267.7600000000002</v>
          </cell>
          <cell r="M2387">
            <v>61523.97</v>
          </cell>
          <cell r="N2387">
            <v>11376.51</v>
          </cell>
          <cell r="O2387">
            <v>0</v>
          </cell>
          <cell r="R2387">
            <v>266.92</v>
          </cell>
        </row>
        <row r="2388">
          <cell r="G2388">
            <v>18740.72</v>
          </cell>
          <cell r="I2388">
            <v>282.88</v>
          </cell>
          <cell r="J2388">
            <v>1805.52</v>
          </cell>
          <cell r="K2388">
            <v>0</v>
          </cell>
          <cell r="L2388">
            <v>2088.4</v>
          </cell>
          <cell r="M2388">
            <v>21867.93</v>
          </cell>
          <cell r="N2388">
            <v>3092.07</v>
          </cell>
          <cell r="O2388">
            <v>0</v>
          </cell>
          <cell r="R2388">
            <v>88.989999999999895</v>
          </cell>
        </row>
        <row r="2389">
          <cell r="G2389">
            <v>18740.72</v>
          </cell>
          <cell r="I2389">
            <v>282.88</v>
          </cell>
          <cell r="J2389">
            <v>0</v>
          </cell>
          <cell r="K2389">
            <v>0</v>
          </cell>
          <cell r="L2389">
            <v>282.88</v>
          </cell>
          <cell r="M2389">
            <v>20031.47</v>
          </cell>
          <cell r="N2389">
            <v>4185.01</v>
          </cell>
          <cell r="O2389">
            <v>0</v>
          </cell>
          <cell r="R2389">
            <v>88.989999999999895</v>
          </cell>
        </row>
        <row r="2390">
          <cell r="G2390">
            <v>37481.440000000002</v>
          </cell>
          <cell r="I2390">
            <v>565.76999999999896</v>
          </cell>
          <cell r="J2390">
            <v>3558.2399999999898</v>
          </cell>
          <cell r="K2390">
            <v>0</v>
          </cell>
          <cell r="L2390">
            <v>4124.01</v>
          </cell>
          <cell r="M2390">
            <v>43690.449999999903</v>
          </cell>
          <cell r="N2390">
            <v>6407.1499999999896</v>
          </cell>
          <cell r="O2390">
            <v>0</v>
          </cell>
          <cell r="R2390">
            <v>177.94</v>
          </cell>
        </row>
        <row r="2391">
          <cell r="G2391">
            <v>84333.24</v>
          </cell>
          <cell r="I2391">
            <v>1272.96</v>
          </cell>
          <cell r="J2391">
            <v>0</v>
          </cell>
          <cell r="K2391">
            <v>0</v>
          </cell>
          <cell r="L2391">
            <v>1272.96</v>
          </cell>
          <cell r="M2391">
            <v>90096.960000000006</v>
          </cell>
          <cell r="N2391">
            <v>17804.279999999901</v>
          </cell>
          <cell r="O2391">
            <v>0</v>
          </cell>
          <cell r="R2391">
            <v>400.41</v>
          </cell>
        </row>
        <row r="2392">
          <cell r="G2392">
            <v>46851.769999999902</v>
          </cell>
          <cell r="I2392">
            <v>707.19</v>
          </cell>
          <cell r="J2392">
            <v>0</v>
          </cell>
          <cell r="K2392">
            <v>0</v>
          </cell>
          <cell r="L2392">
            <v>707.19</v>
          </cell>
          <cell r="M2392">
            <v>50060.15</v>
          </cell>
          <cell r="N2392">
            <v>10036.33</v>
          </cell>
          <cell r="O2392">
            <v>0</v>
          </cell>
          <cell r="R2392">
            <v>222.46</v>
          </cell>
        </row>
        <row r="2393">
          <cell r="G2393">
            <v>37481.440000000002</v>
          </cell>
          <cell r="I2393">
            <v>565.76999999999896</v>
          </cell>
          <cell r="J2393">
            <v>0</v>
          </cell>
          <cell r="K2393">
            <v>0</v>
          </cell>
          <cell r="L2393">
            <v>565.76999999999896</v>
          </cell>
          <cell r="M2393">
            <v>40034.839999999902</v>
          </cell>
          <cell r="N2393">
            <v>7722.76</v>
          </cell>
          <cell r="O2393">
            <v>0</v>
          </cell>
          <cell r="R2393">
            <v>177.94</v>
          </cell>
        </row>
        <row r="2394">
          <cell r="G2394">
            <v>37481.440000000002</v>
          </cell>
          <cell r="I2394">
            <v>565.76999999999896</v>
          </cell>
          <cell r="J2394">
            <v>0</v>
          </cell>
          <cell r="K2394">
            <v>0</v>
          </cell>
          <cell r="L2394">
            <v>565.76999999999896</v>
          </cell>
          <cell r="M2394">
            <v>40048.9</v>
          </cell>
          <cell r="N2394">
            <v>8046.6199999999899</v>
          </cell>
          <cell r="O2394">
            <v>0</v>
          </cell>
          <cell r="R2394">
            <v>177.94</v>
          </cell>
        </row>
        <row r="2395">
          <cell r="G2395">
            <v>19521.580000000002</v>
          </cell>
          <cell r="I2395">
            <v>294.64999999999901</v>
          </cell>
          <cell r="J2395">
            <v>1814.5899999999899</v>
          </cell>
          <cell r="K2395">
            <v>0</v>
          </cell>
          <cell r="L2395">
            <v>2109.2399999999898</v>
          </cell>
          <cell r="M2395">
            <v>22688.619999999901</v>
          </cell>
          <cell r="N2395">
            <v>2726.63</v>
          </cell>
          <cell r="O2395">
            <v>0</v>
          </cell>
          <cell r="R2395">
            <v>92.689999999999898</v>
          </cell>
        </row>
        <row r="2396">
          <cell r="G2396">
            <v>3123.4499999999898</v>
          </cell>
          <cell r="I2396">
            <v>47.149999999999899</v>
          </cell>
          <cell r="J2396">
            <v>0</v>
          </cell>
          <cell r="K2396">
            <v>0</v>
          </cell>
          <cell r="L2396">
            <v>47.149999999999899</v>
          </cell>
          <cell r="M2396">
            <v>3339.1999999999898</v>
          </cell>
          <cell r="N2396">
            <v>712.24</v>
          </cell>
          <cell r="O2396">
            <v>0</v>
          </cell>
          <cell r="R2396">
            <v>14.82</v>
          </cell>
        </row>
        <row r="2397">
          <cell r="G2397">
            <v>18740.72</v>
          </cell>
          <cell r="I2397">
            <v>282.88</v>
          </cell>
          <cell r="J2397">
            <v>1082.6400000000001</v>
          </cell>
          <cell r="K2397">
            <v>0</v>
          </cell>
          <cell r="L2397">
            <v>1365.52</v>
          </cell>
          <cell r="M2397">
            <v>21151.9199999999</v>
          </cell>
          <cell r="N2397">
            <v>3972.48</v>
          </cell>
          <cell r="O2397">
            <v>0</v>
          </cell>
          <cell r="R2397">
            <v>88.989999999999895</v>
          </cell>
        </row>
        <row r="2398">
          <cell r="G2398">
            <v>18740.72</v>
          </cell>
          <cell r="I2398">
            <v>282.88</v>
          </cell>
          <cell r="J2398">
            <v>0</v>
          </cell>
          <cell r="K2398">
            <v>0</v>
          </cell>
          <cell r="L2398">
            <v>282.88</v>
          </cell>
          <cell r="M2398">
            <v>20014.4399999999</v>
          </cell>
          <cell r="N2398">
            <v>3792.1199999999899</v>
          </cell>
          <cell r="O2398">
            <v>0</v>
          </cell>
          <cell r="R2398">
            <v>88.989999999999895</v>
          </cell>
        </row>
        <row r="2399">
          <cell r="G2399">
            <v>18740.72</v>
          </cell>
          <cell r="I2399">
            <v>282.88</v>
          </cell>
          <cell r="J2399">
            <v>1971.1199999999899</v>
          </cell>
          <cell r="K2399">
            <v>0</v>
          </cell>
          <cell r="L2399">
            <v>2254</v>
          </cell>
          <cell r="M2399">
            <v>22033.029999999901</v>
          </cell>
          <cell r="N2399">
            <v>2914.9699999999898</v>
          </cell>
          <cell r="O2399">
            <v>0</v>
          </cell>
          <cell r="R2399">
            <v>88.989999999999895</v>
          </cell>
        </row>
        <row r="2400">
          <cell r="G2400">
            <v>318592.239999999</v>
          </cell>
          <cell r="I2400">
            <v>4808.93</v>
          </cell>
          <cell r="J2400">
            <v>24891.360000000001</v>
          </cell>
          <cell r="K2400">
            <v>0</v>
          </cell>
          <cell r="L2400">
            <v>29700.29</v>
          </cell>
          <cell r="M2400">
            <v>365803.549999999</v>
          </cell>
          <cell r="N2400">
            <v>54942.97</v>
          </cell>
          <cell r="O2400">
            <v>0</v>
          </cell>
          <cell r="R2400">
            <v>1512.63</v>
          </cell>
        </row>
        <row r="2401">
          <cell r="G2401">
            <v>18740.72</v>
          </cell>
          <cell r="I2401">
            <v>282.88</v>
          </cell>
          <cell r="J2401">
            <v>1419.1199999999899</v>
          </cell>
          <cell r="K2401">
            <v>0</v>
          </cell>
          <cell r="L2401">
            <v>1702</v>
          </cell>
          <cell r="M2401">
            <v>21477.86</v>
          </cell>
          <cell r="N2401">
            <v>3394.54</v>
          </cell>
          <cell r="O2401">
            <v>0</v>
          </cell>
          <cell r="R2401">
            <v>88.989999999999895</v>
          </cell>
        </row>
        <row r="2402">
          <cell r="G2402">
            <v>13274.68</v>
          </cell>
          <cell r="I2402">
            <v>200.37</v>
          </cell>
          <cell r="J2402">
            <v>0</v>
          </cell>
          <cell r="K2402">
            <v>0</v>
          </cell>
          <cell r="L2402">
            <v>200.37</v>
          </cell>
          <cell r="M2402">
            <v>14174.08</v>
          </cell>
          <cell r="N2402">
            <v>2622.4299999999898</v>
          </cell>
          <cell r="O2402">
            <v>0</v>
          </cell>
          <cell r="R2402">
            <v>63.03</v>
          </cell>
        </row>
        <row r="2403">
          <cell r="G2403">
            <v>187407.2</v>
          </cell>
          <cell r="I2403">
            <v>2828.78</v>
          </cell>
          <cell r="J2403">
            <v>6417.84</v>
          </cell>
          <cell r="K2403">
            <v>0</v>
          </cell>
          <cell r="L2403">
            <v>9246.6200000000008</v>
          </cell>
          <cell r="M2403">
            <v>206898.94</v>
          </cell>
          <cell r="N2403">
            <v>39265.459999999897</v>
          </cell>
          <cell r="O2403">
            <v>0</v>
          </cell>
          <cell r="R2403">
            <v>889.78999999999905</v>
          </cell>
        </row>
        <row r="2404">
          <cell r="G2404">
            <v>40670.080000000002</v>
          </cell>
          <cell r="I2404">
            <v>565.76999999999896</v>
          </cell>
          <cell r="J2404">
            <v>0</v>
          </cell>
          <cell r="K2404">
            <v>0</v>
          </cell>
          <cell r="L2404">
            <v>565.76999999999896</v>
          </cell>
          <cell r="M2404">
            <v>43267.41</v>
          </cell>
          <cell r="N2404">
            <v>5545.71</v>
          </cell>
          <cell r="O2404">
            <v>0</v>
          </cell>
          <cell r="R2404">
            <v>193.099999999999</v>
          </cell>
        </row>
        <row r="2405">
          <cell r="G2405">
            <v>43728.349999999897</v>
          </cell>
          <cell r="I2405">
            <v>659.91999999999905</v>
          </cell>
          <cell r="J2405">
            <v>3624.5999999999899</v>
          </cell>
          <cell r="K2405">
            <v>0</v>
          </cell>
          <cell r="L2405">
            <v>4284.5200000000004</v>
          </cell>
          <cell r="M2405">
            <v>50423.57</v>
          </cell>
          <cell r="N2405">
            <v>7499.71</v>
          </cell>
          <cell r="O2405">
            <v>0</v>
          </cell>
          <cell r="R2405">
            <v>207.599999999999</v>
          </cell>
        </row>
        <row r="2406">
          <cell r="G2406">
            <v>54184.269999999902</v>
          </cell>
          <cell r="I2406">
            <v>1215.25</v>
          </cell>
          <cell r="J2406">
            <v>0</v>
          </cell>
          <cell r="K2406">
            <v>0</v>
          </cell>
          <cell r="L2406">
            <v>1215.25</v>
          </cell>
          <cell r="M2406">
            <v>58094.129999999903</v>
          </cell>
          <cell r="N2406">
            <v>7996.8299999999899</v>
          </cell>
          <cell r="O2406">
            <v>0</v>
          </cell>
          <cell r="R2406">
            <v>16.46</v>
          </cell>
        </row>
        <row r="2407">
          <cell r="G2407">
            <v>20319.0999999999</v>
          </cell>
          <cell r="I2407">
            <v>455.72</v>
          </cell>
          <cell r="J2407">
            <v>0</v>
          </cell>
          <cell r="K2407">
            <v>0</v>
          </cell>
          <cell r="L2407">
            <v>455.72</v>
          </cell>
          <cell r="M2407">
            <v>21784.54</v>
          </cell>
          <cell r="N2407">
            <v>2981.0599999999899</v>
          </cell>
          <cell r="O2407">
            <v>0</v>
          </cell>
          <cell r="R2407">
            <v>6.1699999999999902</v>
          </cell>
        </row>
        <row r="2408">
          <cell r="G2408">
            <v>62386.12</v>
          </cell>
          <cell r="I2408">
            <v>1519.05</v>
          </cell>
          <cell r="J2408">
            <v>0</v>
          </cell>
          <cell r="K2408">
            <v>0</v>
          </cell>
          <cell r="L2408">
            <v>1519.05</v>
          </cell>
          <cell r="M2408">
            <v>67244.08</v>
          </cell>
          <cell r="N2408">
            <v>14650.17</v>
          </cell>
          <cell r="O2408">
            <v>0</v>
          </cell>
          <cell r="R2408">
            <v>18.9499999999999</v>
          </cell>
        </row>
        <row r="2409">
          <cell r="G2409">
            <v>144490.14000000001</v>
          </cell>
          <cell r="I2409">
            <v>3493.8499999999899</v>
          </cell>
          <cell r="J2409">
            <v>0</v>
          </cell>
          <cell r="K2409">
            <v>0</v>
          </cell>
          <cell r="L2409">
            <v>3493.8499999999899</v>
          </cell>
          <cell r="M2409">
            <v>155661.579999999</v>
          </cell>
          <cell r="N2409">
            <v>32650.82</v>
          </cell>
          <cell r="O2409">
            <v>0</v>
          </cell>
          <cell r="R2409">
            <v>43.899999999999899</v>
          </cell>
        </row>
        <row r="2410">
          <cell r="G2410">
            <v>46789.599999999897</v>
          </cell>
          <cell r="I2410">
            <v>1139.29</v>
          </cell>
          <cell r="J2410">
            <v>0</v>
          </cell>
          <cell r="K2410">
            <v>0</v>
          </cell>
          <cell r="L2410">
            <v>1139.29</v>
          </cell>
          <cell r="M2410">
            <v>50448.55</v>
          </cell>
          <cell r="N2410">
            <v>11353.49</v>
          </cell>
          <cell r="O2410">
            <v>0</v>
          </cell>
          <cell r="R2410">
            <v>14.22</v>
          </cell>
        </row>
        <row r="2411">
          <cell r="G2411">
            <v>9357.92</v>
          </cell>
          <cell r="I2411">
            <v>227.849999999999</v>
          </cell>
          <cell r="J2411">
            <v>0</v>
          </cell>
          <cell r="K2411">
            <v>0</v>
          </cell>
          <cell r="L2411">
            <v>227.849999999999</v>
          </cell>
          <cell r="M2411">
            <v>10081.790000000001</v>
          </cell>
          <cell r="N2411">
            <v>2084.77</v>
          </cell>
          <cell r="O2411">
            <v>0</v>
          </cell>
          <cell r="R2411">
            <v>2.8399999999999901</v>
          </cell>
        </row>
        <row r="2412">
          <cell r="G2412">
            <v>47569.419999999896</v>
          </cell>
          <cell r="I2412">
            <v>1158.28</v>
          </cell>
          <cell r="J2412">
            <v>0</v>
          </cell>
          <cell r="K2412">
            <v>0</v>
          </cell>
          <cell r="L2412">
            <v>1158.28</v>
          </cell>
          <cell r="M2412">
            <v>51271.33</v>
          </cell>
          <cell r="N2412">
            <v>11117.37</v>
          </cell>
          <cell r="O2412">
            <v>0</v>
          </cell>
          <cell r="R2412">
            <v>14.4499999999999</v>
          </cell>
        </row>
        <row r="2413">
          <cell r="G2413">
            <v>19472.47</v>
          </cell>
          <cell r="I2413">
            <v>436.73</v>
          </cell>
          <cell r="J2413">
            <v>0</v>
          </cell>
          <cell r="K2413">
            <v>0</v>
          </cell>
          <cell r="L2413">
            <v>436.73</v>
          </cell>
          <cell r="M2413">
            <v>20867.11</v>
          </cell>
          <cell r="N2413">
            <v>2628.4099999999899</v>
          </cell>
          <cell r="O2413">
            <v>0</v>
          </cell>
          <cell r="R2413">
            <v>5.91</v>
          </cell>
        </row>
        <row r="2414">
          <cell r="G2414">
            <v>26514.0999999999</v>
          </cell>
          <cell r="I2414">
            <v>645.6</v>
          </cell>
          <cell r="J2414">
            <v>0</v>
          </cell>
          <cell r="K2414">
            <v>0</v>
          </cell>
          <cell r="L2414">
            <v>645.6</v>
          </cell>
          <cell r="M2414">
            <v>28584.36</v>
          </cell>
          <cell r="N2414">
            <v>6359.4799999999896</v>
          </cell>
          <cell r="O2414">
            <v>0</v>
          </cell>
          <cell r="R2414">
            <v>8.06</v>
          </cell>
        </row>
        <row r="2415">
          <cell r="G2415">
            <v>30245.5</v>
          </cell>
          <cell r="I2415">
            <v>683.58</v>
          </cell>
          <cell r="J2415">
            <v>0</v>
          </cell>
          <cell r="K2415">
            <v>0</v>
          </cell>
          <cell r="L2415">
            <v>683.58</v>
          </cell>
          <cell r="M2415">
            <v>32428.389999999901</v>
          </cell>
          <cell r="N2415">
            <v>4347.4099999999899</v>
          </cell>
          <cell r="O2415">
            <v>0</v>
          </cell>
          <cell r="R2415">
            <v>9.1899999999999906</v>
          </cell>
        </row>
        <row r="2416">
          <cell r="G2416">
            <v>5079.7799999999897</v>
          </cell>
          <cell r="I2416">
            <v>113.93</v>
          </cell>
          <cell r="J2416">
            <v>0</v>
          </cell>
          <cell r="K2416">
            <v>0</v>
          </cell>
          <cell r="L2416">
            <v>113.93</v>
          </cell>
          <cell r="M2416">
            <v>5446.0799999999899</v>
          </cell>
          <cell r="N2416">
            <v>745.32</v>
          </cell>
          <cell r="O2416">
            <v>0</v>
          </cell>
          <cell r="R2416">
            <v>1.54</v>
          </cell>
        </row>
        <row r="2417">
          <cell r="G2417">
            <v>11852.809999999899</v>
          </cell>
          <cell r="I2417">
            <v>265.82999999999902</v>
          </cell>
          <cell r="J2417">
            <v>0</v>
          </cell>
          <cell r="K2417">
            <v>0</v>
          </cell>
          <cell r="L2417">
            <v>265.82999999999902</v>
          </cell>
          <cell r="M2417">
            <v>12707.61</v>
          </cell>
          <cell r="N2417">
            <v>1738.99</v>
          </cell>
          <cell r="O2417">
            <v>0</v>
          </cell>
          <cell r="R2417">
            <v>3.6099999999999901</v>
          </cell>
        </row>
        <row r="2418">
          <cell r="G2418">
            <v>67730.33</v>
          </cell>
          <cell r="I2418">
            <v>1519.05</v>
          </cell>
          <cell r="J2418">
            <v>0</v>
          </cell>
          <cell r="K2418">
            <v>0</v>
          </cell>
          <cell r="L2418">
            <v>1519.05</v>
          </cell>
          <cell r="M2418">
            <v>72743</v>
          </cell>
          <cell r="N2418">
            <v>12946.68</v>
          </cell>
          <cell r="O2418">
            <v>0</v>
          </cell>
          <cell r="R2418">
            <v>20.57</v>
          </cell>
        </row>
        <row r="2419">
          <cell r="G2419">
            <v>62650.559999999903</v>
          </cell>
          <cell r="I2419">
            <v>1405.13</v>
          </cell>
          <cell r="J2419">
            <v>0</v>
          </cell>
          <cell r="K2419">
            <v>0</v>
          </cell>
          <cell r="L2419">
            <v>1405.13</v>
          </cell>
          <cell r="M2419">
            <v>67147.089999999895</v>
          </cell>
          <cell r="N2419">
            <v>8677.01</v>
          </cell>
          <cell r="O2419">
            <v>0</v>
          </cell>
          <cell r="R2419">
            <v>19.0399999999999</v>
          </cell>
        </row>
        <row r="2420">
          <cell r="G2420">
            <v>37431.669999999896</v>
          </cell>
          <cell r="I2420">
            <v>911.42999999999904</v>
          </cell>
          <cell r="J2420">
            <v>3558.2399999999898</v>
          </cell>
          <cell r="K2420">
            <v>0</v>
          </cell>
          <cell r="L2420">
            <v>4469.67</v>
          </cell>
          <cell r="M2420">
            <v>44006.36</v>
          </cell>
          <cell r="N2420">
            <v>7624.84</v>
          </cell>
          <cell r="O2420">
            <v>0</v>
          </cell>
          <cell r="R2420">
            <v>11.38</v>
          </cell>
        </row>
        <row r="2421">
          <cell r="G2421">
            <v>19333.990000000002</v>
          </cell>
          <cell r="I2421">
            <v>455.72</v>
          </cell>
          <cell r="J2421">
            <v>0</v>
          </cell>
          <cell r="K2421">
            <v>0</v>
          </cell>
          <cell r="L2421">
            <v>455.72</v>
          </cell>
          <cell r="M2421">
            <v>20774.830000000002</v>
          </cell>
          <cell r="N2421">
            <v>3386.9299999999898</v>
          </cell>
          <cell r="O2421">
            <v>0</v>
          </cell>
          <cell r="R2421">
            <v>5.8799999999999901</v>
          </cell>
        </row>
        <row r="2422">
          <cell r="G2422">
            <v>19495.66</v>
          </cell>
          <cell r="I2422">
            <v>474.69999999999902</v>
          </cell>
          <cell r="J2422">
            <v>1935.8499999999899</v>
          </cell>
          <cell r="K2422">
            <v>0</v>
          </cell>
          <cell r="L2422">
            <v>2410.5500000000002</v>
          </cell>
          <cell r="M2422">
            <v>22960.709999999901</v>
          </cell>
          <cell r="N2422">
            <v>2903.04</v>
          </cell>
          <cell r="O2422">
            <v>0</v>
          </cell>
          <cell r="R2422">
            <v>5.9299999999999899</v>
          </cell>
        </row>
        <row r="2423">
          <cell r="G2423">
            <v>12477.23</v>
          </cell>
          <cell r="I2423">
            <v>303.8</v>
          </cell>
          <cell r="J2423">
            <v>0</v>
          </cell>
          <cell r="K2423">
            <v>0</v>
          </cell>
          <cell r="L2423">
            <v>303.8</v>
          </cell>
          <cell r="M2423">
            <v>13448.68</v>
          </cell>
          <cell r="N2423">
            <v>2927.1199999999899</v>
          </cell>
          <cell r="O2423">
            <v>0</v>
          </cell>
          <cell r="R2423">
            <v>3.79</v>
          </cell>
        </row>
        <row r="2424">
          <cell r="G2424">
            <v>18715.84</v>
          </cell>
          <cell r="I2424">
            <v>455.72</v>
          </cell>
          <cell r="J2424">
            <v>1419.1199999999899</v>
          </cell>
          <cell r="K2424">
            <v>0</v>
          </cell>
          <cell r="L2424">
            <v>1874.8399999999899</v>
          </cell>
          <cell r="M2424">
            <v>21632.77</v>
          </cell>
          <cell r="N2424">
            <v>3927.23</v>
          </cell>
          <cell r="O2424">
            <v>0</v>
          </cell>
          <cell r="R2424">
            <v>5.6799999999999899</v>
          </cell>
        </row>
        <row r="2425">
          <cell r="G2425">
            <v>21165.73</v>
          </cell>
          <cell r="I2425">
            <v>474.69999999999902</v>
          </cell>
          <cell r="J2425">
            <v>0</v>
          </cell>
          <cell r="K2425">
            <v>0</v>
          </cell>
          <cell r="L2425">
            <v>474.69999999999902</v>
          </cell>
          <cell r="M2425">
            <v>22681.59</v>
          </cell>
          <cell r="N2425">
            <v>2856.9099999999899</v>
          </cell>
          <cell r="O2425">
            <v>0</v>
          </cell>
          <cell r="R2425">
            <v>6.4299999999999899</v>
          </cell>
        </row>
        <row r="2426">
          <cell r="G2426">
            <v>20319.0999999999</v>
          </cell>
          <cell r="I2426">
            <v>455.72</v>
          </cell>
          <cell r="J2426">
            <v>0</v>
          </cell>
          <cell r="K2426">
            <v>0</v>
          </cell>
          <cell r="L2426">
            <v>455.72</v>
          </cell>
          <cell r="M2426">
            <v>21787.549999999901</v>
          </cell>
          <cell r="N2426">
            <v>3052.4499999999898</v>
          </cell>
          <cell r="O2426">
            <v>0</v>
          </cell>
          <cell r="R2426">
            <v>6.1699999999999902</v>
          </cell>
        </row>
        <row r="2427">
          <cell r="G2427">
            <v>6238.6099999999897</v>
          </cell>
          <cell r="I2427">
            <v>151.9</v>
          </cell>
          <cell r="J2427">
            <v>0</v>
          </cell>
          <cell r="K2427">
            <v>0</v>
          </cell>
          <cell r="L2427">
            <v>151.9</v>
          </cell>
          <cell r="M2427">
            <v>6724.6999999999898</v>
          </cell>
          <cell r="N2427">
            <v>1472.5</v>
          </cell>
          <cell r="O2427">
            <v>0</v>
          </cell>
          <cell r="R2427">
            <v>1.8899999999999899</v>
          </cell>
        </row>
        <row r="2428">
          <cell r="G2428">
            <v>2573.4099999999899</v>
          </cell>
          <cell r="I2428">
            <v>63.3599999999999</v>
          </cell>
          <cell r="J2428">
            <v>0</v>
          </cell>
          <cell r="K2428">
            <v>0</v>
          </cell>
          <cell r="L2428">
            <v>63.3599999999999</v>
          </cell>
          <cell r="M2428">
            <v>2832.2399999999898</v>
          </cell>
          <cell r="N2428">
            <v>1960.75</v>
          </cell>
          <cell r="O2428">
            <v>0</v>
          </cell>
          <cell r="R2428">
            <v>0.79</v>
          </cell>
        </row>
        <row r="2429">
          <cell r="G2429">
            <v>14163.95</v>
          </cell>
          <cell r="I2429">
            <v>0</v>
          </cell>
          <cell r="J2429">
            <v>0</v>
          </cell>
          <cell r="K2429">
            <v>0</v>
          </cell>
          <cell r="L2429">
            <v>0</v>
          </cell>
          <cell r="M2429">
            <v>15023.98</v>
          </cell>
          <cell r="N2429">
            <v>1776.02</v>
          </cell>
          <cell r="O2429">
            <v>0</v>
          </cell>
          <cell r="R2429">
            <v>0</v>
          </cell>
        </row>
        <row r="2430">
          <cell r="G2430">
            <v>19675.830000000002</v>
          </cell>
          <cell r="I2430">
            <v>0</v>
          </cell>
          <cell r="J2430">
            <v>1183.2</v>
          </cell>
          <cell r="K2430">
            <v>0</v>
          </cell>
          <cell r="L2430">
            <v>1183.2</v>
          </cell>
          <cell r="M2430">
            <v>22158.369999999901</v>
          </cell>
          <cell r="N2430">
            <v>3222.8299999999899</v>
          </cell>
          <cell r="O2430">
            <v>0</v>
          </cell>
          <cell r="R2430">
            <v>0</v>
          </cell>
        </row>
        <row r="2431">
          <cell r="G2431">
            <v>19675.830000000002</v>
          </cell>
          <cell r="I2431">
            <v>0</v>
          </cell>
          <cell r="J2431">
            <v>1006.5599999999901</v>
          </cell>
          <cell r="K2431">
            <v>0</v>
          </cell>
          <cell r="L2431">
            <v>1006.5599999999901</v>
          </cell>
          <cell r="M2431">
            <v>22009.279999999901</v>
          </cell>
          <cell r="N2431">
            <v>3910.7199999999898</v>
          </cell>
          <cell r="O2431">
            <v>0</v>
          </cell>
          <cell r="R2431">
            <v>0</v>
          </cell>
        </row>
        <row r="2432">
          <cell r="G2432">
            <v>19675.830000000002</v>
          </cell>
          <cell r="I2432">
            <v>0</v>
          </cell>
          <cell r="J2432">
            <v>2163.36</v>
          </cell>
          <cell r="K2432">
            <v>0</v>
          </cell>
          <cell r="L2432">
            <v>2163.36</v>
          </cell>
          <cell r="M2432">
            <v>23130.619999999901</v>
          </cell>
          <cell r="N2432">
            <v>2097.2199999999898</v>
          </cell>
          <cell r="O2432">
            <v>0</v>
          </cell>
          <cell r="R2432">
            <v>0</v>
          </cell>
        </row>
        <row r="2433">
          <cell r="G2433">
            <v>10622.959999999901</v>
          </cell>
          <cell r="I2433">
            <v>0</v>
          </cell>
          <cell r="J2433">
            <v>0</v>
          </cell>
          <cell r="K2433">
            <v>0</v>
          </cell>
          <cell r="L2433">
            <v>0</v>
          </cell>
          <cell r="M2433">
            <v>11263.459999999901</v>
          </cell>
          <cell r="N2433">
            <v>1248.3399999999899</v>
          </cell>
          <cell r="O2433">
            <v>0</v>
          </cell>
          <cell r="R2433">
            <v>0</v>
          </cell>
        </row>
        <row r="2434">
          <cell r="G2434">
            <v>46730.099999999897</v>
          </cell>
          <cell r="I2434">
            <v>0</v>
          </cell>
          <cell r="J2434">
            <v>3955.29</v>
          </cell>
          <cell r="K2434">
            <v>0</v>
          </cell>
          <cell r="L2434">
            <v>3955.29</v>
          </cell>
          <cell r="M2434">
            <v>53713.339999999902</v>
          </cell>
          <cell r="N2434">
            <v>5434.42</v>
          </cell>
          <cell r="O2434">
            <v>0</v>
          </cell>
          <cell r="R2434">
            <v>0</v>
          </cell>
        </row>
        <row r="2435">
          <cell r="G2435">
            <v>7967.22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8447.6299999999901</v>
          </cell>
          <cell r="N2435">
            <v>936.23</v>
          </cell>
          <cell r="O2435">
            <v>0</v>
          </cell>
          <cell r="R2435">
            <v>0</v>
          </cell>
        </row>
        <row r="2436">
          <cell r="G2436">
            <v>19675.84</v>
          </cell>
          <cell r="I2436">
            <v>0</v>
          </cell>
          <cell r="J2436">
            <v>1752.72</v>
          </cell>
          <cell r="K2436">
            <v>0</v>
          </cell>
          <cell r="L2436">
            <v>1752.72</v>
          </cell>
          <cell r="M2436">
            <v>22755.45</v>
          </cell>
          <cell r="N2436">
            <v>3164.55</v>
          </cell>
          <cell r="O2436">
            <v>0</v>
          </cell>
          <cell r="R2436">
            <v>0</v>
          </cell>
        </row>
        <row r="2437">
          <cell r="G2437">
            <v>40171.489999999903</v>
          </cell>
          <cell r="I2437">
            <v>0</v>
          </cell>
          <cell r="J2437">
            <v>3481.98</v>
          </cell>
          <cell r="K2437">
            <v>0</v>
          </cell>
          <cell r="L2437">
            <v>3481.98</v>
          </cell>
          <cell r="M2437">
            <v>46280.79</v>
          </cell>
          <cell r="N2437">
            <v>5042.4099999999899</v>
          </cell>
          <cell r="O2437">
            <v>0</v>
          </cell>
          <cell r="R2437">
            <v>0</v>
          </cell>
        </row>
        <row r="2438">
          <cell r="G2438">
            <v>19675.830000000002</v>
          </cell>
          <cell r="I2438">
            <v>0</v>
          </cell>
          <cell r="J2438">
            <v>1344.96</v>
          </cell>
          <cell r="K2438">
            <v>0</v>
          </cell>
          <cell r="L2438">
            <v>1344.96</v>
          </cell>
          <cell r="M2438">
            <v>22338.389999999901</v>
          </cell>
          <cell r="N2438">
            <v>3400.17</v>
          </cell>
          <cell r="O2438">
            <v>0</v>
          </cell>
          <cell r="R2438">
            <v>0</v>
          </cell>
        </row>
        <row r="2439">
          <cell r="G2439">
            <v>21245.9199999999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22526.9199999999</v>
          </cell>
          <cell r="N2439">
            <v>2496.6799999999898</v>
          </cell>
          <cell r="O2439">
            <v>0</v>
          </cell>
          <cell r="R2439">
            <v>0</v>
          </cell>
        </row>
        <row r="2440">
          <cell r="G2440">
            <v>19675.830000000002</v>
          </cell>
          <cell r="I2440">
            <v>0</v>
          </cell>
          <cell r="J2440">
            <v>1992.72</v>
          </cell>
          <cell r="K2440">
            <v>0</v>
          </cell>
          <cell r="L2440">
            <v>1992.72</v>
          </cell>
          <cell r="M2440">
            <v>22986.15</v>
          </cell>
          <cell r="N2440">
            <v>2752.4099999999899</v>
          </cell>
          <cell r="O2440">
            <v>0</v>
          </cell>
          <cell r="R2440">
            <v>0</v>
          </cell>
        </row>
        <row r="2441">
          <cell r="G2441">
            <v>7081.97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7508.96</v>
          </cell>
          <cell r="N2441">
            <v>832.24</v>
          </cell>
          <cell r="O2441">
            <v>0</v>
          </cell>
          <cell r="R2441">
            <v>0</v>
          </cell>
        </row>
        <row r="2442">
          <cell r="G2442">
            <v>39351.660000000003</v>
          </cell>
          <cell r="I2442">
            <v>0</v>
          </cell>
          <cell r="J2442">
            <v>3985.44</v>
          </cell>
          <cell r="K2442">
            <v>0</v>
          </cell>
          <cell r="L2442">
            <v>3985.44</v>
          </cell>
          <cell r="M2442">
            <v>45935.72</v>
          </cell>
          <cell r="N2442">
            <v>4826.68</v>
          </cell>
          <cell r="O2442">
            <v>0</v>
          </cell>
          <cell r="R2442">
            <v>0</v>
          </cell>
        </row>
        <row r="2443">
          <cell r="G2443">
            <v>29513.75</v>
          </cell>
          <cell r="I2443">
            <v>0</v>
          </cell>
          <cell r="J2443">
            <v>2671.1999999999898</v>
          </cell>
          <cell r="K2443">
            <v>0</v>
          </cell>
          <cell r="L2443">
            <v>2671.1999999999898</v>
          </cell>
          <cell r="M2443">
            <v>34175.349999999897</v>
          </cell>
          <cell r="N2443">
            <v>4704.6499999999896</v>
          </cell>
          <cell r="O2443">
            <v>0</v>
          </cell>
          <cell r="R2443">
            <v>0</v>
          </cell>
        </row>
        <row r="2444">
          <cell r="G2444">
            <v>59027.5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62815.66</v>
          </cell>
          <cell r="N2444">
            <v>11183.059999999899</v>
          </cell>
          <cell r="O2444">
            <v>0</v>
          </cell>
          <cell r="R2444">
            <v>0</v>
          </cell>
        </row>
        <row r="2445">
          <cell r="G2445">
            <v>19675.830000000002</v>
          </cell>
          <cell r="I2445">
            <v>0</v>
          </cell>
          <cell r="J2445">
            <v>2207.7600000000002</v>
          </cell>
          <cell r="K2445">
            <v>0</v>
          </cell>
          <cell r="L2445">
            <v>2207.7600000000002</v>
          </cell>
          <cell r="M2445">
            <v>23201.1899999999</v>
          </cell>
          <cell r="N2445">
            <v>2537.3699999999899</v>
          </cell>
          <cell r="O2445">
            <v>0</v>
          </cell>
          <cell r="R2445">
            <v>0</v>
          </cell>
        </row>
        <row r="2446">
          <cell r="G2446">
            <v>39351.660000000003</v>
          </cell>
          <cell r="I2446">
            <v>0</v>
          </cell>
          <cell r="J2446">
            <v>3325.92</v>
          </cell>
          <cell r="K2446">
            <v>0</v>
          </cell>
          <cell r="L2446">
            <v>3325.92</v>
          </cell>
          <cell r="M2446">
            <v>45312.809999999903</v>
          </cell>
          <cell r="N2446">
            <v>6164.31</v>
          </cell>
          <cell r="O2446">
            <v>0</v>
          </cell>
          <cell r="R2446">
            <v>0</v>
          </cell>
        </row>
        <row r="2447">
          <cell r="G2447">
            <v>157406.64000000001</v>
          </cell>
          <cell r="I2447">
            <v>0</v>
          </cell>
          <cell r="J2447">
            <v>1495.44</v>
          </cell>
          <cell r="K2447">
            <v>0</v>
          </cell>
          <cell r="L2447">
            <v>1495.44</v>
          </cell>
          <cell r="M2447">
            <v>169058.64</v>
          </cell>
          <cell r="N2447">
            <v>29343.5999999999</v>
          </cell>
          <cell r="O2447">
            <v>0</v>
          </cell>
          <cell r="R2447">
            <v>0</v>
          </cell>
        </row>
        <row r="2448">
          <cell r="G2448">
            <v>19675.830000000002</v>
          </cell>
          <cell r="I2448">
            <v>0</v>
          </cell>
          <cell r="J2448">
            <v>1242.24</v>
          </cell>
          <cell r="K2448">
            <v>0</v>
          </cell>
          <cell r="L2448">
            <v>1242.24</v>
          </cell>
          <cell r="M2448">
            <v>22217.41</v>
          </cell>
          <cell r="N2448">
            <v>3163.79</v>
          </cell>
          <cell r="O2448">
            <v>0</v>
          </cell>
          <cell r="R2448">
            <v>0</v>
          </cell>
        </row>
        <row r="2449">
          <cell r="G2449">
            <v>15934.44</v>
          </cell>
          <cell r="I2449">
            <v>0</v>
          </cell>
          <cell r="J2449">
            <v>0</v>
          </cell>
          <cell r="K2449">
            <v>0</v>
          </cell>
          <cell r="L2449">
            <v>0</v>
          </cell>
          <cell r="M2449">
            <v>16895.1699999999</v>
          </cell>
          <cell r="N2449">
            <v>1872.53</v>
          </cell>
          <cell r="O2449">
            <v>0</v>
          </cell>
          <cell r="R2449">
            <v>0</v>
          </cell>
        </row>
        <row r="2450">
          <cell r="G2450">
            <v>20495.66</v>
          </cell>
          <cell r="I2450">
            <v>0</v>
          </cell>
          <cell r="J2450">
            <v>1341.43</v>
          </cell>
          <cell r="K2450">
            <v>0</v>
          </cell>
          <cell r="L2450">
            <v>1341.43</v>
          </cell>
          <cell r="M2450">
            <v>23165.13</v>
          </cell>
          <cell r="N2450">
            <v>2776.8699999999899</v>
          </cell>
          <cell r="O2450">
            <v>0</v>
          </cell>
          <cell r="R2450">
            <v>0</v>
          </cell>
        </row>
        <row r="2451">
          <cell r="G2451">
            <v>49189.58</v>
          </cell>
          <cell r="I2451">
            <v>0</v>
          </cell>
          <cell r="J2451">
            <v>5169.84</v>
          </cell>
          <cell r="K2451">
            <v>0</v>
          </cell>
          <cell r="L2451">
            <v>5169.84</v>
          </cell>
          <cell r="M2451">
            <v>57676.68</v>
          </cell>
          <cell r="N2451">
            <v>7123.3199999999897</v>
          </cell>
          <cell r="O2451">
            <v>0</v>
          </cell>
          <cell r="R2451">
            <v>0</v>
          </cell>
        </row>
        <row r="2452">
          <cell r="G2452">
            <v>19675.830000000002</v>
          </cell>
          <cell r="I2452">
            <v>0</v>
          </cell>
          <cell r="J2452">
            <v>0</v>
          </cell>
          <cell r="K2452">
            <v>0</v>
          </cell>
          <cell r="L2452">
            <v>0</v>
          </cell>
          <cell r="M2452">
            <v>19675.830000000002</v>
          </cell>
          <cell r="N2452">
            <v>4990.4099999999899</v>
          </cell>
          <cell r="O2452">
            <v>0</v>
          </cell>
          <cell r="R2452">
            <v>0</v>
          </cell>
        </row>
        <row r="2453">
          <cell r="G2453">
            <v>19675.830000000002</v>
          </cell>
          <cell r="I2453">
            <v>0</v>
          </cell>
          <cell r="J2453">
            <v>2207.7600000000002</v>
          </cell>
          <cell r="K2453">
            <v>0</v>
          </cell>
          <cell r="L2453">
            <v>2207.7600000000002</v>
          </cell>
          <cell r="M2453">
            <v>21883.59</v>
          </cell>
          <cell r="N2453">
            <v>4036.4099999999899</v>
          </cell>
          <cell r="O2453">
            <v>0</v>
          </cell>
          <cell r="R2453">
            <v>0</v>
          </cell>
        </row>
        <row r="2454">
          <cell r="G2454">
            <v>59027.489999999903</v>
          </cell>
          <cell r="I2454">
            <v>0</v>
          </cell>
          <cell r="J2454">
            <v>6193.1999999999898</v>
          </cell>
          <cell r="K2454">
            <v>0</v>
          </cell>
          <cell r="L2454">
            <v>6193.1999999999898</v>
          </cell>
          <cell r="M2454">
            <v>65220.69</v>
          </cell>
          <cell r="N2454">
            <v>12539.309999999899</v>
          </cell>
          <cell r="O2454">
            <v>0</v>
          </cell>
          <cell r="R2454">
            <v>0</v>
          </cell>
        </row>
        <row r="2455">
          <cell r="G2455">
            <v>4426.2299999999896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4694.9499999999898</v>
          </cell>
          <cell r="N2455">
            <v>555.04999999999905</v>
          </cell>
          <cell r="O2455">
            <v>0</v>
          </cell>
          <cell r="R2455">
            <v>0</v>
          </cell>
        </row>
        <row r="2456">
          <cell r="G2456">
            <v>30983.639999999901</v>
          </cell>
          <cell r="I2456">
            <v>0</v>
          </cell>
          <cell r="J2456">
            <v>0</v>
          </cell>
          <cell r="K2456">
            <v>0</v>
          </cell>
          <cell r="L2456">
            <v>0</v>
          </cell>
          <cell r="M2456">
            <v>32864.949999999903</v>
          </cell>
          <cell r="N2456">
            <v>3885.05</v>
          </cell>
          <cell r="O2456">
            <v>0</v>
          </cell>
          <cell r="R2456">
            <v>0</v>
          </cell>
        </row>
        <row r="2457">
          <cell r="G2457">
            <v>19675.830000000002</v>
          </cell>
          <cell r="I2457">
            <v>0</v>
          </cell>
          <cell r="J2457">
            <v>2207.7600000000002</v>
          </cell>
          <cell r="K2457">
            <v>0</v>
          </cell>
          <cell r="L2457">
            <v>2207.7600000000002</v>
          </cell>
          <cell r="M2457">
            <v>21883.59</v>
          </cell>
          <cell r="N2457">
            <v>3497.61</v>
          </cell>
          <cell r="O2457">
            <v>0</v>
          </cell>
          <cell r="R2457">
            <v>0</v>
          </cell>
        </row>
        <row r="2458">
          <cell r="G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25.1999999999999</v>
          </cell>
          <cell r="O2458">
            <v>0</v>
          </cell>
          <cell r="R2458">
            <v>0</v>
          </cell>
        </row>
        <row r="2459">
          <cell r="G2459">
            <v>9837.92</v>
          </cell>
          <cell r="I2459">
            <v>0</v>
          </cell>
          <cell r="J2459">
            <v>0</v>
          </cell>
          <cell r="K2459">
            <v>0</v>
          </cell>
          <cell r="L2459">
            <v>0</v>
          </cell>
          <cell r="M2459">
            <v>9837.92</v>
          </cell>
          <cell r="N2459">
            <v>2582.0799999999899</v>
          </cell>
          <cell r="O2459">
            <v>0</v>
          </cell>
          <cell r="R2459">
            <v>0</v>
          </cell>
        </row>
        <row r="2460">
          <cell r="G2460">
            <v>19675.830000000002</v>
          </cell>
          <cell r="I2460">
            <v>0</v>
          </cell>
          <cell r="J2460">
            <v>0</v>
          </cell>
          <cell r="K2460">
            <v>0</v>
          </cell>
          <cell r="L2460">
            <v>0</v>
          </cell>
          <cell r="M2460">
            <v>19675.830000000002</v>
          </cell>
          <cell r="N2460">
            <v>4990.4099999999899</v>
          </cell>
          <cell r="O2460">
            <v>0</v>
          </cell>
          <cell r="R2460">
            <v>0</v>
          </cell>
        </row>
        <row r="2461">
          <cell r="G2461">
            <v>15576.7</v>
          </cell>
          <cell r="I2461">
            <v>0</v>
          </cell>
          <cell r="J2461">
            <v>0</v>
          </cell>
          <cell r="K2461">
            <v>0</v>
          </cell>
          <cell r="L2461">
            <v>0</v>
          </cell>
          <cell r="M2461">
            <v>15576.7</v>
          </cell>
          <cell r="N2461">
            <v>4516.5600000000004</v>
          </cell>
          <cell r="O2461">
            <v>0</v>
          </cell>
          <cell r="R2461">
            <v>0</v>
          </cell>
        </row>
        <row r="2462">
          <cell r="G2462">
            <v>19675.830000000002</v>
          </cell>
          <cell r="I2462">
            <v>0</v>
          </cell>
          <cell r="J2462">
            <v>0</v>
          </cell>
          <cell r="K2462">
            <v>0</v>
          </cell>
          <cell r="L2462">
            <v>0</v>
          </cell>
          <cell r="M2462">
            <v>19675.830000000002</v>
          </cell>
          <cell r="N2462">
            <v>4990.4099999999899</v>
          </cell>
          <cell r="O2462">
            <v>0</v>
          </cell>
          <cell r="R2462">
            <v>0</v>
          </cell>
        </row>
        <row r="2463">
          <cell r="G2463">
            <v>78800.240000000005</v>
          </cell>
          <cell r="I2463">
            <v>0</v>
          </cell>
          <cell r="J2463">
            <v>1692.48</v>
          </cell>
          <cell r="K2463">
            <v>0</v>
          </cell>
          <cell r="L2463">
            <v>1692.48</v>
          </cell>
          <cell r="M2463">
            <v>80492.72</v>
          </cell>
          <cell r="N2463">
            <v>18887.2</v>
          </cell>
          <cell r="O2463">
            <v>0</v>
          </cell>
          <cell r="R2463">
            <v>0</v>
          </cell>
        </row>
        <row r="2464">
          <cell r="G2464">
            <v>19675.830000000002</v>
          </cell>
          <cell r="I2464">
            <v>0</v>
          </cell>
          <cell r="J2464">
            <v>1992.72</v>
          </cell>
          <cell r="K2464">
            <v>0</v>
          </cell>
          <cell r="L2464">
            <v>1992.72</v>
          </cell>
          <cell r="M2464">
            <v>21668.549999999901</v>
          </cell>
          <cell r="N2464">
            <v>3712.65</v>
          </cell>
          <cell r="O2464">
            <v>0</v>
          </cell>
          <cell r="R2464">
            <v>0</v>
          </cell>
        </row>
        <row r="2465">
          <cell r="G2465">
            <v>19675.830000000002</v>
          </cell>
          <cell r="I2465">
            <v>0</v>
          </cell>
          <cell r="J2465">
            <v>918.24</v>
          </cell>
          <cell r="K2465">
            <v>0</v>
          </cell>
          <cell r="L2465">
            <v>918.24</v>
          </cell>
          <cell r="M2465">
            <v>20594.07</v>
          </cell>
          <cell r="N2465">
            <v>5325.93</v>
          </cell>
          <cell r="O2465">
            <v>0</v>
          </cell>
          <cell r="R2465">
            <v>0</v>
          </cell>
        </row>
        <row r="2466">
          <cell r="G2466">
            <v>11477.57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11477.57</v>
          </cell>
          <cell r="N2466">
            <v>2911.07</v>
          </cell>
          <cell r="O2466">
            <v>0</v>
          </cell>
          <cell r="R2466">
            <v>0</v>
          </cell>
        </row>
        <row r="2467">
          <cell r="G2467">
            <v>19675.830000000002</v>
          </cell>
          <cell r="I2467">
            <v>0</v>
          </cell>
          <cell r="J2467">
            <v>0</v>
          </cell>
          <cell r="K2467">
            <v>0</v>
          </cell>
          <cell r="L2467">
            <v>0</v>
          </cell>
          <cell r="M2467">
            <v>19675.830000000002</v>
          </cell>
          <cell r="N2467">
            <v>4990.4099999999899</v>
          </cell>
          <cell r="O2467">
            <v>0</v>
          </cell>
          <cell r="R2467">
            <v>0</v>
          </cell>
        </row>
        <row r="2468">
          <cell r="G2468">
            <v>9837.92</v>
          </cell>
          <cell r="I2468">
            <v>0</v>
          </cell>
          <cell r="J2468">
            <v>0</v>
          </cell>
          <cell r="K2468">
            <v>0</v>
          </cell>
          <cell r="L2468">
            <v>0</v>
          </cell>
          <cell r="M2468">
            <v>9837.92</v>
          </cell>
          <cell r="N2468">
            <v>2495.1999999999898</v>
          </cell>
          <cell r="O2468">
            <v>0</v>
          </cell>
          <cell r="R2468">
            <v>0</v>
          </cell>
        </row>
        <row r="2469">
          <cell r="G2469">
            <v>39351.660000000003</v>
          </cell>
          <cell r="I2469">
            <v>0</v>
          </cell>
          <cell r="J2469">
            <v>3773.28</v>
          </cell>
          <cell r="K2469">
            <v>0</v>
          </cell>
          <cell r="L2469">
            <v>3773.28</v>
          </cell>
          <cell r="M2469">
            <v>43124.94</v>
          </cell>
          <cell r="N2469">
            <v>8715.0599999999904</v>
          </cell>
          <cell r="O2469">
            <v>0</v>
          </cell>
          <cell r="R2469">
            <v>0</v>
          </cell>
        </row>
        <row r="2470">
          <cell r="G2470">
            <v>7378.4399999999896</v>
          </cell>
          <cell r="I2470">
            <v>0</v>
          </cell>
          <cell r="J2470">
            <v>0</v>
          </cell>
          <cell r="K2470">
            <v>0</v>
          </cell>
          <cell r="L2470">
            <v>0</v>
          </cell>
          <cell r="M2470">
            <v>7378.4399999999896</v>
          </cell>
          <cell r="N2470">
            <v>1936.5599999999899</v>
          </cell>
          <cell r="O2470">
            <v>0</v>
          </cell>
          <cell r="R2470">
            <v>0</v>
          </cell>
        </row>
        <row r="2471">
          <cell r="G2471">
            <v>39351.660000000003</v>
          </cell>
          <cell r="I2471">
            <v>0</v>
          </cell>
          <cell r="J2471">
            <v>0</v>
          </cell>
          <cell r="K2471">
            <v>0</v>
          </cell>
          <cell r="L2471">
            <v>0</v>
          </cell>
          <cell r="M2471">
            <v>39351.660000000003</v>
          </cell>
          <cell r="N2471">
            <v>10328.34</v>
          </cell>
          <cell r="O2471">
            <v>0</v>
          </cell>
          <cell r="R2471">
            <v>0</v>
          </cell>
        </row>
        <row r="2472">
          <cell r="G2472">
            <v>10622.959999999901</v>
          </cell>
          <cell r="I2472">
            <v>0</v>
          </cell>
          <cell r="J2472">
            <v>0</v>
          </cell>
          <cell r="K2472">
            <v>0</v>
          </cell>
          <cell r="L2472">
            <v>0</v>
          </cell>
          <cell r="M2472">
            <v>11267.99</v>
          </cell>
          <cell r="N2472">
            <v>1332.01</v>
          </cell>
          <cell r="O2472">
            <v>0</v>
          </cell>
          <cell r="R2472">
            <v>0</v>
          </cell>
        </row>
        <row r="2473">
          <cell r="G2473">
            <v>78703.320000000007</v>
          </cell>
          <cell r="I2473">
            <v>0</v>
          </cell>
          <cell r="J2473">
            <v>6651.84</v>
          </cell>
          <cell r="K2473">
            <v>0</v>
          </cell>
          <cell r="L2473">
            <v>6651.84</v>
          </cell>
          <cell r="M2473">
            <v>85355.16</v>
          </cell>
          <cell r="N2473">
            <v>17423.16</v>
          </cell>
          <cell r="O2473">
            <v>0</v>
          </cell>
          <cell r="R2473">
            <v>0</v>
          </cell>
        </row>
        <row r="2474">
          <cell r="G2474">
            <v>26234.45</v>
          </cell>
          <cell r="I2474">
            <v>0</v>
          </cell>
          <cell r="J2474">
            <v>0</v>
          </cell>
          <cell r="K2474">
            <v>0</v>
          </cell>
          <cell r="L2474">
            <v>0</v>
          </cell>
          <cell r="M2474">
            <v>26234.45</v>
          </cell>
          <cell r="N2474">
            <v>6653.8699999999899</v>
          </cell>
          <cell r="O2474">
            <v>0</v>
          </cell>
          <cell r="R2474">
            <v>0</v>
          </cell>
        </row>
        <row r="2475">
          <cell r="G2475">
            <v>2090.52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2090.52</v>
          </cell>
          <cell r="N2475">
            <v>1613.0999999999899</v>
          </cell>
          <cell r="O2475">
            <v>0</v>
          </cell>
          <cell r="R2475">
            <v>0</v>
          </cell>
        </row>
        <row r="2476">
          <cell r="G2476">
            <v>41594.120000000003</v>
          </cell>
          <cell r="I2476">
            <v>669.2</v>
          </cell>
          <cell r="J2476">
            <v>0</v>
          </cell>
          <cell r="K2476">
            <v>0.11</v>
          </cell>
          <cell r="L2476">
            <v>669.30999999999904</v>
          </cell>
          <cell r="M2476">
            <v>43813.18</v>
          </cell>
          <cell r="N2476">
            <v>4838.6599999999899</v>
          </cell>
          <cell r="O2476">
            <v>0</v>
          </cell>
          <cell r="R2476">
            <v>96.489999999999895</v>
          </cell>
        </row>
        <row r="2477">
          <cell r="G2477">
            <v>32504.7</v>
          </cell>
          <cell r="I2477">
            <v>522.28999999999905</v>
          </cell>
          <cell r="J2477">
            <v>0</v>
          </cell>
          <cell r="K2477">
            <v>8.99999999999999E-2</v>
          </cell>
          <cell r="L2477">
            <v>522.38</v>
          </cell>
          <cell r="M2477">
            <v>34238.959999999897</v>
          </cell>
          <cell r="N2477">
            <v>3806.8</v>
          </cell>
          <cell r="O2477">
            <v>0</v>
          </cell>
          <cell r="R2477">
            <v>75.409999999999897</v>
          </cell>
        </row>
        <row r="2478">
          <cell r="G2478">
            <v>64966.489999999903</v>
          </cell>
          <cell r="I2478">
            <v>1044.5999999999899</v>
          </cell>
          <cell r="J2478">
            <v>0</v>
          </cell>
          <cell r="K2478">
            <v>0.17999999999999899</v>
          </cell>
          <cell r="L2478">
            <v>1044.78</v>
          </cell>
          <cell r="M2478">
            <v>68427.779999999897</v>
          </cell>
          <cell r="N2478">
            <v>7434.3</v>
          </cell>
          <cell r="O2478">
            <v>0</v>
          </cell>
          <cell r="R2478">
            <v>150.729999999999</v>
          </cell>
        </row>
        <row r="2479">
          <cell r="G2479">
            <v>16252.35</v>
          </cell>
          <cell r="I2479">
            <v>261.14999999999901</v>
          </cell>
          <cell r="J2479">
            <v>0</v>
          </cell>
          <cell r="K2479">
            <v>0.04</v>
          </cell>
          <cell r="L2479">
            <v>261.19</v>
          </cell>
          <cell r="M2479">
            <v>17117.72</v>
          </cell>
          <cell r="N2479">
            <v>1847.8</v>
          </cell>
          <cell r="O2479">
            <v>0</v>
          </cell>
          <cell r="R2479">
            <v>37.71</v>
          </cell>
        </row>
        <row r="2480">
          <cell r="G2480">
            <v>14897.99</v>
          </cell>
          <cell r="I2480">
            <v>239.38999999999899</v>
          </cell>
          <cell r="J2480">
            <v>0</v>
          </cell>
          <cell r="K2480">
            <v>0.04</v>
          </cell>
          <cell r="L2480">
            <v>239.43</v>
          </cell>
          <cell r="M2480">
            <v>15691.209999999901</v>
          </cell>
          <cell r="N2480">
            <v>1693.8499999999899</v>
          </cell>
          <cell r="O2480">
            <v>0</v>
          </cell>
          <cell r="R2480">
            <v>34.57</v>
          </cell>
        </row>
        <row r="2481">
          <cell r="G2481">
            <v>48756.989999999903</v>
          </cell>
          <cell r="I2481">
            <v>783.44</v>
          </cell>
          <cell r="J2481">
            <v>0</v>
          </cell>
          <cell r="K2481">
            <v>0.13</v>
          </cell>
          <cell r="L2481">
            <v>783.57</v>
          </cell>
          <cell r="M2481">
            <v>51353</v>
          </cell>
          <cell r="N2481">
            <v>5543.56</v>
          </cell>
          <cell r="O2481">
            <v>0</v>
          </cell>
          <cell r="R2481">
            <v>113.11</v>
          </cell>
        </row>
        <row r="2482">
          <cell r="G2482">
            <v>16252.35</v>
          </cell>
          <cell r="I2482">
            <v>261.14999999999901</v>
          </cell>
          <cell r="J2482">
            <v>0</v>
          </cell>
          <cell r="K2482">
            <v>0.04</v>
          </cell>
          <cell r="L2482">
            <v>261.19</v>
          </cell>
          <cell r="M2482">
            <v>17135.900000000001</v>
          </cell>
          <cell r="N2482">
            <v>2402.02</v>
          </cell>
          <cell r="O2482">
            <v>0</v>
          </cell>
          <cell r="R2482">
            <v>37.71</v>
          </cell>
        </row>
        <row r="2483">
          <cell r="G2483">
            <v>48757.05</v>
          </cell>
          <cell r="I2483">
            <v>783.44</v>
          </cell>
          <cell r="J2483">
            <v>0</v>
          </cell>
          <cell r="K2483">
            <v>0.13</v>
          </cell>
          <cell r="L2483">
            <v>783.57</v>
          </cell>
          <cell r="M2483">
            <v>51354.86</v>
          </cell>
          <cell r="N2483">
            <v>5599.06</v>
          </cell>
          <cell r="O2483">
            <v>0</v>
          </cell>
          <cell r="R2483">
            <v>113.11</v>
          </cell>
        </row>
        <row r="2484">
          <cell r="G2484">
            <v>16929.54</v>
          </cell>
          <cell r="I2484">
            <v>272.02999999999901</v>
          </cell>
          <cell r="J2484">
            <v>0</v>
          </cell>
          <cell r="K2484">
            <v>0.04</v>
          </cell>
          <cell r="L2484">
            <v>272.06999999999903</v>
          </cell>
          <cell r="M2484">
            <v>17830.93</v>
          </cell>
          <cell r="N2484">
            <v>1924.8199999999899</v>
          </cell>
          <cell r="O2484">
            <v>0</v>
          </cell>
          <cell r="R2484">
            <v>39.270000000000003</v>
          </cell>
        </row>
        <row r="2485">
          <cell r="G2485">
            <v>16929.54</v>
          </cell>
          <cell r="I2485">
            <v>272.02999999999901</v>
          </cell>
          <cell r="J2485">
            <v>0</v>
          </cell>
          <cell r="K2485">
            <v>0.04</v>
          </cell>
          <cell r="L2485">
            <v>272.06999999999903</v>
          </cell>
          <cell r="M2485">
            <v>17832.82</v>
          </cell>
          <cell r="N2485">
            <v>1982.43</v>
          </cell>
          <cell r="O2485">
            <v>0</v>
          </cell>
          <cell r="R2485">
            <v>39.270000000000003</v>
          </cell>
        </row>
        <row r="2486">
          <cell r="G2486">
            <v>16929.54</v>
          </cell>
          <cell r="I2486">
            <v>272.02999999999901</v>
          </cell>
          <cell r="J2486">
            <v>0</v>
          </cell>
          <cell r="K2486">
            <v>0.04</v>
          </cell>
          <cell r="L2486">
            <v>272.06999999999903</v>
          </cell>
          <cell r="M2486">
            <v>17832.82</v>
          </cell>
          <cell r="N2486">
            <v>1982.43</v>
          </cell>
          <cell r="O2486">
            <v>0</v>
          </cell>
          <cell r="R2486">
            <v>39.270000000000003</v>
          </cell>
        </row>
        <row r="2487">
          <cell r="G2487">
            <v>5417.4499999999898</v>
          </cell>
          <cell r="I2487">
            <v>520.49</v>
          </cell>
          <cell r="J2487">
            <v>0</v>
          </cell>
          <cell r="K2487">
            <v>0</v>
          </cell>
          <cell r="L2487">
            <v>520.49</v>
          </cell>
          <cell r="M2487">
            <v>6206.84</v>
          </cell>
          <cell r="N2487">
            <v>253.72</v>
          </cell>
          <cell r="O2487">
            <v>0</v>
          </cell>
          <cell r="R2487">
            <v>25.71</v>
          </cell>
        </row>
        <row r="2488">
          <cell r="G2488">
            <v>0</v>
          </cell>
          <cell r="I2488">
            <v>0</v>
          </cell>
          <cell r="J2488">
            <v>393.6</v>
          </cell>
          <cell r="K2488">
            <v>0</v>
          </cell>
          <cell r="L2488">
            <v>393.6</v>
          </cell>
          <cell r="M2488">
            <v>393.6</v>
          </cell>
          <cell r="N2488">
            <v>-393.6</v>
          </cell>
          <cell r="O2488">
            <v>0</v>
          </cell>
          <cell r="R2488">
            <v>0</v>
          </cell>
        </row>
        <row r="2489">
          <cell r="G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-122.319999999999</v>
          </cell>
          <cell r="N2489">
            <v>-2877.6799999999898</v>
          </cell>
          <cell r="O2489">
            <v>0</v>
          </cell>
          <cell r="R2489">
            <v>0</v>
          </cell>
        </row>
        <row r="2490">
          <cell r="G2490">
            <v>28021.139999999901</v>
          </cell>
          <cell r="I2490">
            <v>21.6999999999999</v>
          </cell>
          <cell r="J2490">
            <v>0</v>
          </cell>
          <cell r="K2490">
            <v>7.0000000000000007E-2</v>
          </cell>
          <cell r="L2490">
            <v>21.77</v>
          </cell>
          <cell r="M2490">
            <v>28866.34</v>
          </cell>
          <cell r="N2490">
            <v>-3016.7399999999898</v>
          </cell>
          <cell r="O2490">
            <v>0</v>
          </cell>
          <cell r="R2490">
            <v>65.019999999999897</v>
          </cell>
        </row>
        <row r="2491">
          <cell r="G2491">
            <v>3407.98</v>
          </cell>
          <cell r="I2491">
            <v>4.78</v>
          </cell>
          <cell r="J2491">
            <v>0</v>
          </cell>
          <cell r="K2491">
            <v>0</v>
          </cell>
          <cell r="L2491">
            <v>4.78</v>
          </cell>
          <cell r="M2491">
            <v>3543.0799999999899</v>
          </cell>
          <cell r="N2491">
            <v>-411.98</v>
          </cell>
          <cell r="O2491">
            <v>0</v>
          </cell>
          <cell r="R2491">
            <v>16.18</v>
          </cell>
        </row>
        <row r="2492">
          <cell r="G2492">
            <v>0</v>
          </cell>
          <cell r="I2492">
            <v>830</v>
          </cell>
          <cell r="J2492">
            <v>0</v>
          </cell>
          <cell r="K2492">
            <v>0</v>
          </cell>
          <cell r="L2492">
            <v>830</v>
          </cell>
          <cell r="M2492">
            <v>830</v>
          </cell>
          <cell r="N2492">
            <v>-830</v>
          </cell>
          <cell r="O2492">
            <v>0</v>
          </cell>
          <cell r="R2492">
            <v>0</v>
          </cell>
        </row>
        <row r="2493">
          <cell r="G2493">
            <v>530468.83999999904</v>
          </cell>
          <cell r="I2493">
            <v>7146.56</v>
          </cell>
          <cell r="J2493">
            <v>0</v>
          </cell>
          <cell r="K2493">
            <v>0</v>
          </cell>
          <cell r="L2493">
            <v>7146.56</v>
          </cell>
          <cell r="M2493">
            <v>557930.83999999904</v>
          </cell>
          <cell r="N2493">
            <v>-59644.23</v>
          </cell>
          <cell r="O2493">
            <v>0</v>
          </cell>
          <cell r="R2493">
            <v>161.18</v>
          </cell>
        </row>
        <row r="2494">
          <cell r="G2494">
            <v>154926.88</v>
          </cell>
          <cell r="I2494">
            <v>133.13999999999899</v>
          </cell>
          <cell r="J2494">
            <v>0</v>
          </cell>
          <cell r="K2494">
            <v>0.40999999999999898</v>
          </cell>
          <cell r="L2494">
            <v>133.55000000000001</v>
          </cell>
          <cell r="M2494">
            <v>160401.16</v>
          </cell>
          <cell r="N2494">
            <v>7259.1599999999899</v>
          </cell>
          <cell r="O2494">
            <v>0</v>
          </cell>
          <cell r="R2494">
            <v>359.45999999999901</v>
          </cell>
        </row>
        <row r="2495">
          <cell r="G2495">
            <v>176100.79</v>
          </cell>
          <cell r="I2495">
            <v>290.06</v>
          </cell>
          <cell r="J2495">
            <v>0</v>
          </cell>
          <cell r="K2495">
            <v>0</v>
          </cell>
          <cell r="L2495">
            <v>290.06</v>
          </cell>
          <cell r="M2495">
            <v>184328.7</v>
          </cell>
          <cell r="N2495">
            <v>6398.1599999999899</v>
          </cell>
          <cell r="O2495">
            <v>0</v>
          </cell>
          <cell r="R2495">
            <v>836.11</v>
          </cell>
        </row>
        <row r="2496">
          <cell r="G2496">
            <v>13309.94</v>
          </cell>
          <cell r="I2496">
            <v>10109.059999999899</v>
          </cell>
          <cell r="J2496">
            <v>0</v>
          </cell>
          <cell r="K2496">
            <v>0</v>
          </cell>
          <cell r="L2496">
            <v>10109.059999999899</v>
          </cell>
          <cell r="M2496">
            <v>23989.5099999999</v>
          </cell>
          <cell r="N2496">
            <v>-9996.09</v>
          </cell>
          <cell r="O2496">
            <v>0</v>
          </cell>
          <cell r="R2496">
            <v>4.0499999999999901</v>
          </cell>
        </row>
        <row r="2497">
          <cell r="G2497">
            <v>0</v>
          </cell>
          <cell r="I2497">
            <v>18.6999999999999</v>
          </cell>
          <cell r="J2497">
            <v>0</v>
          </cell>
          <cell r="K2497">
            <v>0</v>
          </cell>
          <cell r="L2497">
            <v>18.6999999999999</v>
          </cell>
          <cell r="M2497">
            <v>18.6999999999999</v>
          </cell>
          <cell r="N2497">
            <v>-18.6999999999999</v>
          </cell>
          <cell r="O2497">
            <v>0</v>
          </cell>
          <cell r="R2497">
            <v>0</v>
          </cell>
        </row>
        <row r="2498">
          <cell r="G2498">
            <v>0</v>
          </cell>
          <cell r="I2498">
            <v>12.84</v>
          </cell>
          <cell r="J2498">
            <v>0</v>
          </cell>
          <cell r="K2498">
            <v>0</v>
          </cell>
          <cell r="L2498">
            <v>12.84</v>
          </cell>
          <cell r="M2498">
            <v>12.84</v>
          </cell>
          <cell r="N2498">
            <v>-12.84</v>
          </cell>
          <cell r="O2498">
            <v>0</v>
          </cell>
          <cell r="R2498">
            <v>0</v>
          </cell>
        </row>
        <row r="2499">
          <cell r="G2499">
            <v>7282.27</v>
          </cell>
          <cell r="I2499">
            <v>117.63</v>
          </cell>
          <cell r="J2499">
            <v>0</v>
          </cell>
          <cell r="K2499">
            <v>0</v>
          </cell>
          <cell r="L2499">
            <v>117.63</v>
          </cell>
          <cell r="M2499">
            <v>7805.59</v>
          </cell>
          <cell r="N2499">
            <v>2144.3299999999899</v>
          </cell>
          <cell r="O2499">
            <v>0</v>
          </cell>
          <cell r="R2499">
            <v>2.2000000000000002</v>
          </cell>
        </row>
        <row r="2500">
          <cell r="G2500">
            <v>29129.0999999999</v>
          </cell>
          <cell r="I2500">
            <v>470.56</v>
          </cell>
          <cell r="J2500">
            <v>0</v>
          </cell>
          <cell r="K2500">
            <v>0</v>
          </cell>
          <cell r="L2500">
            <v>470.56</v>
          </cell>
          <cell r="M2500">
            <v>31222.32</v>
          </cell>
          <cell r="N2500">
            <v>8577.36</v>
          </cell>
          <cell r="O2500">
            <v>0</v>
          </cell>
          <cell r="R2500">
            <v>8.8499999999999908</v>
          </cell>
        </row>
        <row r="2501">
          <cell r="G2501">
            <v>14564.549999999899</v>
          </cell>
          <cell r="I2501">
            <v>235.28</v>
          </cell>
          <cell r="J2501">
            <v>1779.1199999999899</v>
          </cell>
          <cell r="K2501">
            <v>0</v>
          </cell>
          <cell r="L2501">
            <v>2014.4</v>
          </cell>
          <cell r="M2501">
            <v>17420.2599999999</v>
          </cell>
          <cell r="N2501">
            <v>3215.1799999999898</v>
          </cell>
          <cell r="O2501">
            <v>0</v>
          </cell>
          <cell r="R2501">
            <v>4.4299999999999899</v>
          </cell>
        </row>
        <row r="2502">
          <cell r="G2502">
            <v>14564.54</v>
          </cell>
          <cell r="I2502">
            <v>235.28</v>
          </cell>
          <cell r="J2502">
            <v>0</v>
          </cell>
          <cell r="K2502">
            <v>0</v>
          </cell>
          <cell r="L2502">
            <v>235.28</v>
          </cell>
          <cell r="M2502">
            <v>15616.87</v>
          </cell>
          <cell r="N2502">
            <v>4423.13</v>
          </cell>
          <cell r="O2502">
            <v>0</v>
          </cell>
          <cell r="R2502">
            <v>4.4299999999999899</v>
          </cell>
        </row>
        <row r="2503">
          <cell r="G2503">
            <v>14564.549999999899</v>
          </cell>
          <cell r="I2503">
            <v>235.28</v>
          </cell>
          <cell r="J2503">
            <v>1335.1199999999899</v>
          </cell>
          <cell r="K2503">
            <v>0</v>
          </cell>
          <cell r="L2503">
            <v>1570.4</v>
          </cell>
          <cell r="M2503">
            <v>16978.799999999901</v>
          </cell>
          <cell r="N2503">
            <v>3719.04</v>
          </cell>
          <cell r="O2503">
            <v>0</v>
          </cell>
          <cell r="R2503">
            <v>4.4299999999999899</v>
          </cell>
        </row>
        <row r="2504">
          <cell r="G2504">
            <v>21451.5099999999</v>
          </cell>
          <cell r="I2504">
            <v>333.31999999999903</v>
          </cell>
          <cell r="J2504">
            <v>0</v>
          </cell>
          <cell r="K2504">
            <v>0</v>
          </cell>
          <cell r="L2504">
            <v>333.31999999999903</v>
          </cell>
          <cell r="M2504">
            <v>22907.709999999901</v>
          </cell>
          <cell r="N2504">
            <v>4634.4499999999898</v>
          </cell>
          <cell r="O2504">
            <v>0</v>
          </cell>
          <cell r="R2504">
            <v>6.53</v>
          </cell>
        </row>
        <row r="2505">
          <cell r="G2505">
            <v>16991.97</v>
          </cell>
          <cell r="I2505">
            <v>274.48</v>
          </cell>
          <cell r="J2505">
            <v>0</v>
          </cell>
          <cell r="K2505">
            <v>0</v>
          </cell>
          <cell r="L2505">
            <v>274.48</v>
          </cell>
          <cell r="M2505">
            <v>18213</v>
          </cell>
          <cell r="N2505">
            <v>5003.4799999999896</v>
          </cell>
          <cell r="O2505">
            <v>0</v>
          </cell>
          <cell r="R2505">
            <v>5.1699999999999902</v>
          </cell>
        </row>
        <row r="2506">
          <cell r="G2506">
            <v>13350.83</v>
          </cell>
          <cell r="I2506">
            <v>215.68</v>
          </cell>
          <cell r="J2506">
            <v>1361.14</v>
          </cell>
          <cell r="K2506">
            <v>0</v>
          </cell>
          <cell r="L2506">
            <v>1576.8199999999899</v>
          </cell>
          <cell r="M2506">
            <v>15703.57</v>
          </cell>
          <cell r="N2506">
            <v>3326.4299999999898</v>
          </cell>
          <cell r="O2506">
            <v>0</v>
          </cell>
          <cell r="R2506">
            <v>4.0499999999999901</v>
          </cell>
        </row>
        <row r="2507">
          <cell r="G2507">
            <v>29129.0999999999</v>
          </cell>
          <cell r="I2507">
            <v>470.56</v>
          </cell>
          <cell r="J2507">
            <v>1200.96</v>
          </cell>
          <cell r="K2507">
            <v>0</v>
          </cell>
          <cell r="L2507">
            <v>1671.52</v>
          </cell>
          <cell r="M2507">
            <v>32435.4399999999</v>
          </cell>
          <cell r="N2507">
            <v>7662.56</v>
          </cell>
          <cell r="O2507">
            <v>0</v>
          </cell>
          <cell r="R2507">
            <v>8.8499999999999908</v>
          </cell>
        </row>
        <row r="2508">
          <cell r="G2508">
            <v>89842.41</v>
          </cell>
          <cell r="I2508">
            <v>1411.64</v>
          </cell>
          <cell r="J2508">
            <v>5105.76</v>
          </cell>
          <cell r="K2508">
            <v>0</v>
          </cell>
          <cell r="L2508">
            <v>6517.3999999999896</v>
          </cell>
          <cell r="M2508">
            <v>101372.64</v>
          </cell>
          <cell r="N2508">
            <v>21578.639999999901</v>
          </cell>
          <cell r="O2508">
            <v>0</v>
          </cell>
          <cell r="R2508">
            <v>27.3</v>
          </cell>
        </row>
        <row r="2509">
          <cell r="G2509">
            <v>4854.8500000000004</v>
          </cell>
          <cell r="I2509">
            <v>78.42</v>
          </cell>
          <cell r="J2509">
            <v>0</v>
          </cell>
          <cell r="K2509">
            <v>0</v>
          </cell>
          <cell r="L2509">
            <v>78.42</v>
          </cell>
          <cell r="M2509">
            <v>5203.6999999999898</v>
          </cell>
          <cell r="N2509">
            <v>1429.5799999999899</v>
          </cell>
          <cell r="O2509">
            <v>0</v>
          </cell>
          <cell r="R2509">
            <v>1.48</v>
          </cell>
        </row>
        <row r="2510">
          <cell r="G2510">
            <v>0</v>
          </cell>
          <cell r="I2510">
            <v>0</v>
          </cell>
          <cell r="J2510">
            <v>19634.63</v>
          </cell>
          <cell r="K2510">
            <v>0</v>
          </cell>
          <cell r="L2510">
            <v>19634.63</v>
          </cell>
          <cell r="M2510">
            <v>19634.63</v>
          </cell>
          <cell r="N2510">
            <v>-19634.63</v>
          </cell>
          <cell r="O2510">
            <v>0</v>
          </cell>
          <cell r="R2510">
            <v>0</v>
          </cell>
        </row>
        <row r="2511">
          <cell r="G2511">
            <v>43693.709999999897</v>
          </cell>
          <cell r="I2511">
            <v>705.82</v>
          </cell>
          <cell r="J2511">
            <v>3602.88</v>
          </cell>
          <cell r="K2511">
            <v>0</v>
          </cell>
          <cell r="L2511">
            <v>4308.6999999999898</v>
          </cell>
          <cell r="M2511">
            <v>50533.15</v>
          </cell>
          <cell r="N2511">
            <v>11539.25</v>
          </cell>
          <cell r="O2511">
            <v>0</v>
          </cell>
          <cell r="R2511">
            <v>13.2799999999999</v>
          </cell>
        </row>
        <row r="2512">
          <cell r="G2512">
            <v>14564.549999999899</v>
          </cell>
          <cell r="I2512">
            <v>235.28</v>
          </cell>
          <cell r="J2512">
            <v>1300.8</v>
          </cell>
          <cell r="K2512">
            <v>0</v>
          </cell>
          <cell r="L2512">
            <v>1536.0799999999899</v>
          </cell>
          <cell r="M2512">
            <v>16944.48</v>
          </cell>
          <cell r="N2512">
            <v>3753.36</v>
          </cell>
          <cell r="O2512">
            <v>0</v>
          </cell>
          <cell r="R2512">
            <v>4.4299999999999899</v>
          </cell>
        </row>
        <row r="2513">
          <cell r="G2513">
            <v>19419.400000000001</v>
          </cell>
          <cell r="I2513">
            <v>313.69999999999902</v>
          </cell>
          <cell r="J2513">
            <v>1971.1199999999899</v>
          </cell>
          <cell r="K2513">
            <v>0</v>
          </cell>
          <cell r="L2513">
            <v>2284.8200000000002</v>
          </cell>
          <cell r="M2513">
            <v>22807</v>
          </cell>
          <cell r="N2513">
            <v>4239.8</v>
          </cell>
          <cell r="O2513">
            <v>0</v>
          </cell>
          <cell r="R2513">
            <v>5.91</v>
          </cell>
        </row>
        <row r="2514">
          <cell r="G2514">
            <v>29129.0999999999</v>
          </cell>
          <cell r="I2514">
            <v>470.56</v>
          </cell>
          <cell r="J2514">
            <v>3003.84</v>
          </cell>
          <cell r="K2514">
            <v>0</v>
          </cell>
          <cell r="L2514">
            <v>3474.4</v>
          </cell>
          <cell r="M2514">
            <v>34302.230000000003</v>
          </cell>
          <cell r="N2514">
            <v>7363.21</v>
          </cell>
          <cell r="O2514">
            <v>0</v>
          </cell>
          <cell r="R2514">
            <v>8.8499999999999908</v>
          </cell>
        </row>
        <row r="2515">
          <cell r="G2515">
            <v>14564.549999999899</v>
          </cell>
          <cell r="I2515">
            <v>235.28</v>
          </cell>
          <cell r="J2515">
            <v>1419.1199999999899</v>
          </cell>
          <cell r="K2515">
            <v>0</v>
          </cell>
          <cell r="L2515">
            <v>1654.4</v>
          </cell>
          <cell r="M2515">
            <v>17056.889999999901</v>
          </cell>
          <cell r="N2515">
            <v>3495.51</v>
          </cell>
          <cell r="O2515">
            <v>0</v>
          </cell>
          <cell r="R2515">
            <v>4.4299999999999899</v>
          </cell>
        </row>
        <row r="2516">
          <cell r="G2516">
            <v>15171.4</v>
          </cell>
          <cell r="I2516">
            <v>245.069999999999</v>
          </cell>
          <cell r="J2516">
            <v>1935.8499999999899</v>
          </cell>
          <cell r="K2516">
            <v>0</v>
          </cell>
          <cell r="L2516">
            <v>2180.92</v>
          </cell>
          <cell r="M2516">
            <v>18211.029999999901</v>
          </cell>
          <cell r="N2516">
            <v>2850.4699999999898</v>
          </cell>
          <cell r="O2516">
            <v>0</v>
          </cell>
          <cell r="R2516">
            <v>4.6100000000000003</v>
          </cell>
        </row>
        <row r="2517">
          <cell r="G2517">
            <v>46148.76</v>
          </cell>
          <cell r="I2517">
            <v>705.82</v>
          </cell>
          <cell r="J2517">
            <v>0</v>
          </cell>
          <cell r="K2517">
            <v>0</v>
          </cell>
          <cell r="L2517">
            <v>705.82</v>
          </cell>
          <cell r="M2517">
            <v>49232.809999999903</v>
          </cell>
          <cell r="N2517">
            <v>9098.70999999999</v>
          </cell>
          <cell r="O2517">
            <v>0</v>
          </cell>
          <cell r="R2517">
            <v>14.02</v>
          </cell>
        </row>
        <row r="2518">
          <cell r="G2518">
            <v>44512.019999999902</v>
          </cell>
          <cell r="I2518">
            <v>705.84</v>
          </cell>
          <cell r="J2518">
            <v>2212.8000000000002</v>
          </cell>
          <cell r="K2518">
            <v>0</v>
          </cell>
          <cell r="L2518">
            <v>2918.6399999999899</v>
          </cell>
          <cell r="M2518">
            <v>49913.4</v>
          </cell>
          <cell r="N2518">
            <v>10981.799999999899</v>
          </cell>
          <cell r="O2518">
            <v>0</v>
          </cell>
          <cell r="R2518">
            <v>13.5299999999999</v>
          </cell>
        </row>
        <row r="2519">
          <cell r="G2519">
            <v>0</v>
          </cell>
          <cell r="I2519">
            <v>580.47</v>
          </cell>
          <cell r="J2519">
            <v>0</v>
          </cell>
          <cell r="K2519">
            <v>0</v>
          </cell>
          <cell r="L2519">
            <v>580.47</v>
          </cell>
          <cell r="M2519">
            <v>580.47</v>
          </cell>
          <cell r="N2519">
            <v>-580.47</v>
          </cell>
          <cell r="O2519">
            <v>0</v>
          </cell>
          <cell r="R2519">
            <v>0</v>
          </cell>
        </row>
        <row r="2520">
          <cell r="G2520">
            <v>15382.92</v>
          </cell>
          <cell r="I2520">
            <v>235.28</v>
          </cell>
          <cell r="J2520">
            <v>0</v>
          </cell>
          <cell r="K2520">
            <v>0</v>
          </cell>
          <cell r="L2520">
            <v>235.28</v>
          </cell>
          <cell r="M2520">
            <v>16415.7599999999</v>
          </cell>
          <cell r="N2520">
            <v>3146.1599999999899</v>
          </cell>
          <cell r="O2520">
            <v>0</v>
          </cell>
          <cell r="R2520">
            <v>4.6799999999999899</v>
          </cell>
        </row>
        <row r="2521">
          <cell r="G2521">
            <v>14564.549999999899</v>
          </cell>
          <cell r="I2521">
            <v>235.28</v>
          </cell>
          <cell r="J2521">
            <v>1637.28</v>
          </cell>
          <cell r="K2521">
            <v>0</v>
          </cell>
          <cell r="L2521">
            <v>1872.5599999999899</v>
          </cell>
          <cell r="M2521">
            <v>17272.5</v>
          </cell>
          <cell r="N2521">
            <v>3217.7399999999898</v>
          </cell>
          <cell r="O2521">
            <v>0</v>
          </cell>
          <cell r="R2521">
            <v>4.4299999999999899</v>
          </cell>
        </row>
        <row r="2522">
          <cell r="G2522">
            <v>131080.95000000001</v>
          </cell>
          <cell r="I2522">
            <v>2117.42</v>
          </cell>
          <cell r="J2522">
            <v>15570.24</v>
          </cell>
          <cell r="K2522">
            <v>0</v>
          </cell>
          <cell r="L2522">
            <v>17687.66</v>
          </cell>
          <cell r="M2522">
            <v>156348.97</v>
          </cell>
          <cell r="N2522">
            <v>29577.83</v>
          </cell>
          <cell r="O2522">
            <v>0</v>
          </cell>
          <cell r="R2522">
            <v>39.82</v>
          </cell>
        </row>
        <row r="2523">
          <cell r="G2523">
            <v>12126.01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12996.24</v>
          </cell>
          <cell r="N2523">
            <v>4003.76</v>
          </cell>
          <cell r="O2523">
            <v>0</v>
          </cell>
          <cell r="R2523">
            <v>0</v>
          </cell>
        </row>
        <row r="2524">
          <cell r="G2524">
            <v>6669.31</v>
          </cell>
          <cell r="I2524">
            <v>0</v>
          </cell>
          <cell r="J2524">
            <v>0</v>
          </cell>
          <cell r="K2524">
            <v>0</v>
          </cell>
          <cell r="L2524">
            <v>0</v>
          </cell>
          <cell r="M2524">
            <v>7144.5699999999897</v>
          </cell>
          <cell r="N2524">
            <v>2139.98</v>
          </cell>
          <cell r="O2524">
            <v>0</v>
          </cell>
          <cell r="R2524">
            <v>0</v>
          </cell>
        </row>
        <row r="2525">
          <cell r="G2525">
            <v>1818.9</v>
          </cell>
          <cell r="I2525">
            <v>0</v>
          </cell>
          <cell r="J2525">
            <v>0</v>
          </cell>
          <cell r="K2525">
            <v>0</v>
          </cell>
          <cell r="L2525">
            <v>0</v>
          </cell>
          <cell r="M2525">
            <v>1949.43</v>
          </cell>
          <cell r="N2525">
            <v>600.57000000000005</v>
          </cell>
          <cell r="O2525">
            <v>0</v>
          </cell>
          <cell r="R2525">
            <v>0</v>
          </cell>
        </row>
        <row r="2526">
          <cell r="G2526">
            <v>58811.18</v>
          </cell>
          <cell r="I2526">
            <v>0</v>
          </cell>
          <cell r="J2526">
            <v>0</v>
          </cell>
          <cell r="K2526">
            <v>0</v>
          </cell>
          <cell r="L2526">
            <v>0</v>
          </cell>
          <cell r="M2526">
            <v>63002.400000000001</v>
          </cell>
          <cell r="N2526">
            <v>18870.45</v>
          </cell>
          <cell r="O2526">
            <v>0</v>
          </cell>
          <cell r="R2526">
            <v>0</v>
          </cell>
        </row>
        <row r="2527">
          <cell r="G2527">
            <v>14551.24</v>
          </cell>
          <cell r="I2527">
            <v>0</v>
          </cell>
          <cell r="J2527">
            <v>1344.96</v>
          </cell>
          <cell r="K2527">
            <v>0</v>
          </cell>
          <cell r="L2527">
            <v>1344.96</v>
          </cell>
          <cell r="M2527">
            <v>16951.560000000001</v>
          </cell>
          <cell r="N2527">
            <v>3663.2399999999898</v>
          </cell>
          <cell r="O2527">
            <v>0</v>
          </cell>
          <cell r="R2527">
            <v>0</v>
          </cell>
        </row>
        <row r="2528">
          <cell r="G2528">
            <v>14551.219999999899</v>
          </cell>
          <cell r="I2528">
            <v>0</v>
          </cell>
          <cell r="J2528">
            <v>1212.48</v>
          </cell>
          <cell r="K2528">
            <v>0</v>
          </cell>
          <cell r="L2528">
            <v>1212.48</v>
          </cell>
          <cell r="M2528">
            <v>15763.7</v>
          </cell>
          <cell r="N2528">
            <v>4788.6999999999898</v>
          </cell>
          <cell r="O2528">
            <v>0</v>
          </cell>
          <cell r="R2528">
            <v>0</v>
          </cell>
        </row>
        <row r="2529">
          <cell r="G2529">
            <v>14551.219999999899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14551.219999999899</v>
          </cell>
          <cell r="N2529">
            <v>5705.9799999999896</v>
          </cell>
          <cell r="O2529">
            <v>0</v>
          </cell>
          <cell r="R2529">
            <v>0</v>
          </cell>
        </row>
        <row r="2530">
          <cell r="G2530">
            <v>15392.92</v>
          </cell>
          <cell r="I2530">
            <v>0</v>
          </cell>
          <cell r="J2530">
            <v>894.72</v>
          </cell>
          <cell r="K2530">
            <v>0</v>
          </cell>
          <cell r="L2530">
            <v>894.72</v>
          </cell>
          <cell r="M2530">
            <v>16287.639999999899</v>
          </cell>
          <cell r="N2530">
            <v>4832.3599999999897</v>
          </cell>
          <cell r="O2530">
            <v>0</v>
          </cell>
          <cell r="R2530">
            <v>0</v>
          </cell>
        </row>
        <row r="2531">
          <cell r="G2531">
            <v>104984.64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104984.64</v>
          </cell>
          <cell r="N2531">
            <v>31966.9199999999</v>
          </cell>
          <cell r="O2531">
            <v>0</v>
          </cell>
          <cell r="R2531">
            <v>0</v>
          </cell>
        </row>
        <row r="2532">
          <cell r="G2532">
            <v>6063.01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6063.01</v>
          </cell>
          <cell r="N2532">
            <v>2377.4899999999898</v>
          </cell>
          <cell r="O2532">
            <v>0</v>
          </cell>
          <cell r="R2532">
            <v>0</v>
          </cell>
        </row>
        <row r="2533">
          <cell r="G2533">
            <v>14551.219999999899</v>
          </cell>
          <cell r="I2533">
            <v>0</v>
          </cell>
          <cell r="J2533">
            <v>1833.8399999999899</v>
          </cell>
          <cell r="K2533">
            <v>0</v>
          </cell>
          <cell r="L2533">
            <v>1833.8399999999899</v>
          </cell>
          <cell r="M2533">
            <v>16385.060000000001</v>
          </cell>
          <cell r="N2533">
            <v>4229.7399999999898</v>
          </cell>
          <cell r="O2533">
            <v>0</v>
          </cell>
          <cell r="R2533">
            <v>0</v>
          </cell>
        </row>
        <row r="2534">
          <cell r="G2534">
            <v>15392.92</v>
          </cell>
          <cell r="I2534">
            <v>0</v>
          </cell>
          <cell r="J2534">
            <v>894.72</v>
          </cell>
          <cell r="K2534">
            <v>0</v>
          </cell>
          <cell r="L2534">
            <v>894.72</v>
          </cell>
          <cell r="M2534">
            <v>16287.639999999899</v>
          </cell>
          <cell r="N2534">
            <v>4684.5200000000004</v>
          </cell>
          <cell r="O2534">
            <v>0</v>
          </cell>
          <cell r="R2534">
            <v>0</v>
          </cell>
        </row>
        <row r="2535">
          <cell r="G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R2535">
            <v>0</v>
          </cell>
        </row>
        <row r="2536">
          <cell r="G2536">
            <v>3302350.79</v>
          </cell>
          <cell r="I2536">
            <v>44079.389999999898</v>
          </cell>
          <cell r="J2536">
            <v>0</v>
          </cell>
          <cell r="K2536">
            <v>10.09</v>
          </cell>
          <cell r="L2536">
            <v>44089.48</v>
          </cell>
          <cell r="M2536">
            <v>3443300.66</v>
          </cell>
          <cell r="N2536">
            <v>-402558.94</v>
          </cell>
          <cell r="O2536">
            <v>0</v>
          </cell>
          <cell r="R2536">
            <v>7662.09</v>
          </cell>
        </row>
        <row r="2537">
          <cell r="G2537">
            <v>6721.81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6721.81</v>
          </cell>
          <cell r="N2537">
            <v>-6721.79</v>
          </cell>
          <cell r="O2537">
            <v>0</v>
          </cell>
          <cell r="R2537">
            <v>0</v>
          </cell>
        </row>
        <row r="2538">
          <cell r="G2538">
            <v>47463.18</v>
          </cell>
          <cell r="I2538">
            <v>548.20000000000005</v>
          </cell>
          <cell r="J2538">
            <v>1981.44</v>
          </cell>
          <cell r="K2538">
            <v>0.13</v>
          </cell>
          <cell r="L2538">
            <v>2529.77</v>
          </cell>
          <cell r="M2538">
            <v>51872.29</v>
          </cell>
          <cell r="N2538">
            <v>7125.71</v>
          </cell>
          <cell r="O2538">
            <v>0</v>
          </cell>
          <cell r="R2538">
            <v>95.939999999999898</v>
          </cell>
        </row>
        <row r="2539">
          <cell r="G2539">
            <v>31642.119999999901</v>
          </cell>
          <cell r="I2539">
            <v>365.47</v>
          </cell>
          <cell r="J2539">
            <v>3104.52</v>
          </cell>
          <cell r="K2539">
            <v>8.99999999999999E-2</v>
          </cell>
          <cell r="L2539">
            <v>3470.0799999999899</v>
          </cell>
          <cell r="M2539">
            <v>36404.209999999897</v>
          </cell>
          <cell r="N2539">
            <v>4155.79</v>
          </cell>
          <cell r="O2539">
            <v>0</v>
          </cell>
          <cell r="R2539">
            <v>63.95</v>
          </cell>
        </row>
        <row r="2540">
          <cell r="G2540">
            <v>31642.119999999901</v>
          </cell>
          <cell r="I2540">
            <v>365.47</v>
          </cell>
          <cell r="J2540">
            <v>3085.44</v>
          </cell>
          <cell r="K2540">
            <v>8.99999999999999E-2</v>
          </cell>
          <cell r="L2540">
            <v>3451</v>
          </cell>
          <cell r="M2540">
            <v>36400.449999999903</v>
          </cell>
          <cell r="N2540">
            <v>4639.55</v>
          </cell>
          <cell r="O2540">
            <v>0</v>
          </cell>
          <cell r="R2540">
            <v>63.95</v>
          </cell>
        </row>
        <row r="2541">
          <cell r="G2541">
            <v>15821.059999999899</v>
          </cell>
          <cell r="I2541">
            <v>182.729999999999</v>
          </cell>
          <cell r="J2541">
            <v>2076.2399999999898</v>
          </cell>
          <cell r="K2541">
            <v>0.04</v>
          </cell>
          <cell r="L2541">
            <v>2259.0100000000002</v>
          </cell>
          <cell r="M2541">
            <v>18706.41</v>
          </cell>
          <cell r="N2541">
            <v>955.11</v>
          </cell>
          <cell r="O2541">
            <v>0</v>
          </cell>
          <cell r="R2541">
            <v>31.989999999999899</v>
          </cell>
        </row>
        <row r="2542">
          <cell r="G2542">
            <v>47857.57</v>
          </cell>
          <cell r="I2542">
            <v>548.20000000000005</v>
          </cell>
          <cell r="J2542">
            <v>0</v>
          </cell>
          <cell r="K2542">
            <v>0.13</v>
          </cell>
          <cell r="L2542">
            <v>548.33000000000004</v>
          </cell>
          <cell r="M2542">
            <v>50255</v>
          </cell>
          <cell r="N2542">
            <v>7792.84</v>
          </cell>
          <cell r="O2542">
            <v>0</v>
          </cell>
          <cell r="R2542">
            <v>96.73</v>
          </cell>
        </row>
        <row r="2543">
          <cell r="G2543">
            <v>31642.119999999901</v>
          </cell>
          <cell r="I2543">
            <v>365.47</v>
          </cell>
          <cell r="J2543">
            <v>2969.76</v>
          </cell>
          <cell r="K2543">
            <v>8.99999999999999E-2</v>
          </cell>
          <cell r="L2543">
            <v>3335.32</v>
          </cell>
          <cell r="M2543">
            <v>36245.22</v>
          </cell>
          <cell r="N2543">
            <v>3554.46</v>
          </cell>
          <cell r="O2543">
            <v>0</v>
          </cell>
          <cell r="R2543">
            <v>63.95</v>
          </cell>
        </row>
        <row r="2544">
          <cell r="G2544">
            <v>47463.18</v>
          </cell>
          <cell r="I2544">
            <v>548.20000000000005</v>
          </cell>
          <cell r="J2544">
            <v>0</v>
          </cell>
          <cell r="K2544">
            <v>0.13</v>
          </cell>
          <cell r="L2544">
            <v>548.33000000000004</v>
          </cell>
          <cell r="M2544">
            <v>49853.949999999903</v>
          </cell>
          <cell r="N2544">
            <v>7986.05</v>
          </cell>
          <cell r="O2544">
            <v>0</v>
          </cell>
          <cell r="R2544">
            <v>95.939999999999898</v>
          </cell>
        </row>
        <row r="2545">
          <cell r="G2545">
            <v>628751.9</v>
          </cell>
          <cell r="I2545">
            <v>7248.43</v>
          </cell>
          <cell r="J2545">
            <v>65453.919999999896</v>
          </cell>
          <cell r="K2545">
            <v>1.7</v>
          </cell>
          <cell r="L2545">
            <v>72704.05</v>
          </cell>
          <cell r="M2545">
            <v>726552.26</v>
          </cell>
          <cell r="N2545">
            <v>61298.699999999903</v>
          </cell>
          <cell r="O2545">
            <v>0</v>
          </cell>
          <cell r="R2545">
            <v>1271.04</v>
          </cell>
        </row>
        <row r="2546">
          <cell r="G2546">
            <v>47632.889999999898</v>
          </cell>
          <cell r="I2546">
            <v>536.77999999999895</v>
          </cell>
          <cell r="J2546">
            <v>1419.1199999999899</v>
          </cell>
          <cell r="K2546">
            <v>0.13</v>
          </cell>
          <cell r="L2546">
            <v>1956.03</v>
          </cell>
          <cell r="M2546">
            <v>51427.07</v>
          </cell>
          <cell r="N2546">
            <v>6277.93</v>
          </cell>
          <cell r="O2546">
            <v>0</v>
          </cell>
          <cell r="R2546">
            <v>96.29</v>
          </cell>
        </row>
        <row r="2547">
          <cell r="G2547">
            <v>543419.34999999905</v>
          </cell>
          <cell r="I2547">
            <v>6315.7299999999896</v>
          </cell>
          <cell r="J2547">
            <v>59679.26</v>
          </cell>
          <cell r="K2547">
            <v>1.48</v>
          </cell>
          <cell r="L2547">
            <v>65996.47</v>
          </cell>
          <cell r="M2547">
            <v>631347.03</v>
          </cell>
          <cell r="N2547">
            <v>57139.559999999903</v>
          </cell>
          <cell r="O2547">
            <v>0</v>
          </cell>
          <cell r="R2547">
            <v>1098.53</v>
          </cell>
        </row>
        <row r="2548">
          <cell r="G2548">
            <v>15821.059999999899</v>
          </cell>
          <cell r="I2548">
            <v>182.729999999999</v>
          </cell>
          <cell r="J2548">
            <v>0</v>
          </cell>
          <cell r="K2548">
            <v>0.04</v>
          </cell>
          <cell r="L2548">
            <v>182.77</v>
          </cell>
          <cell r="M2548">
            <v>16618.7599999999</v>
          </cell>
          <cell r="N2548">
            <v>2685.1599999999899</v>
          </cell>
          <cell r="O2548">
            <v>0</v>
          </cell>
          <cell r="R2548">
            <v>31.989999999999899</v>
          </cell>
        </row>
        <row r="2549">
          <cell r="G2549">
            <v>160239.12</v>
          </cell>
          <cell r="I2549">
            <v>1823.54</v>
          </cell>
          <cell r="J2549">
            <v>0</v>
          </cell>
          <cell r="K2549">
            <v>0.42999999999999899</v>
          </cell>
          <cell r="L2549">
            <v>1823.97</v>
          </cell>
          <cell r="M2549">
            <v>168199.45</v>
          </cell>
          <cell r="N2549">
            <v>24437.59</v>
          </cell>
          <cell r="O2549">
            <v>0</v>
          </cell>
          <cell r="R2549">
            <v>323.92</v>
          </cell>
        </row>
        <row r="2550">
          <cell r="G2550">
            <v>229140.549999999</v>
          </cell>
          <cell r="I2550">
            <v>2642.01</v>
          </cell>
          <cell r="J2550">
            <v>16483.490000000002</v>
          </cell>
          <cell r="K2550">
            <v>0.62</v>
          </cell>
          <cell r="L2550">
            <v>19126.119999999901</v>
          </cell>
          <cell r="M2550">
            <v>257365.609999999</v>
          </cell>
          <cell r="N2550">
            <v>28277.0099999999</v>
          </cell>
          <cell r="O2550">
            <v>0</v>
          </cell>
          <cell r="R2550">
            <v>463.19999999999902</v>
          </cell>
        </row>
        <row r="2551">
          <cell r="G2551">
            <v>95320.75</v>
          </cell>
          <cell r="I2551">
            <v>1096.4000000000001</v>
          </cell>
          <cell r="J2551">
            <v>0</v>
          </cell>
          <cell r="K2551">
            <v>0.25</v>
          </cell>
          <cell r="L2551">
            <v>1096.6500000000001</v>
          </cell>
          <cell r="M2551">
            <v>100091.649999999</v>
          </cell>
          <cell r="N2551">
            <v>15255.23</v>
          </cell>
          <cell r="O2551">
            <v>0</v>
          </cell>
          <cell r="R2551">
            <v>192.69999999999899</v>
          </cell>
        </row>
        <row r="2552">
          <cell r="G2552">
            <v>63284.239999999903</v>
          </cell>
          <cell r="I2552">
            <v>730.94</v>
          </cell>
          <cell r="J2552">
            <v>7276.0799999999899</v>
          </cell>
          <cell r="K2552">
            <v>0.17</v>
          </cell>
          <cell r="L2552">
            <v>8007.1899999999896</v>
          </cell>
          <cell r="M2552">
            <v>73878.69</v>
          </cell>
          <cell r="N2552">
            <v>7342.8299999999899</v>
          </cell>
          <cell r="O2552">
            <v>0</v>
          </cell>
          <cell r="R2552">
            <v>127.93</v>
          </cell>
        </row>
        <row r="2553">
          <cell r="G2553">
            <v>15821.059999999899</v>
          </cell>
          <cell r="I2553">
            <v>182.729999999999</v>
          </cell>
          <cell r="J2553">
            <v>0</v>
          </cell>
          <cell r="K2553">
            <v>0.04</v>
          </cell>
          <cell r="L2553">
            <v>182.77</v>
          </cell>
          <cell r="M2553">
            <v>16618.7599999999</v>
          </cell>
          <cell r="N2553">
            <v>2685.1599999999899</v>
          </cell>
          <cell r="O2553">
            <v>0</v>
          </cell>
          <cell r="R2553">
            <v>31.989999999999899</v>
          </cell>
        </row>
        <row r="2554">
          <cell r="G2554">
            <v>48646.349999999897</v>
          </cell>
          <cell r="I2554">
            <v>548.20000000000005</v>
          </cell>
          <cell r="J2554">
            <v>3920.88</v>
          </cell>
          <cell r="K2554">
            <v>0.13</v>
          </cell>
          <cell r="L2554">
            <v>4469.21</v>
          </cell>
          <cell r="M2554">
            <v>55047.61</v>
          </cell>
          <cell r="N2554">
            <v>5605.1899999999896</v>
          </cell>
          <cell r="O2554">
            <v>0</v>
          </cell>
          <cell r="R2554">
            <v>98.349999999999895</v>
          </cell>
        </row>
        <row r="2555">
          <cell r="G2555">
            <v>90047.059999999896</v>
          </cell>
          <cell r="I2555">
            <v>1035.49</v>
          </cell>
          <cell r="J2555">
            <v>4168.96</v>
          </cell>
          <cell r="K2555">
            <v>0.23999999999999899</v>
          </cell>
          <cell r="L2555">
            <v>5204.6899999999896</v>
          </cell>
          <cell r="M2555">
            <v>98786.83</v>
          </cell>
          <cell r="N2555">
            <v>12191.17</v>
          </cell>
          <cell r="O2555">
            <v>0</v>
          </cell>
          <cell r="R2555">
            <v>182.03</v>
          </cell>
        </row>
        <row r="2556">
          <cell r="G2556">
            <v>221889.23</v>
          </cell>
          <cell r="I2556">
            <v>2558.27</v>
          </cell>
          <cell r="J2556">
            <v>14461.68</v>
          </cell>
          <cell r="K2556">
            <v>0.59999999999999898</v>
          </cell>
          <cell r="L2556">
            <v>17020.549999999901</v>
          </cell>
          <cell r="M2556">
            <v>247666.66</v>
          </cell>
          <cell r="N2556">
            <v>27236.779999999901</v>
          </cell>
          <cell r="O2556">
            <v>0</v>
          </cell>
          <cell r="R2556">
            <v>448.55</v>
          </cell>
        </row>
        <row r="2557">
          <cell r="G2557">
            <v>32430.9</v>
          </cell>
          <cell r="I2557">
            <v>365.47</v>
          </cell>
          <cell r="J2557">
            <v>0</v>
          </cell>
          <cell r="K2557">
            <v>8.99999999999999E-2</v>
          </cell>
          <cell r="L2557">
            <v>365.56</v>
          </cell>
          <cell r="M2557">
            <v>34026.269999999902</v>
          </cell>
          <cell r="N2557">
            <v>4581.5699999999897</v>
          </cell>
          <cell r="O2557">
            <v>0</v>
          </cell>
          <cell r="R2557">
            <v>65.56</v>
          </cell>
        </row>
        <row r="2558">
          <cell r="G2558">
            <v>31642.119999999901</v>
          </cell>
          <cell r="I2558">
            <v>365.47</v>
          </cell>
          <cell r="J2558">
            <v>0</v>
          </cell>
          <cell r="K2558">
            <v>8.99999999999999E-2</v>
          </cell>
          <cell r="L2558">
            <v>365.56</v>
          </cell>
          <cell r="M2558">
            <v>33237.489999999903</v>
          </cell>
          <cell r="N2558">
            <v>5370.35</v>
          </cell>
          <cell r="O2558">
            <v>0</v>
          </cell>
          <cell r="R2558">
            <v>63.95</v>
          </cell>
        </row>
        <row r="2559">
          <cell r="G2559">
            <v>15821.059999999899</v>
          </cell>
          <cell r="I2559">
            <v>182.729999999999</v>
          </cell>
          <cell r="J2559">
            <v>2076.2399999999898</v>
          </cell>
          <cell r="K2559">
            <v>0.04</v>
          </cell>
          <cell r="L2559">
            <v>2259.0100000000002</v>
          </cell>
          <cell r="M2559">
            <v>18729.119999999901</v>
          </cell>
          <cell r="N2559">
            <v>1647.3599999999899</v>
          </cell>
          <cell r="O2559">
            <v>0</v>
          </cell>
          <cell r="R2559">
            <v>31.989999999999899</v>
          </cell>
        </row>
        <row r="2560">
          <cell r="G2560">
            <v>497687.13</v>
          </cell>
          <cell r="I2560">
            <v>5679.9799999999896</v>
          </cell>
          <cell r="J2560">
            <v>52830.419999999896</v>
          </cell>
          <cell r="K2560">
            <v>1.33</v>
          </cell>
          <cell r="L2560">
            <v>58511.73</v>
          </cell>
          <cell r="M2560">
            <v>575924.45999999903</v>
          </cell>
          <cell r="N2560">
            <v>43322.82</v>
          </cell>
          <cell r="O2560">
            <v>0</v>
          </cell>
          <cell r="R2560">
            <v>1006.07</v>
          </cell>
        </row>
        <row r="2561">
          <cell r="G2561">
            <v>64467.41</v>
          </cell>
          <cell r="I2561">
            <v>730.92999999999904</v>
          </cell>
          <cell r="J2561">
            <v>0</v>
          </cell>
          <cell r="K2561">
            <v>0.17</v>
          </cell>
          <cell r="L2561">
            <v>731.1</v>
          </cell>
          <cell r="M2561">
            <v>67658.19</v>
          </cell>
          <cell r="N2561">
            <v>9557.4899999999907</v>
          </cell>
          <cell r="O2561">
            <v>0</v>
          </cell>
          <cell r="R2561">
            <v>130.34</v>
          </cell>
        </row>
        <row r="2562">
          <cell r="G2562">
            <v>320759.489999999</v>
          </cell>
          <cell r="I2562">
            <v>3654.67</v>
          </cell>
          <cell r="J2562">
            <v>13407.84</v>
          </cell>
          <cell r="K2562">
            <v>0.85999999999999899</v>
          </cell>
          <cell r="L2562">
            <v>17063.369999999901</v>
          </cell>
          <cell r="M2562">
            <v>350265.28999999899</v>
          </cell>
          <cell r="N2562">
            <v>40342.15</v>
          </cell>
          <cell r="O2562">
            <v>0</v>
          </cell>
          <cell r="R2562">
            <v>648.41999999999905</v>
          </cell>
        </row>
        <row r="2563">
          <cell r="G2563">
            <v>15821.059999999899</v>
          </cell>
          <cell r="I2563">
            <v>182.729999999999</v>
          </cell>
          <cell r="J2563">
            <v>2076.2399999999898</v>
          </cell>
          <cell r="K2563">
            <v>0.04</v>
          </cell>
          <cell r="L2563">
            <v>2259.0100000000002</v>
          </cell>
          <cell r="M2563">
            <v>18710.79</v>
          </cell>
          <cell r="N2563">
            <v>1089.21</v>
          </cell>
          <cell r="O2563">
            <v>0</v>
          </cell>
          <cell r="R2563">
            <v>31.989999999999899</v>
          </cell>
        </row>
        <row r="2564">
          <cell r="G2564">
            <v>32430.9</v>
          </cell>
          <cell r="I2564">
            <v>365.47</v>
          </cell>
          <cell r="J2564">
            <v>2856.7199999999898</v>
          </cell>
          <cell r="K2564">
            <v>8.99999999999999E-2</v>
          </cell>
          <cell r="L2564">
            <v>3222.28</v>
          </cell>
          <cell r="M2564">
            <v>36945.19</v>
          </cell>
          <cell r="N2564">
            <v>3614.8099999999899</v>
          </cell>
          <cell r="O2564">
            <v>0</v>
          </cell>
          <cell r="R2564">
            <v>65.56</v>
          </cell>
        </row>
        <row r="2565">
          <cell r="G2565">
            <v>16215.45</v>
          </cell>
          <cell r="I2565">
            <v>182.729999999999</v>
          </cell>
          <cell r="J2565">
            <v>0</v>
          </cell>
          <cell r="K2565">
            <v>0.04</v>
          </cell>
          <cell r="L2565">
            <v>182.77</v>
          </cell>
          <cell r="M2565">
            <v>17013.150000000001</v>
          </cell>
          <cell r="N2565">
            <v>2290.77</v>
          </cell>
          <cell r="O2565">
            <v>0</v>
          </cell>
          <cell r="R2565">
            <v>32.78</v>
          </cell>
        </row>
        <row r="2566">
          <cell r="G2566">
            <v>167569.12</v>
          </cell>
          <cell r="I2566">
            <v>1926.3199999999899</v>
          </cell>
          <cell r="J2566">
            <v>12949.209999999901</v>
          </cell>
          <cell r="K2566">
            <v>0.46</v>
          </cell>
          <cell r="L2566">
            <v>14875.99</v>
          </cell>
          <cell r="M2566">
            <v>189056.91</v>
          </cell>
          <cell r="N2566">
            <v>18505.830000000002</v>
          </cell>
          <cell r="O2566">
            <v>0</v>
          </cell>
          <cell r="R2566">
            <v>338.74</v>
          </cell>
        </row>
        <row r="2567">
          <cell r="G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R2567">
            <v>0</v>
          </cell>
        </row>
        <row r="2568">
          <cell r="G2568">
            <v>174426.049999999</v>
          </cell>
          <cell r="I2568">
            <v>2010.0699999999899</v>
          </cell>
          <cell r="J2568">
            <v>9395.2800000000007</v>
          </cell>
          <cell r="K2568">
            <v>0.46999999999999897</v>
          </cell>
          <cell r="L2568">
            <v>11405.82</v>
          </cell>
          <cell r="M2568">
            <v>192767.28</v>
          </cell>
          <cell r="N2568">
            <v>24955.9199999999</v>
          </cell>
          <cell r="O2568">
            <v>0</v>
          </cell>
          <cell r="R2568">
            <v>352.6</v>
          </cell>
        </row>
        <row r="2569">
          <cell r="G2569">
            <v>47463.18</v>
          </cell>
          <cell r="I2569">
            <v>548.20000000000005</v>
          </cell>
          <cell r="J2569">
            <v>0</v>
          </cell>
          <cell r="K2569">
            <v>0.13</v>
          </cell>
          <cell r="L2569">
            <v>548.33000000000004</v>
          </cell>
          <cell r="M2569">
            <v>49856.26</v>
          </cell>
          <cell r="N2569">
            <v>8055.5</v>
          </cell>
          <cell r="O2569">
            <v>0</v>
          </cell>
          <cell r="R2569">
            <v>95.939999999999898</v>
          </cell>
        </row>
        <row r="2570">
          <cell r="G2570">
            <v>32430.9</v>
          </cell>
          <cell r="I2570">
            <v>365.47</v>
          </cell>
          <cell r="J2570">
            <v>0</v>
          </cell>
          <cell r="K2570">
            <v>8.99999999999999E-2</v>
          </cell>
          <cell r="L2570">
            <v>365.56</v>
          </cell>
          <cell r="M2570">
            <v>34026.269999999902</v>
          </cell>
          <cell r="N2570">
            <v>4581.5699999999897</v>
          </cell>
          <cell r="O2570">
            <v>0</v>
          </cell>
          <cell r="R2570">
            <v>65.56</v>
          </cell>
        </row>
        <row r="2571">
          <cell r="G2571">
            <v>2935183.79999999</v>
          </cell>
          <cell r="I2571">
            <v>34833.589999999902</v>
          </cell>
          <cell r="J2571">
            <v>0</v>
          </cell>
          <cell r="K2571">
            <v>8.1899999999999906</v>
          </cell>
          <cell r="L2571">
            <v>34841.779999999897</v>
          </cell>
          <cell r="M2571">
            <v>3086426.06</v>
          </cell>
          <cell r="N2571">
            <v>567738.93999999901</v>
          </cell>
          <cell r="O2571">
            <v>0</v>
          </cell>
          <cell r="R2571">
            <v>5933.4899999999898</v>
          </cell>
        </row>
        <row r="2572">
          <cell r="G2572">
            <v>15821.059999999899</v>
          </cell>
          <cell r="I2572">
            <v>182.729999999999</v>
          </cell>
          <cell r="J2572">
            <v>0</v>
          </cell>
          <cell r="K2572">
            <v>0.04</v>
          </cell>
          <cell r="L2572">
            <v>182.77</v>
          </cell>
          <cell r="M2572">
            <v>16618.7599999999</v>
          </cell>
          <cell r="N2572">
            <v>2685.1599999999899</v>
          </cell>
          <cell r="O2572">
            <v>0</v>
          </cell>
          <cell r="R2572">
            <v>31.989999999999899</v>
          </cell>
        </row>
        <row r="2573">
          <cell r="G2573">
            <v>5776883.2300000004</v>
          </cell>
          <cell r="I2573">
            <v>69030.5</v>
          </cell>
          <cell r="J2573">
            <v>0</v>
          </cell>
          <cell r="K2573">
            <v>16.219999999999899</v>
          </cell>
          <cell r="L2573">
            <v>69046.720000000001</v>
          </cell>
          <cell r="M2573">
            <v>6070264.75</v>
          </cell>
          <cell r="N2573">
            <v>972283.84999999905</v>
          </cell>
          <cell r="O2573">
            <v>0</v>
          </cell>
          <cell r="R2573">
            <v>11678.04</v>
          </cell>
        </row>
        <row r="2574">
          <cell r="G2574">
            <v>64073.019999999902</v>
          </cell>
          <cell r="I2574">
            <v>730.94</v>
          </cell>
          <cell r="J2574">
            <v>8199.84</v>
          </cell>
          <cell r="K2574">
            <v>0.17999999999999899</v>
          </cell>
          <cell r="L2574">
            <v>8930.95999999999</v>
          </cell>
          <cell r="M2574">
            <v>75572.740000000005</v>
          </cell>
          <cell r="N2574">
            <v>5067.26</v>
          </cell>
          <cell r="O2574">
            <v>0</v>
          </cell>
          <cell r="R2574">
            <v>129.509999999999</v>
          </cell>
        </row>
        <row r="2575">
          <cell r="G2575">
            <v>15821.059999999899</v>
          </cell>
          <cell r="I2575">
            <v>182.729999999999</v>
          </cell>
          <cell r="J2575">
            <v>2076.2399999999898</v>
          </cell>
          <cell r="K2575">
            <v>0.04</v>
          </cell>
          <cell r="L2575">
            <v>2259.0100000000002</v>
          </cell>
          <cell r="M2575">
            <v>18718.4199999999</v>
          </cell>
          <cell r="N2575">
            <v>1321.5799999999899</v>
          </cell>
          <cell r="O2575">
            <v>0</v>
          </cell>
          <cell r="R2575">
            <v>31.989999999999899</v>
          </cell>
        </row>
        <row r="2576">
          <cell r="G2576">
            <v>15821.059999999899</v>
          </cell>
          <cell r="I2576">
            <v>182.729999999999</v>
          </cell>
          <cell r="J2576">
            <v>0</v>
          </cell>
          <cell r="K2576">
            <v>0.04</v>
          </cell>
          <cell r="L2576">
            <v>182.77</v>
          </cell>
          <cell r="M2576">
            <v>16603.5099999999</v>
          </cell>
          <cell r="N2576">
            <v>2223.77</v>
          </cell>
          <cell r="O2576">
            <v>0</v>
          </cell>
          <cell r="R2576">
            <v>31.989999999999899</v>
          </cell>
        </row>
        <row r="2577">
          <cell r="G2577">
            <v>39947.040000000001</v>
          </cell>
          <cell r="I2577">
            <v>456.82999999999902</v>
          </cell>
          <cell r="J2577">
            <v>5032.92</v>
          </cell>
          <cell r="K2577">
            <v>0.1</v>
          </cell>
          <cell r="L2577">
            <v>5489.85</v>
          </cell>
          <cell r="M2577">
            <v>47048.029999999897</v>
          </cell>
          <cell r="N2577">
            <v>3531.9699999999898</v>
          </cell>
          <cell r="O2577">
            <v>0</v>
          </cell>
          <cell r="R2577">
            <v>80.760000000000005</v>
          </cell>
        </row>
        <row r="2578">
          <cell r="G2578">
            <v>294661.56</v>
          </cell>
          <cell r="I2578">
            <v>3380.5799999999899</v>
          </cell>
          <cell r="J2578">
            <v>17639.52</v>
          </cell>
          <cell r="K2578">
            <v>0.79</v>
          </cell>
          <cell r="L2578">
            <v>21020.889999999901</v>
          </cell>
          <cell r="M2578">
            <v>327362.549999999</v>
          </cell>
          <cell r="N2578">
            <v>39309.209999999897</v>
          </cell>
          <cell r="O2578">
            <v>0</v>
          </cell>
          <cell r="R2578">
            <v>595.66999999999905</v>
          </cell>
        </row>
        <row r="2579">
          <cell r="G2579">
            <v>48251.959999999897</v>
          </cell>
          <cell r="I2579">
            <v>548.20000000000005</v>
          </cell>
          <cell r="J2579">
            <v>2317.92</v>
          </cell>
          <cell r="K2579">
            <v>0.13</v>
          </cell>
          <cell r="L2579">
            <v>2866.25</v>
          </cell>
          <cell r="M2579">
            <v>53000.91</v>
          </cell>
          <cell r="N2579">
            <v>6102.6899999999896</v>
          </cell>
          <cell r="O2579">
            <v>0</v>
          </cell>
          <cell r="R2579">
            <v>97.549999999999898</v>
          </cell>
        </row>
        <row r="2580">
          <cell r="G2580">
            <v>120370.75999999901</v>
          </cell>
          <cell r="I2580">
            <v>1385.72</v>
          </cell>
          <cell r="J2580">
            <v>10294.42</v>
          </cell>
          <cell r="K2580">
            <v>0.32</v>
          </cell>
          <cell r="L2580">
            <v>11680.459999999901</v>
          </cell>
          <cell r="M2580">
            <v>136906.899999999</v>
          </cell>
          <cell r="N2580">
            <v>15529.44</v>
          </cell>
          <cell r="O2580">
            <v>0</v>
          </cell>
          <cell r="R2580">
            <v>243.33</v>
          </cell>
        </row>
        <row r="2581">
          <cell r="G2581">
            <v>25955.72</v>
          </cell>
          <cell r="I2581">
            <v>296.93</v>
          </cell>
          <cell r="J2581">
            <v>0</v>
          </cell>
          <cell r="K2581">
            <v>7.0000000000000007E-2</v>
          </cell>
          <cell r="L2581">
            <v>297</v>
          </cell>
          <cell r="M2581">
            <v>27259.07</v>
          </cell>
          <cell r="N2581">
            <v>4330.93</v>
          </cell>
          <cell r="O2581">
            <v>0</v>
          </cell>
          <cell r="R2581">
            <v>52.479999999999897</v>
          </cell>
        </row>
        <row r="2582">
          <cell r="G2582">
            <v>836026.31999999902</v>
          </cell>
          <cell r="I2582">
            <v>9551.6399999999903</v>
          </cell>
          <cell r="J2582">
            <v>21597.5</v>
          </cell>
          <cell r="K2582">
            <v>2.2400000000000002</v>
          </cell>
          <cell r="L2582">
            <v>31151.38</v>
          </cell>
          <cell r="M2582">
            <v>899820.88</v>
          </cell>
          <cell r="N2582">
            <v>124947.59</v>
          </cell>
          <cell r="O2582">
            <v>0</v>
          </cell>
          <cell r="R2582">
            <v>1690.04</v>
          </cell>
        </row>
        <row r="2583">
          <cell r="G2583">
            <v>160847.44</v>
          </cell>
          <cell r="I2583">
            <v>1857.79</v>
          </cell>
          <cell r="J2583">
            <v>17468.959999999901</v>
          </cell>
          <cell r="K2583">
            <v>0.44</v>
          </cell>
          <cell r="L2583">
            <v>19327.1899999999</v>
          </cell>
          <cell r="M2583">
            <v>186682.44</v>
          </cell>
          <cell r="N2583">
            <v>17618.5999999999</v>
          </cell>
          <cell r="O2583">
            <v>0</v>
          </cell>
          <cell r="R2583">
            <v>325.16000000000003</v>
          </cell>
        </row>
        <row r="2584">
          <cell r="G2584">
            <v>211250.22</v>
          </cell>
          <cell r="I2584">
            <v>2398.38</v>
          </cell>
          <cell r="J2584">
            <v>872.39999999999895</v>
          </cell>
          <cell r="K2584">
            <v>0.56000000000000005</v>
          </cell>
          <cell r="L2584">
            <v>3271.34</v>
          </cell>
          <cell r="M2584">
            <v>222593</v>
          </cell>
          <cell r="N2584">
            <v>30792.07</v>
          </cell>
          <cell r="O2584">
            <v>0</v>
          </cell>
          <cell r="R2584">
            <v>427.04</v>
          </cell>
        </row>
        <row r="2585">
          <cell r="G2585">
            <v>39947.040000000001</v>
          </cell>
          <cell r="I2585">
            <v>456.82999999999902</v>
          </cell>
          <cell r="J2585">
            <v>0</v>
          </cell>
          <cell r="K2585">
            <v>0.1</v>
          </cell>
          <cell r="L2585">
            <v>456.93</v>
          </cell>
          <cell r="M2585">
            <v>41918.480000000003</v>
          </cell>
          <cell r="N2585">
            <v>5626.3599999999897</v>
          </cell>
          <cell r="O2585">
            <v>0</v>
          </cell>
          <cell r="R2585">
            <v>80.760000000000005</v>
          </cell>
        </row>
        <row r="2586">
          <cell r="G2586">
            <v>32960.54</v>
          </cell>
          <cell r="I2586">
            <v>380.69</v>
          </cell>
          <cell r="J2586">
            <v>3871.6999999999898</v>
          </cell>
          <cell r="K2586">
            <v>8.99999999999999E-2</v>
          </cell>
          <cell r="L2586">
            <v>4252.4799999999896</v>
          </cell>
          <cell r="M2586">
            <v>38574.76</v>
          </cell>
          <cell r="N2586">
            <v>4175.2399999999898</v>
          </cell>
          <cell r="O2586">
            <v>0</v>
          </cell>
          <cell r="R2586">
            <v>66.64</v>
          </cell>
        </row>
        <row r="2587">
          <cell r="G2587">
            <v>15821.059999999899</v>
          </cell>
          <cell r="I2587">
            <v>182.729999999999</v>
          </cell>
          <cell r="J2587">
            <v>1684.5599999999899</v>
          </cell>
          <cell r="K2587">
            <v>0.04</v>
          </cell>
          <cell r="L2587">
            <v>1867.3299999999899</v>
          </cell>
          <cell r="M2587">
            <v>18314.73</v>
          </cell>
          <cell r="N2587">
            <v>1346.79</v>
          </cell>
          <cell r="O2587">
            <v>0</v>
          </cell>
          <cell r="R2587">
            <v>31.989999999999899</v>
          </cell>
        </row>
        <row r="2588">
          <cell r="G2588">
            <v>15821.059999999899</v>
          </cell>
          <cell r="I2588">
            <v>182.729999999999</v>
          </cell>
          <cell r="J2588">
            <v>0</v>
          </cell>
          <cell r="K2588">
            <v>0.04</v>
          </cell>
          <cell r="L2588">
            <v>182.77</v>
          </cell>
          <cell r="M2588">
            <v>16623.119999999901</v>
          </cell>
          <cell r="N2588">
            <v>2816.88</v>
          </cell>
          <cell r="O2588">
            <v>0</v>
          </cell>
          <cell r="R2588">
            <v>31.989999999999899</v>
          </cell>
        </row>
        <row r="2589">
          <cell r="G2589">
            <v>15821.059999999899</v>
          </cell>
          <cell r="I2589">
            <v>182.729999999999</v>
          </cell>
          <cell r="J2589">
            <v>1590</v>
          </cell>
          <cell r="K2589">
            <v>0.04</v>
          </cell>
          <cell r="L2589">
            <v>1772.77</v>
          </cell>
          <cell r="M2589">
            <v>18247.45</v>
          </cell>
          <cell r="N2589">
            <v>2272.5500000000002</v>
          </cell>
          <cell r="O2589">
            <v>0</v>
          </cell>
          <cell r="R2589">
            <v>31.989999999999899</v>
          </cell>
        </row>
        <row r="2590">
          <cell r="G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R2590">
            <v>0</v>
          </cell>
        </row>
        <row r="2591">
          <cell r="G2591">
            <v>47463.18</v>
          </cell>
          <cell r="I2591">
            <v>548.20000000000005</v>
          </cell>
          <cell r="J2591">
            <v>2798.6399999999899</v>
          </cell>
          <cell r="K2591">
            <v>0.13</v>
          </cell>
          <cell r="L2591">
            <v>3346.9699999999898</v>
          </cell>
          <cell r="M2591">
            <v>52732.879999999903</v>
          </cell>
          <cell r="N2591">
            <v>7627.1199999999899</v>
          </cell>
          <cell r="O2591">
            <v>0</v>
          </cell>
          <cell r="R2591">
            <v>95.939999999999898</v>
          </cell>
        </row>
        <row r="2592">
          <cell r="G2592">
            <v>113248.24</v>
          </cell>
          <cell r="I2592">
            <v>1219.74</v>
          </cell>
          <cell r="J2592">
            <v>0</v>
          </cell>
          <cell r="K2592">
            <v>0.28999999999999898</v>
          </cell>
          <cell r="L2592">
            <v>1220.03</v>
          </cell>
          <cell r="M2592">
            <v>118601.71</v>
          </cell>
          <cell r="N2592">
            <v>11160.29</v>
          </cell>
          <cell r="O2592">
            <v>0</v>
          </cell>
          <cell r="R2592">
            <v>228.94</v>
          </cell>
        </row>
        <row r="2593">
          <cell r="G2593">
            <v>15821.059999999899</v>
          </cell>
          <cell r="I2593">
            <v>182.729999999999</v>
          </cell>
          <cell r="J2593">
            <v>0</v>
          </cell>
          <cell r="K2593">
            <v>0.04</v>
          </cell>
          <cell r="L2593">
            <v>182.77</v>
          </cell>
          <cell r="M2593">
            <v>16618.7599999999</v>
          </cell>
          <cell r="N2593">
            <v>2685.1599999999899</v>
          </cell>
          <cell r="O2593">
            <v>0</v>
          </cell>
          <cell r="R2593">
            <v>31.989999999999899</v>
          </cell>
        </row>
        <row r="2594">
          <cell r="G2594">
            <v>87410.22</v>
          </cell>
          <cell r="I2594">
            <v>1005.03</v>
          </cell>
          <cell r="J2594">
            <v>0</v>
          </cell>
          <cell r="K2594">
            <v>0.23</v>
          </cell>
          <cell r="L2594">
            <v>1005.26</v>
          </cell>
          <cell r="M2594">
            <v>91775.72</v>
          </cell>
          <cell r="N2594">
            <v>13711.36</v>
          </cell>
          <cell r="O2594">
            <v>0</v>
          </cell>
          <cell r="R2594">
            <v>176.69999999999899</v>
          </cell>
        </row>
        <row r="2595">
          <cell r="G2595">
            <v>191769.7</v>
          </cell>
          <cell r="I2595">
            <v>2169.96</v>
          </cell>
          <cell r="J2595">
            <v>0</v>
          </cell>
          <cell r="K2595">
            <v>0.51</v>
          </cell>
          <cell r="L2595">
            <v>2170.4699999999898</v>
          </cell>
          <cell r="M2595">
            <v>201242.2</v>
          </cell>
          <cell r="N2595">
            <v>27991.86</v>
          </cell>
          <cell r="O2595">
            <v>0</v>
          </cell>
          <cell r="R2595">
            <v>387.64999999999901</v>
          </cell>
        </row>
        <row r="2596">
          <cell r="G2596">
            <v>32036.5099999999</v>
          </cell>
          <cell r="I2596">
            <v>365.45999999999901</v>
          </cell>
          <cell r="J2596">
            <v>0</v>
          </cell>
          <cell r="K2596">
            <v>0.08</v>
          </cell>
          <cell r="L2596">
            <v>365.54</v>
          </cell>
          <cell r="M2596">
            <v>33631.910000000003</v>
          </cell>
          <cell r="N2596">
            <v>4975.93</v>
          </cell>
          <cell r="O2596">
            <v>0</v>
          </cell>
          <cell r="R2596">
            <v>64.769999999999897</v>
          </cell>
        </row>
        <row r="2597">
          <cell r="G2597">
            <v>15821.059999999899</v>
          </cell>
          <cell r="I2597">
            <v>182.729999999999</v>
          </cell>
          <cell r="J2597">
            <v>1064.4000000000001</v>
          </cell>
          <cell r="K2597">
            <v>0.04</v>
          </cell>
          <cell r="L2597">
            <v>1247.17</v>
          </cell>
          <cell r="M2597">
            <v>17721.8499999999</v>
          </cell>
          <cell r="N2597">
            <v>2798.15</v>
          </cell>
          <cell r="O2597">
            <v>0</v>
          </cell>
          <cell r="R2597">
            <v>31.989999999999899</v>
          </cell>
        </row>
        <row r="2598">
          <cell r="G2598">
            <v>15821.059999999899</v>
          </cell>
          <cell r="I2598">
            <v>182.729999999999</v>
          </cell>
          <cell r="J2598">
            <v>1090.5599999999899</v>
          </cell>
          <cell r="K2598">
            <v>0.04</v>
          </cell>
          <cell r="L2598">
            <v>1273.3299999999899</v>
          </cell>
          <cell r="M2598">
            <v>17748.0099999999</v>
          </cell>
          <cell r="N2598">
            <v>2771.9899999999898</v>
          </cell>
          <cell r="O2598">
            <v>0</v>
          </cell>
          <cell r="R2598">
            <v>31.989999999999899</v>
          </cell>
        </row>
        <row r="2599">
          <cell r="G2599">
            <v>15821.059999999899</v>
          </cell>
          <cell r="I2599">
            <v>182.729999999999</v>
          </cell>
          <cell r="J2599">
            <v>0</v>
          </cell>
          <cell r="K2599">
            <v>0.04</v>
          </cell>
          <cell r="L2599">
            <v>182.77</v>
          </cell>
          <cell r="M2599">
            <v>16603.5099999999</v>
          </cell>
          <cell r="N2599">
            <v>2223.77</v>
          </cell>
          <cell r="O2599">
            <v>0</v>
          </cell>
          <cell r="R2599">
            <v>31.989999999999899</v>
          </cell>
        </row>
        <row r="2600">
          <cell r="G2600">
            <v>303192.75</v>
          </cell>
          <cell r="I2600">
            <v>3456.6999999999898</v>
          </cell>
          <cell r="J2600">
            <v>3303.5999999999899</v>
          </cell>
          <cell r="K2600">
            <v>0.81999999999999895</v>
          </cell>
          <cell r="L2600">
            <v>6761.1199999999899</v>
          </cell>
          <cell r="M2600">
            <v>321595.89</v>
          </cell>
          <cell r="N2600">
            <v>43880.97</v>
          </cell>
          <cell r="O2600">
            <v>0</v>
          </cell>
          <cell r="R2600">
            <v>612.90999999999894</v>
          </cell>
        </row>
        <row r="2601">
          <cell r="G2601">
            <v>16480.27</v>
          </cell>
          <cell r="I2601">
            <v>190.349999999999</v>
          </cell>
          <cell r="J2601">
            <v>1304.17</v>
          </cell>
          <cell r="K2601">
            <v>0.04</v>
          </cell>
          <cell r="L2601">
            <v>1494.5599999999899</v>
          </cell>
          <cell r="M2601">
            <v>18655.73</v>
          </cell>
          <cell r="N2601">
            <v>2719.27</v>
          </cell>
          <cell r="O2601">
            <v>0</v>
          </cell>
          <cell r="R2601">
            <v>33.31</v>
          </cell>
        </row>
        <row r="2602">
          <cell r="G2602">
            <v>16480.27</v>
          </cell>
          <cell r="I2602">
            <v>190.349999999999</v>
          </cell>
          <cell r="J2602">
            <v>1814.5899999999899</v>
          </cell>
          <cell r="K2602">
            <v>0.04</v>
          </cell>
          <cell r="L2602">
            <v>2004.98</v>
          </cell>
          <cell r="M2602">
            <v>19161.34</v>
          </cell>
          <cell r="N2602">
            <v>2063.9099999999899</v>
          </cell>
          <cell r="O2602">
            <v>0</v>
          </cell>
          <cell r="R2602">
            <v>33.31</v>
          </cell>
        </row>
        <row r="2603">
          <cell r="G2603">
            <v>31642.119999999901</v>
          </cell>
          <cell r="I2603">
            <v>365.47</v>
          </cell>
          <cell r="J2603">
            <v>0</v>
          </cell>
          <cell r="K2603">
            <v>8.99999999999999E-2</v>
          </cell>
          <cell r="L2603">
            <v>365.56</v>
          </cell>
          <cell r="M2603">
            <v>33222.32</v>
          </cell>
          <cell r="N2603">
            <v>4908.88</v>
          </cell>
          <cell r="O2603">
            <v>0</v>
          </cell>
          <cell r="R2603">
            <v>63.95</v>
          </cell>
        </row>
        <row r="2604">
          <cell r="G2604">
            <v>47857.57</v>
          </cell>
          <cell r="I2604">
            <v>548.20000000000005</v>
          </cell>
          <cell r="J2604">
            <v>1200.96</v>
          </cell>
          <cell r="K2604">
            <v>0.13</v>
          </cell>
          <cell r="L2604">
            <v>1749.29</v>
          </cell>
          <cell r="M2604">
            <v>51447.839999999902</v>
          </cell>
          <cell r="N2604">
            <v>6344.88</v>
          </cell>
          <cell r="O2604">
            <v>0</v>
          </cell>
          <cell r="R2604">
            <v>96.73</v>
          </cell>
        </row>
        <row r="2605">
          <cell r="G2605">
            <v>15821.059999999899</v>
          </cell>
          <cell r="I2605">
            <v>182.729999999999</v>
          </cell>
          <cell r="J2605">
            <v>0</v>
          </cell>
          <cell r="K2605">
            <v>0.04</v>
          </cell>
          <cell r="L2605">
            <v>182.77</v>
          </cell>
          <cell r="M2605">
            <v>16618.7599999999</v>
          </cell>
          <cell r="N2605">
            <v>2685.1599999999899</v>
          </cell>
          <cell r="O2605">
            <v>0</v>
          </cell>
          <cell r="R2605">
            <v>31.989999999999899</v>
          </cell>
        </row>
        <row r="2606">
          <cell r="G2606">
            <v>243378.38</v>
          </cell>
          <cell r="I2606">
            <v>2801.92</v>
          </cell>
          <cell r="J2606">
            <v>17157.04</v>
          </cell>
          <cell r="K2606">
            <v>0.66</v>
          </cell>
          <cell r="L2606">
            <v>19959.619999999901</v>
          </cell>
          <cell r="M2606">
            <v>273104.5</v>
          </cell>
          <cell r="N2606">
            <v>33495.419999999896</v>
          </cell>
          <cell r="O2606">
            <v>0</v>
          </cell>
          <cell r="R2606">
            <v>491.98</v>
          </cell>
        </row>
        <row r="2607">
          <cell r="G2607">
            <v>31642.119999999901</v>
          </cell>
          <cell r="I2607">
            <v>365.47</v>
          </cell>
          <cell r="J2607">
            <v>2620.0799999999899</v>
          </cell>
          <cell r="K2607">
            <v>8.99999999999999E-2</v>
          </cell>
          <cell r="L2607">
            <v>2985.6399999999899</v>
          </cell>
          <cell r="M2607">
            <v>35887.93</v>
          </cell>
          <cell r="N2607">
            <v>3673.4299999999898</v>
          </cell>
          <cell r="O2607">
            <v>0</v>
          </cell>
          <cell r="R2607">
            <v>63.95</v>
          </cell>
        </row>
        <row r="2608">
          <cell r="G2608">
            <v>63284.239999999903</v>
          </cell>
          <cell r="I2608">
            <v>730.94</v>
          </cell>
          <cell r="J2608">
            <v>3692.4</v>
          </cell>
          <cell r="K2608">
            <v>0.17</v>
          </cell>
          <cell r="L2608">
            <v>4423.51</v>
          </cell>
          <cell r="M2608">
            <v>70237.529999999897</v>
          </cell>
          <cell r="N2608">
            <v>9178.9500000000007</v>
          </cell>
          <cell r="O2608">
            <v>0</v>
          </cell>
          <cell r="R2608">
            <v>127.93</v>
          </cell>
        </row>
        <row r="2609">
          <cell r="G2609">
            <v>145544.67000000001</v>
          </cell>
          <cell r="I2609">
            <v>1644.5999999999899</v>
          </cell>
          <cell r="J2609">
            <v>10072.08</v>
          </cell>
          <cell r="K2609">
            <v>0.38</v>
          </cell>
          <cell r="L2609">
            <v>11717.059999999899</v>
          </cell>
          <cell r="M2609">
            <v>163075.01</v>
          </cell>
          <cell r="N2609">
            <v>19421.869999999901</v>
          </cell>
          <cell r="O2609">
            <v>0</v>
          </cell>
          <cell r="R2609">
            <v>294.22000000000003</v>
          </cell>
        </row>
        <row r="2610">
          <cell r="G2610">
            <v>81082.929999999906</v>
          </cell>
          <cell r="I2610">
            <v>936.50999999999897</v>
          </cell>
          <cell r="J2610">
            <v>8800.19</v>
          </cell>
          <cell r="K2610">
            <v>0.22</v>
          </cell>
          <cell r="L2610">
            <v>9736.92</v>
          </cell>
          <cell r="M2610">
            <v>94130.559999999896</v>
          </cell>
          <cell r="N2610">
            <v>9802.1499999999905</v>
          </cell>
          <cell r="O2610">
            <v>0</v>
          </cell>
          <cell r="R2610">
            <v>163.91</v>
          </cell>
        </row>
        <row r="2611">
          <cell r="G2611">
            <v>15821.059999999899</v>
          </cell>
          <cell r="I2611">
            <v>182.789999999999</v>
          </cell>
          <cell r="J2611">
            <v>1892.16</v>
          </cell>
          <cell r="K2611">
            <v>0.04</v>
          </cell>
          <cell r="L2611">
            <v>2074.9899999999898</v>
          </cell>
          <cell r="M2611">
            <v>18545.0999999999</v>
          </cell>
          <cell r="N2611">
            <v>1831.38</v>
          </cell>
          <cell r="O2611">
            <v>0</v>
          </cell>
          <cell r="R2611">
            <v>31.989999999999899</v>
          </cell>
        </row>
        <row r="2612">
          <cell r="G2612">
            <v>6616.39</v>
          </cell>
          <cell r="I2612">
            <v>0</v>
          </cell>
          <cell r="J2612">
            <v>-1779.1199999999899</v>
          </cell>
          <cell r="K2612">
            <v>0</v>
          </cell>
          <cell r="L2612">
            <v>-1779.1199999999899</v>
          </cell>
          <cell r="M2612">
            <v>4837.2700000000004</v>
          </cell>
          <cell r="N2612">
            <v>-4837.2700000000004</v>
          </cell>
          <cell r="O2612">
            <v>0</v>
          </cell>
          <cell r="R2612">
            <v>0</v>
          </cell>
        </row>
        <row r="2613">
          <cell r="G2613">
            <v>84160.6</v>
          </cell>
          <cell r="I2613">
            <v>618.46</v>
          </cell>
          <cell r="J2613">
            <v>4659.1199999999899</v>
          </cell>
          <cell r="K2613">
            <v>0</v>
          </cell>
          <cell r="L2613">
            <v>5277.5799999999899</v>
          </cell>
          <cell r="M2613">
            <v>93684.539999999906</v>
          </cell>
          <cell r="N2613">
            <v>8343.7800000000007</v>
          </cell>
          <cell r="O2613">
            <v>0</v>
          </cell>
          <cell r="R2613">
            <v>562.75</v>
          </cell>
        </row>
        <row r="2614">
          <cell r="G2614">
            <v>84160.61</v>
          </cell>
          <cell r="I2614">
            <v>618.46</v>
          </cell>
          <cell r="J2614">
            <v>8187.8699999999899</v>
          </cell>
          <cell r="K2614">
            <v>0</v>
          </cell>
          <cell r="L2614">
            <v>8806.3299999999908</v>
          </cell>
          <cell r="M2614">
            <v>97297.009999999893</v>
          </cell>
          <cell r="N2614">
            <v>6742.9899999999898</v>
          </cell>
          <cell r="O2614">
            <v>0</v>
          </cell>
          <cell r="R2614">
            <v>562.75</v>
          </cell>
        </row>
        <row r="2615">
          <cell r="G2615">
            <v>16832.119999999901</v>
          </cell>
          <cell r="I2615">
            <v>123.69</v>
          </cell>
          <cell r="J2615">
            <v>688.55999999999904</v>
          </cell>
          <cell r="K2615">
            <v>0</v>
          </cell>
          <cell r="L2615">
            <v>812.25</v>
          </cell>
          <cell r="M2615">
            <v>18513.369999999901</v>
          </cell>
          <cell r="N2615">
            <v>2366.63</v>
          </cell>
          <cell r="O2615">
            <v>0</v>
          </cell>
          <cell r="R2615">
            <v>112.56</v>
          </cell>
        </row>
        <row r="2616">
          <cell r="G2616">
            <v>16832.119999999901</v>
          </cell>
          <cell r="I2616">
            <v>123.69</v>
          </cell>
          <cell r="J2616">
            <v>1542.72</v>
          </cell>
          <cell r="K2616">
            <v>0</v>
          </cell>
          <cell r="L2616">
            <v>1666.41</v>
          </cell>
          <cell r="M2616">
            <v>19367.529999999901</v>
          </cell>
          <cell r="N2616">
            <v>1512.47</v>
          </cell>
          <cell r="O2616">
            <v>0</v>
          </cell>
          <cell r="R2616">
            <v>112.56</v>
          </cell>
        </row>
        <row r="2617">
          <cell r="G2617">
            <v>16832.119999999901</v>
          </cell>
          <cell r="I2617">
            <v>123.69</v>
          </cell>
          <cell r="J2617">
            <v>1200.96</v>
          </cell>
          <cell r="K2617">
            <v>0</v>
          </cell>
          <cell r="L2617">
            <v>1324.65</v>
          </cell>
          <cell r="M2617">
            <v>19025.77</v>
          </cell>
          <cell r="N2617">
            <v>1854.23</v>
          </cell>
          <cell r="O2617">
            <v>0</v>
          </cell>
          <cell r="R2617">
            <v>112.56</v>
          </cell>
        </row>
        <row r="2618">
          <cell r="G2618">
            <v>50496.36</v>
          </cell>
          <cell r="I2618">
            <v>371.07999999999902</v>
          </cell>
          <cell r="J2618">
            <v>5355.84</v>
          </cell>
          <cell r="K2618">
            <v>0</v>
          </cell>
          <cell r="L2618">
            <v>5726.92</v>
          </cell>
          <cell r="M2618">
            <v>58800.33</v>
          </cell>
          <cell r="N2618">
            <v>3119.67</v>
          </cell>
          <cell r="O2618">
            <v>0</v>
          </cell>
          <cell r="R2618">
            <v>337.64999999999901</v>
          </cell>
        </row>
        <row r="2619">
          <cell r="G2619">
            <v>51197.699999999903</v>
          </cell>
          <cell r="I2619">
            <v>376.23</v>
          </cell>
          <cell r="J2619">
            <v>1431.0699999999899</v>
          </cell>
          <cell r="K2619">
            <v>0</v>
          </cell>
          <cell r="L2619">
            <v>1807.3</v>
          </cell>
          <cell r="M2619">
            <v>55551.58</v>
          </cell>
          <cell r="N2619">
            <v>5636.5799999999899</v>
          </cell>
          <cell r="O2619">
            <v>0</v>
          </cell>
          <cell r="R2619">
            <v>342.33999999999901</v>
          </cell>
        </row>
        <row r="2620">
          <cell r="G2620">
            <v>33664.239999999903</v>
          </cell>
          <cell r="I2620">
            <v>247.38</v>
          </cell>
          <cell r="J2620">
            <v>2969.76</v>
          </cell>
          <cell r="K2620">
            <v>0</v>
          </cell>
          <cell r="L2620">
            <v>3217.1399999999899</v>
          </cell>
          <cell r="M2620">
            <v>38592.370000000003</v>
          </cell>
          <cell r="N2620">
            <v>2517.9499999999898</v>
          </cell>
          <cell r="O2620">
            <v>0</v>
          </cell>
          <cell r="R2620">
            <v>225.09</v>
          </cell>
        </row>
        <row r="2621">
          <cell r="G2621">
            <v>50496.36</v>
          </cell>
          <cell r="I2621">
            <v>371.07999999999902</v>
          </cell>
          <cell r="J2621">
            <v>0</v>
          </cell>
          <cell r="K2621">
            <v>0</v>
          </cell>
          <cell r="L2621">
            <v>371.07999999999902</v>
          </cell>
          <cell r="M2621">
            <v>53359.58</v>
          </cell>
          <cell r="N2621">
            <v>6520.42</v>
          </cell>
          <cell r="O2621">
            <v>0</v>
          </cell>
          <cell r="R2621">
            <v>337.64999999999901</v>
          </cell>
        </row>
        <row r="2622">
          <cell r="G2622">
            <v>16832.119999999901</v>
          </cell>
          <cell r="I2622">
            <v>123.69</v>
          </cell>
          <cell r="J2622">
            <v>1030.0799999999899</v>
          </cell>
          <cell r="K2622">
            <v>0</v>
          </cell>
          <cell r="L2622">
            <v>1153.77</v>
          </cell>
          <cell r="M2622">
            <v>18854.889999999901</v>
          </cell>
          <cell r="N2622">
            <v>2025.1099999999899</v>
          </cell>
          <cell r="O2622">
            <v>0</v>
          </cell>
          <cell r="R2622">
            <v>112.56</v>
          </cell>
        </row>
        <row r="2623">
          <cell r="G2623">
            <v>1085321.1100000001</v>
          </cell>
          <cell r="I2623">
            <v>7975.6599999999899</v>
          </cell>
          <cell r="J2623">
            <v>108329.44</v>
          </cell>
          <cell r="K2623">
            <v>0</v>
          </cell>
          <cell r="L2623">
            <v>116305.1</v>
          </cell>
          <cell r="M2623">
            <v>1255789.78</v>
          </cell>
          <cell r="N2623">
            <v>45624.709999999897</v>
          </cell>
          <cell r="O2623">
            <v>0</v>
          </cell>
          <cell r="R2623">
            <v>7257.0699999999897</v>
          </cell>
        </row>
        <row r="2624">
          <cell r="G2624">
            <v>85970.33</v>
          </cell>
          <cell r="I2624">
            <v>618.46</v>
          </cell>
          <cell r="J2624">
            <v>5724.4799999999896</v>
          </cell>
          <cell r="K2624">
            <v>0</v>
          </cell>
          <cell r="L2624">
            <v>6342.9399999999896</v>
          </cell>
          <cell r="M2624">
            <v>96633.3</v>
          </cell>
          <cell r="N2624">
            <v>7166.6999999999898</v>
          </cell>
          <cell r="O2624">
            <v>0</v>
          </cell>
          <cell r="R2624">
            <v>574.85</v>
          </cell>
        </row>
        <row r="2625">
          <cell r="G2625">
            <v>274924.65000000002</v>
          </cell>
          <cell r="I2625">
            <v>2020.3299999999899</v>
          </cell>
          <cell r="J2625">
            <v>28051.7599999999</v>
          </cell>
          <cell r="K2625">
            <v>0</v>
          </cell>
          <cell r="L2625">
            <v>30072.09</v>
          </cell>
          <cell r="M2625">
            <v>318595.72999999899</v>
          </cell>
          <cell r="N2625">
            <v>8154.9399999999896</v>
          </cell>
          <cell r="O2625">
            <v>0</v>
          </cell>
          <cell r="R2625">
            <v>1838.3</v>
          </cell>
        </row>
        <row r="2626">
          <cell r="G2626">
            <v>33664.239999999903</v>
          </cell>
          <cell r="I2626">
            <v>247.38</v>
          </cell>
          <cell r="J2626">
            <v>0</v>
          </cell>
          <cell r="K2626">
            <v>0</v>
          </cell>
          <cell r="L2626">
            <v>247.38</v>
          </cell>
          <cell r="M2626">
            <v>35548.199999999903</v>
          </cell>
          <cell r="N2626">
            <v>3774.84</v>
          </cell>
          <cell r="O2626">
            <v>0</v>
          </cell>
          <cell r="R2626">
            <v>225.09</v>
          </cell>
        </row>
        <row r="2627">
          <cell r="G2627">
            <v>135109.39000000001</v>
          </cell>
          <cell r="I2627">
            <v>989.54999999999905</v>
          </cell>
          <cell r="J2627">
            <v>0</v>
          </cell>
          <cell r="K2627">
            <v>0</v>
          </cell>
          <cell r="L2627">
            <v>989.54999999999905</v>
          </cell>
          <cell r="M2627">
            <v>142724.62</v>
          </cell>
          <cell r="N2627">
            <v>16474.0999999999</v>
          </cell>
          <cell r="O2627">
            <v>0</v>
          </cell>
          <cell r="R2627">
            <v>903.41999999999905</v>
          </cell>
        </row>
        <row r="2628">
          <cell r="G2628">
            <v>594106.62</v>
          </cell>
          <cell r="I2628">
            <v>4401.43</v>
          </cell>
          <cell r="J2628">
            <v>36825.769999999902</v>
          </cell>
          <cell r="K2628">
            <v>0</v>
          </cell>
          <cell r="L2628">
            <v>41227.199999999903</v>
          </cell>
          <cell r="M2628">
            <v>665221.26</v>
          </cell>
          <cell r="N2628">
            <v>52899.279999999897</v>
          </cell>
          <cell r="O2628">
            <v>0</v>
          </cell>
          <cell r="R2628">
            <v>3972.52</v>
          </cell>
        </row>
        <row r="2629">
          <cell r="G2629">
            <v>67328.479999999894</v>
          </cell>
          <cell r="I2629">
            <v>494.76999999999902</v>
          </cell>
          <cell r="J2629">
            <v>5203.1999999999898</v>
          </cell>
          <cell r="K2629">
            <v>0</v>
          </cell>
          <cell r="L2629">
            <v>5697.97</v>
          </cell>
          <cell r="M2629">
            <v>76413.669999999896</v>
          </cell>
          <cell r="N2629">
            <v>4972.97</v>
          </cell>
          <cell r="O2629">
            <v>0</v>
          </cell>
          <cell r="R2629">
            <v>450.18</v>
          </cell>
        </row>
        <row r="2630">
          <cell r="G2630">
            <v>33664.239999999903</v>
          </cell>
          <cell r="I2630">
            <v>247.38</v>
          </cell>
          <cell r="J2630">
            <v>0</v>
          </cell>
          <cell r="K2630">
            <v>0</v>
          </cell>
          <cell r="L2630">
            <v>247.38</v>
          </cell>
          <cell r="M2630">
            <v>35553.94</v>
          </cell>
          <cell r="N2630">
            <v>3907.5799999999899</v>
          </cell>
          <cell r="O2630">
            <v>0</v>
          </cell>
          <cell r="R2630">
            <v>225.09</v>
          </cell>
        </row>
        <row r="2631">
          <cell r="G2631">
            <v>50496.36</v>
          </cell>
          <cell r="I2631">
            <v>371.07999999999902</v>
          </cell>
          <cell r="J2631">
            <v>5591.64</v>
          </cell>
          <cell r="K2631">
            <v>0</v>
          </cell>
          <cell r="L2631">
            <v>5962.72</v>
          </cell>
          <cell r="M2631">
            <v>59051.129999999903</v>
          </cell>
          <cell r="N2631">
            <v>3228.8699999999899</v>
          </cell>
          <cell r="O2631">
            <v>0</v>
          </cell>
          <cell r="R2631">
            <v>337.64999999999901</v>
          </cell>
        </row>
        <row r="2632">
          <cell r="G2632">
            <v>33664.239999999903</v>
          </cell>
          <cell r="I2632">
            <v>247.38</v>
          </cell>
          <cell r="J2632">
            <v>0</v>
          </cell>
          <cell r="K2632">
            <v>0</v>
          </cell>
          <cell r="L2632">
            <v>247.38</v>
          </cell>
          <cell r="M2632">
            <v>35547.18</v>
          </cell>
          <cell r="N2632">
            <v>3752.5</v>
          </cell>
          <cell r="O2632">
            <v>0</v>
          </cell>
          <cell r="R2632">
            <v>225.09</v>
          </cell>
        </row>
        <row r="2633">
          <cell r="G2633">
            <v>101897.58</v>
          </cell>
          <cell r="I2633">
            <v>742.14999999999895</v>
          </cell>
          <cell r="J2633">
            <v>5095.3199999999897</v>
          </cell>
          <cell r="K2633">
            <v>0</v>
          </cell>
          <cell r="L2633">
            <v>5837.47</v>
          </cell>
          <cell r="M2633">
            <v>112830.179999999</v>
          </cell>
          <cell r="N2633">
            <v>9593.1</v>
          </cell>
          <cell r="O2633">
            <v>0</v>
          </cell>
          <cell r="R2633">
            <v>681.33</v>
          </cell>
        </row>
        <row r="2634">
          <cell r="G2634">
            <v>134656.959999999</v>
          </cell>
          <cell r="I2634">
            <v>989.54999999999905</v>
          </cell>
          <cell r="J2634">
            <v>11082.719999999899</v>
          </cell>
          <cell r="K2634">
            <v>0</v>
          </cell>
          <cell r="L2634">
            <v>12072.27</v>
          </cell>
          <cell r="M2634">
            <v>153597.13</v>
          </cell>
          <cell r="N2634">
            <v>11420.87</v>
          </cell>
          <cell r="O2634">
            <v>0</v>
          </cell>
          <cell r="R2634">
            <v>900.39999999999895</v>
          </cell>
        </row>
        <row r="2635">
          <cell r="G2635">
            <v>236554.54</v>
          </cell>
          <cell r="I2635">
            <v>1731.7</v>
          </cell>
          <cell r="J2635">
            <v>17286.240000000002</v>
          </cell>
          <cell r="K2635">
            <v>0</v>
          </cell>
          <cell r="L2635">
            <v>19017.9399999999</v>
          </cell>
          <cell r="M2635">
            <v>267486.08000000002</v>
          </cell>
          <cell r="N2635">
            <v>18767.68</v>
          </cell>
          <cell r="O2635">
            <v>0</v>
          </cell>
          <cell r="R2635">
            <v>1581.74</v>
          </cell>
        </row>
        <row r="2636">
          <cell r="G2636">
            <v>34116.669999999896</v>
          </cell>
          <cell r="I2636">
            <v>247.38</v>
          </cell>
          <cell r="J2636">
            <v>0</v>
          </cell>
          <cell r="K2636">
            <v>0</v>
          </cell>
          <cell r="L2636">
            <v>247.38</v>
          </cell>
          <cell r="M2636">
            <v>36020.5</v>
          </cell>
          <cell r="N2636">
            <v>3779.1799999999898</v>
          </cell>
          <cell r="O2636">
            <v>0</v>
          </cell>
          <cell r="R2636">
            <v>228.15</v>
          </cell>
        </row>
        <row r="2637">
          <cell r="G2637">
            <v>50496.36</v>
          </cell>
          <cell r="I2637">
            <v>371.07999999999902</v>
          </cell>
          <cell r="J2637">
            <v>0</v>
          </cell>
          <cell r="K2637">
            <v>0</v>
          </cell>
          <cell r="L2637">
            <v>371.07999999999902</v>
          </cell>
          <cell r="M2637">
            <v>53307.44</v>
          </cell>
          <cell r="N2637">
            <v>5319.52</v>
          </cell>
          <cell r="O2637">
            <v>0</v>
          </cell>
          <cell r="R2637">
            <v>337.64999999999901</v>
          </cell>
        </row>
        <row r="2638">
          <cell r="G2638">
            <v>16832.119999999901</v>
          </cell>
          <cell r="I2638">
            <v>123.69</v>
          </cell>
          <cell r="J2638">
            <v>1710.72</v>
          </cell>
          <cell r="K2638">
            <v>0</v>
          </cell>
          <cell r="L2638">
            <v>1834.41</v>
          </cell>
          <cell r="M2638">
            <v>19520.5</v>
          </cell>
          <cell r="N2638">
            <v>999.5</v>
          </cell>
          <cell r="O2638">
            <v>0</v>
          </cell>
          <cell r="R2638">
            <v>112.56</v>
          </cell>
        </row>
        <row r="2639">
          <cell r="G2639">
            <v>934838.63</v>
          </cell>
          <cell r="I2639">
            <v>6859.84</v>
          </cell>
          <cell r="J2639">
            <v>94949.85</v>
          </cell>
          <cell r="K2639">
            <v>0</v>
          </cell>
          <cell r="L2639">
            <v>101809.69</v>
          </cell>
          <cell r="M2639">
            <v>1083438.6200000001</v>
          </cell>
          <cell r="N2639">
            <v>40814.889999999898</v>
          </cell>
          <cell r="O2639">
            <v>0</v>
          </cell>
          <cell r="R2639">
            <v>6250.8699999999899</v>
          </cell>
        </row>
        <row r="2640">
          <cell r="G2640">
            <v>25248.18</v>
          </cell>
          <cell r="I2640">
            <v>185.539999999999</v>
          </cell>
          <cell r="J2640">
            <v>650.39999999999895</v>
          </cell>
          <cell r="K2640">
            <v>0</v>
          </cell>
          <cell r="L2640">
            <v>835.94</v>
          </cell>
          <cell r="M2640">
            <v>27333.88</v>
          </cell>
          <cell r="N2640">
            <v>2694.5599999999899</v>
          </cell>
          <cell r="O2640">
            <v>0</v>
          </cell>
          <cell r="R2640">
            <v>168.819999999999</v>
          </cell>
        </row>
        <row r="2641">
          <cell r="G2641">
            <v>135561.82</v>
          </cell>
          <cell r="I2641">
            <v>989.53999999999905</v>
          </cell>
          <cell r="J2641">
            <v>5101.68</v>
          </cell>
          <cell r="K2641">
            <v>0</v>
          </cell>
          <cell r="L2641">
            <v>6091.22</v>
          </cell>
          <cell r="M2641">
            <v>148392.739999999</v>
          </cell>
          <cell r="N2641">
            <v>13546.299999999899</v>
          </cell>
          <cell r="O2641">
            <v>0</v>
          </cell>
          <cell r="R2641">
            <v>906.44</v>
          </cell>
        </row>
        <row r="2642">
          <cell r="G2642">
            <v>33664.239999999903</v>
          </cell>
          <cell r="I2642">
            <v>247.38</v>
          </cell>
          <cell r="J2642">
            <v>4152.4799999999896</v>
          </cell>
          <cell r="K2642">
            <v>0</v>
          </cell>
          <cell r="L2642">
            <v>4399.8599999999897</v>
          </cell>
          <cell r="M2642">
            <v>39787.15</v>
          </cell>
          <cell r="N2642">
            <v>1612.8499999999899</v>
          </cell>
          <cell r="O2642">
            <v>0</v>
          </cell>
          <cell r="R2642">
            <v>225.09</v>
          </cell>
        </row>
        <row r="2643">
          <cell r="G2643">
            <v>17284.549999999901</v>
          </cell>
          <cell r="I2643">
            <v>123.69</v>
          </cell>
          <cell r="J2643">
            <v>1892.16</v>
          </cell>
          <cell r="K2643">
            <v>0</v>
          </cell>
          <cell r="L2643">
            <v>2015.8499999999899</v>
          </cell>
          <cell r="M2643">
            <v>20169.400000000001</v>
          </cell>
          <cell r="N2643">
            <v>710.6</v>
          </cell>
          <cell r="O2643">
            <v>0</v>
          </cell>
          <cell r="R2643">
            <v>115.59</v>
          </cell>
        </row>
        <row r="2644">
          <cell r="G2644">
            <v>16832.119999999901</v>
          </cell>
          <cell r="I2644">
            <v>123.69</v>
          </cell>
          <cell r="J2644">
            <v>0</v>
          </cell>
          <cell r="K2644">
            <v>0</v>
          </cell>
          <cell r="L2644">
            <v>123.69</v>
          </cell>
          <cell r="M2644">
            <v>17793.9399999999</v>
          </cell>
          <cell r="N2644">
            <v>2344.2199999999898</v>
          </cell>
          <cell r="O2644">
            <v>0</v>
          </cell>
          <cell r="R2644">
            <v>112.56</v>
          </cell>
        </row>
        <row r="2645">
          <cell r="G2645">
            <v>378667.89</v>
          </cell>
          <cell r="I2645">
            <v>2772.8</v>
          </cell>
          <cell r="J2645">
            <v>24122.52</v>
          </cell>
          <cell r="K2645">
            <v>0</v>
          </cell>
          <cell r="L2645">
            <v>26895.32</v>
          </cell>
          <cell r="M2645">
            <v>424504.65</v>
          </cell>
          <cell r="N2645">
            <v>30611.029999999901</v>
          </cell>
          <cell r="O2645">
            <v>0</v>
          </cell>
          <cell r="R2645">
            <v>2531.9899999999898</v>
          </cell>
        </row>
        <row r="2646">
          <cell r="G2646">
            <v>186058.179999999</v>
          </cell>
          <cell r="I2646">
            <v>1360.6199999999899</v>
          </cell>
          <cell r="J2646">
            <v>9634.3199999999906</v>
          </cell>
          <cell r="K2646">
            <v>0</v>
          </cell>
          <cell r="L2646">
            <v>10994.94</v>
          </cell>
          <cell r="M2646">
            <v>206386.62</v>
          </cell>
          <cell r="N2646">
            <v>17873.22</v>
          </cell>
          <cell r="O2646">
            <v>0</v>
          </cell>
          <cell r="R2646">
            <v>1244.0899999999899</v>
          </cell>
        </row>
        <row r="2647">
          <cell r="G2647">
            <v>17533.459999999901</v>
          </cell>
          <cell r="I2647">
            <v>128.849999999999</v>
          </cell>
          <cell r="J2647">
            <v>1345.53</v>
          </cell>
          <cell r="K2647">
            <v>0</v>
          </cell>
          <cell r="L2647">
            <v>1474.38</v>
          </cell>
          <cell r="M2647">
            <v>19886.02</v>
          </cell>
          <cell r="N2647">
            <v>1215.23</v>
          </cell>
          <cell r="O2647">
            <v>0</v>
          </cell>
          <cell r="R2647">
            <v>117.239999999999</v>
          </cell>
        </row>
        <row r="2648">
          <cell r="G2648">
            <v>33664.239999999903</v>
          </cell>
          <cell r="I2648">
            <v>247.38</v>
          </cell>
          <cell r="J2648">
            <v>3681.1199999999899</v>
          </cell>
          <cell r="K2648">
            <v>0</v>
          </cell>
          <cell r="L2648">
            <v>3928.5</v>
          </cell>
          <cell r="M2648">
            <v>39315.79</v>
          </cell>
          <cell r="N2648">
            <v>2084.21</v>
          </cell>
          <cell r="O2648">
            <v>0</v>
          </cell>
          <cell r="R2648">
            <v>225.09</v>
          </cell>
        </row>
        <row r="2649">
          <cell r="G2649">
            <v>33664.239999999903</v>
          </cell>
          <cell r="I2649">
            <v>247.38</v>
          </cell>
          <cell r="J2649">
            <v>0</v>
          </cell>
          <cell r="K2649">
            <v>0</v>
          </cell>
          <cell r="L2649">
            <v>247.38</v>
          </cell>
          <cell r="M2649">
            <v>35587.839999999902</v>
          </cell>
          <cell r="N2649">
            <v>4688.4799999999896</v>
          </cell>
          <cell r="O2649">
            <v>0</v>
          </cell>
          <cell r="R2649">
            <v>225.09</v>
          </cell>
        </row>
        <row r="2650">
          <cell r="G2650">
            <v>34116.669999999896</v>
          </cell>
          <cell r="I2650">
            <v>247.38</v>
          </cell>
          <cell r="J2650">
            <v>0</v>
          </cell>
          <cell r="K2650">
            <v>0</v>
          </cell>
          <cell r="L2650">
            <v>247.38</v>
          </cell>
          <cell r="M2650">
            <v>36040.309999999903</v>
          </cell>
          <cell r="N2650">
            <v>4236.01</v>
          </cell>
          <cell r="O2650">
            <v>0</v>
          </cell>
          <cell r="R2650">
            <v>228.15</v>
          </cell>
        </row>
        <row r="2651">
          <cell r="G2651">
            <v>69432.5</v>
          </cell>
          <cell r="I2651">
            <v>510.24</v>
          </cell>
          <cell r="J2651">
            <v>3317.57</v>
          </cell>
          <cell r="K2651">
            <v>0</v>
          </cell>
          <cell r="L2651">
            <v>3827.8099999999899</v>
          </cell>
          <cell r="M2651">
            <v>76799.990000000005</v>
          </cell>
          <cell r="N2651">
            <v>8250.01</v>
          </cell>
          <cell r="O2651">
            <v>0</v>
          </cell>
          <cell r="R2651">
            <v>464.26999999999902</v>
          </cell>
        </row>
        <row r="2652">
          <cell r="G2652">
            <v>2696839.5</v>
          </cell>
          <cell r="I2652">
            <v>20232.869999999901</v>
          </cell>
          <cell r="J2652">
            <v>0</v>
          </cell>
          <cell r="K2652">
            <v>0</v>
          </cell>
          <cell r="L2652">
            <v>20232.869999999901</v>
          </cell>
          <cell r="M2652">
            <v>2856775.77</v>
          </cell>
          <cell r="N2652">
            <v>499945.22999999899</v>
          </cell>
          <cell r="O2652">
            <v>0</v>
          </cell>
          <cell r="R2652">
            <v>18032.619999999901</v>
          </cell>
        </row>
        <row r="2653">
          <cell r="G2653">
            <v>32612.23</v>
          </cell>
          <cell r="I2653">
            <v>239.66</v>
          </cell>
          <cell r="J2653">
            <v>0</v>
          </cell>
          <cell r="K2653">
            <v>0</v>
          </cell>
          <cell r="L2653">
            <v>239.66</v>
          </cell>
          <cell r="M2653">
            <v>34437.29</v>
          </cell>
          <cell r="N2653">
            <v>3656.6799999999898</v>
          </cell>
          <cell r="O2653">
            <v>0</v>
          </cell>
          <cell r="R2653">
            <v>218.05</v>
          </cell>
        </row>
        <row r="2654">
          <cell r="G2654">
            <v>4175134.93</v>
          </cell>
          <cell r="I2654">
            <v>31639.889999999901</v>
          </cell>
          <cell r="J2654">
            <v>0</v>
          </cell>
          <cell r="K2654">
            <v>0</v>
          </cell>
          <cell r="L2654">
            <v>31639.889999999901</v>
          </cell>
          <cell r="M2654">
            <v>4417562.2</v>
          </cell>
          <cell r="N2654">
            <v>647129.30000000005</v>
          </cell>
          <cell r="O2654">
            <v>0</v>
          </cell>
          <cell r="R2654">
            <v>27917.299999999901</v>
          </cell>
        </row>
        <row r="2655">
          <cell r="G2655">
            <v>16832.119999999901</v>
          </cell>
          <cell r="I2655">
            <v>123.69</v>
          </cell>
          <cell r="J2655">
            <v>2076.2399999999898</v>
          </cell>
          <cell r="K2655">
            <v>0</v>
          </cell>
          <cell r="L2655">
            <v>2199.9299999999898</v>
          </cell>
          <cell r="M2655">
            <v>19921.060000000001</v>
          </cell>
          <cell r="N2655">
            <v>1438.94</v>
          </cell>
          <cell r="O2655">
            <v>0</v>
          </cell>
          <cell r="R2655">
            <v>112.56</v>
          </cell>
        </row>
        <row r="2656">
          <cell r="G2656">
            <v>33664.239999999903</v>
          </cell>
          <cell r="I2656">
            <v>247.38</v>
          </cell>
          <cell r="J2656">
            <v>3594.96</v>
          </cell>
          <cell r="K2656">
            <v>0</v>
          </cell>
          <cell r="L2656">
            <v>3842.34</v>
          </cell>
          <cell r="M2656">
            <v>39249.550000000003</v>
          </cell>
          <cell r="N2656">
            <v>2630.4499999999898</v>
          </cell>
          <cell r="O2656">
            <v>0</v>
          </cell>
          <cell r="R2656">
            <v>225.09</v>
          </cell>
        </row>
        <row r="2657">
          <cell r="G2657">
            <v>84613.029999999897</v>
          </cell>
          <cell r="I2657">
            <v>618.46</v>
          </cell>
          <cell r="J2657">
            <v>9066.95999999999</v>
          </cell>
          <cell r="K2657">
            <v>0</v>
          </cell>
          <cell r="L2657">
            <v>9685.42</v>
          </cell>
          <cell r="M2657">
            <v>98613.52</v>
          </cell>
          <cell r="N2657">
            <v>5066.4799999999896</v>
          </cell>
          <cell r="O2657">
            <v>0</v>
          </cell>
          <cell r="R2657">
            <v>565.76999999999896</v>
          </cell>
        </row>
        <row r="2658">
          <cell r="G2658">
            <v>641882.70999999903</v>
          </cell>
          <cell r="I2658">
            <v>4700.34</v>
          </cell>
          <cell r="J2658">
            <v>34829.040000000001</v>
          </cell>
          <cell r="K2658">
            <v>0</v>
          </cell>
          <cell r="L2658">
            <v>39529.379999999903</v>
          </cell>
          <cell r="M2658">
            <v>713412.04</v>
          </cell>
          <cell r="N2658">
            <v>55464.68</v>
          </cell>
          <cell r="O2658">
            <v>0</v>
          </cell>
          <cell r="R2658">
            <v>4291.9899999999898</v>
          </cell>
        </row>
        <row r="2659">
          <cell r="G2659">
            <v>33664.239999999903</v>
          </cell>
          <cell r="I2659">
            <v>247.38</v>
          </cell>
          <cell r="J2659">
            <v>0</v>
          </cell>
          <cell r="K2659">
            <v>0</v>
          </cell>
          <cell r="L2659">
            <v>247.38</v>
          </cell>
          <cell r="M2659">
            <v>35548.199999999903</v>
          </cell>
          <cell r="N2659">
            <v>3774.84</v>
          </cell>
          <cell r="O2659">
            <v>0</v>
          </cell>
          <cell r="R2659">
            <v>225.09</v>
          </cell>
        </row>
        <row r="2660">
          <cell r="G2660">
            <v>140267.67000000001</v>
          </cell>
          <cell r="I2660">
            <v>1030.78</v>
          </cell>
          <cell r="J2660">
            <v>6254.76</v>
          </cell>
          <cell r="K2660">
            <v>0</v>
          </cell>
          <cell r="L2660">
            <v>7285.54</v>
          </cell>
          <cell r="M2660">
            <v>154585.54</v>
          </cell>
          <cell r="N2660">
            <v>14383.76</v>
          </cell>
          <cell r="O2660">
            <v>0</v>
          </cell>
          <cell r="R2660">
            <v>937.90999999999894</v>
          </cell>
        </row>
        <row r="2661">
          <cell r="G2661">
            <v>46965</v>
          </cell>
          <cell r="I2661">
            <v>159.78</v>
          </cell>
          <cell r="J2661">
            <v>0</v>
          </cell>
          <cell r="K2661">
            <v>0</v>
          </cell>
          <cell r="L2661">
            <v>159.78</v>
          </cell>
          <cell r="M2661">
            <v>49185.08</v>
          </cell>
          <cell r="N2661">
            <v>318.31999999999903</v>
          </cell>
          <cell r="O2661">
            <v>0</v>
          </cell>
          <cell r="R2661">
            <v>145.38</v>
          </cell>
        </row>
        <row r="2662">
          <cell r="G2662">
            <v>806991.51</v>
          </cell>
          <cell r="I2662">
            <v>5926.9799999999896</v>
          </cell>
          <cell r="J2662">
            <v>18084.080000000002</v>
          </cell>
          <cell r="K2662">
            <v>0</v>
          </cell>
          <cell r="L2662">
            <v>24011.06</v>
          </cell>
          <cell r="M2662">
            <v>870671.06</v>
          </cell>
          <cell r="N2662">
            <v>82462.240000000005</v>
          </cell>
          <cell r="O2662">
            <v>0</v>
          </cell>
          <cell r="R2662">
            <v>5396.01</v>
          </cell>
        </row>
        <row r="2663">
          <cell r="G2663">
            <v>440440.47999999899</v>
          </cell>
          <cell r="I2663">
            <v>3236.65</v>
          </cell>
          <cell r="J2663">
            <v>37873.919999999896</v>
          </cell>
          <cell r="K2663">
            <v>0</v>
          </cell>
          <cell r="L2663">
            <v>41110.57</v>
          </cell>
          <cell r="M2663">
            <v>503770.53999999899</v>
          </cell>
          <cell r="N2663">
            <v>30107.18</v>
          </cell>
          <cell r="O2663">
            <v>0</v>
          </cell>
          <cell r="R2663">
            <v>2945.03</v>
          </cell>
        </row>
        <row r="2664">
          <cell r="G2664">
            <v>266346.22999999899</v>
          </cell>
          <cell r="I2664">
            <v>1943.01</v>
          </cell>
          <cell r="J2664">
            <v>0</v>
          </cell>
          <cell r="K2664">
            <v>0</v>
          </cell>
          <cell r="L2664">
            <v>1943.01</v>
          </cell>
          <cell r="M2664">
            <v>281296.19</v>
          </cell>
          <cell r="N2664">
            <v>31227.549999999901</v>
          </cell>
          <cell r="O2664">
            <v>0</v>
          </cell>
          <cell r="R2664">
            <v>1780.95</v>
          </cell>
        </row>
        <row r="2665">
          <cell r="G2665">
            <v>33664.239999999903</v>
          </cell>
          <cell r="I2665">
            <v>247.38</v>
          </cell>
          <cell r="J2665">
            <v>2759.52</v>
          </cell>
          <cell r="K2665">
            <v>0</v>
          </cell>
          <cell r="L2665">
            <v>3006.9</v>
          </cell>
          <cell r="M2665">
            <v>38382.129999999903</v>
          </cell>
          <cell r="N2665">
            <v>2728.19</v>
          </cell>
          <cell r="O2665">
            <v>0</v>
          </cell>
          <cell r="R2665">
            <v>225.09</v>
          </cell>
        </row>
        <row r="2666">
          <cell r="G2666">
            <v>16832.119999999901</v>
          </cell>
          <cell r="I2666">
            <v>123.69</v>
          </cell>
          <cell r="J2666">
            <v>0</v>
          </cell>
          <cell r="K2666">
            <v>0</v>
          </cell>
          <cell r="L2666">
            <v>123.69</v>
          </cell>
          <cell r="M2666">
            <v>17759.23</v>
          </cell>
          <cell r="N2666">
            <v>1544.69</v>
          </cell>
          <cell r="O2666">
            <v>0</v>
          </cell>
          <cell r="R2666">
            <v>112.56</v>
          </cell>
        </row>
        <row r="2667">
          <cell r="G2667">
            <v>33664.239999999903</v>
          </cell>
          <cell r="I2667">
            <v>247.38</v>
          </cell>
          <cell r="J2667">
            <v>3710.6399999999899</v>
          </cell>
          <cell r="K2667">
            <v>0</v>
          </cell>
          <cell r="L2667">
            <v>3958.02</v>
          </cell>
          <cell r="M2667">
            <v>39348.160000000003</v>
          </cell>
          <cell r="N2667">
            <v>2119.52</v>
          </cell>
          <cell r="O2667">
            <v>0</v>
          </cell>
          <cell r="R2667">
            <v>225.09</v>
          </cell>
        </row>
        <row r="2668">
          <cell r="G2668">
            <v>70133.839999999895</v>
          </cell>
          <cell r="I2668">
            <v>515.38999999999896</v>
          </cell>
          <cell r="J2668">
            <v>7787.5799999999899</v>
          </cell>
          <cell r="K2668">
            <v>0</v>
          </cell>
          <cell r="L2668">
            <v>8302.9699999999903</v>
          </cell>
          <cell r="M2668">
            <v>81974.399999999907</v>
          </cell>
          <cell r="N2668">
            <v>3025.5999999999899</v>
          </cell>
          <cell r="O2668">
            <v>0</v>
          </cell>
          <cell r="R2668">
            <v>468.95999999999901</v>
          </cell>
        </row>
        <row r="2669">
          <cell r="G2669">
            <v>84160.6</v>
          </cell>
          <cell r="I2669">
            <v>618.46</v>
          </cell>
          <cell r="J2669">
            <v>8002.3199999999897</v>
          </cell>
          <cell r="K2669">
            <v>0</v>
          </cell>
          <cell r="L2669">
            <v>8620.7800000000007</v>
          </cell>
          <cell r="M2669">
            <v>97097.05</v>
          </cell>
          <cell r="N2669">
            <v>6596.8699999999899</v>
          </cell>
          <cell r="O2669">
            <v>0</v>
          </cell>
          <cell r="R2669">
            <v>562.75</v>
          </cell>
        </row>
        <row r="2670">
          <cell r="G2670">
            <v>16204.27</v>
          </cell>
          <cell r="I2670">
            <v>115.959999999999</v>
          </cell>
          <cell r="J2670">
            <v>0</v>
          </cell>
          <cell r="K2670">
            <v>0</v>
          </cell>
          <cell r="L2670">
            <v>115.959999999999</v>
          </cell>
          <cell r="M2670">
            <v>17111.5</v>
          </cell>
          <cell r="N2670">
            <v>1901</v>
          </cell>
          <cell r="O2670">
            <v>0</v>
          </cell>
          <cell r="R2670">
            <v>108.349999999999</v>
          </cell>
        </row>
        <row r="2671">
          <cell r="G2671">
            <v>34365.58</v>
          </cell>
          <cell r="I2671">
            <v>252.539999999999</v>
          </cell>
          <cell r="J2671">
            <v>3710.3299999999899</v>
          </cell>
          <cell r="K2671">
            <v>0</v>
          </cell>
          <cell r="L2671">
            <v>3962.8699999999899</v>
          </cell>
          <cell r="M2671">
            <v>40066.86</v>
          </cell>
          <cell r="N2671">
            <v>1703.14</v>
          </cell>
          <cell r="O2671">
            <v>0</v>
          </cell>
          <cell r="R2671">
            <v>229.789999999999</v>
          </cell>
        </row>
        <row r="2672">
          <cell r="G2672">
            <v>42804.489999999903</v>
          </cell>
          <cell r="I2672">
            <v>319.54000000000002</v>
          </cell>
          <cell r="J2672">
            <v>2553.52</v>
          </cell>
          <cell r="K2672">
            <v>0</v>
          </cell>
          <cell r="L2672">
            <v>2873.0599999999899</v>
          </cell>
          <cell r="M2672">
            <v>47914.97</v>
          </cell>
          <cell r="N2672">
            <v>5845.0299999999897</v>
          </cell>
          <cell r="O2672">
            <v>0</v>
          </cell>
          <cell r="R2672">
            <v>286.22000000000003</v>
          </cell>
        </row>
        <row r="2673">
          <cell r="G2673">
            <v>17533.459999999901</v>
          </cell>
          <cell r="I2673">
            <v>128.849999999999</v>
          </cell>
          <cell r="J2673">
            <v>1194.6600000000001</v>
          </cell>
          <cell r="K2673">
            <v>0</v>
          </cell>
          <cell r="L2673">
            <v>1323.51</v>
          </cell>
          <cell r="M2673">
            <v>19735.150000000001</v>
          </cell>
          <cell r="N2673">
            <v>1366.0999999999899</v>
          </cell>
          <cell r="O2673">
            <v>0</v>
          </cell>
          <cell r="R2673">
            <v>117.239999999999</v>
          </cell>
        </row>
        <row r="2674">
          <cell r="G2674">
            <v>32374.4399999999</v>
          </cell>
          <cell r="I2674">
            <v>222.65</v>
          </cell>
          <cell r="J2674">
            <v>0</v>
          </cell>
          <cell r="K2674">
            <v>0</v>
          </cell>
          <cell r="L2674">
            <v>222.65</v>
          </cell>
          <cell r="M2674">
            <v>34134.32</v>
          </cell>
          <cell r="N2674">
            <v>2801.6799999999898</v>
          </cell>
          <cell r="O2674">
            <v>0</v>
          </cell>
          <cell r="R2674">
            <v>216.47</v>
          </cell>
        </row>
        <row r="2675">
          <cell r="G2675">
            <v>16832.119999999901</v>
          </cell>
          <cell r="I2675">
            <v>123.69</v>
          </cell>
          <cell r="J2675">
            <v>0</v>
          </cell>
          <cell r="K2675">
            <v>0</v>
          </cell>
          <cell r="L2675">
            <v>123.69</v>
          </cell>
          <cell r="M2675">
            <v>17799.810000000001</v>
          </cell>
          <cell r="N2675">
            <v>2480.19</v>
          </cell>
          <cell r="O2675">
            <v>0</v>
          </cell>
          <cell r="R2675">
            <v>112.56</v>
          </cell>
        </row>
        <row r="2676">
          <cell r="G2676">
            <v>88398.649999999907</v>
          </cell>
          <cell r="I2676">
            <v>639.08000000000004</v>
          </cell>
          <cell r="J2676">
            <v>0</v>
          </cell>
          <cell r="K2676">
            <v>0</v>
          </cell>
          <cell r="L2676">
            <v>639.08000000000004</v>
          </cell>
          <cell r="M2676">
            <v>93335.119999999893</v>
          </cell>
          <cell r="N2676">
            <v>9920.8799999999901</v>
          </cell>
          <cell r="O2676">
            <v>0</v>
          </cell>
          <cell r="R2676">
            <v>591.09</v>
          </cell>
        </row>
        <row r="2677">
          <cell r="G2677">
            <v>16832.119999999901</v>
          </cell>
          <cell r="I2677">
            <v>123.69</v>
          </cell>
          <cell r="J2677">
            <v>0</v>
          </cell>
          <cell r="K2677">
            <v>0</v>
          </cell>
          <cell r="L2677">
            <v>123.69</v>
          </cell>
          <cell r="M2677">
            <v>17759.23</v>
          </cell>
          <cell r="N2677">
            <v>1544.69</v>
          </cell>
          <cell r="O2677">
            <v>0</v>
          </cell>
          <cell r="R2677">
            <v>112.56</v>
          </cell>
        </row>
        <row r="2678">
          <cell r="G2678">
            <v>146272.16</v>
          </cell>
          <cell r="I2678">
            <v>1069.44</v>
          </cell>
          <cell r="J2678">
            <v>0</v>
          </cell>
          <cell r="K2678">
            <v>0</v>
          </cell>
          <cell r="L2678">
            <v>1069.44</v>
          </cell>
          <cell r="M2678">
            <v>154474.67000000001</v>
          </cell>
          <cell r="N2678">
            <v>16914.75</v>
          </cell>
          <cell r="O2678">
            <v>0</v>
          </cell>
          <cell r="R2678">
            <v>978.04999999999905</v>
          </cell>
        </row>
        <row r="2679">
          <cell r="G2679">
            <v>33664.239999999903</v>
          </cell>
          <cell r="I2679">
            <v>247.38</v>
          </cell>
          <cell r="J2679">
            <v>0</v>
          </cell>
          <cell r="K2679">
            <v>0</v>
          </cell>
          <cell r="L2679">
            <v>247.38</v>
          </cell>
          <cell r="M2679">
            <v>35587.839999999902</v>
          </cell>
          <cell r="N2679">
            <v>4688.4799999999896</v>
          </cell>
          <cell r="O2679">
            <v>0</v>
          </cell>
          <cell r="R2679">
            <v>225.09</v>
          </cell>
        </row>
        <row r="2680">
          <cell r="G2680">
            <v>16832.119999999901</v>
          </cell>
          <cell r="I2680">
            <v>123.69</v>
          </cell>
          <cell r="J2680">
            <v>798.96</v>
          </cell>
          <cell r="K2680">
            <v>0</v>
          </cell>
          <cell r="L2680">
            <v>922.64999999999895</v>
          </cell>
          <cell r="M2680">
            <v>18623.77</v>
          </cell>
          <cell r="N2680">
            <v>2256.23</v>
          </cell>
          <cell r="O2680">
            <v>0</v>
          </cell>
          <cell r="R2680">
            <v>112.56</v>
          </cell>
        </row>
        <row r="2681">
          <cell r="G2681">
            <v>33664.239999999903</v>
          </cell>
          <cell r="I2681">
            <v>247.38</v>
          </cell>
          <cell r="J2681">
            <v>2181.1199999999899</v>
          </cell>
          <cell r="K2681">
            <v>0</v>
          </cell>
          <cell r="L2681">
            <v>2428.5</v>
          </cell>
          <cell r="M2681">
            <v>37830.730000000003</v>
          </cell>
          <cell r="N2681">
            <v>3929.27</v>
          </cell>
          <cell r="O2681">
            <v>0</v>
          </cell>
          <cell r="R2681">
            <v>225.09</v>
          </cell>
        </row>
        <row r="2682">
          <cell r="G2682">
            <v>50496.36</v>
          </cell>
          <cell r="I2682">
            <v>371.07999999999902</v>
          </cell>
          <cell r="J2682">
            <v>0</v>
          </cell>
          <cell r="K2682">
            <v>0</v>
          </cell>
          <cell r="L2682">
            <v>371.07999999999902</v>
          </cell>
          <cell r="M2682">
            <v>53322.32</v>
          </cell>
          <cell r="N2682">
            <v>5662.2399999999898</v>
          </cell>
          <cell r="O2682">
            <v>0</v>
          </cell>
          <cell r="R2682">
            <v>337.64999999999901</v>
          </cell>
        </row>
        <row r="2683">
          <cell r="G2683">
            <v>404282.21</v>
          </cell>
          <cell r="I2683">
            <v>2968.3299999999899</v>
          </cell>
          <cell r="J2683">
            <v>2165.2800000000002</v>
          </cell>
          <cell r="K2683">
            <v>0</v>
          </cell>
          <cell r="L2683">
            <v>5133.6099999999897</v>
          </cell>
          <cell r="M2683">
            <v>429328.37</v>
          </cell>
          <cell r="N2683">
            <v>49121.15</v>
          </cell>
          <cell r="O2683">
            <v>0</v>
          </cell>
          <cell r="R2683">
            <v>2703.2399999999898</v>
          </cell>
        </row>
        <row r="2684">
          <cell r="G2684">
            <v>16832.119999999901</v>
          </cell>
          <cell r="I2684">
            <v>123.69</v>
          </cell>
          <cell r="J2684">
            <v>1174.8</v>
          </cell>
          <cell r="K2684">
            <v>0</v>
          </cell>
          <cell r="L2684">
            <v>1298.49</v>
          </cell>
          <cell r="M2684">
            <v>18999.61</v>
          </cell>
          <cell r="N2684">
            <v>1880.39</v>
          </cell>
          <cell r="O2684">
            <v>0</v>
          </cell>
          <cell r="R2684">
            <v>112.56</v>
          </cell>
        </row>
        <row r="2685">
          <cell r="G2685">
            <v>16691.86</v>
          </cell>
          <cell r="I2685">
            <v>122.66</v>
          </cell>
          <cell r="J2685">
            <v>0</v>
          </cell>
          <cell r="K2685">
            <v>0</v>
          </cell>
          <cell r="L2685">
            <v>122.66</v>
          </cell>
          <cell r="M2685">
            <v>17625.98</v>
          </cell>
          <cell r="N2685">
            <v>1872.02</v>
          </cell>
          <cell r="O2685">
            <v>0</v>
          </cell>
          <cell r="R2685">
            <v>111.61</v>
          </cell>
        </row>
        <row r="2686">
          <cell r="G2686">
            <v>84160.6</v>
          </cell>
          <cell r="I2686">
            <v>618.46</v>
          </cell>
          <cell r="J2686">
            <v>4575.3599999999897</v>
          </cell>
          <cell r="K2686">
            <v>0</v>
          </cell>
          <cell r="L2686">
            <v>5193.8199999999897</v>
          </cell>
          <cell r="M2686">
            <v>93728.320000000007</v>
          </cell>
          <cell r="N2686">
            <v>11365.52</v>
          </cell>
          <cell r="O2686">
            <v>0</v>
          </cell>
          <cell r="R2686">
            <v>562.75</v>
          </cell>
        </row>
        <row r="2687">
          <cell r="G2687">
            <v>389363.76</v>
          </cell>
          <cell r="I2687">
            <v>2865.5799999999899</v>
          </cell>
          <cell r="J2687">
            <v>18928.34</v>
          </cell>
          <cell r="K2687">
            <v>0</v>
          </cell>
          <cell r="L2687">
            <v>21793.9199999999</v>
          </cell>
          <cell r="M2687">
            <v>430676.52</v>
          </cell>
          <cell r="N2687">
            <v>38311.919999999896</v>
          </cell>
          <cell r="O2687">
            <v>0</v>
          </cell>
          <cell r="R2687">
            <v>2603.5100000000002</v>
          </cell>
        </row>
        <row r="2688">
          <cell r="G2688">
            <v>100992.72</v>
          </cell>
          <cell r="I2688">
            <v>742.15999999999894</v>
          </cell>
          <cell r="J2688">
            <v>0</v>
          </cell>
          <cell r="K2688">
            <v>0</v>
          </cell>
          <cell r="L2688">
            <v>742.15999999999894</v>
          </cell>
          <cell r="M2688">
            <v>107008.82</v>
          </cell>
          <cell r="N2688">
            <v>19711.18</v>
          </cell>
          <cell r="O2688">
            <v>0</v>
          </cell>
          <cell r="R2688">
            <v>675.28999999999905</v>
          </cell>
        </row>
        <row r="2689">
          <cell r="G2689">
            <v>50496.36</v>
          </cell>
          <cell r="I2689">
            <v>371.07999999999902</v>
          </cell>
          <cell r="J2689">
            <v>4257.3599999999897</v>
          </cell>
          <cell r="K2689">
            <v>0</v>
          </cell>
          <cell r="L2689">
            <v>4628.4399999999896</v>
          </cell>
          <cell r="M2689">
            <v>57716.849999999897</v>
          </cell>
          <cell r="N2689">
            <v>4563.1499999999896</v>
          </cell>
          <cell r="O2689">
            <v>0</v>
          </cell>
          <cell r="R2689">
            <v>337.64999999999901</v>
          </cell>
        </row>
        <row r="2690">
          <cell r="G2690">
            <v>16832.119999999901</v>
          </cell>
          <cell r="I2690">
            <v>123.69</v>
          </cell>
          <cell r="J2690">
            <v>0</v>
          </cell>
          <cell r="K2690">
            <v>0</v>
          </cell>
          <cell r="L2690">
            <v>123.69</v>
          </cell>
          <cell r="M2690">
            <v>17774.13</v>
          </cell>
          <cell r="N2690">
            <v>1887.39</v>
          </cell>
          <cell r="O2690">
            <v>0</v>
          </cell>
          <cell r="R2690">
            <v>112.56</v>
          </cell>
        </row>
        <row r="2691">
          <cell r="G2691">
            <v>34365.58</v>
          </cell>
          <cell r="I2691">
            <v>252.539999999999</v>
          </cell>
          <cell r="J2691">
            <v>1118.52</v>
          </cell>
          <cell r="K2691">
            <v>0</v>
          </cell>
          <cell r="L2691">
            <v>1371.0599999999899</v>
          </cell>
          <cell r="M2691">
            <v>37433.19</v>
          </cell>
          <cell r="N2691">
            <v>3329.5799999999899</v>
          </cell>
          <cell r="O2691">
            <v>0</v>
          </cell>
          <cell r="R2691">
            <v>229.789999999999</v>
          </cell>
        </row>
        <row r="2692">
          <cell r="G2692">
            <v>188147.20000000001</v>
          </cell>
          <cell r="I2692">
            <v>1381.25</v>
          </cell>
          <cell r="J2692">
            <v>9779.34</v>
          </cell>
          <cell r="K2692">
            <v>0</v>
          </cell>
          <cell r="L2692">
            <v>11160.59</v>
          </cell>
          <cell r="M2692">
            <v>208748.649999999</v>
          </cell>
          <cell r="N2692">
            <v>18091.3499999999</v>
          </cell>
          <cell r="O2692">
            <v>0</v>
          </cell>
          <cell r="R2692">
            <v>1258.05</v>
          </cell>
        </row>
        <row r="2693">
          <cell r="G2693">
            <v>50496.36</v>
          </cell>
          <cell r="I2693">
            <v>371.07999999999902</v>
          </cell>
          <cell r="J2693">
            <v>4538.6400000000003</v>
          </cell>
          <cell r="K2693">
            <v>0</v>
          </cell>
          <cell r="L2693">
            <v>4909.72</v>
          </cell>
          <cell r="M2693">
            <v>57979.959999999897</v>
          </cell>
          <cell r="N2693">
            <v>3864.1999999999898</v>
          </cell>
          <cell r="O2693">
            <v>0</v>
          </cell>
          <cell r="R2693">
            <v>337.64999999999901</v>
          </cell>
        </row>
        <row r="2694">
          <cell r="G2694">
            <v>33664.239999999903</v>
          </cell>
          <cell r="I2694">
            <v>247.38</v>
          </cell>
          <cell r="J2694">
            <v>3863.04</v>
          </cell>
          <cell r="K2694">
            <v>0</v>
          </cell>
          <cell r="L2694">
            <v>4110.42</v>
          </cell>
          <cell r="M2694">
            <v>39455.879999999903</v>
          </cell>
          <cell r="N2694">
            <v>939.48</v>
          </cell>
          <cell r="O2694">
            <v>0</v>
          </cell>
          <cell r="R2694">
            <v>225.09</v>
          </cell>
        </row>
        <row r="2695">
          <cell r="G2695">
            <v>33664.239999999903</v>
          </cell>
          <cell r="I2695">
            <v>247.38</v>
          </cell>
          <cell r="J2695">
            <v>3558.2399999999898</v>
          </cell>
          <cell r="K2695">
            <v>0</v>
          </cell>
          <cell r="L2695">
            <v>3805.6199999999899</v>
          </cell>
          <cell r="M2695">
            <v>39200.669999999896</v>
          </cell>
          <cell r="N2695">
            <v>2386.29</v>
          </cell>
          <cell r="O2695">
            <v>0</v>
          </cell>
          <cell r="R2695">
            <v>225.09</v>
          </cell>
        </row>
        <row r="2696">
          <cell r="G2696">
            <v>56159.8</v>
          </cell>
          <cell r="I2696">
            <v>407.44</v>
          </cell>
          <cell r="J2696">
            <v>0</v>
          </cell>
          <cell r="K2696">
            <v>0</v>
          </cell>
          <cell r="L2696">
            <v>407.44</v>
          </cell>
          <cell r="M2696">
            <v>59551.37</v>
          </cell>
          <cell r="N2696">
            <v>12147.82</v>
          </cell>
          <cell r="O2696">
            <v>0</v>
          </cell>
          <cell r="R2696">
            <v>375.51999999999902</v>
          </cell>
        </row>
        <row r="2697">
          <cell r="G2697">
            <v>2708.6199999999899</v>
          </cell>
          <cell r="I2697">
            <v>20.6099999999999</v>
          </cell>
          <cell r="J2697">
            <v>0</v>
          </cell>
          <cell r="K2697">
            <v>0</v>
          </cell>
          <cell r="L2697">
            <v>20.6099999999999</v>
          </cell>
          <cell r="M2697">
            <v>2877.8899999999899</v>
          </cell>
          <cell r="N2697">
            <v>694.95</v>
          </cell>
          <cell r="O2697">
            <v>0</v>
          </cell>
          <cell r="R2697">
            <v>18.12</v>
          </cell>
        </row>
        <row r="2698">
          <cell r="G2698">
            <v>2206.5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2206.5</v>
          </cell>
          <cell r="N2698">
            <v>-2206.5</v>
          </cell>
          <cell r="O2698">
            <v>0</v>
          </cell>
          <cell r="R2698">
            <v>0</v>
          </cell>
        </row>
        <row r="2699">
          <cell r="G2699">
            <v>74803.429999999906</v>
          </cell>
          <cell r="I2699">
            <v>529.64999999999895</v>
          </cell>
          <cell r="J2699">
            <v>3123.9499999999898</v>
          </cell>
          <cell r="K2699">
            <v>0</v>
          </cell>
          <cell r="L2699">
            <v>3653.5999999999899</v>
          </cell>
          <cell r="M2699">
            <v>82421.100000000006</v>
          </cell>
          <cell r="N2699">
            <v>14808.62</v>
          </cell>
          <cell r="O2699">
            <v>0</v>
          </cell>
          <cell r="R2699">
            <v>168.83</v>
          </cell>
        </row>
        <row r="2700">
          <cell r="G2700">
            <v>67510.429999999906</v>
          </cell>
          <cell r="I2700">
            <v>475.19</v>
          </cell>
          <cell r="J2700">
            <v>6551.2799999999897</v>
          </cell>
          <cell r="K2700">
            <v>0</v>
          </cell>
          <cell r="L2700">
            <v>7026.47</v>
          </cell>
          <cell r="M2700">
            <v>78274.77</v>
          </cell>
          <cell r="N2700">
            <v>13405.23</v>
          </cell>
          <cell r="O2700">
            <v>0</v>
          </cell>
          <cell r="R2700">
            <v>152.37</v>
          </cell>
        </row>
        <row r="2701">
          <cell r="G2701">
            <v>33556.68</v>
          </cell>
          <cell r="I2701">
            <v>237.59</v>
          </cell>
          <cell r="J2701">
            <v>0</v>
          </cell>
          <cell r="K2701">
            <v>0</v>
          </cell>
          <cell r="L2701">
            <v>237.59</v>
          </cell>
          <cell r="M2701">
            <v>35575.139999999898</v>
          </cell>
          <cell r="N2701">
            <v>8104.8599999999897</v>
          </cell>
          <cell r="O2701">
            <v>0</v>
          </cell>
          <cell r="R2701">
            <v>75.739999999999895</v>
          </cell>
        </row>
        <row r="2702">
          <cell r="G2702">
            <v>16778.34</v>
          </cell>
          <cell r="I2702">
            <v>118.8</v>
          </cell>
          <cell r="J2702">
            <v>688.55999999999904</v>
          </cell>
          <cell r="K2702">
            <v>0</v>
          </cell>
          <cell r="L2702">
            <v>807.36</v>
          </cell>
          <cell r="M2702">
            <v>18520.18</v>
          </cell>
          <cell r="N2702">
            <v>4399.8199999999897</v>
          </cell>
          <cell r="O2702">
            <v>0</v>
          </cell>
          <cell r="R2702">
            <v>37.869999999999898</v>
          </cell>
        </row>
        <row r="2703">
          <cell r="G2703">
            <v>67812.460000000006</v>
          </cell>
          <cell r="I2703">
            <v>480.14999999999901</v>
          </cell>
          <cell r="J2703">
            <v>6498.1099999999897</v>
          </cell>
          <cell r="K2703">
            <v>0</v>
          </cell>
          <cell r="L2703">
            <v>6978.26</v>
          </cell>
          <cell r="M2703">
            <v>78547.149999999907</v>
          </cell>
          <cell r="N2703">
            <v>13587.85</v>
          </cell>
          <cell r="O2703">
            <v>0</v>
          </cell>
          <cell r="R2703">
            <v>153.05000000000001</v>
          </cell>
        </row>
        <row r="2704">
          <cell r="G2704">
            <v>16778.34</v>
          </cell>
          <cell r="I2704">
            <v>118.8</v>
          </cell>
          <cell r="J2704">
            <v>1253.52</v>
          </cell>
          <cell r="K2704">
            <v>0</v>
          </cell>
          <cell r="L2704">
            <v>1372.3199999999899</v>
          </cell>
          <cell r="M2704">
            <v>19085.139999999901</v>
          </cell>
          <cell r="N2704">
            <v>3834.86</v>
          </cell>
          <cell r="O2704">
            <v>0</v>
          </cell>
          <cell r="R2704">
            <v>37.869999999999898</v>
          </cell>
        </row>
        <row r="2705">
          <cell r="G2705">
            <v>51034.12</v>
          </cell>
          <cell r="I2705">
            <v>361.33999999999901</v>
          </cell>
          <cell r="J2705">
            <v>2894.1599999999899</v>
          </cell>
          <cell r="K2705">
            <v>0</v>
          </cell>
          <cell r="L2705">
            <v>3255.5</v>
          </cell>
          <cell r="M2705">
            <v>57111.55</v>
          </cell>
          <cell r="N2705">
            <v>12103.45</v>
          </cell>
          <cell r="O2705">
            <v>0</v>
          </cell>
          <cell r="R2705">
            <v>115.18</v>
          </cell>
        </row>
        <row r="2706">
          <cell r="G2706">
            <v>50335.019999999902</v>
          </cell>
          <cell r="I2706">
            <v>356.38999999999902</v>
          </cell>
          <cell r="J2706">
            <v>5863.1999999999898</v>
          </cell>
          <cell r="K2706">
            <v>0</v>
          </cell>
          <cell r="L2706">
            <v>6219.59</v>
          </cell>
          <cell r="M2706">
            <v>59274.779999999897</v>
          </cell>
          <cell r="N2706">
            <v>7445.22</v>
          </cell>
          <cell r="O2706">
            <v>0</v>
          </cell>
          <cell r="R2706">
            <v>113.61</v>
          </cell>
        </row>
        <row r="2707">
          <cell r="G2707">
            <v>16778.34</v>
          </cell>
          <cell r="I2707">
            <v>118.8</v>
          </cell>
          <cell r="J2707">
            <v>1931.52</v>
          </cell>
          <cell r="K2707">
            <v>0</v>
          </cell>
          <cell r="L2707">
            <v>2050.3200000000002</v>
          </cell>
          <cell r="M2707">
            <v>19763.139999999901</v>
          </cell>
          <cell r="N2707">
            <v>3156.86</v>
          </cell>
          <cell r="O2707">
            <v>0</v>
          </cell>
          <cell r="R2707">
            <v>37.869999999999898</v>
          </cell>
        </row>
        <row r="2708">
          <cell r="G2708">
            <v>67113.36</v>
          </cell>
          <cell r="I2708">
            <v>475.19999999999902</v>
          </cell>
          <cell r="J2708">
            <v>0</v>
          </cell>
          <cell r="K2708">
            <v>0</v>
          </cell>
          <cell r="L2708">
            <v>475.19999999999902</v>
          </cell>
          <cell r="M2708">
            <v>71131.600000000006</v>
          </cell>
          <cell r="N2708">
            <v>15769.76</v>
          </cell>
          <cell r="O2708">
            <v>0</v>
          </cell>
          <cell r="R2708">
            <v>151.47</v>
          </cell>
        </row>
        <row r="2709">
          <cell r="G2709">
            <v>17175.41</v>
          </cell>
          <cell r="I2709">
            <v>118.8</v>
          </cell>
          <cell r="J2709">
            <v>1379.76</v>
          </cell>
          <cell r="K2709">
            <v>0</v>
          </cell>
          <cell r="L2709">
            <v>1498.5599999999899</v>
          </cell>
          <cell r="M2709">
            <v>19601.9199999999</v>
          </cell>
          <cell r="N2709">
            <v>3157.76</v>
          </cell>
          <cell r="O2709">
            <v>0</v>
          </cell>
          <cell r="R2709">
            <v>38.759999999999899</v>
          </cell>
        </row>
        <row r="2710">
          <cell r="G2710">
            <v>151005.06</v>
          </cell>
          <cell r="I2710">
            <v>1069.19</v>
          </cell>
          <cell r="J2710">
            <v>0</v>
          </cell>
          <cell r="K2710">
            <v>0</v>
          </cell>
          <cell r="L2710">
            <v>1069.19</v>
          </cell>
          <cell r="M2710">
            <v>160056.95000000001</v>
          </cell>
          <cell r="N2710">
            <v>35738.65</v>
          </cell>
          <cell r="O2710">
            <v>0</v>
          </cell>
          <cell r="R2710">
            <v>340.81999999999903</v>
          </cell>
        </row>
        <row r="2711">
          <cell r="G2711">
            <v>50732.089999999902</v>
          </cell>
          <cell r="I2711">
            <v>356.38999999999902</v>
          </cell>
          <cell r="J2711">
            <v>2060.1599999999899</v>
          </cell>
          <cell r="K2711">
            <v>0</v>
          </cell>
          <cell r="L2711">
            <v>2416.5500000000002</v>
          </cell>
          <cell r="M2711">
            <v>55831.65</v>
          </cell>
          <cell r="N2711">
            <v>9975.1499999999905</v>
          </cell>
          <cell r="O2711">
            <v>0</v>
          </cell>
          <cell r="R2711">
            <v>114.5</v>
          </cell>
        </row>
        <row r="2712">
          <cell r="G2712">
            <v>84803.58</v>
          </cell>
          <cell r="I2712">
            <v>586.57000000000005</v>
          </cell>
          <cell r="J2712">
            <v>6328.14</v>
          </cell>
          <cell r="K2712">
            <v>0</v>
          </cell>
          <cell r="L2712">
            <v>6914.71</v>
          </cell>
          <cell r="M2712">
            <v>96332.24</v>
          </cell>
          <cell r="N2712">
            <v>16835.2599999999</v>
          </cell>
          <cell r="O2712">
            <v>0</v>
          </cell>
          <cell r="R2712">
            <v>191.41</v>
          </cell>
        </row>
        <row r="2713">
          <cell r="G2713">
            <v>1310872.71</v>
          </cell>
          <cell r="I2713">
            <v>9286.1200000000008</v>
          </cell>
          <cell r="J2713">
            <v>128217.02</v>
          </cell>
          <cell r="K2713">
            <v>0</v>
          </cell>
          <cell r="L2713">
            <v>137503.14000000001</v>
          </cell>
          <cell r="M2713">
            <v>1519271.9099999899</v>
          </cell>
          <cell r="N2713">
            <v>219628.13</v>
          </cell>
          <cell r="O2713">
            <v>0</v>
          </cell>
          <cell r="R2713">
            <v>2958.65</v>
          </cell>
        </row>
        <row r="2714">
          <cell r="G2714">
            <v>57696</v>
          </cell>
          <cell r="I2714">
            <v>413.42</v>
          </cell>
          <cell r="J2714">
            <v>1419.1199999999899</v>
          </cell>
          <cell r="K2714">
            <v>0</v>
          </cell>
          <cell r="L2714">
            <v>1832.54</v>
          </cell>
          <cell r="M2714">
            <v>62613.18</v>
          </cell>
          <cell r="N2714">
            <v>13044.42</v>
          </cell>
          <cell r="O2714">
            <v>0</v>
          </cell>
          <cell r="R2714">
            <v>130.21</v>
          </cell>
        </row>
        <row r="2715">
          <cell r="G2715">
            <v>605418.42000000004</v>
          </cell>
          <cell r="I2715">
            <v>4286.67</v>
          </cell>
          <cell r="J2715">
            <v>56151.41</v>
          </cell>
          <cell r="K2715">
            <v>0</v>
          </cell>
          <cell r="L2715">
            <v>60438.080000000002</v>
          </cell>
          <cell r="M2715">
            <v>697898.72999999905</v>
          </cell>
          <cell r="N2715">
            <v>88015.57</v>
          </cell>
          <cell r="O2715">
            <v>0</v>
          </cell>
          <cell r="R2715">
            <v>1366.43</v>
          </cell>
        </row>
        <row r="2716">
          <cell r="G2716">
            <v>16778.34</v>
          </cell>
          <cell r="I2716">
            <v>118.8</v>
          </cell>
          <cell r="J2716">
            <v>0</v>
          </cell>
          <cell r="K2716">
            <v>0</v>
          </cell>
          <cell r="L2716">
            <v>118.8</v>
          </cell>
          <cell r="M2716">
            <v>17781.310000000001</v>
          </cell>
          <cell r="N2716">
            <v>3905.8099999999899</v>
          </cell>
          <cell r="O2716">
            <v>0</v>
          </cell>
          <cell r="R2716">
            <v>37.869999999999898</v>
          </cell>
        </row>
        <row r="2717">
          <cell r="G2717">
            <v>50335.019999999902</v>
          </cell>
          <cell r="I2717">
            <v>356.38999999999902</v>
          </cell>
          <cell r="J2717">
            <v>3746.88</v>
          </cell>
          <cell r="K2717">
            <v>0</v>
          </cell>
          <cell r="L2717">
            <v>4103.2700000000004</v>
          </cell>
          <cell r="M2717">
            <v>57222.080000000002</v>
          </cell>
          <cell r="N2717">
            <v>11056.959999999901</v>
          </cell>
          <cell r="O2717">
            <v>0</v>
          </cell>
          <cell r="R2717">
            <v>113.61</v>
          </cell>
        </row>
        <row r="2718">
          <cell r="G2718">
            <v>195730.399999999</v>
          </cell>
          <cell r="I2718">
            <v>1366.19</v>
          </cell>
          <cell r="J2718">
            <v>0</v>
          </cell>
          <cell r="K2718">
            <v>0</v>
          </cell>
          <cell r="L2718">
            <v>1366.19</v>
          </cell>
          <cell r="M2718">
            <v>207264.859999999</v>
          </cell>
          <cell r="N2718">
            <v>42137.019999999902</v>
          </cell>
          <cell r="O2718">
            <v>0</v>
          </cell>
          <cell r="R2718">
            <v>441.77999999999901</v>
          </cell>
        </row>
        <row r="2719">
          <cell r="G2719">
            <v>562359.52</v>
          </cell>
          <cell r="I2719">
            <v>3964.92</v>
          </cell>
          <cell r="J2719">
            <v>38168.47</v>
          </cell>
          <cell r="K2719">
            <v>0</v>
          </cell>
          <cell r="L2719">
            <v>42133.389999999898</v>
          </cell>
          <cell r="M2719">
            <v>634995.84999999905</v>
          </cell>
          <cell r="N2719">
            <v>113163.36</v>
          </cell>
          <cell r="O2719">
            <v>0</v>
          </cell>
          <cell r="R2719">
            <v>1269.25</v>
          </cell>
        </row>
        <row r="2720">
          <cell r="G2720">
            <v>33557.550000000003</v>
          </cell>
          <cell r="I2720">
            <v>237.59</v>
          </cell>
          <cell r="J2720">
            <v>2754.2399999999898</v>
          </cell>
          <cell r="K2720">
            <v>0</v>
          </cell>
          <cell r="L2720">
            <v>2991.8299999999899</v>
          </cell>
          <cell r="M2720">
            <v>38342.07</v>
          </cell>
          <cell r="N2720">
            <v>5628.09</v>
          </cell>
          <cell r="O2720">
            <v>0</v>
          </cell>
          <cell r="R2720">
            <v>75.739999999999895</v>
          </cell>
        </row>
        <row r="2721">
          <cell r="G2721">
            <v>201060.75</v>
          </cell>
          <cell r="I2721">
            <v>1418.16</v>
          </cell>
          <cell r="J2721">
            <v>8476.6200000000008</v>
          </cell>
          <cell r="K2721">
            <v>0</v>
          </cell>
          <cell r="L2721">
            <v>9894.7800000000007</v>
          </cell>
          <cell r="M2721">
            <v>221561.39</v>
          </cell>
          <cell r="N2721">
            <v>38572.69</v>
          </cell>
          <cell r="O2721">
            <v>0</v>
          </cell>
          <cell r="R2721">
            <v>453.79</v>
          </cell>
        </row>
        <row r="2722">
          <cell r="G2722">
            <v>151005.06</v>
          </cell>
          <cell r="I2722">
            <v>1069.19</v>
          </cell>
          <cell r="J2722">
            <v>17315.04</v>
          </cell>
          <cell r="K2722">
            <v>0</v>
          </cell>
          <cell r="L2722">
            <v>18384.23</v>
          </cell>
          <cell r="M2722">
            <v>177672.239999999</v>
          </cell>
          <cell r="N2722">
            <v>25487.7599999999</v>
          </cell>
          <cell r="O2722">
            <v>0</v>
          </cell>
          <cell r="R2722">
            <v>340.81999999999903</v>
          </cell>
        </row>
        <row r="2723">
          <cell r="G2723">
            <v>99271.839999999895</v>
          </cell>
          <cell r="I2723">
            <v>702.89999999999895</v>
          </cell>
          <cell r="J2723">
            <v>4580.3999999999896</v>
          </cell>
          <cell r="K2723">
            <v>0</v>
          </cell>
          <cell r="L2723">
            <v>5283.3</v>
          </cell>
          <cell r="M2723">
            <v>109967.789999999</v>
          </cell>
          <cell r="N2723">
            <v>22790.79</v>
          </cell>
          <cell r="O2723">
            <v>0</v>
          </cell>
          <cell r="R2723">
            <v>224.06</v>
          </cell>
        </row>
        <row r="2724">
          <cell r="G2724">
            <v>169115.06</v>
          </cell>
          <cell r="I2724">
            <v>1178.0799999999899</v>
          </cell>
          <cell r="J2724">
            <v>10195.57</v>
          </cell>
          <cell r="K2724">
            <v>0</v>
          </cell>
          <cell r="L2724">
            <v>11373.65</v>
          </cell>
          <cell r="M2724">
            <v>189408.17</v>
          </cell>
          <cell r="N2724">
            <v>29363.2599999999</v>
          </cell>
          <cell r="O2724">
            <v>0</v>
          </cell>
          <cell r="R2724">
            <v>381.69</v>
          </cell>
        </row>
        <row r="2725">
          <cell r="G2725">
            <v>191718.16</v>
          </cell>
          <cell r="I2725">
            <v>1356.29</v>
          </cell>
          <cell r="J2725">
            <v>8849.9799999999905</v>
          </cell>
          <cell r="K2725">
            <v>0</v>
          </cell>
          <cell r="L2725">
            <v>10206.27</v>
          </cell>
          <cell r="M2725">
            <v>212221.489999999</v>
          </cell>
          <cell r="N2725">
            <v>40338.730000000003</v>
          </cell>
          <cell r="O2725">
            <v>0</v>
          </cell>
          <cell r="R2725">
            <v>432.70999999999901</v>
          </cell>
        </row>
        <row r="2726">
          <cell r="G2726">
            <v>304694.57</v>
          </cell>
          <cell r="I2726">
            <v>2143.3299999999899</v>
          </cell>
          <cell r="J2726">
            <v>19595.369999999901</v>
          </cell>
          <cell r="K2726">
            <v>0</v>
          </cell>
          <cell r="L2726">
            <v>21738.7</v>
          </cell>
          <cell r="M2726">
            <v>342713.77</v>
          </cell>
          <cell r="N2726">
            <v>56605.8</v>
          </cell>
          <cell r="O2726">
            <v>0</v>
          </cell>
          <cell r="R2726">
            <v>687.67999999999904</v>
          </cell>
        </row>
        <row r="2727">
          <cell r="G2727">
            <v>135020.859999999</v>
          </cell>
          <cell r="I2727">
            <v>950.38</v>
          </cell>
          <cell r="J2727">
            <v>0</v>
          </cell>
          <cell r="K2727">
            <v>0</v>
          </cell>
          <cell r="L2727">
            <v>950.38</v>
          </cell>
          <cell r="M2727">
            <v>143044.89000000001</v>
          </cell>
          <cell r="N2727">
            <v>30452.07</v>
          </cell>
          <cell r="O2727">
            <v>0</v>
          </cell>
          <cell r="R2727">
            <v>304.75</v>
          </cell>
        </row>
        <row r="2728">
          <cell r="G2728">
            <v>67113.36</v>
          </cell>
          <cell r="I2728">
            <v>475.19999999999902</v>
          </cell>
          <cell r="J2728">
            <v>0</v>
          </cell>
          <cell r="K2728">
            <v>0</v>
          </cell>
          <cell r="L2728">
            <v>475.19999999999902</v>
          </cell>
          <cell r="M2728">
            <v>71042.759999999893</v>
          </cell>
          <cell r="N2728">
            <v>13680.12</v>
          </cell>
          <cell r="O2728">
            <v>0</v>
          </cell>
          <cell r="R2728">
            <v>151.47</v>
          </cell>
        </row>
        <row r="2729">
          <cell r="G2729">
            <v>33556.68</v>
          </cell>
          <cell r="I2729">
            <v>237.59</v>
          </cell>
          <cell r="J2729">
            <v>4152.4799999999896</v>
          </cell>
          <cell r="K2729">
            <v>0</v>
          </cell>
          <cell r="L2729">
            <v>4390.0699999999897</v>
          </cell>
          <cell r="M2729">
            <v>39815.699999999903</v>
          </cell>
          <cell r="N2729">
            <v>6024.3</v>
          </cell>
          <cell r="O2729">
            <v>0</v>
          </cell>
          <cell r="R2729">
            <v>75.739999999999895</v>
          </cell>
        </row>
        <row r="2730">
          <cell r="G2730">
            <v>50335.019999999902</v>
          </cell>
          <cell r="I2730">
            <v>356.38999999999902</v>
          </cell>
          <cell r="J2730">
            <v>5600.1599999999899</v>
          </cell>
          <cell r="K2730">
            <v>0</v>
          </cell>
          <cell r="L2730">
            <v>5956.55</v>
          </cell>
          <cell r="M2730">
            <v>59011.739999999903</v>
          </cell>
          <cell r="N2730">
            <v>7708.26</v>
          </cell>
          <cell r="O2730">
            <v>0</v>
          </cell>
          <cell r="R2730">
            <v>113.61</v>
          </cell>
        </row>
        <row r="2731">
          <cell r="G2731">
            <v>33556.68</v>
          </cell>
          <cell r="I2731">
            <v>237.59</v>
          </cell>
          <cell r="J2731">
            <v>4178.88</v>
          </cell>
          <cell r="K2731">
            <v>0</v>
          </cell>
          <cell r="L2731">
            <v>4416.47</v>
          </cell>
          <cell r="M2731">
            <v>39765.839999999902</v>
          </cell>
          <cell r="N2731">
            <v>4204.3199999999897</v>
          </cell>
          <cell r="O2731">
            <v>0</v>
          </cell>
          <cell r="R2731">
            <v>75.739999999999895</v>
          </cell>
        </row>
        <row r="2732">
          <cell r="G2732">
            <v>628376.71999999904</v>
          </cell>
          <cell r="I2732">
            <v>4435.17</v>
          </cell>
          <cell r="J2732">
            <v>63416.389999999898</v>
          </cell>
          <cell r="K2732">
            <v>0</v>
          </cell>
          <cell r="L2732">
            <v>67851.559999999896</v>
          </cell>
          <cell r="M2732">
            <v>729785.70999999903</v>
          </cell>
          <cell r="N2732">
            <v>93294.169999999896</v>
          </cell>
          <cell r="O2732">
            <v>0</v>
          </cell>
          <cell r="R2732">
            <v>1418.25</v>
          </cell>
        </row>
        <row r="2733">
          <cell r="G2733">
            <v>16778.34</v>
          </cell>
          <cell r="I2733">
            <v>118.8</v>
          </cell>
          <cell r="J2733">
            <v>1484.88</v>
          </cell>
          <cell r="K2733">
            <v>0</v>
          </cell>
          <cell r="L2733">
            <v>1603.68</v>
          </cell>
          <cell r="M2733">
            <v>19246.77</v>
          </cell>
          <cell r="N2733">
            <v>1963.71</v>
          </cell>
          <cell r="O2733">
            <v>0</v>
          </cell>
          <cell r="R2733">
            <v>37.869999999999898</v>
          </cell>
        </row>
        <row r="2734">
          <cell r="G2734">
            <v>33556.68</v>
          </cell>
          <cell r="I2734">
            <v>237.59</v>
          </cell>
          <cell r="J2734">
            <v>3179.04</v>
          </cell>
          <cell r="K2734">
            <v>0</v>
          </cell>
          <cell r="L2734">
            <v>3416.63</v>
          </cell>
          <cell r="M2734">
            <v>38829.15</v>
          </cell>
          <cell r="N2734">
            <v>6690.21</v>
          </cell>
          <cell r="O2734">
            <v>0</v>
          </cell>
          <cell r="R2734">
            <v>75.739999999999895</v>
          </cell>
        </row>
        <row r="2735">
          <cell r="G2735">
            <v>194949.72</v>
          </cell>
          <cell r="I2735">
            <v>1409.25</v>
          </cell>
          <cell r="J2735">
            <v>3550.5599999999899</v>
          </cell>
          <cell r="K2735">
            <v>0</v>
          </cell>
          <cell r="L2735">
            <v>4959.8100000000004</v>
          </cell>
          <cell r="M2735">
            <v>210105.989999999</v>
          </cell>
          <cell r="N2735">
            <v>39987.15</v>
          </cell>
          <cell r="O2735">
            <v>0</v>
          </cell>
          <cell r="R2735">
            <v>440.00999999999902</v>
          </cell>
        </row>
        <row r="2736">
          <cell r="G2736">
            <v>16778.34</v>
          </cell>
          <cell r="I2736">
            <v>118.8</v>
          </cell>
          <cell r="J2736">
            <v>1886.64</v>
          </cell>
          <cell r="K2736">
            <v>0</v>
          </cell>
          <cell r="L2736">
            <v>2005.44</v>
          </cell>
          <cell r="M2736">
            <v>19718.2599999999</v>
          </cell>
          <cell r="N2736">
            <v>3201.7399999999898</v>
          </cell>
          <cell r="O2736">
            <v>0</v>
          </cell>
          <cell r="R2736">
            <v>37.869999999999898</v>
          </cell>
        </row>
        <row r="2737">
          <cell r="G2737">
            <v>50732.089999999902</v>
          </cell>
          <cell r="I2737">
            <v>356.38999999999902</v>
          </cell>
          <cell r="J2737">
            <v>0</v>
          </cell>
          <cell r="K2737">
            <v>0</v>
          </cell>
          <cell r="L2737">
            <v>356.38999999999902</v>
          </cell>
          <cell r="M2737">
            <v>53741.08</v>
          </cell>
          <cell r="N2737">
            <v>11320.28</v>
          </cell>
          <cell r="O2737">
            <v>0</v>
          </cell>
          <cell r="R2737">
            <v>114.5</v>
          </cell>
        </row>
        <row r="2738">
          <cell r="G2738">
            <v>329369.96000000002</v>
          </cell>
          <cell r="I2738">
            <v>2326.48</v>
          </cell>
          <cell r="J2738">
            <v>19864.299999999901</v>
          </cell>
          <cell r="K2738">
            <v>0</v>
          </cell>
          <cell r="L2738">
            <v>22190.779999999901</v>
          </cell>
          <cell r="M2738">
            <v>369271.33</v>
          </cell>
          <cell r="N2738">
            <v>65123.669999999896</v>
          </cell>
          <cell r="O2738">
            <v>0</v>
          </cell>
          <cell r="R2738">
            <v>743.38999999999896</v>
          </cell>
        </row>
        <row r="2739">
          <cell r="G2739">
            <v>430111.78999999899</v>
          </cell>
          <cell r="I2739">
            <v>3057.3899999999899</v>
          </cell>
          <cell r="J2739">
            <v>15939.5</v>
          </cell>
          <cell r="K2739">
            <v>0</v>
          </cell>
          <cell r="L2739">
            <v>18996.889999999901</v>
          </cell>
          <cell r="M2739">
            <v>471458.26</v>
          </cell>
          <cell r="N2739">
            <v>76719.13</v>
          </cell>
          <cell r="O2739">
            <v>0</v>
          </cell>
          <cell r="R2739">
            <v>970.76999999999896</v>
          </cell>
        </row>
        <row r="2740">
          <cell r="G2740">
            <v>51034.12</v>
          </cell>
          <cell r="I2740">
            <v>361.33999999999901</v>
          </cell>
          <cell r="J2740">
            <v>1349.63</v>
          </cell>
          <cell r="K2740">
            <v>0</v>
          </cell>
          <cell r="L2740">
            <v>1710.97</v>
          </cell>
          <cell r="M2740">
            <v>55459.8</v>
          </cell>
          <cell r="N2740">
            <v>11125.69</v>
          </cell>
          <cell r="O2740">
            <v>0</v>
          </cell>
          <cell r="R2740">
            <v>115.18</v>
          </cell>
        </row>
        <row r="2741">
          <cell r="G2741">
            <v>51034.12</v>
          </cell>
          <cell r="I2741">
            <v>361.33999999999901</v>
          </cell>
          <cell r="J2741">
            <v>5927.71</v>
          </cell>
          <cell r="K2741">
            <v>0</v>
          </cell>
          <cell r="L2741">
            <v>6289.05</v>
          </cell>
          <cell r="M2741">
            <v>60145.099999999897</v>
          </cell>
          <cell r="N2741">
            <v>9069.8999999999905</v>
          </cell>
          <cell r="O2741">
            <v>0</v>
          </cell>
          <cell r="R2741">
            <v>115.18</v>
          </cell>
        </row>
        <row r="2742">
          <cell r="G2742">
            <v>50335.019999999902</v>
          </cell>
          <cell r="I2742">
            <v>356.38999999999902</v>
          </cell>
          <cell r="J2742">
            <v>0</v>
          </cell>
          <cell r="K2742">
            <v>0</v>
          </cell>
          <cell r="L2742">
            <v>356.38999999999902</v>
          </cell>
          <cell r="M2742">
            <v>53344.01</v>
          </cell>
          <cell r="N2742">
            <v>11717.35</v>
          </cell>
          <cell r="O2742">
            <v>0</v>
          </cell>
          <cell r="R2742">
            <v>113.61</v>
          </cell>
        </row>
        <row r="2743">
          <cell r="G2743">
            <v>103221.00999999901</v>
          </cell>
          <cell r="I2743">
            <v>737.73</v>
          </cell>
          <cell r="J2743">
            <v>0</v>
          </cell>
          <cell r="K2743">
            <v>0</v>
          </cell>
          <cell r="L2743">
            <v>737.73</v>
          </cell>
          <cell r="M2743">
            <v>109356.039999999</v>
          </cell>
          <cell r="N2743">
            <v>23025.95</v>
          </cell>
          <cell r="O2743">
            <v>0</v>
          </cell>
          <cell r="R2743">
            <v>232.979999999999</v>
          </cell>
        </row>
        <row r="2744">
          <cell r="G2744">
            <v>17477.4399999999</v>
          </cell>
          <cell r="I2744">
            <v>123.739999999999</v>
          </cell>
          <cell r="J2744">
            <v>1094.0799999999899</v>
          </cell>
          <cell r="K2744">
            <v>0</v>
          </cell>
          <cell r="L2744">
            <v>1217.8199999999899</v>
          </cell>
          <cell r="M2744">
            <v>19648.25</v>
          </cell>
          <cell r="N2744">
            <v>3726.75</v>
          </cell>
          <cell r="O2744">
            <v>0</v>
          </cell>
          <cell r="R2744">
            <v>39.439999999999898</v>
          </cell>
        </row>
        <row r="2745">
          <cell r="G2745">
            <v>1337586.4299999899</v>
          </cell>
          <cell r="I2745">
            <v>9571.35</v>
          </cell>
          <cell r="J2745">
            <v>0</v>
          </cell>
          <cell r="K2745">
            <v>0</v>
          </cell>
          <cell r="L2745">
            <v>9571.35</v>
          </cell>
          <cell r="M2745">
            <v>1418058.83</v>
          </cell>
          <cell r="N2745">
            <v>320964.16999999899</v>
          </cell>
          <cell r="O2745">
            <v>0</v>
          </cell>
          <cell r="R2745">
            <v>3018.94</v>
          </cell>
        </row>
        <row r="2746">
          <cell r="G2746">
            <v>100752.75999999901</v>
          </cell>
          <cell r="I2746">
            <v>712.79999999999905</v>
          </cell>
          <cell r="J2746">
            <v>1166.8800000000001</v>
          </cell>
          <cell r="K2746">
            <v>0</v>
          </cell>
          <cell r="L2746">
            <v>1879.68</v>
          </cell>
          <cell r="M2746">
            <v>107981.32</v>
          </cell>
          <cell r="N2746">
            <v>23213.959999999901</v>
          </cell>
          <cell r="O2746">
            <v>0</v>
          </cell>
          <cell r="R2746">
            <v>227.4</v>
          </cell>
        </row>
        <row r="2747">
          <cell r="G2747">
            <v>608833.52</v>
          </cell>
          <cell r="I2747">
            <v>4457.05</v>
          </cell>
          <cell r="J2747">
            <v>0</v>
          </cell>
          <cell r="K2747">
            <v>0</v>
          </cell>
          <cell r="L2747">
            <v>4457.05</v>
          </cell>
          <cell r="M2747">
            <v>643576.92000000004</v>
          </cell>
          <cell r="N2747">
            <v>99269.58</v>
          </cell>
          <cell r="O2747">
            <v>0</v>
          </cell>
          <cell r="R2747">
            <v>1374.14</v>
          </cell>
        </row>
        <row r="2748">
          <cell r="G2748">
            <v>17175.41</v>
          </cell>
          <cell r="I2748">
            <v>118.8</v>
          </cell>
          <cell r="J2748">
            <v>838.32</v>
          </cell>
          <cell r="K2748">
            <v>0</v>
          </cell>
          <cell r="L2748">
            <v>957.12</v>
          </cell>
          <cell r="M2748">
            <v>19067.0099999999</v>
          </cell>
          <cell r="N2748">
            <v>3852.9899999999898</v>
          </cell>
          <cell r="O2748">
            <v>0</v>
          </cell>
          <cell r="R2748">
            <v>38.759999999999899</v>
          </cell>
        </row>
        <row r="2749">
          <cell r="G2749">
            <v>152196.269999999</v>
          </cell>
          <cell r="I2749">
            <v>1069.18</v>
          </cell>
          <cell r="J2749">
            <v>18629.04</v>
          </cell>
          <cell r="K2749">
            <v>0</v>
          </cell>
          <cell r="L2749">
            <v>19698.22</v>
          </cell>
          <cell r="M2749">
            <v>180118.67</v>
          </cell>
          <cell r="N2749">
            <v>21599.41</v>
          </cell>
          <cell r="O2749">
            <v>0</v>
          </cell>
          <cell r="R2749">
            <v>343.50999999999902</v>
          </cell>
        </row>
        <row r="2750">
          <cell r="G2750">
            <v>16778.34</v>
          </cell>
          <cell r="I2750">
            <v>118.8</v>
          </cell>
          <cell r="J2750">
            <v>1779.1199999999899</v>
          </cell>
          <cell r="K2750">
            <v>0</v>
          </cell>
          <cell r="L2750">
            <v>1897.92</v>
          </cell>
          <cell r="M2750">
            <v>19610.740000000002</v>
          </cell>
          <cell r="N2750">
            <v>3309.26</v>
          </cell>
          <cell r="O2750">
            <v>0</v>
          </cell>
          <cell r="R2750">
            <v>37.869999999999898</v>
          </cell>
        </row>
        <row r="2751">
          <cell r="G2751">
            <v>117057.81</v>
          </cell>
          <cell r="I2751">
            <v>831.59</v>
          </cell>
          <cell r="J2751">
            <v>7602</v>
          </cell>
          <cell r="K2751">
            <v>0</v>
          </cell>
          <cell r="L2751">
            <v>8433.59</v>
          </cell>
          <cell r="M2751">
            <v>131988.549999999</v>
          </cell>
          <cell r="N2751">
            <v>27371.45</v>
          </cell>
          <cell r="O2751">
            <v>0</v>
          </cell>
          <cell r="R2751">
            <v>264.20999999999901</v>
          </cell>
        </row>
        <row r="2752">
          <cell r="G2752">
            <v>50732.089999999902</v>
          </cell>
          <cell r="I2752">
            <v>356.38999999999902</v>
          </cell>
          <cell r="J2752">
            <v>3180</v>
          </cell>
          <cell r="K2752">
            <v>0</v>
          </cell>
          <cell r="L2752">
            <v>3536.3899999999899</v>
          </cell>
          <cell r="M2752">
            <v>56957.97</v>
          </cell>
          <cell r="N2752">
            <v>9009.1499999999905</v>
          </cell>
          <cell r="O2752">
            <v>0</v>
          </cell>
          <cell r="R2752">
            <v>114.5</v>
          </cell>
        </row>
        <row r="2753">
          <cell r="G2753">
            <v>83891.699999999895</v>
          </cell>
          <cell r="I2753">
            <v>594</v>
          </cell>
          <cell r="J2753">
            <v>9858</v>
          </cell>
          <cell r="K2753">
            <v>0</v>
          </cell>
          <cell r="L2753">
            <v>10452</v>
          </cell>
          <cell r="M2753">
            <v>99002.96</v>
          </cell>
          <cell r="N2753">
            <v>15276.4</v>
          </cell>
          <cell r="O2753">
            <v>0</v>
          </cell>
          <cell r="R2753">
            <v>189.349999999999</v>
          </cell>
        </row>
        <row r="2754">
          <cell r="G2754">
            <v>629360.92000000004</v>
          </cell>
          <cell r="I2754">
            <v>4425.26</v>
          </cell>
          <cell r="J2754">
            <v>31624.66</v>
          </cell>
          <cell r="K2754">
            <v>0</v>
          </cell>
          <cell r="L2754">
            <v>36049.919999999896</v>
          </cell>
          <cell r="M2754">
            <v>698924.62</v>
          </cell>
          <cell r="N2754">
            <v>123083.3</v>
          </cell>
          <cell r="O2754">
            <v>0</v>
          </cell>
          <cell r="R2754">
            <v>1420.47</v>
          </cell>
        </row>
        <row r="2755">
          <cell r="G2755">
            <v>68304.570000000007</v>
          </cell>
          <cell r="I2755">
            <v>475.19</v>
          </cell>
          <cell r="J2755">
            <v>4835.5200000000004</v>
          </cell>
          <cell r="K2755">
            <v>0</v>
          </cell>
          <cell r="L2755">
            <v>5310.71</v>
          </cell>
          <cell r="M2755">
            <v>77327.02</v>
          </cell>
          <cell r="N2755">
            <v>13711.7</v>
          </cell>
          <cell r="O2755">
            <v>0</v>
          </cell>
          <cell r="R2755">
            <v>154.16</v>
          </cell>
        </row>
        <row r="2756">
          <cell r="G2756">
            <v>17477.4399999999</v>
          </cell>
          <cell r="I2756">
            <v>123.739999999999</v>
          </cell>
          <cell r="J2756">
            <v>1685.8099999999899</v>
          </cell>
          <cell r="K2756">
            <v>0</v>
          </cell>
          <cell r="L2756">
            <v>1809.55</v>
          </cell>
          <cell r="M2756">
            <v>20233.32</v>
          </cell>
          <cell r="N2756">
            <v>2977.9299999999898</v>
          </cell>
          <cell r="O2756">
            <v>0</v>
          </cell>
          <cell r="R2756">
            <v>39.439999999999898</v>
          </cell>
        </row>
        <row r="2757">
          <cell r="G2757">
            <v>33556.68</v>
          </cell>
          <cell r="I2757">
            <v>237.59</v>
          </cell>
          <cell r="J2757">
            <v>0</v>
          </cell>
          <cell r="K2757">
            <v>0</v>
          </cell>
          <cell r="L2757">
            <v>237.59</v>
          </cell>
          <cell r="M2757">
            <v>35575.139999999898</v>
          </cell>
          <cell r="N2757">
            <v>8104.8599999999897</v>
          </cell>
          <cell r="O2757">
            <v>0</v>
          </cell>
          <cell r="R2757">
            <v>75.739999999999895</v>
          </cell>
        </row>
        <row r="2758">
          <cell r="G2758">
            <v>245383.23</v>
          </cell>
          <cell r="I2758">
            <v>1737.43</v>
          </cell>
          <cell r="J2758">
            <v>15106.65</v>
          </cell>
          <cell r="K2758">
            <v>0</v>
          </cell>
          <cell r="L2758">
            <v>16844.080000000002</v>
          </cell>
          <cell r="M2758">
            <v>275521.27</v>
          </cell>
          <cell r="N2758">
            <v>50545.639999999898</v>
          </cell>
          <cell r="O2758">
            <v>0</v>
          </cell>
          <cell r="R2758">
            <v>553.84</v>
          </cell>
        </row>
        <row r="2759">
          <cell r="G2759">
            <v>16778.34</v>
          </cell>
          <cell r="I2759">
            <v>118.8</v>
          </cell>
          <cell r="J2759">
            <v>1300.8</v>
          </cell>
          <cell r="K2759">
            <v>0</v>
          </cell>
          <cell r="L2759">
            <v>1419.5999999999899</v>
          </cell>
          <cell r="M2759">
            <v>19132.4199999999</v>
          </cell>
          <cell r="N2759">
            <v>3787.5799999999899</v>
          </cell>
          <cell r="O2759">
            <v>0</v>
          </cell>
          <cell r="R2759">
            <v>37.869999999999898</v>
          </cell>
        </row>
        <row r="2760">
          <cell r="G2760">
            <v>44392.69</v>
          </cell>
          <cell r="I2760">
            <v>314.31999999999903</v>
          </cell>
          <cell r="J2760">
            <v>0</v>
          </cell>
          <cell r="K2760">
            <v>0</v>
          </cell>
          <cell r="L2760">
            <v>314.31999999999903</v>
          </cell>
          <cell r="M2760">
            <v>47058.93</v>
          </cell>
          <cell r="N2760">
            <v>10627.34</v>
          </cell>
          <cell r="O2760">
            <v>0</v>
          </cell>
          <cell r="R2760">
            <v>100.19</v>
          </cell>
        </row>
        <row r="2761">
          <cell r="G2761">
            <v>988680.10999999905</v>
          </cell>
          <cell r="I2761">
            <v>6949.76</v>
          </cell>
          <cell r="J2761">
            <v>39101.199999999903</v>
          </cell>
          <cell r="K2761">
            <v>0</v>
          </cell>
          <cell r="L2761">
            <v>46050.959999999897</v>
          </cell>
          <cell r="M2761">
            <v>1087296.46</v>
          </cell>
          <cell r="N2761">
            <v>201997.66</v>
          </cell>
          <cell r="O2761">
            <v>0</v>
          </cell>
          <cell r="R2761">
            <v>2231.46</v>
          </cell>
        </row>
        <row r="2762">
          <cell r="G2762">
            <v>355141.52</v>
          </cell>
          <cell r="I2762">
            <v>2514.5799999999899</v>
          </cell>
          <cell r="J2762">
            <v>26493.959999999901</v>
          </cell>
          <cell r="K2762">
            <v>0</v>
          </cell>
          <cell r="L2762">
            <v>29008.54</v>
          </cell>
          <cell r="M2762">
            <v>403447.81</v>
          </cell>
          <cell r="N2762">
            <v>69877.389999999898</v>
          </cell>
          <cell r="O2762">
            <v>0</v>
          </cell>
          <cell r="R2762">
            <v>801.55999999999904</v>
          </cell>
        </row>
        <row r="2763">
          <cell r="G2763">
            <v>395694.97999999899</v>
          </cell>
          <cell r="I2763">
            <v>2779.4</v>
          </cell>
          <cell r="J2763">
            <v>856.32</v>
          </cell>
          <cell r="K2763">
            <v>0</v>
          </cell>
          <cell r="L2763">
            <v>3635.7199999999898</v>
          </cell>
          <cell r="M2763">
            <v>420061</v>
          </cell>
          <cell r="N2763">
            <v>88399.809999999896</v>
          </cell>
          <cell r="O2763">
            <v>0</v>
          </cell>
          <cell r="R2763">
            <v>893.08</v>
          </cell>
        </row>
        <row r="2764">
          <cell r="G2764">
            <v>16778.34</v>
          </cell>
          <cell r="I2764">
            <v>118.8</v>
          </cell>
          <cell r="J2764">
            <v>1300.8</v>
          </cell>
          <cell r="K2764">
            <v>0</v>
          </cell>
          <cell r="L2764">
            <v>1419.5999999999899</v>
          </cell>
          <cell r="M2764">
            <v>19125.889999999901</v>
          </cell>
          <cell r="N2764">
            <v>3633.79</v>
          </cell>
          <cell r="O2764">
            <v>0</v>
          </cell>
          <cell r="R2764">
            <v>37.869999999999898</v>
          </cell>
        </row>
        <row r="2765">
          <cell r="G2765">
            <v>52432.309999999903</v>
          </cell>
          <cell r="I2765">
            <v>371.24</v>
          </cell>
          <cell r="J2765">
            <v>4712.34</v>
          </cell>
          <cell r="K2765">
            <v>0</v>
          </cell>
          <cell r="L2765">
            <v>5083.5799999999899</v>
          </cell>
          <cell r="M2765">
            <v>60354.919999999896</v>
          </cell>
          <cell r="N2765">
            <v>9279.3299999999908</v>
          </cell>
          <cell r="O2765">
            <v>0</v>
          </cell>
          <cell r="R2765">
            <v>118.34</v>
          </cell>
        </row>
        <row r="2766">
          <cell r="G2766">
            <v>16778.34</v>
          </cell>
          <cell r="I2766">
            <v>118.8</v>
          </cell>
          <cell r="J2766">
            <v>0</v>
          </cell>
          <cell r="K2766">
            <v>0</v>
          </cell>
          <cell r="L2766">
            <v>118.8</v>
          </cell>
          <cell r="M2766">
            <v>17684.1699999999</v>
          </cell>
          <cell r="N2766">
            <v>1619.75</v>
          </cell>
          <cell r="O2766">
            <v>0</v>
          </cell>
          <cell r="R2766">
            <v>37.869999999999898</v>
          </cell>
        </row>
        <row r="2767">
          <cell r="G2767">
            <v>33556.68</v>
          </cell>
          <cell r="I2767">
            <v>237.59</v>
          </cell>
          <cell r="J2767">
            <v>5550.96</v>
          </cell>
          <cell r="K2767">
            <v>0</v>
          </cell>
          <cell r="L2767">
            <v>5788.55</v>
          </cell>
          <cell r="M2767">
            <v>41201.07</v>
          </cell>
          <cell r="N2767">
            <v>4318.29</v>
          </cell>
          <cell r="O2767">
            <v>0</v>
          </cell>
          <cell r="R2767">
            <v>75.739999999999895</v>
          </cell>
        </row>
        <row r="2768">
          <cell r="G2768">
            <v>34954.879999999903</v>
          </cell>
          <cell r="I2768">
            <v>247.5</v>
          </cell>
          <cell r="J2768">
            <v>3288.3</v>
          </cell>
          <cell r="K2768">
            <v>0</v>
          </cell>
          <cell r="L2768">
            <v>3535.8</v>
          </cell>
          <cell r="M2768">
            <v>40396.69</v>
          </cell>
          <cell r="N2768">
            <v>6353.31</v>
          </cell>
          <cell r="O2768">
            <v>0</v>
          </cell>
          <cell r="R2768">
            <v>78.89</v>
          </cell>
        </row>
        <row r="2769">
          <cell r="G2769">
            <v>84987.869999999893</v>
          </cell>
          <cell r="I2769">
            <v>598.95000000000005</v>
          </cell>
          <cell r="J2769">
            <v>8070.5799999999899</v>
          </cell>
          <cell r="K2769">
            <v>0</v>
          </cell>
          <cell r="L2769">
            <v>8669.5300000000007</v>
          </cell>
          <cell r="M2769">
            <v>98252.259999999893</v>
          </cell>
          <cell r="N2769">
            <v>14448.51</v>
          </cell>
          <cell r="O2769">
            <v>0</v>
          </cell>
          <cell r="R2769">
            <v>191.81</v>
          </cell>
        </row>
        <row r="2770">
          <cell r="G2770">
            <v>33953.75</v>
          </cell>
          <cell r="I2770">
            <v>237.599999999999</v>
          </cell>
          <cell r="J2770">
            <v>0</v>
          </cell>
          <cell r="K2770">
            <v>0</v>
          </cell>
          <cell r="L2770">
            <v>237.599999999999</v>
          </cell>
          <cell r="M2770">
            <v>35902.809999999903</v>
          </cell>
          <cell r="N2770">
            <v>6075.35</v>
          </cell>
          <cell r="O2770">
            <v>0</v>
          </cell>
          <cell r="R2770">
            <v>76.629999999999896</v>
          </cell>
        </row>
        <row r="2771">
          <cell r="G2771">
            <v>16778.34</v>
          </cell>
          <cell r="I2771">
            <v>118.8</v>
          </cell>
          <cell r="J2771">
            <v>1742.4</v>
          </cell>
          <cell r="K2771">
            <v>0</v>
          </cell>
          <cell r="L2771">
            <v>1861.2</v>
          </cell>
          <cell r="M2771">
            <v>19574.02</v>
          </cell>
          <cell r="N2771">
            <v>3345.98</v>
          </cell>
          <cell r="O2771">
            <v>0</v>
          </cell>
          <cell r="R2771">
            <v>37.869999999999898</v>
          </cell>
        </row>
        <row r="2772">
          <cell r="G2772">
            <v>34255.779999999897</v>
          </cell>
          <cell r="I2772">
            <v>242.55</v>
          </cell>
          <cell r="J2772">
            <v>3928.25</v>
          </cell>
          <cell r="K2772">
            <v>0</v>
          </cell>
          <cell r="L2772">
            <v>4170.8</v>
          </cell>
          <cell r="M2772">
            <v>40314.07</v>
          </cell>
          <cell r="N2772">
            <v>5980.93</v>
          </cell>
          <cell r="O2772">
            <v>0</v>
          </cell>
          <cell r="R2772">
            <v>77.319999999999894</v>
          </cell>
        </row>
        <row r="2773">
          <cell r="G2773">
            <v>34255.779999999897</v>
          </cell>
          <cell r="I2773">
            <v>242.55</v>
          </cell>
          <cell r="J2773">
            <v>2185.7399999999898</v>
          </cell>
          <cell r="K2773">
            <v>0</v>
          </cell>
          <cell r="L2773">
            <v>2428.29</v>
          </cell>
          <cell r="M2773">
            <v>38571.559999999903</v>
          </cell>
          <cell r="N2773">
            <v>7723.4399999999896</v>
          </cell>
          <cell r="O2773">
            <v>0</v>
          </cell>
          <cell r="R2773">
            <v>77.319999999999894</v>
          </cell>
        </row>
        <row r="2774">
          <cell r="G2774">
            <v>16778.34</v>
          </cell>
          <cell r="I2774">
            <v>118.8</v>
          </cell>
          <cell r="J2774">
            <v>1779.1199999999899</v>
          </cell>
          <cell r="K2774">
            <v>0</v>
          </cell>
          <cell r="L2774">
            <v>1897.92</v>
          </cell>
          <cell r="M2774">
            <v>19610.740000000002</v>
          </cell>
          <cell r="N2774">
            <v>3309.26</v>
          </cell>
          <cell r="O2774">
            <v>0</v>
          </cell>
          <cell r="R2774">
            <v>37.869999999999898</v>
          </cell>
        </row>
        <row r="2775">
          <cell r="G2775">
            <v>16778.34</v>
          </cell>
          <cell r="I2775">
            <v>118.8</v>
          </cell>
          <cell r="J2775">
            <v>0</v>
          </cell>
          <cell r="K2775">
            <v>0</v>
          </cell>
          <cell r="L2775">
            <v>118.8</v>
          </cell>
          <cell r="M2775">
            <v>17781.310000000001</v>
          </cell>
          <cell r="N2775">
            <v>3905.8099999999899</v>
          </cell>
          <cell r="O2775">
            <v>0</v>
          </cell>
          <cell r="R2775">
            <v>37.869999999999898</v>
          </cell>
        </row>
        <row r="2776">
          <cell r="G2776">
            <v>16778.34</v>
          </cell>
          <cell r="I2776">
            <v>118.8</v>
          </cell>
          <cell r="J2776">
            <v>0</v>
          </cell>
          <cell r="K2776">
            <v>0</v>
          </cell>
          <cell r="L2776">
            <v>118.8</v>
          </cell>
          <cell r="M2776">
            <v>17787.529999999901</v>
          </cell>
          <cell r="N2776">
            <v>4052.4699999999898</v>
          </cell>
          <cell r="O2776">
            <v>0</v>
          </cell>
          <cell r="R2776">
            <v>37.869999999999898</v>
          </cell>
        </row>
        <row r="2777">
          <cell r="G2777">
            <v>67113.36</v>
          </cell>
          <cell r="I2777">
            <v>475.19999999999902</v>
          </cell>
          <cell r="J2777">
            <v>2413.44</v>
          </cell>
          <cell r="K2777">
            <v>0</v>
          </cell>
          <cell r="L2777">
            <v>2888.6399999999899</v>
          </cell>
          <cell r="M2777">
            <v>73626.25</v>
          </cell>
          <cell r="N2777">
            <v>15267.35</v>
          </cell>
          <cell r="O2777">
            <v>0</v>
          </cell>
          <cell r="R2777">
            <v>151.47</v>
          </cell>
        </row>
        <row r="2778">
          <cell r="G2778">
            <v>261859.53</v>
          </cell>
          <cell r="I2778">
            <v>1851.28</v>
          </cell>
          <cell r="J2778">
            <v>0</v>
          </cell>
          <cell r="K2778">
            <v>0</v>
          </cell>
          <cell r="L2778">
            <v>1851.28</v>
          </cell>
          <cell r="M2778">
            <v>277501.96999999898</v>
          </cell>
          <cell r="N2778">
            <v>60761.41</v>
          </cell>
          <cell r="O2778">
            <v>0</v>
          </cell>
          <cell r="R2778">
            <v>591.00999999999897</v>
          </cell>
        </row>
        <row r="2779">
          <cell r="G2779">
            <v>51034.12</v>
          </cell>
          <cell r="I2779">
            <v>361.33999999999901</v>
          </cell>
          <cell r="J2779">
            <v>1496.78</v>
          </cell>
          <cell r="K2779">
            <v>0</v>
          </cell>
          <cell r="L2779">
            <v>1858.1199999999899</v>
          </cell>
          <cell r="M2779">
            <v>55541.209999999897</v>
          </cell>
          <cell r="N2779">
            <v>9430.7800000000007</v>
          </cell>
          <cell r="O2779">
            <v>0</v>
          </cell>
          <cell r="R2779">
            <v>115.18</v>
          </cell>
        </row>
        <row r="2780">
          <cell r="G2780">
            <v>545513.53</v>
          </cell>
          <cell r="I2780">
            <v>3857.21</v>
          </cell>
          <cell r="J2780">
            <v>4328.1599999999899</v>
          </cell>
          <cell r="K2780">
            <v>0</v>
          </cell>
          <cell r="L2780">
            <v>8185.3699999999899</v>
          </cell>
          <cell r="M2780">
            <v>582540.62</v>
          </cell>
          <cell r="N2780">
            <v>124871.95</v>
          </cell>
          <cell r="O2780">
            <v>0</v>
          </cell>
          <cell r="R2780">
            <v>1231.23</v>
          </cell>
        </row>
        <row r="2781">
          <cell r="G2781">
            <v>16778.34</v>
          </cell>
          <cell r="I2781">
            <v>118.8</v>
          </cell>
          <cell r="J2781">
            <v>0</v>
          </cell>
          <cell r="K2781">
            <v>0</v>
          </cell>
          <cell r="L2781">
            <v>118.8</v>
          </cell>
          <cell r="M2781">
            <v>17781.310000000001</v>
          </cell>
          <cell r="N2781">
            <v>3905.8099999999899</v>
          </cell>
          <cell r="O2781">
            <v>0</v>
          </cell>
          <cell r="R2781">
            <v>37.869999999999898</v>
          </cell>
        </row>
        <row r="2782">
          <cell r="G2782">
            <v>50732.089999999902</v>
          </cell>
          <cell r="I2782">
            <v>356.38999999999902</v>
          </cell>
          <cell r="J2782">
            <v>0</v>
          </cell>
          <cell r="K2782">
            <v>0</v>
          </cell>
          <cell r="L2782">
            <v>356.38999999999902</v>
          </cell>
          <cell r="M2782">
            <v>53759.739999999903</v>
          </cell>
          <cell r="N2782">
            <v>11760.26</v>
          </cell>
          <cell r="O2782">
            <v>0</v>
          </cell>
          <cell r="R2782">
            <v>114.5</v>
          </cell>
        </row>
        <row r="2783">
          <cell r="G2783">
            <v>52432.309999999903</v>
          </cell>
          <cell r="I2783">
            <v>371.24</v>
          </cell>
          <cell r="J2783">
            <v>3784.1999999999898</v>
          </cell>
          <cell r="K2783">
            <v>0</v>
          </cell>
          <cell r="L2783">
            <v>4155.4399999999896</v>
          </cell>
          <cell r="M2783">
            <v>59426.779999999897</v>
          </cell>
          <cell r="N2783">
            <v>10207.469999999899</v>
          </cell>
          <cell r="O2783">
            <v>0</v>
          </cell>
          <cell r="R2783">
            <v>118.34</v>
          </cell>
        </row>
        <row r="2784">
          <cell r="G2784">
            <v>67119.869999999893</v>
          </cell>
          <cell r="I2784">
            <v>475.18</v>
          </cell>
          <cell r="J2784">
            <v>0</v>
          </cell>
          <cell r="K2784">
            <v>0</v>
          </cell>
          <cell r="L2784">
            <v>475.18</v>
          </cell>
          <cell r="M2784">
            <v>71049.229999999894</v>
          </cell>
          <cell r="N2784">
            <v>13673.65</v>
          </cell>
          <cell r="O2784">
            <v>0</v>
          </cell>
          <cell r="R2784">
            <v>151.49</v>
          </cell>
        </row>
        <row r="2785">
          <cell r="G2785">
            <v>578579.84999999905</v>
          </cell>
          <cell r="I2785">
            <v>4094.51</v>
          </cell>
          <cell r="J2785">
            <v>5311.06</v>
          </cell>
          <cell r="K2785">
            <v>0</v>
          </cell>
          <cell r="L2785">
            <v>9405.5699999999906</v>
          </cell>
          <cell r="M2785">
            <v>618391.93000000005</v>
          </cell>
          <cell r="N2785">
            <v>127400.11</v>
          </cell>
          <cell r="O2785">
            <v>0</v>
          </cell>
          <cell r="R2785">
            <v>1305.8699999999899</v>
          </cell>
        </row>
        <row r="2786">
          <cell r="G2786">
            <v>33556.68</v>
          </cell>
          <cell r="I2786">
            <v>237.59</v>
          </cell>
          <cell r="J2786">
            <v>2349.5999999999899</v>
          </cell>
          <cell r="K2786">
            <v>0</v>
          </cell>
          <cell r="L2786">
            <v>2587.19</v>
          </cell>
          <cell r="M2786">
            <v>38012.82</v>
          </cell>
          <cell r="N2786">
            <v>7827.18</v>
          </cell>
          <cell r="O2786">
            <v>0</v>
          </cell>
          <cell r="R2786">
            <v>75.739999999999895</v>
          </cell>
        </row>
        <row r="2787">
          <cell r="G2787">
            <v>33556.68</v>
          </cell>
          <cell r="I2787">
            <v>237.59</v>
          </cell>
          <cell r="J2787">
            <v>3274.5599999999899</v>
          </cell>
          <cell r="K2787">
            <v>0</v>
          </cell>
          <cell r="L2787">
            <v>3512.15</v>
          </cell>
          <cell r="M2787">
            <v>38924.669999999896</v>
          </cell>
          <cell r="N2787">
            <v>6594.6899999999896</v>
          </cell>
          <cell r="O2787">
            <v>0</v>
          </cell>
          <cell r="R2787">
            <v>75.739999999999895</v>
          </cell>
        </row>
        <row r="2788">
          <cell r="G2788">
            <v>67113.36</v>
          </cell>
          <cell r="I2788">
            <v>475.19999999999902</v>
          </cell>
          <cell r="J2788">
            <v>0</v>
          </cell>
          <cell r="K2788">
            <v>0</v>
          </cell>
          <cell r="L2788">
            <v>475.19999999999902</v>
          </cell>
          <cell r="M2788">
            <v>71125.33</v>
          </cell>
          <cell r="N2788">
            <v>15623.15</v>
          </cell>
          <cell r="O2788">
            <v>0</v>
          </cell>
          <cell r="R2788">
            <v>151.47</v>
          </cell>
        </row>
        <row r="2789">
          <cell r="G2789">
            <v>135719.959999999</v>
          </cell>
          <cell r="I2789">
            <v>955.34</v>
          </cell>
          <cell r="J2789">
            <v>7688.63</v>
          </cell>
          <cell r="K2789">
            <v>0</v>
          </cell>
          <cell r="L2789">
            <v>8643.9699999999903</v>
          </cell>
          <cell r="M2789">
            <v>151674.26</v>
          </cell>
          <cell r="N2789">
            <v>27630.59</v>
          </cell>
          <cell r="O2789">
            <v>0</v>
          </cell>
          <cell r="R2789">
            <v>306.31999999999903</v>
          </cell>
        </row>
        <row r="2790">
          <cell r="G2790">
            <v>16778.34</v>
          </cell>
          <cell r="I2790">
            <v>118.8</v>
          </cell>
          <cell r="J2790">
            <v>0</v>
          </cell>
          <cell r="K2790">
            <v>0</v>
          </cell>
          <cell r="L2790">
            <v>118.8</v>
          </cell>
          <cell r="M2790">
            <v>17781.310000000001</v>
          </cell>
          <cell r="N2790">
            <v>3905.8099999999899</v>
          </cell>
          <cell r="O2790">
            <v>0</v>
          </cell>
          <cell r="R2790">
            <v>37.869999999999898</v>
          </cell>
        </row>
        <row r="2791">
          <cell r="G2791">
            <v>492561.69</v>
          </cell>
          <cell r="I2791">
            <v>3484.77</v>
          </cell>
          <cell r="J2791">
            <v>38662.04</v>
          </cell>
          <cell r="K2791">
            <v>0</v>
          </cell>
          <cell r="L2791">
            <v>42146.809999999903</v>
          </cell>
          <cell r="M2791">
            <v>561370.9</v>
          </cell>
          <cell r="N2791">
            <v>92590.619999999893</v>
          </cell>
          <cell r="O2791">
            <v>0</v>
          </cell>
          <cell r="R2791">
            <v>1111.72</v>
          </cell>
        </row>
        <row r="2792">
          <cell r="G2792">
            <v>134226.72</v>
          </cell>
          <cell r="I2792">
            <v>950.39999999999895</v>
          </cell>
          <cell r="J2792">
            <v>0</v>
          </cell>
          <cell r="K2792">
            <v>0</v>
          </cell>
          <cell r="L2792">
            <v>950.39999999999895</v>
          </cell>
          <cell r="M2792">
            <v>142848.53</v>
          </cell>
          <cell r="N2792">
            <v>45311.47</v>
          </cell>
          <cell r="O2792">
            <v>0</v>
          </cell>
          <cell r="R2792">
            <v>302.95999999999901</v>
          </cell>
        </row>
        <row r="2793">
          <cell r="G2793">
            <v>100670.039999999</v>
          </cell>
          <cell r="I2793">
            <v>712.78999999999905</v>
          </cell>
          <cell r="J2793">
            <v>8248.7999999999902</v>
          </cell>
          <cell r="K2793">
            <v>0</v>
          </cell>
          <cell r="L2793">
            <v>8961.59</v>
          </cell>
          <cell r="M2793">
            <v>115142.13</v>
          </cell>
          <cell r="N2793">
            <v>20016.27</v>
          </cell>
          <cell r="O2793">
            <v>0</v>
          </cell>
          <cell r="R2793">
            <v>227.22</v>
          </cell>
        </row>
        <row r="2794">
          <cell r="G2794">
            <v>50335.019999999902</v>
          </cell>
          <cell r="I2794">
            <v>356.38999999999902</v>
          </cell>
          <cell r="J2794">
            <v>0</v>
          </cell>
          <cell r="K2794">
            <v>0</v>
          </cell>
          <cell r="L2794">
            <v>356.38999999999902</v>
          </cell>
          <cell r="M2794">
            <v>53344.01</v>
          </cell>
          <cell r="N2794">
            <v>11717.35</v>
          </cell>
          <cell r="O2794">
            <v>0</v>
          </cell>
          <cell r="R2794">
            <v>113.61</v>
          </cell>
        </row>
        <row r="2795">
          <cell r="G2795">
            <v>33556.68</v>
          </cell>
          <cell r="I2795">
            <v>237.59</v>
          </cell>
          <cell r="J2795">
            <v>0</v>
          </cell>
          <cell r="K2795">
            <v>0</v>
          </cell>
          <cell r="L2795">
            <v>237.59</v>
          </cell>
          <cell r="M2795">
            <v>35568.93</v>
          </cell>
          <cell r="N2795">
            <v>7958.1899999999896</v>
          </cell>
          <cell r="O2795">
            <v>0</v>
          </cell>
          <cell r="R2795">
            <v>75.739999999999895</v>
          </cell>
        </row>
        <row r="2796">
          <cell r="G2796">
            <v>462092.34</v>
          </cell>
          <cell r="I2796">
            <v>3229.8499999999899</v>
          </cell>
          <cell r="J2796">
            <v>29465.06</v>
          </cell>
          <cell r="K2796">
            <v>0</v>
          </cell>
          <cell r="L2796">
            <v>32694.91</v>
          </cell>
          <cell r="M2796">
            <v>519701.97999999899</v>
          </cell>
          <cell r="N2796">
            <v>91393.02</v>
          </cell>
          <cell r="O2796">
            <v>0</v>
          </cell>
          <cell r="R2796">
            <v>1042.94</v>
          </cell>
        </row>
        <row r="2797">
          <cell r="G2797">
            <v>50335.019999999902</v>
          </cell>
          <cell r="I2797">
            <v>356.38999999999902</v>
          </cell>
          <cell r="J2797">
            <v>3037.92</v>
          </cell>
          <cell r="K2797">
            <v>0</v>
          </cell>
          <cell r="L2797">
            <v>3394.3099999999899</v>
          </cell>
          <cell r="M2797">
            <v>56488.68</v>
          </cell>
          <cell r="N2797">
            <v>11191.32</v>
          </cell>
          <cell r="O2797">
            <v>0</v>
          </cell>
          <cell r="R2797">
            <v>113.61</v>
          </cell>
        </row>
        <row r="2798">
          <cell r="G2798">
            <v>17477.4399999999</v>
          </cell>
          <cell r="I2798">
            <v>123.739999999999</v>
          </cell>
          <cell r="J2798">
            <v>924.40999999999894</v>
          </cell>
          <cell r="K2798">
            <v>0</v>
          </cell>
          <cell r="L2798">
            <v>1048.1500000000001</v>
          </cell>
          <cell r="M2798">
            <v>19471.9199999999</v>
          </cell>
          <cell r="N2798">
            <v>3739.3299999999899</v>
          </cell>
          <cell r="O2798">
            <v>0</v>
          </cell>
          <cell r="R2798">
            <v>39.439999999999898</v>
          </cell>
        </row>
        <row r="2799">
          <cell r="G2799">
            <v>33953.75</v>
          </cell>
          <cell r="I2799">
            <v>237.599999999999</v>
          </cell>
          <cell r="J2799">
            <v>3963.84</v>
          </cell>
          <cell r="K2799">
            <v>0</v>
          </cell>
          <cell r="L2799">
            <v>4201.4399999999896</v>
          </cell>
          <cell r="M2799">
            <v>40011.089999999902</v>
          </cell>
          <cell r="N2799">
            <v>5508.27</v>
          </cell>
          <cell r="O2799">
            <v>0</v>
          </cell>
          <cell r="R2799">
            <v>76.629999999999896</v>
          </cell>
        </row>
        <row r="2800">
          <cell r="G2800">
            <v>17175.41</v>
          </cell>
          <cell r="I2800">
            <v>118.8</v>
          </cell>
          <cell r="J2800">
            <v>1109.04</v>
          </cell>
          <cell r="K2800">
            <v>0</v>
          </cell>
          <cell r="L2800">
            <v>1227.8399999999899</v>
          </cell>
          <cell r="M2800">
            <v>19331.2</v>
          </cell>
          <cell r="N2800">
            <v>3428.48</v>
          </cell>
          <cell r="O2800">
            <v>0</v>
          </cell>
          <cell r="R2800">
            <v>38.759999999999899</v>
          </cell>
        </row>
        <row r="2801">
          <cell r="G2801">
            <v>2796.3899999999899</v>
          </cell>
          <cell r="I2801">
            <v>20.05</v>
          </cell>
          <cell r="J2801">
            <v>0</v>
          </cell>
          <cell r="K2801">
            <v>0</v>
          </cell>
          <cell r="L2801">
            <v>20.05</v>
          </cell>
          <cell r="M2801">
            <v>2982.71</v>
          </cell>
          <cell r="N2801">
            <v>1094.97</v>
          </cell>
          <cell r="O2801">
            <v>0</v>
          </cell>
          <cell r="R2801">
            <v>6.3099999999999898</v>
          </cell>
        </row>
        <row r="2802">
          <cell r="G2802">
            <v>3210.53</v>
          </cell>
          <cell r="I2802">
            <v>0</v>
          </cell>
          <cell r="J2802">
            <v>73.239999999999895</v>
          </cell>
          <cell r="K2802">
            <v>0</v>
          </cell>
          <cell r="L2802">
            <v>73.239999999999895</v>
          </cell>
          <cell r="M2802">
            <v>3283.77</v>
          </cell>
          <cell r="N2802">
            <v>-3283.77</v>
          </cell>
          <cell r="O2802">
            <v>0</v>
          </cell>
          <cell r="R2802">
            <v>0</v>
          </cell>
        </row>
        <row r="2803">
          <cell r="G2803">
            <v>69633.899999999907</v>
          </cell>
          <cell r="I2803">
            <v>0</v>
          </cell>
          <cell r="J2803">
            <v>2395.92</v>
          </cell>
          <cell r="K2803">
            <v>0</v>
          </cell>
          <cell r="L2803">
            <v>2395.92</v>
          </cell>
          <cell r="M2803">
            <v>76620.740000000005</v>
          </cell>
          <cell r="N2803">
            <v>13058.62</v>
          </cell>
          <cell r="O2803">
            <v>0</v>
          </cell>
          <cell r="R2803">
            <v>0</v>
          </cell>
        </row>
        <row r="2804">
          <cell r="G2804">
            <v>71084.960000000006</v>
          </cell>
          <cell r="I2804">
            <v>0</v>
          </cell>
          <cell r="J2804">
            <v>7143.5799999999899</v>
          </cell>
          <cell r="K2804">
            <v>0</v>
          </cell>
          <cell r="L2804">
            <v>7143.5799999999899</v>
          </cell>
          <cell r="M2804">
            <v>82992.990000000005</v>
          </cell>
          <cell r="N2804">
            <v>10077.01</v>
          </cell>
          <cell r="O2804">
            <v>0</v>
          </cell>
          <cell r="R2804">
            <v>0</v>
          </cell>
        </row>
        <row r="2805">
          <cell r="G2805">
            <v>35210.279999999897</v>
          </cell>
          <cell r="I2805">
            <v>0</v>
          </cell>
          <cell r="J2805">
            <v>3902.88</v>
          </cell>
          <cell r="K2805">
            <v>0</v>
          </cell>
          <cell r="L2805">
            <v>3902.88</v>
          </cell>
          <cell r="M2805">
            <v>41467.79</v>
          </cell>
          <cell r="N2805">
            <v>4528.21</v>
          </cell>
          <cell r="O2805">
            <v>0</v>
          </cell>
          <cell r="R2805">
            <v>0</v>
          </cell>
        </row>
        <row r="2806">
          <cell r="G2806">
            <v>17408.560000000001</v>
          </cell>
          <cell r="I2806">
            <v>0</v>
          </cell>
          <cell r="J2806">
            <v>1006.5599999999901</v>
          </cell>
          <cell r="K2806">
            <v>0</v>
          </cell>
          <cell r="L2806">
            <v>1006.5599999999901</v>
          </cell>
          <cell r="M2806">
            <v>19600.740000000002</v>
          </cell>
          <cell r="N2806">
            <v>3559.26</v>
          </cell>
          <cell r="O2806">
            <v>0</v>
          </cell>
          <cell r="R2806">
            <v>0</v>
          </cell>
        </row>
        <row r="2807">
          <cell r="G2807">
            <v>17408.560000000001</v>
          </cell>
          <cell r="I2807">
            <v>0</v>
          </cell>
          <cell r="J2807">
            <v>2325.36</v>
          </cell>
          <cell r="K2807">
            <v>0</v>
          </cell>
          <cell r="L2807">
            <v>2325.36</v>
          </cell>
          <cell r="M2807">
            <v>20919.54</v>
          </cell>
          <cell r="N2807">
            <v>2240.46</v>
          </cell>
          <cell r="O2807">
            <v>0</v>
          </cell>
          <cell r="R2807">
            <v>0</v>
          </cell>
        </row>
        <row r="2808">
          <cell r="G2808">
            <v>17408.560000000001</v>
          </cell>
          <cell r="I2808">
            <v>0</v>
          </cell>
          <cell r="J2808">
            <v>2163.36</v>
          </cell>
          <cell r="K2808">
            <v>0</v>
          </cell>
          <cell r="L2808">
            <v>2163.36</v>
          </cell>
          <cell r="M2808">
            <v>20757.54</v>
          </cell>
          <cell r="N2808">
            <v>2402.46</v>
          </cell>
          <cell r="O2808">
            <v>0</v>
          </cell>
          <cell r="R2808">
            <v>0</v>
          </cell>
        </row>
        <row r="2809">
          <cell r="G2809">
            <v>35739.059999999903</v>
          </cell>
          <cell r="I2809">
            <v>0</v>
          </cell>
          <cell r="J2809">
            <v>3460.5</v>
          </cell>
          <cell r="K2809">
            <v>0</v>
          </cell>
          <cell r="L2809">
            <v>3460.5</v>
          </cell>
          <cell r="M2809">
            <v>41573.419999999896</v>
          </cell>
          <cell r="N2809">
            <v>4799.5799999999899</v>
          </cell>
          <cell r="O2809">
            <v>0</v>
          </cell>
          <cell r="R2809">
            <v>0</v>
          </cell>
        </row>
        <row r="2810">
          <cell r="G2810">
            <v>17408.560000000001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18538.869999999901</v>
          </cell>
          <cell r="N2810">
            <v>3541.13</v>
          </cell>
          <cell r="O2810">
            <v>0</v>
          </cell>
          <cell r="R2810">
            <v>0</v>
          </cell>
        </row>
        <row r="2811">
          <cell r="G2811">
            <v>35210.279999999897</v>
          </cell>
          <cell r="I2811">
            <v>0</v>
          </cell>
          <cell r="J2811">
            <v>1456.8</v>
          </cell>
          <cell r="K2811">
            <v>0</v>
          </cell>
          <cell r="L2811">
            <v>1456.8</v>
          </cell>
          <cell r="M2811">
            <v>38970.68</v>
          </cell>
          <cell r="N2811">
            <v>6029.3199999999897</v>
          </cell>
          <cell r="O2811">
            <v>0</v>
          </cell>
          <cell r="R2811">
            <v>0</v>
          </cell>
        </row>
        <row r="2812">
          <cell r="G2812">
            <v>1592711.32</v>
          </cell>
          <cell r="I2812">
            <v>0</v>
          </cell>
          <cell r="J2812">
            <v>140368.72</v>
          </cell>
          <cell r="K2812">
            <v>0</v>
          </cell>
          <cell r="L2812">
            <v>140368.72</v>
          </cell>
          <cell r="M2812">
            <v>1837884.49</v>
          </cell>
          <cell r="N2812">
            <v>209394.23</v>
          </cell>
          <cell r="O2812">
            <v>0</v>
          </cell>
          <cell r="R2812">
            <v>0</v>
          </cell>
        </row>
        <row r="2813">
          <cell r="G2813">
            <v>50720.54</v>
          </cell>
          <cell r="I2813">
            <v>0</v>
          </cell>
          <cell r="J2813">
            <v>1589.52</v>
          </cell>
          <cell r="K2813">
            <v>0</v>
          </cell>
          <cell r="L2813">
            <v>1589.52</v>
          </cell>
          <cell r="M2813">
            <v>55658.019999999902</v>
          </cell>
          <cell r="N2813">
            <v>9741.3799999999901</v>
          </cell>
          <cell r="O2813">
            <v>0</v>
          </cell>
          <cell r="R2813">
            <v>0</v>
          </cell>
        </row>
        <row r="2814">
          <cell r="G2814">
            <v>232114.149999999</v>
          </cell>
          <cell r="I2814">
            <v>0</v>
          </cell>
          <cell r="J2814">
            <v>24121.08</v>
          </cell>
          <cell r="K2814">
            <v>0</v>
          </cell>
          <cell r="L2814">
            <v>24121.08</v>
          </cell>
          <cell r="M2814">
            <v>271655.21999999898</v>
          </cell>
          <cell r="N2814">
            <v>29562.5</v>
          </cell>
          <cell r="O2814">
            <v>0</v>
          </cell>
          <cell r="R2814">
            <v>0</v>
          </cell>
        </row>
        <row r="2815">
          <cell r="G2815">
            <v>24662.13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26263.45</v>
          </cell>
          <cell r="N2815">
            <v>5016.55</v>
          </cell>
          <cell r="O2815">
            <v>0</v>
          </cell>
          <cell r="R2815">
            <v>0</v>
          </cell>
        </row>
        <row r="2816">
          <cell r="G2816">
            <v>17408.560000000001</v>
          </cell>
          <cell r="I2816">
            <v>0</v>
          </cell>
          <cell r="J2816">
            <v>1344.96</v>
          </cell>
          <cell r="K2816">
            <v>0</v>
          </cell>
          <cell r="L2816">
            <v>1344.96</v>
          </cell>
          <cell r="M2816">
            <v>19930.810000000001</v>
          </cell>
          <cell r="N2816">
            <v>3067.19</v>
          </cell>
          <cell r="O2816">
            <v>0</v>
          </cell>
          <cell r="R2816">
            <v>0</v>
          </cell>
        </row>
        <row r="2817">
          <cell r="G2817">
            <v>196930.149999999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209612.2</v>
          </cell>
          <cell r="N2817">
            <v>38122.629999999903</v>
          </cell>
          <cell r="O2817">
            <v>0</v>
          </cell>
          <cell r="R2817">
            <v>0</v>
          </cell>
        </row>
        <row r="2818">
          <cell r="G2818">
            <v>423608.31</v>
          </cell>
          <cell r="I2818">
            <v>0</v>
          </cell>
          <cell r="J2818">
            <v>23698</v>
          </cell>
          <cell r="K2818">
            <v>0</v>
          </cell>
          <cell r="L2818">
            <v>23698</v>
          </cell>
          <cell r="M2818">
            <v>475244.09999999899</v>
          </cell>
          <cell r="N2818">
            <v>70500.11</v>
          </cell>
          <cell r="O2818">
            <v>0</v>
          </cell>
          <cell r="R2818">
            <v>0</v>
          </cell>
        </row>
        <row r="2819">
          <cell r="G2819">
            <v>69634.240000000005</v>
          </cell>
          <cell r="I2819">
            <v>0</v>
          </cell>
          <cell r="J2819">
            <v>4258.5600000000004</v>
          </cell>
          <cell r="K2819">
            <v>0</v>
          </cell>
          <cell r="L2819">
            <v>4258.5600000000004</v>
          </cell>
          <cell r="M2819">
            <v>78534.949999999895</v>
          </cell>
          <cell r="N2819">
            <v>12146.17</v>
          </cell>
          <cell r="O2819">
            <v>0</v>
          </cell>
          <cell r="R2819">
            <v>0</v>
          </cell>
        </row>
        <row r="2820">
          <cell r="G2820">
            <v>52422.26</v>
          </cell>
          <cell r="I2820">
            <v>0</v>
          </cell>
          <cell r="J2820">
            <v>2648.88</v>
          </cell>
          <cell r="K2820">
            <v>0</v>
          </cell>
          <cell r="L2820">
            <v>2648.88</v>
          </cell>
          <cell r="M2820">
            <v>58548.160000000003</v>
          </cell>
          <cell r="N2820">
            <v>9373.2800000000007</v>
          </cell>
          <cell r="O2820">
            <v>0</v>
          </cell>
          <cell r="R2820">
            <v>0</v>
          </cell>
        </row>
        <row r="2821">
          <cell r="G2821">
            <v>34817.120000000003</v>
          </cell>
          <cell r="I2821">
            <v>0</v>
          </cell>
          <cell r="J2821">
            <v>4115.5200000000004</v>
          </cell>
          <cell r="K2821">
            <v>0</v>
          </cell>
          <cell r="L2821">
            <v>4115.5200000000004</v>
          </cell>
          <cell r="M2821">
            <v>41287.269999999902</v>
          </cell>
          <cell r="N2821">
            <v>4708.7299999999896</v>
          </cell>
          <cell r="O2821">
            <v>0</v>
          </cell>
          <cell r="R2821">
            <v>0</v>
          </cell>
        </row>
        <row r="2822">
          <cell r="G2822">
            <v>34817.120000000003</v>
          </cell>
          <cell r="I2822">
            <v>0</v>
          </cell>
          <cell r="J2822">
            <v>1344.96</v>
          </cell>
          <cell r="K2822">
            <v>0</v>
          </cell>
          <cell r="L2822">
            <v>1344.96</v>
          </cell>
          <cell r="M2822">
            <v>38461.809999999903</v>
          </cell>
          <cell r="N2822">
            <v>6461.63</v>
          </cell>
          <cell r="O2822">
            <v>0</v>
          </cell>
          <cell r="R2822">
            <v>0</v>
          </cell>
        </row>
        <row r="2823">
          <cell r="G2823">
            <v>87501.029999999897</v>
          </cell>
          <cell r="I2823">
            <v>0</v>
          </cell>
          <cell r="J2823">
            <v>3942.27</v>
          </cell>
          <cell r="K2823">
            <v>0</v>
          </cell>
          <cell r="L2823">
            <v>3942.27</v>
          </cell>
          <cell r="M2823">
            <v>97226.1</v>
          </cell>
          <cell r="N2823">
            <v>15737.7</v>
          </cell>
          <cell r="O2823">
            <v>0</v>
          </cell>
          <cell r="R2823">
            <v>0</v>
          </cell>
        </row>
        <row r="2824">
          <cell r="G2824">
            <v>69634.240000000005</v>
          </cell>
          <cell r="I2824">
            <v>0</v>
          </cell>
          <cell r="J2824">
            <v>1833.8399999999899</v>
          </cell>
          <cell r="K2824">
            <v>0</v>
          </cell>
          <cell r="L2824">
            <v>1833.8399999999899</v>
          </cell>
          <cell r="M2824">
            <v>76036.75</v>
          </cell>
          <cell r="N2824">
            <v>13208.69</v>
          </cell>
          <cell r="O2824">
            <v>0</v>
          </cell>
          <cell r="R2824">
            <v>0</v>
          </cell>
        </row>
        <row r="2825">
          <cell r="G2825">
            <v>88886.679999999906</v>
          </cell>
          <cell r="I2825">
            <v>0</v>
          </cell>
          <cell r="J2825">
            <v>5854.04</v>
          </cell>
          <cell r="K2825">
            <v>0</v>
          </cell>
          <cell r="L2825">
            <v>5854.04</v>
          </cell>
          <cell r="M2825">
            <v>100618.71</v>
          </cell>
          <cell r="N2825">
            <v>14204.29</v>
          </cell>
          <cell r="O2825">
            <v>0</v>
          </cell>
          <cell r="R2825">
            <v>0</v>
          </cell>
        </row>
        <row r="2826">
          <cell r="G2826">
            <v>35210.279999999897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37455.099999999897</v>
          </cell>
          <cell r="N2826">
            <v>6395.7799999999897</v>
          </cell>
          <cell r="O2826">
            <v>0</v>
          </cell>
          <cell r="R2826">
            <v>0</v>
          </cell>
        </row>
        <row r="2827">
          <cell r="G2827">
            <v>34817.120000000003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37061.94</v>
          </cell>
          <cell r="N2827">
            <v>6788.9399999999896</v>
          </cell>
          <cell r="O2827">
            <v>0</v>
          </cell>
          <cell r="R2827">
            <v>0</v>
          </cell>
        </row>
        <row r="2828">
          <cell r="G2828">
            <v>17408.560000000001</v>
          </cell>
          <cell r="I2828">
            <v>0</v>
          </cell>
          <cell r="J2828">
            <v>2063.2800000000002</v>
          </cell>
          <cell r="K2828">
            <v>0</v>
          </cell>
          <cell r="L2828">
            <v>2063.2800000000002</v>
          </cell>
          <cell r="M2828">
            <v>20645.16</v>
          </cell>
          <cell r="N2828">
            <v>2274.84</v>
          </cell>
          <cell r="O2828">
            <v>0</v>
          </cell>
          <cell r="R2828">
            <v>0</v>
          </cell>
        </row>
        <row r="2829">
          <cell r="G2829">
            <v>646410.80000000005</v>
          </cell>
          <cell r="I2829">
            <v>0</v>
          </cell>
          <cell r="J2829">
            <v>69847.69</v>
          </cell>
          <cell r="K2829">
            <v>0</v>
          </cell>
          <cell r="L2829">
            <v>69847.69</v>
          </cell>
          <cell r="M2829">
            <v>759589.26</v>
          </cell>
          <cell r="N2829">
            <v>86845.57</v>
          </cell>
          <cell r="O2829">
            <v>0</v>
          </cell>
          <cell r="R2829">
            <v>0</v>
          </cell>
        </row>
        <row r="2830">
          <cell r="G2830">
            <v>17408.560000000001</v>
          </cell>
          <cell r="I2830">
            <v>0</v>
          </cell>
          <cell r="J2830">
            <v>1662.96</v>
          </cell>
          <cell r="K2830">
            <v>0</v>
          </cell>
          <cell r="L2830">
            <v>1662.96</v>
          </cell>
          <cell r="M2830">
            <v>20236.639999999901</v>
          </cell>
          <cell r="N2830">
            <v>2523.04</v>
          </cell>
          <cell r="O2830">
            <v>0</v>
          </cell>
          <cell r="R2830">
            <v>0</v>
          </cell>
        </row>
        <row r="2831">
          <cell r="G2831">
            <v>17408.560000000001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18530.959999999901</v>
          </cell>
          <cell r="N2831">
            <v>3394.48</v>
          </cell>
          <cell r="O2831">
            <v>0</v>
          </cell>
          <cell r="R2831">
            <v>0</v>
          </cell>
        </row>
        <row r="2832">
          <cell r="G2832">
            <v>156873.62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166975.329999999</v>
          </cell>
          <cell r="N2832">
            <v>30353.63</v>
          </cell>
          <cell r="O2832">
            <v>0</v>
          </cell>
          <cell r="R2832">
            <v>0</v>
          </cell>
        </row>
        <row r="2833">
          <cell r="G2833">
            <v>18133.9199999999</v>
          </cell>
          <cell r="I2833">
            <v>0</v>
          </cell>
          <cell r="J2833">
            <v>2280.36</v>
          </cell>
          <cell r="K2833">
            <v>0</v>
          </cell>
          <cell r="L2833">
            <v>2280.36</v>
          </cell>
          <cell r="M2833">
            <v>21610.8499999999</v>
          </cell>
          <cell r="N2833">
            <v>1764.15</v>
          </cell>
          <cell r="O2833">
            <v>0</v>
          </cell>
          <cell r="R2833">
            <v>0</v>
          </cell>
        </row>
        <row r="2834">
          <cell r="G2834">
            <v>34817.120000000003</v>
          </cell>
          <cell r="I2834">
            <v>0</v>
          </cell>
          <cell r="J2834">
            <v>3773.28</v>
          </cell>
          <cell r="K2834">
            <v>0</v>
          </cell>
          <cell r="L2834">
            <v>3773.28</v>
          </cell>
          <cell r="M2834">
            <v>40949.309999999903</v>
          </cell>
          <cell r="N2834">
            <v>5130.6899999999896</v>
          </cell>
          <cell r="O2834">
            <v>0</v>
          </cell>
          <cell r="R2834">
            <v>0</v>
          </cell>
        </row>
        <row r="2835">
          <cell r="G2835">
            <v>17408.560000000001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18530.959999999901</v>
          </cell>
          <cell r="N2835">
            <v>3394.48</v>
          </cell>
          <cell r="O2835">
            <v>0</v>
          </cell>
          <cell r="R2835">
            <v>0</v>
          </cell>
        </row>
        <row r="2836">
          <cell r="G2836">
            <v>463004.62</v>
          </cell>
          <cell r="I2836">
            <v>0</v>
          </cell>
          <cell r="J2836">
            <v>32080.77</v>
          </cell>
          <cell r="K2836">
            <v>0</v>
          </cell>
          <cell r="L2836">
            <v>32080.77</v>
          </cell>
          <cell r="M2836">
            <v>526075.64</v>
          </cell>
          <cell r="N2836">
            <v>79295.61</v>
          </cell>
          <cell r="O2836">
            <v>0</v>
          </cell>
          <cell r="R2836">
            <v>0</v>
          </cell>
        </row>
        <row r="2837">
          <cell r="G2837">
            <v>247096.329999999</v>
          </cell>
          <cell r="I2837">
            <v>0</v>
          </cell>
          <cell r="J2837">
            <v>14637.28</v>
          </cell>
          <cell r="K2837">
            <v>0</v>
          </cell>
          <cell r="L2837">
            <v>14637.28</v>
          </cell>
          <cell r="M2837">
            <v>278070.59000000003</v>
          </cell>
          <cell r="N2837">
            <v>41061.089999999902</v>
          </cell>
          <cell r="O2837">
            <v>0</v>
          </cell>
          <cell r="R2837">
            <v>0</v>
          </cell>
        </row>
        <row r="2838">
          <cell r="G2838">
            <v>17408.560000000001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18530.959999999901</v>
          </cell>
          <cell r="N2838">
            <v>3394.48</v>
          </cell>
          <cell r="O2838">
            <v>0</v>
          </cell>
          <cell r="R2838">
            <v>0</v>
          </cell>
        </row>
        <row r="2839">
          <cell r="G2839">
            <v>35013.699999999903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37258.5</v>
          </cell>
          <cell r="N2839">
            <v>6592.38</v>
          </cell>
          <cell r="O2839">
            <v>0</v>
          </cell>
          <cell r="R2839">
            <v>0</v>
          </cell>
        </row>
        <row r="2840">
          <cell r="G2840">
            <v>87829.119999999893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87829.119999999893</v>
          </cell>
          <cell r="N2840">
            <v>21798.080000000002</v>
          </cell>
          <cell r="O2840">
            <v>0</v>
          </cell>
          <cell r="R2840">
            <v>0</v>
          </cell>
        </row>
        <row r="2841">
          <cell r="G2841">
            <v>53676.4</v>
          </cell>
          <cell r="I2841">
            <v>0</v>
          </cell>
          <cell r="J2841">
            <v>2022.5899999999899</v>
          </cell>
          <cell r="K2841">
            <v>0</v>
          </cell>
          <cell r="L2841">
            <v>2022.5899999999899</v>
          </cell>
          <cell r="M2841">
            <v>55698.989999999903</v>
          </cell>
          <cell r="N2841">
            <v>13381.01</v>
          </cell>
          <cell r="O2841">
            <v>0</v>
          </cell>
          <cell r="R2841">
            <v>0</v>
          </cell>
        </row>
        <row r="2842">
          <cell r="G2842">
            <v>2959344.1899999902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2959344.1899999902</v>
          </cell>
          <cell r="N2842">
            <v>1058639.31</v>
          </cell>
          <cell r="O2842">
            <v>0</v>
          </cell>
          <cell r="R2842">
            <v>0</v>
          </cell>
        </row>
        <row r="2843">
          <cell r="G2843">
            <v>34817.120000000003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34817.120000000003</v>
          </cell>
          <cell r="N2843">
            <v>9033.76</v>
          </cell>
          <cell r="O2843">
            <v>0</v>
          </cell>
          <cell r="R2843">
            <v>0</v>
          </cell>
        </row>
        <row r="2844">
          <cell r="G2844">
            <v>4161794.3399999901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4161794.3399999901</v>
          </cell>
          <cell r="N2844">
            <v>1233923.26</v>
          </cell>
          <cell r="O2844">
            <v>0</v>
          </cell>
          <cell r="R2844">
            <v>0</v>
          </cell>
        </row>
        <row r="2845">
          <cell r="G2845">
            <v>35013.699999999903</v>
          </cell>
          <cell r="I2845">
            <v>0</v>
          </cell>
          <cell r="J2845">
            <v>4650.72</v>
          </cell>
          <cell r="K2845">
            <v>0</v>
          </cell>
          <cell r="L2845">
            <v>4650.72</v>
          </cell>
          <cell r="M2845">
            <v>39664.419999999896</v>
          </cell>
          <cell r="N2845">
            <v>6655.5799999999899</v>
          </cell>
          <cell r="O2845">
            <v>0</v>
          </cell>
          <cell r="R2845">
            <v>0</v>
          </cell>
        </row>
        <row r="2846">
          <cell r="G2846">
            <v>17408.560000000001</v>
          </cell>
          <cell r="I2846">
            <v>0</v>
          </cell>
          <cell r="J2846">
            <v>1992.72</v>
          </cell>
          <cell r="K2846">
            <v>0</v>
          </cell>
          <cell r="L2846">
            <v>1992.72</v>
          </cell>
          <cell r="M2846">
            <v>19401.279999999901</v>
          </cell>
          <cell r="N2846">
            <v>3758.7199999999898</v>
          </cell>
          <cell r="O2846">
            <v>0</v>
          </cell>
          <cell r="R2846">
            <v>0</v>
          </cell>
        </row>
        <row r="2847">
          <cell r="G2847">
            <v>34817.120000000003</v>
          </cell>
          <cell r="I2847">
            <v>0</v>
          </cell>
          <cell r="J2847">
            <v>1286.1600000000001</v>
          </cell>
          <cell r="K2847">
            <v>0</v>
          </cell>
          <cell r="L2847">
            <v>1286.1600000000001</v>
          </cell>
          <cell r="M2847">
            <v>36103.279999999897</v>
          </cell>
          <cell r="N2847">
            <v>8896.7199999999903</v>
          </cell>
          <cell r="O2847">
            <v>0</v>
          </cell>
          <cell r="R2847">
            <v>0</v>
          </cell>
        </row>
        <row r="2848">
          <cell r="G2848">
            <v>17408.560000000001</v>
          </cell>
          <cell r="I2848">
            <v>0</v>
          </cell>
          <cell r="J2848">
            <v>1780.8</v>
          </cell>
          <cell r="K2848">
            <v>0</v>
          </cell>
          <cell r="L2848">
            <v>1780.8</v>
          </cell>
          <cell r="M2848">
            <v>19189.36</v>
          </cell>
          <cell r="N2848">
            <v>3970.6399999999899</v>
          </cell>
          <cell r="O2848">
            <v>0</v>
          </cell>
          <cell r="R2848">
            <v>0</v>
          </cell>
        </row>
        <row r="2849">
          <cell r="G2849">
            <v>88493.52</v>
          </cell>
          <cell r="I2849">
            <v>0</v>
          </cell>
          <cell r="J2849">
            <v>9665.6399999999903</v>
          </cell>
          <cell r="K2849">
            <v>0</v>
          </cell>
          <cell r="L2849">
            <v>9665.6399999999903</v>
          </cell>
          <cell r="M2849">
            <v>98159.16</v>
          </cell>
          <cell r="N2849">
            <v>18570.84</v>
          </cell>
          <cell r="O2849">
            <v>0</v>
          </cell>
          <cell r="R2849">
            <v>0</v>
          </cell>
        </row>
        <row r="2850">
          <cell r="G2850">
            <v>653385.70999999903</v>
          </cell>
          <cell r="I2850">
            <v>0</v>
          </cell>
          <cell r="J2850">
            <v>33322.22</v>
          </cell>
          <cell r="K2850">
            <v>0</v>
          </cell>
          <cell r="L2850">
            <v>33322.22</v>
          </cell>
          <cell r="M2850">
            <v>686707.93</v>
          </cell>
          <cell r="N2850">
            <v>161416.109999999</v>
          </cell>
          <cell r="O2850">
            <v>0</v>
          </cell>
          <cell r="R2850">
            <v>0</v>
          </cell>
        </row>
        <row r="2851">
          <cell r="G2851">
            <v>69634.240000000005</v>
          </cell>
          <cell r="I2851">
            <v>0</v>
          </cell>
          <cell r="J2851">
            <v>5029.92</v>
          </cell>
          <cell r="K2851">
            <v>0</v>
          </cell>
          <cell r="L2851">
            <v>5029.92</v>
          </cell>
          <cell r="M2851">
            <v>74664.160000000003</v>
          </cell>
          <cell r="N2851">
            <v>17327.84</v>
          </cell>
          <cell r="O2851">
            <v>0</v>
          </cell>
          <cell r="R2851">
            <v>0</v>
          </cell>
        </row>
        <row r="2852">
          <cell r="G2852">
            <v>17408.560000000001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17408.560000000001</v>
          </cell>
          <cell r="N2852">
            <v>4671.4399999999896</v>
          </cell>
          <cell r="O2852">
            <v>0</v>
          </cell>
          <cell r="R2852">
            <v>0</v>
          </cell>
        </row>
        <row r="2853">
          <cell r="G2853">
            <v>98234.399999999907</v>
          </cell>
          <cell r="I2853">
            <v>0</v>
          </cell>
          <cell r="J2853">
            <v>3192.51</v>
          </cell>
          <cell r="K2853">
            <v>0</v>
          </cell>
          <cell r="L2853">
            <v>3192.51</v>
          </cell>
          <cell r="M2853">
            <v>101426.91</v>
          </cell>
          <cell r="N2853">
            <v>23758.75</v>
          </cell>
          <cell r="O2853">
            <v>0</v>
          </cell>
          <cell r="R2853">
            <v>0</v>
          </cell>
        </row>
        <row r="2854">
          <cell r="G2854">
            <v>28288.91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28288.91</v>
          </cell>
          <cell r="N2854">
            <v>7436.5299999999897</v>
          </cell>
          <cell r="O2854">
            <v>0</v>
          </cell>
          <cell r="R2854">
            <v>0</v>
          </cell>
        </row>
        <row r="2855">
          <cell r="G2855">
            <v>575347.95999999903</v>
          </cell>
          <cell r="I2855">
            <v>0</v>
          </cell>
          <cell r="J2855">
            <v>12205.08</v>
          </cell>
          <cell r="K2855">
            <v>0</v>
          </cell>
          <cell r="L2855">
            <v>12205.08</v>
          </cell>
          <cell r="M2855">
            <v>587553.04</v>
          </cell>
          <cell r="N2855">
            <v>145735.34</v>
          </cell>
          <cell r="O2855">
            <v>0</v>
          </cell>
          <cell r="R2855">
            <v>0</v>
          </cell>
        </row>
        <row r="2856">
          <cell r="G2856">
            <v>390241.91999999899</v>
          </cell>
          <cell r="I2856">
            <v>0</v>
          </cell>
          <cell r="J2856">
            <v>37561.18</v>
          </cell>
          <cell r="K2856">
            <v>0</v>
          </cell>
          <cell r="L2856">
            <v>37561.18</v>
          </cell>
          <cell r="M2856">
            <v>427803.09999999899</v>
          </cell>
          <cell r="N2856">
            <v>79135.779999999897</v>
          </cell>
          <cell r="O2856">
            <v>0</v>
          </cell>
          <cell r="R2856">
            <v>0</v>
          </cell>
        </row>
        <row r="2857">
          <cell r="G2857">
            <v>262893.7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262893.7</v>
          </cell>
          <cell r="N2857">
            <v>65987.899999999907</v>
          </cell>
          <cell r="O2857">
            <v>0</v>
          </cell>
          <cell r="R2857">
            <v>0</v>
          </cell>
        </row>
        <row r="2858">
          <cell r="G2858">
            <v>17408.560000000001</v>
          </cell>
          <cell r="I2858">
            <v>0</v>
          </cell>
          <cell r="J2858">
            <v>1545.3599999999899</v>
          </cell>
          <cell r="K2858">
            <v>0</v>
          </cell>
          <cell r="L2858">
            <v>1545.3599999999899</v>
          </cell>
          <cell r="M2858">
            <v>18953.9199999999</v>
          </cell>
          <cell r="N2858">
            <v>4044.0799999999899</v>
          </cell>
          <cell r="O2858">
            <v>0</v>
          </cell>
          <cell r="R2858">
            <v>0</v>
          </cell>
        </row>
        <row r="2859">
          <cell r="G2859">
            <v>29014.27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29014.27</v>
          </cell>
          <cell r="N2859">
            <v>7489.8999999999896</v>
          </cell>
          <cell r="O2859">
            <v>0</v>
          </cell>
          <cell r="R2859">
            <v>0</v>
          </cell>
        </row>
        <row r="2860">
          <cell r="G2860">
            <v>36267.839999999902</v>
          </cell>
          <cell r="I2860">
            <v>0</v>
          </cell>
          <cell r="J2860">
            <v>4024.5999999999899</v>
          </cell>
          <cell r="K2860">
            <v>0</v>
          </cell>
          <cell r="L2860">
            <v>4024.5999999999899</v>
          </cell>
          <cell r="M2860">
            <v>40292.44</v>
          </cell>
          <cell r="N2860">
            <v>6457.56</v>
          </cell>
          <cell r="O2860">
            <v>0</v>
          </cell>
          <cell r="R2860">
            <v>0</v>
          </cell>
        </row>
        <row r="2861">
          <cell r="G2861">
            <v>34817.120000000003</v>
          </cell>
          <cell r="I2861">
            <v>0</v>
          </cell>
          <cell r="J2861">
            <v>1780.8</v>
          </cell>
          <cell r="K2861">
            <v>0</v>
          </cell>
          <cell r="L2861">
            <v>1780.8</v>
          </cell>
          <cell r="M2861">
            <v>36597.919999999896</v>
          </cell>
          <cell r="N2861">
            <v>8325.52</v>
          </cell>
          <cell r="O2861">
            <v>0</v>
          </cell>
          <cell r="R2861">
            <v>0</v>
          </cell>
        </row>
        <row r="2862">
          <cell r="G2862">
            <v>54401.760000000002</v>
          </cell>
          <cell r="I2862">
            <v>0</v>
          </cell>
          <cell r="J2862">
            <v>3356.78</v>
          </cell>
          <cell r="K2862">
            <v>0</v>
          </cell>
          <cell r="L2862">
            <v>3356.78</v>
          </cell>
          <cell r="M2862">
            <v>57758.54</v>
          </cell>
          <cell r="N2862">
            <v>12866.459999999901</v>
          </cell>
          <cell r="O2862">
            <v>0</v>
          </cell>
          <cell r="R2862">
            <v>0</v>
          </cell>
        </row>
        <row r="2863">
          <cell r="G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-590</v>
          </cell>
          <cell r="O2863">
            <v>0</v>
          </cell>
          <cell r="R2863">
            <v>0</v>
          </cell>
        </row>
        <row r="2864">
          <cell r="G2864">
            <v>2858775.47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2858775.47</v>
          </cell>
          <cell r="N2864">
            <v>1107825.1299999901</v>
          </cell>
          <cell r="O2864">
            <v>0</v>
          </cell>
          <cell r="R2864">
            <v>0</v>
          </cell>
        </row>
        <row r="2865">
          <cell r="G2865">
            <v>93964.169999999896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93964.169999999896</v>
          </cell>
          <cell r="N2865">
            <v>24097.59</v>
          </cell>
          <cell r="O2865">
            <v>0</v>
          </cell>
          <cell r="R2865">
            <v>0</v>
          </cell>
        </row>
        <row r="2866">
          <cell r="G2866">
            <v>174164.76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174164.76</v>
          </cell>
          <cell r="N2866">
            <v>43719.3</v>
          </cell>
          <cell r="O2866">
            <v>0</v>
          </cell>
          <cell r="R2866">
            <v>0</v>
          </cell>
        </row>
        <row r="2867">
          <cell r="G2867">
            <v>34817.120000000003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34817.120000000003</v>
          </cell>
          <cell r="N2867">
            <v>9033.76</v>
          </cell>
          <cell r="O2867">
            <v>0</v>
          </cell>
          <cell r="R2867">
            <v>0</v>
          </cell>
        </row>
        <row r="2868">
          <cell r="G2868">
            <v>17408.560000000001</v>
          </cell>
          <cell r="I2868">
            <v>0</v>
          </cell>
          <cell r="J2868">
            <v>0</v>
          </cell>
          <cell r="K2868">
            <v>0</v>
          </cell>
          <cell r="L2868">
            <v>0</v>
          </cell>
          <cell r="M2868">
            <v>17408.560000000001</v>
          </cell>
          <cell r="N2868">
            <v>4671.4399999999896</v>
          </cell>
          <cell r="O2868">
            <v>0</v>
          </cell>
          <cell r="R2868">
            <v>0</v>
          </cell>
        </row>
        <row r="2869">
          <cell r="G2869">
            <v>35542.480000000003</v>
          </cell>
          <cell r="I2869">
            <v>0</v>
          </cell>
          <cell r="J2869">
            <v>1261.4000000000001</v>
          </cell>
          <cell r="K2869">
            <v>0</v>
          </cell>
          <cell r="L2869">
            <v>1261.4000000000001</v>
          </cell>
          <cell r="M2869">
            <v>36803.879999999903</v>
          </cell>
          <cell r="N2869">
            <v>8581.0599999999904</v>
          </cell>
          <cell r="O2869">
            <v>0</v>
          </cell>
          <cell r="R2869">
            <v>0</v>
          </cell>
        </row>
        <row r="2870">
          <cell r="G2870">
            <v>87239.38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87239.38</v>
          </cell>
          <cell r="N2870">
            <v>22149.5</v>
          </cell>
          <cell r="O2870">
            <v>0</v>
          </cell>
          <cell r="R2870">
            <v>0</v>
          </cell>
        </row>
        <row r="2871">
          <cell r="G2871">
            <v>489440.739999999</v>
          </cell>
          <cell r="I2871">
            <v>0</v>
          </cell>
          <cell r="J2871">
            <v>1374.72</v>
          </cell>
          <cell r="K2871">
            <v>0</v>
          </cell>
          <cell r="L2871">
            <v>1374.72</v>
          </cell>
          <cell r="M2871">
            <v>490815.46</v>
          </cell>
          <cell r="N2871">
            <v>125785.82</v>
          </cell>
          <cell r="O2871">
            <v>0</v>
          </cell>
          <cell r="R2871">
            <v>0</v>
          </cell>
        </row>
        <row r="2872">
          <cell r="G2872">
            <v>17408.560000000001</v>
          </cell>
          <cell r="I2872">
            <v>0</v>
          </cell>
          <cell r="J2872">
            <v>1315.68</v>
          </cell>
          <cell r="K2872">
            <v>0</v>
          </cell>
          <cell r="L2872">
            <v>1315.68</v>
          </cell>
          <cell r="M2872">
            <v>18724.240000000002</v>
          </cell>
          <cell r="N2872">
            <v>4355.84</v>
          </cell>
          <cell r="O2872">
            <v>0</v>
          </cell>
          <cell r="R2872">
            <v>0</v>
          </cell>
        </row>
        <row r="2873">
          <cell r="G2873">
            <v>18133.9199999999</v>
          </cell>
          <cell r="I2873">
            <v>0</v>
          </cell>
          <cell r="J2873">
            <v>1814.5899999999899</v>
          </cell>
          <cell r="K2873">
            <v>0</v>
          </cell>
          <cell r="L2873">
            <v>1814.5899999999899</v>
          </cell>
          <cell r="M2873">
            <v>19948.5099999999</v>
          </cell>
          <cell r="N2873">
            <v>3510.9899999999898</v>
          </cell>
          <cell r="O2873">
            <v>0</v>
          </cell>
          <cell r="R2873">
            <v>0</v>
          </cell>
        </row>
        <row r="2874">
          <cell r="G2874">
            <v>17408.560000000001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17408.560000000001</v>
          </cell>
          <cell r="N2874">
            <v>4516.88</v>
          </cell>
          <cell r="O2874">
            <v>0</v>
          </cell>
          <cell r="R2874">
            <v>0</v>
          </cell>
        </row>
        <row r="2875">
          <cell r="G2875">
            <v>35013.699999999903</v>
          </cell>
          <cell r="I2875">
            <v>0</v>
          </cell>
          <cell r="J2875">
            <v>1456.8</v>
          </cell>
          <cell r="K2875">
            <v>0</v>
          </cell>
          <cell r="L2875">
            <v>1456.8</v>
          </cell>
          <cell r="M2875">
            <v>36470.5</v>
          </cell>
          <cell r="N2875">
            <v>8614.94</v>
          </cell>
          <cell r="O2875">
            <v>0</v>
          </cell>
          <cell r="R2875">
            <v>0</v>
          </cell>
        </row>
        <row r="2876">
          <cell r="G2876">
            <v>373755.28</v>
          </cell>
          <cell r="I2876">
            <v>0</v>
          </cell>
          <cell r="J2876">
            <v>35088.47</v>
          </cell>
          <cell r="K2876">
            <v>0</v>
          </cell>
          <cell r="L2876">
            <v>35088.47</v>
          </cell>
          <cell r="M2876">
            <v>408843.75</v>
          </cell>
          <cell r="N2876">
            <v>78215.5</v>
          </cell>
          <cell r="O2876">
            <v>0</v>
          </cell>
          <cell r="R2876">
            <v>0</v>
          </cell>
        </row>
        <row r="2877">
          <cell r="G2877">
            <v>17408.560000000001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17408.560000000001</v>
          </cell>
          <cell r="N2877">
            <v>6111.4399999999896</v>
          </cell>
          <cell r="O2877">
            <v>0</v>
          </cell>
          <cell r="R2877">
            <v>0</v>
          </cell>
        </row>
        <row r="2878">
          <cell r="G2878">
            <v>17408.560000000001</v>
          </cell>
          <cell r="I2878">
            <v>0</v>
          </cell>
          <cell r="J2878">
            <v>1035.8399999999899</v>
          </cell>
          <cell r="K2878">
            <v>0</v>
          </cell>
          <cell r="L2878">
            <v>1035.8399999999899</v>
          </cell>
          <cell r="M2878">
            <v>18444.400000000001</v>
          </cell>
          <cell r="N2878">
            <v>4315.2799999999897</v>
          </cell>
          <cell r="O2878">
            <v>0</v>
          </cell>
          <cell r="R2878">
            <v>0</v>
          </cell>
        </row>
        <row r="2879">
          <cell r="G2879">
            <v>34817.120000000003</v>
          </cell>
          <cell r="I2879">
            <v>0</v>
          </cell>
          <cell r="J2879">
            <v>1124.4000000000001</v>
          </cell>
          <cell r="K2879">
            <v>0</v>
          </cell>
          <cell r="L2879">
            <v>1124.4000000000001</v>
          </cell>
          <cell r="M2879">
            <v>35941.519999999902</v>
          </cell>
          <cell r="N2879">
            <v>9298.4799999999905</v>
          </cell>
          <cell r="O2879">
            <v>0</v>
          </cell>
          <cell r="R2879">
            <v>0</v>
          </cell>
        </row>
        <row r="2880">
          <cell r="G2880">
            <v>244880.19</v>
          </cell>
          <cell r="I2880">
            <v>0</v>
          </cell>
          <cell r="J2880">
            <v>13832.959999999901</v>
          </cell>
          <cell r="K2880">
            <v>0</v>
          </cell>
          <cell r="L2880">
            <v>13832.959999999901</v>
          </cell>
          <cell r="M2880">
            <v>258713.149999999</v>
          </cell>
          <cell r="N2880">
            <v>58934.349999999897</v>
          </cell>
          <cell r="O2880">
            <v>0</v>
          </cell>
          <cell r="R2880">
            <v>0</v>
          </cell>
        </row>
        <row r="2881">
          <cell r="G2881">
            <v>34817.120000000003</v>
          </cell>
          <cell r="I2881">
            <v>0</v>
          </cell>
          <cell r="J2881">
            <v>3325.92</v>
          </cell>
          <cell r="K2881">
            <v>0</v>
          </cell>
          <cell r="L2881">
            <v>3325.92</v>
          </cell>
          <cell r="M2881">
            <v>38143.040000000001</v>
          </cell>
          <cell r="N2881">
            <v>7852.96</v>
          </cell>
          <cell r="O2881">
            <v>0</v>
          </cell>
          <cell r="R2881">
            <v>0</v>
          </cell>
        </row>
        <row r="2882">
          <cell r="G2882">
            <v>17408.560000000001</v>
          </cell>
          <cell r="I2882">
            <v>0</v>
          </cell>
          <cell r="J2882">
            <v>2163.36</v>
          </cell>
          <cell r="K2882">
            <v>0</v>
          </cell>
          <cell r="L2882">
            <v>2163.36</v>
          </cell>
          <cell r="M2882">
            <v>19571.9199999999</v>
          </cell>
          <cell r="N2882">
            <v>3426.0799999999899</v>
          </cell>
          <cell r="O2882">
            <v>0</v>
          </cell>
          <cell r="R2882">
            <v>0</v>
          </cell>
        </row>
        <row r="2883">
          <cell r="G2883">
            <v>18133.9199999999</v>
          </cell>
          <cell r="I2883">
            <v>0</v>
          </cell>
          <cell r="J2883">
            <v>924.40999999999894</v>
          </cell>
          <cell r="K2883">
            <v>0</v>
          </cell>
          <cell r="L2883">
            <v>924.40999999999894</v>
          </cell>
          <cell r="M2883">
            <v>19058.330000000002</v>
          </cell>
          <cell r="N2883">
            <v>4401.17</v>
          </cell>
          <cell r="O2883">
            <v>0</v>
          </cell>
          <cell r="R2883">
            <v>0</v>
          </cell>
        </row>
        <row r="2884">
          <cell r="G2884">
            <v>17408.560000000001</v>
          </cell>
          <cell r="I2884">
            <v>0</v>
          </cell>
          <cell r="J2884">
            <v>1992.72</v>
          </cell>
          <cell r="K2884">
            <v>0</v>
          </cell>
          <cell r="L2884">
            <v>1992.72</v>
          </cell>
          <cell r="M2884">
            <v>19401.279999999901</v>
          </cell>
          <cell r="N2884">
            <v>3596.7199999999898</v>
          </cell>
          <cell r="O2884">
            <v>0</v>
          </cell>
          <cell r="R2884">
            <v>0</v>
          </cell>
        </row>
        <row r="2885">
          <cell r="G2885">
            <v>35013.699999999903</v>
          </cell>
          <cell r="I2885">
            <v>0</v>
          </cell>
          <cell r="J2885">
            <v>1365.8399999999899</v>
          </cell>
          <cell r="K2885">
            <v>0</v>
          </cell>
          <cell r="L2885">
            <v>1365.8399999999899</v>
          </cell>
          <cell r="M2885">
            <v>36379.54</v>
          </cell>
          <cell r="N2885">
            <v>8620.45999999999</v>
          </cell>
          <cell r="O2885">
            <v>0</v>
          </cell>
          <cell r="R2885">
            <v>0</v>
          </cell>
        </row>
        <row r="2886">
          <cell r="G2886">
            <v>35210.279999999897</v>
          </cell>
          <cell r="I2886">
            <v>0</v>
          </cell>
          <cell r="J2886">
            <v>0</v>
          </cell>
          <cell r="K2886">
            <v>0</v>
          </cell>
          <cell r="L2886">
            <v>0</v>
          </cell>
          <cell r="M2886">
            <v>35210.279999999897</v>
          </cell>
          <cell r="N2886">
            <v>8640.6</v>
          </cell>
          <cell r="O2886">
            <v>0</v>
          </cell>
          <cell r="R2886">
            <v>0</v>
          </cell>
        </row>
        <row r="2887">
          <cell r="G2887">
            <v>17408.560000000001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17408.560000000001</v>
          </cell>
          <cell r="N2887">
            <v>7290.56</v>
          </cell>
          <cell r="O2887">
            <v>0</v>
          </cell>
          <cell r="R2887">
            <v>0</v>
          </cell>
        </row>
        <row r="2888">
          <cell r="G2888">
            <v>4207.0799999999899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4207.0799999999899</v>
          </cell>
          <cell r="N2888">
            <v>1855.79</v>
          </cell>
          <cell r="O2888">
            <v>0</v>
          </cell>
          <cell r="R2888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Odbiorcy nawozy kraj III. 2007"/>
      <sheetName val="Arkusz1"/>
      <sheetName val="nawozy"/>
      <sheetName val="nawozy bez EC"/>
      <sheetName val="tabela przest."/>
      <sheetName val="Ranking maj (1)"/>
      <sheetName val="Ranking maj (2)"/>
      <sheetName val="Ranking maj (3)"/>
      <sheetName val="Ranking maj (4)"/>
      <sheetName val="Ranking maj (5)"/>
      <sheetName val="Ranking maj (6)"/>
      <sheetName val="Ranking maj (7)"/>
      <sheetName val="Ranking maj (8)"/>
      <sheetName val="Ranking maj 2007"/>
      <sheetName val="Odbiorcy_nawozy_kraj_III__2007"/>
      <sheetName val="nawozy_bez_EC"/>
      <sheetName val="tabela_przest_"/>
      <sheetName val="Ranking_maj_(1)"/>
      <sheetName val="Ranking_maj_(2)"/>
      <sheetName val="Ranking_maj_(3)"/>
      <sheetName val="Ranking_maj_(4)"/>
      <sheetName val="Ranking_maj_(5)"/>
      <sheetName val="Ranking_maj_(6)"/>
      <sheetName val="Ranking_maj_(7)"/>
      <sheetName val="Ranking_maj_(8)"/>
      <sheetName val="Ranking_maj_2007"/>
      <sheetName val="Dane"/>
      <sheetName val="Ceny_wyrobów"/>
      <sheetName val=""/>
      <sheetName val="Odbiorcy_nawozy_kraj_III__20071"/>
      <sheetName val="nawozy_bez_EC1"/>
      <sheetName val="tabela_przest_1"/>
      <sheetName val="Ranking_maj_(1)1"/>
      <sheetName val="Ranking_maj_(2)1"/>
      <sheetName val="Ranking_maj_(3)1"/>
      <sheetName val="Ranking_maj_(4)1"/>
      <sheetName val="Ranking_maj_(5)1"/>
      <sheetName val="Ranking_maj_(6)1"/>
      <sheetName val="Ranking_maj_(7)1"/>
      <sheetName val="Ranking_maj_(8)1"/>
      <sheetName val="Ranking_maj_20071"/>
      <sheetName val="Odbiorcy_nawozy_kraj_III__20072"/>
      <sheetName val="nawozy_bez_EC2"/>
      <sheetName val="tabela_przest_2"/>
      <sheetName val="Ranking_maj_(1)2"/>
      <sheetName val="Ranking_maj_(2)2"/>
      <sheetName val="Ranking_maj_(3)2"/>
      <sheetName val="Ranking_maj_(4)2"/>
      <sheetName val="Ranking_maj_(5)2"/>
      <sheetName val="Ranking_maj_(6)2"/>
      <sheetName val="Ranking_maj_(7)2"/>
      <sheetName val="Ranking_maj_(8)2"/>
      <sheetName val="Ranking_maj_20072"/>
      <sheetName val="Odbiorcy_nawozy_kraj_III__20073"/>
      <sheetName val="nawozy_bez_EC3"/>
      <sheetName val="tabela_przest_3"/>
      <sheetName val="Ranking_maj_(1)3"/>
      <sheetName val="Ranking_maj_(2)3"/>
      <sheetName val="Ranking_maj_(3)3"/>
      <sheetName val="Ranking_maj_(4)3"/>
      <sheetName val="Ranking_maj_(5)3"/>
      <sheetName val="Ranking_maj_(6)3"/>
      <sheetName val="Ranking_maj_(7)3"/>
      <sheetName val="Ranking_maj_(8)3"/>
      <sheetName val="Ranking_maj_20073"/>
      <sheetName val="Odbiorcy_nawozy_kraj_III__20075"/>
      <sheetName val="nawozy_bez_EC5"/>
      <sheetName val="tabela_przest_5"/>
      <sheetName val="Ranking_maj_(1)5"/>
      <sheetName val="Ranking_maj_(2)5"/>
      <sheetName val="Ranking_maj_(3)5"/>
      <sheetName val="Ranking_maj_(4)5"/>
      <sheetName val="Ranking_maj_(5)5"/>
      <sheetName val="Ranking_maj_(6)5"/>
      <sheetName val="Ranking_maj_(7)5"/>
      <sheetName val="Ranking_maj_(8)5"/>
      <sheetName val="Ranking_maj_20075"/>
      <sheetName val="Odbiorcy_nawozy_kraj_III__20074"/>
      <sheetName val="nawozy_bez_EC4"/>
      <sheetName val="tabela_przest_4"/>
      <sheetName val="Ranking_maj_(1)4"/>
      <sheetName val="Ranking_maj_(2)4"/>
      <sheetName val="Ranking_maj_(3)4"/>
      <sheetName val="Ranking_maj_(4)4"/>
      <sheetName val="Ranking_maj_(5)4"/>
      <sheetName val="Ranking_maj_(6)4"/>
      <sheetName val="Ranking_maj_(7)4"/>
      <sheetName val="Ranking_maj_(8)4"/>
      <sheetName val="Ranking_maj_20074"/>
      <sheetName val="Odbiorcy_nawozy_kraj_III__20076"/>
      <sheetName val="nawozy_bez_EC6"/>
      <sheetName val="tabela_przest_6"/>
      <sheetName val="Ranking_maj_(1)6"/>
      <sheetName val="Ranking_maj_(2)6"/>
      <sheetName val="Ranking_maj_(3)6"/>
      <sheetName val="Ranking_maj_(4)6"/>
      <sheetName val="Ranking_maj_(5)6"/>
      <sheetName val="Ranking_maj_(6)6"/>
      <sheetName val="Ranking_maj_(7)6"/>
      <sheetName val="Ranking_maj_(8)6"/>
      <sheetName val="Ranking_maj_20076"/>
      <sheetName val="Odbiorcy_nawozy_kraj_III__20077"/>
      <sheetName val="nawozy_bez_EC7"/>
      <sheetName val="tabela_przest_7"/>
      <sheetName val="Ranking_maj_(1)7"/>
      <sheetName val="Ranking_maj_(2)7"/>
      <sheetName val="Ranking_maj_(3)7"/>
      <sheetName val="Ranking_maj_(4)7"/>
      <sheetName val="Ranking_maj_(5)7"/>
      <sheetName val="Ranking_maj_(6)7"/>
      <sheetName val="Ranking_maj_(7)7"/>
      <sheetName val="Ranking_maj_(8)7"/>
      <sheetName val="Ranking_maj_20077"/>
    </sheetNames>
    <sheetDataSet>
      <sheetData sheetId="0" refreshError="1"/>
      <sheetData sheetId="1" refreshError="1">
        <row r="4">
          <cell r="A4" t="str">
            <v>1000/1101       k. siar. kont. proce</v>
          </cell>
          <cell r="J4">
            <v>0</v>
          </cell>
        </row>
        <row r="5">
          <cell r="A5" t="str">
            <v>1000/1101       k. siar. kont. proce</v>
          </cell>
          <cell r="J5">
            <v>0</v>
          </cell>
        </row>
        <row r="6">
          <cell r="A6" t="str">
            <v>1000/1101       k. siar. kont. proce</v>
          </cell>
          <cell r="J6">
            <v>0</v>
          </cell>
        </row>
        <row r="7">
          <cell r="A7" t="str">
            <v>1000/1101       k. siar. kont. proce</v>
          </cell>
          <cell r="J7">
            <v>0</v>
          </cell>
        </row>
        <row r="8">
          <cell r="A8" t="str">
            <v>1000/1101       k. siar. kont. proce</v>
          </cell>
          <cell r="J8">
            <v>0</v>
          </cell>
        </row>
        <row r="9">
          <cell r="A9" t="str">
            <v>1000/1101       k. siar. kont. proce</v>
          </cell>
          <cell r="J9">
            <v>0</v>
          </cell>
        </row>
        <row r="10">
          <cell r="A10" t="str">
            <v>1000/1101       k. siar. kont. proce</v>
          </cell>
          <cell r="J10">
            <v>0</v>
          </cell>
        </row>
        <row r="11">
          <cell r="A11" t="str">
            <v>1000/1101       k. siar. kont. proce</v>
          </cell>
          <cell r="J11">
            <v>0</v>
          </cell>
        </row>
        <row r="12">
          <cell r="A12" t="str">
            <v>1000/1101       k. siar. kont. proce</v>
          </cell>
          <cell r="J12">
            <v>0</v>
          </cell>
        </row>
        <row r="13">
          <cell r="A13" t="str">
            <v>1000/1101       k. siar. kont. proce</v>
          </cell>
          <cell r="J13">
            <v>0</v>
          </cell>
        </row>
        <row r="14">
          <cell r="A14" t="str">
            <v>1000/1101       k. siar. kont. proce</v>
          </cell>
          <cell r="J14">
            <v>0</v>
          </cell>
        </row>
        <row r="15">
          <cell r="A15" t="str">
            <v>1000/1101       k. siar. kont. proce</v>
          </cell>
          <cell r="J15">
            <v>0</v>
          </cell>
        </row>
        <row r="16">
          <cell r="A16" t="str">
            <v>1000/1206       Kwas Fosf. - 50%</v>
          </cell>
          <cell r="J16">
            <v>0</v>
          </cell>
        </row>
        <row r="17">
          <cell r="A17" t="str">
            <v>1000/1206       Kwas Fosf. - 50%</v>
          </cell>
          <cell r="J17">
            <v>0</v>
          </cell>
        </row>
        <row r="18">
          <cell r="A18" t="str">
            <v>1000/1206       Kwas Fosf. - 50%</v>
          </cell>
          <cell r="J18">
            <v>0</v>
          </cell>
        </row>
        <row r="19">
          <cell r="A19" t="str">
            <v>1000/1206       Kwas Fosf. - 50%</v>
          </cell>
          <cell r="J19">
            <v>0</v>
          </cell>
        </row>
        <row r="20">
          <cell r="A20" t="str">
            <v>1000/1206       Kwas Fosf. - 50%</v>
          </cell>
          <cell r="J20">
            <v>0</v>
          </cell>
        </row>
        <row r="21">
          <cell r="A21" t="str">
            <v>1000/1206       Kwas Fosf. - 50%</v>
          </cell>
          <cell r="J21">
            <v>0</v>
          </cell>
        </row>
        <row r="22">
          <cell r="A22" t="str">
            <v>1000/1210       K.Fosf.Odfluor.</v>
          </cell>
          <cell r="J22">
            <v>0</v>
          </cell>
        </row>
        <row r="23">
          <cell r="A23" t="str">
            <v>1000/1211       K.Fosf.Odfluo.Jordan</v>
          </cell>
          <cell r="J23">
            <v>0</v>
          </cell>
        </row>
        <row r="24">
          <cell r="A24" t="str">
            <v>1000/1211       K.Fosf.Odfluo.Jordan</v>
          </cell>
          <cell r="J24">
            <v>0</v>
          </cell>
        </row>
        <row r="25">
          <cell r="A25" t="str">
            <v>1000/1211       K.Fosf.Odfluo.Jordan</v>
          </cell>
          <cell r="J25">
            <v>0</v>
          </cell>
        </row>
        <row r="26">
          <cell r="A26" t="str">
            <v>1000/1211       K.Fosf.Odfluo.Jordan</v>
          </cell>
          <cell r="J26">
            <v>0</v>
          </cell>
        </row>
        <row r="27">
          <cell r="A27" t="str">
            <v>1000/1211       K.Fosf.Odfluo.Jordan</v>
          </cell>
          <cell r="J27">
            <v>0</v>
          </cell>
        </row>
        <row r="28">
          <cell r="A28" t="str">
            <v>1000/1211       K.Fosf.Odfluo.Jordan</v>
          </cell>
          <cell r="J28">
            <v>0</v>
          </cell>
        </row>
        <row r="29">
          <cell r="A29" t="str">
            <v>1000/1211       K.Fosf.Odfluo.Jordan</v>
          </cell>
          <cell r="J29">
            <v>0</v>
          </cell>
        </row>
        <row r="30">
          <cell r="A30" t="str">
            <v>1000/1211       K.Fosf.Odfluo.Jordan</v>
          </cell>
          <cell r="J30">
            <v>0</v>
          </cell>
        </row>
        <row r="31">
          <cell r="A31" t="str">
            <v>1000/1211       K.Fosf.Odfluo.Jordan</v>
          </cell>
          <cell r="J31">
            <v>0</v>
          </cell>
        </row>
        <row r="32">
          <cell r="A32" t="str">
            <v>1000/1211       K.Fosf.Odfluo.Jordan</v>
          </cell>
          <cell r="J32">
            <v>0</v>
          </cell>
        </row>
        <row r="33">
          <cell r="A33" t="str">
            <v>1000/1211       K.Fosf.Odfluo.Jordan</v>
          </cell>
          <cell r="J33">
            <v>0</v>
          </cell>
        </row>
        <row r="34">
          <cell r="A34" t="str">
            <v>1000/1211       K.Fosf.Odfluo.Jordan</v>
          </cell>
          <cell r="J34">
            <v>0</v>
          </cell>
        </row>
        <row r="35">
          <cell r="A35" t="str">
            <v>1000/1211       K.Fosf.Odfluo.Jordan</v>
          </cell>
          <cell r="J35">
            <v>0</v>
          </cell>
        </row>
        <row r="36">
          <cell r="A36" t="str">
            <v>1000/1211       K.Fosf.Odfluo.Jordan</v>
          </cell>
          <cell r="J36">
            <v>0</v>
          </cell>
        </row>
        <row r="37">
          <cell r="A37" t="str">
            <v>1000/1211       K.Fosf.Odfluo.Jordan</v>
          </cell>
          <cell r="J37">
            <v>0</v>
          </cell>
        </row>
        <row r="38">
          <cell r="A38" t="str">
            <v>1000/1211       K.Fosf.Odfluo.Jordan</v>
          </cell>
          <cell r="J38">
            <v>0</v>
          </cell>
        </row>
        <row r="39">
          <cell r="A39" t="str">
            <v>1000/1211       K.Fosf.Odfluo.Jordan</v>
          </cell>
          <cell r="J39">
            <v>0</v>
          </cell>
        </row>
        <row r="40">
          <cell r="A40" t="str">
            <v>1000/1211       K.Fosf.Odfluo.Jordan</v>
          </cell>
          <cell r="J40">
            <v>0</v>
          </cell>
        </row>
        <row r="41">
          <cell r="A41" t="str">
            <v>1000/1211       K.Fosf.Odfluo.Jordan</v>
          </cell>
          <cell r="J41">
            <v>0</v>
          </cell>
        </row>
        <row r="42">
          <cell r="A42" t="str">
            <v>1000/1211       K.Fosf.Odfluo.Jordan</v>
          </cell>
          <cell r="J42">
            <v>0</v>
          </cell>
        </row>
        <row r="43">
          <cell r="A43" t="str">
            <v>1000/1211       K.Fosf.Odfluo.Jordan</v>
          </cell>
          <cell r="J43">
            <v>0</v>
          </cell>
        </row>
        <row r="44">
          <cell r="A44" t="str">
            <v>1000/1211       K.Fosf.Odfluo.Jordan</v>
          </cell>
          <cell r="J44">
            <v>0</v>
          </cell>
        </row>
        <row r="45">
          <cell r="A45" t="str">
            <v>1000/1211       K.Fosf.Odfluo.Jordan</v>
          </cell>
          <cell r="J45">
            <v>0</v>
          </cell>
        </row>
        <row r="46">
          <cell r="A46" t="str">
            <v>1000/1211       K.Fosf.Odfluo.Jordan</v>
          </cell>
          <cell r="J46">
            <v>0</v>
          </cell>
        </row>
        <row r="47">
          <cell r="A47" t="str">
            <v>1000/1211       K.Fosf.Odfluo.Jordan</v>
          </cell>
          <cell r="J47">
            <v>0</v>
          </cell>
        </row>
        <row r="48">
          <cell r="A48" t="str">
            <v>1000/1211       K.Fosf.Odfluo.Jordan</v>
          </cell>
          <cell r="J48">
            <v>0</v>
          </cell>
        </row>
        <row r="49">
          <cell r="A49" t="str">
            <v>1000/1211       K.Fosf.Odfluo.Jordan</v>
          </cell>
          <cell r="J49">
            <v>0</v>
          </cell>
        </row>
        <row r="50">
          <cell r="A50" t="str">
            <v>1000/1211       K.Fosf.Odfluo.Jordan</v>
          </cell>
          <cell r="J50">
            <v>0</v>
          </cell>
        </row>
        <row r="51">
          <cell r="A51" t="str">
            <v>1000/1211       K.Fosf.Odfluo.Jordan</v>
          </cell>
          <cell r="J51">
            <v>0</v>
          </cell>
        </row>
        <row r="52">
          <cell r="A52" t="str">
            <v>1000/1211       K.Fosf.Odfluo.Jordan</v>
          </cell>
          <cell r="J52">
            <v>0</v>
          </cell>
        </row>
        <row r="53">
          <cell r="A53" t="str">
            <v>1000/1211       K.Fosf.Odfluo.Jordan</v>
          </cell>
          <cell r="J53">
            <v>0</v>
          </cell>
        </row>
        <row r="54">
          <cell r="A54" t="str">
            <v>1000/1211       K.Fosf.Odfluo.Jordan</v>
          </cell>
          <cell r="J54">
            <v>0</v>
          </cell>
        </row>
        <row r="55">
          <cell r="A55" t="str">
            <v>1000/1211       K.Fosf.Odfluo.Jordan</v>
          </cell>
          <cell r="J55">
            <v>0</v>
          </cell>
        </row>
        <row r="56">
          <cell r="A56" t="str">
            <v>1000/1211       K.Fosf.Odfluo.Jordan</v>
          </cell>
          <cell r="J56">
            <v>0</v>
          </cell>
        </row>
        <row r="57">
          <cell r="A57" t="str">
            <v>1000/1211       K.Fosf.Odfluo.Jordan</v>
          </cell>
          <cell r="J57">
            <v>0</v>
          </cell>
        </row>
        <row r="58">
          <cell r="A58" t="str">
            <v>1000/1211       K.Fosf.Odfluo.Jordan</v>
          </cell>
          <cell r="J58">
            <v>0</v>
          </cell>
        </row>
        <row r="59">
          <cell r="A59" t="str">
            <v>1000/1211       K.Fosf.Odfluo.Jordan</v>
          </cell>
          <cell r="J59">
            <v>0</v>
          </cell>
        </row>
        <row r="60">
          <cell r="A60" t="str">
            <v>1000/1211       K.Fosf.Odfluo.Jordan</v>
          </cell>
          <cell r="J60">
            <v>0</v>
          </cell>
        </row>
        <row r="61">
          <cell r="A61" t="str">
            <v>1000/1211       K.Fosf.Odfluo.Jordan</v>
          </cell>
          <cell r="J61">
            <v>0</v>
          </cell>
        </row>
        <row r="62">
          <cell r="A62" t="str">
            <v>1000/1211       K.Fosf.Odfluo.Jordan</v>
          </cell>
          <cell r="J62">
            <v>0</v>
          </cell>
        </row>
        <row r="63">
          <cell r="A63" t="str">
            <v>1000/1211       K.Fosf.Odfluo.Jordan</v>
          </cell>
          <cell r="J63">
            <v>0</v>
          </cell>
        </row>
        <row r="64">
          <cell r="A64" t="str">
            <v>1000/1211       K.Fosf.Odfluo.Jordan</v>
          </cell>
          <cell r="J64">
            <v>0</v>
          </cell>
        </row>
        <row r="65">
          <cell r="A65" t="str">
            <v>1000/1211       K.Fosf.Odfluo.Jordan</v>
          </cell>
          <cell r="J65">
            <v>0</v>
          </cell>
        </row>
        <row r="66">
          <cell r="A66" t="str">
            <v>1000/1211       K.Fosf.Odfluo.Jordan</v>
          </cell>
          <cell r="J66">
            <v>0</v>
          </cell>
        </row>
        <row r="67">
          <cell r="A67" t="str">
            <v>1000/1211       K.Fosf.Odfluo.Jordan</v>
          </cell>
          <cell r="J67">
            <v>0</v>
          </cell>
        </row>
        <row r="68">
          <cell r="A68" t="str">
            <v>1000/1211       K.Fosf.Odfluo.Jordan</v>
          </cell>
          <cell r="J68">
            <v>0</v>
          </cell>
        </row>
        <row r="69">
          <cell r="A69" t="str">
            <v>1000/1211       K.Fosf.Odfluo.Jordan</v>
          </cell>
          <cell r="J69">
            <v>0</v>
          </cell>
        </row>
        <row r="70">
          <cell r="A70" t="str">
            <v>1000/1211       K.Fosf.Odfluo.Jordan</v>
          </cell>
          <cell r="J70">
            <v>0</v>
          </cell>
        </row>
        <row r="71">
          <cell r="A71" t="str">
            <v>1000/1211       K.Fosf.Odfluo.Jordan</v>
          </cell>
          <cell r="J71">
            <v>0</v>
          </cell>
        </row>
        <row r="72">
          <cell r="A72" t="str">
            <v>1000/1211       K.Fosf.Odfluo.Jordan</v>
          </cell>
          <cell r="J72">
            <v>0</v>
          </cell>
        </row>
        <row r="73">
          <cell r="A73" t="str">
            <v>1000/1211       K.Fosf.Odfluo.Jordan</v>
          </cell>
          <cell r="J73">
            <v>0</v>
          </cell>
        </row>
        <row r="74">
          <cell r="A74" t="str">
            <v>1000/1211       K.Fosf.Odfluo.Jordan</v>
          </cell>
          <cell r="J74">
            <v>0</v>
          </cell>
        </row>
        <row r="75">
          <cell r="A75" t="str">
            <v>1000/1211       K.Fosf.Odfluo.Jordan</v>
          </cell>
          <cell r="J75">
            <v>0</v>
          </cell>
        </row>
        <row r="76">
          <cell r="A76" t="str">
            <v>1000/1211       K.Fosf.Odfluo.Jordan</v>
          </cell>
          <cell r="J76">
            <v>0</v>
          </cell>
        </row>
        <row r="77">
          <cell r="A77" t="str">
            <v>1000/1211       K.Fosf.Odfluo.Jordan</v>
          </cell>
          <cell r="J77">
            <v>0</v>
          </cell>
        </row>
        <row r="78">
          <cell r="A78" t="str">
            <v>1000/1211       K.Fosf.Odfluo.Jordan</v>
          </cell>
          <cell r="J78">
            <v>0</v>
          </cell>
        </row>
        <row r="79">
          <cell r="A79" t="str">
            <v>1000/1211       K.Fosf.Odfluo.Jordan</v>
          </cell>
          <cell r="J79">
            <v>0</v>
          </cell>
        </row>
        <row r="80">
          <cell r="A80" t="str">
            <v>1000/1211       K.Fosf.Odfluo.Jordan</v>
          </cell>
          <cell r="J80">
            <v>0</v>
          </cell>
        </row>
        <row r="81">
          <cell r="A81" t="str">
            <v>1000/1211       K.Fosf.Odfluo.Jordan</v>
          </cell>
          <cell r="J81">
            <v>0</v>
          </cell>
        </row>
        <row r="82">
          <cell r="A82" t="str">
            <v>1000/1211       K.Fosf.Odfluo.Jordan</v>
          </cell>
          <cell r="J82">
            <v>0</v>
          </cell>
        </row>
        <row r="83">
          <cell r="A83" t="str">
            <v>1000/1211       K.Fosf.Odfluo.Jordan</v>
          </cell>
          <cell r="J83">
            <v>0</v>
          </cell>
        </row>
        <row r="84">
          <cell r="A84" t="str">
            <v>1000/1211       K.Fosf.Odfluo.Jordan</v>
          </cell>
          <cell r="J84">
            <v>0</v>
          </cell>
        </row>
        <row r="85">
          <cell r="A85" t="str">
            <v>1000/1211       K.Fosf.Odfluo.Jordan</v>
          </cell>
          <cell r="J85">
            <v>0</v>
          </cell>
        </row>
        <row r="86">
          <cell r="A86" t="str">
            <v>1000/1211       K.Fosf.Odfluo.Jordan</v>
          </cell>
          <cell r="J86">
            <v>0</v>
          </cell>
        </row>
        <row r="87">
          <cell r="A87" t="str">
            <v>1000/1211       K.Fosf.Odfluo.Jordan</v>
          </cell>
          <cell r="J87">
            <v>0</v>
          </cell>
        </row>
        <row r="88">
          <cell r="A88" t="str">
            <v>1000/1225       Kwas Fluorokrzemowy</v>
          </cell>
          <cell r="J88">
            <v>0</v>
          </cell>
        </row>
        <row r="89">
          <cell r="A89" t="str">
            <v>1000/1225       Kwas Fluorokrzemowy</v>
          </cell>
          <cell r="J89">
            <v>0</v>
          </cell>
        </row>
        <row r="90">
          <cell r="A90" t="str">
            <v>1000/1225       Kwas Fluorokrzemowy</v>
          </cell>
          <cell r="J90">
            <v>0</v>
          </cell>
        </row>
        <row r="91">
          <cell r="A91" t="str">
            <v>1000/1301       Amoniak</v>
          </cell>
          <cell r="J91">
            <v>0</v>
          </cell>
        </row>
        <row r="92">
          <cell r="A92" t="str">
            <v>1000/1301       Amoniak</v>
          </cell>
          <cell r="J92">
            <v>0</v>
          </cell>
        </row>
        <row r="93">
          <cell r="A93" t="str">
            <v>1000/1301       Amoniak</v>
          </cell>
          <cell r="J93">
            <v>0</v>
          </cell>
        </row>
        <row r="94">
          <cell r="A94" t="str">
            <v>1000/1301       Amoniak</v>
          </cell>
          <cell r="J94">
            <v>0</v>
          </cell>
        </row>
        <row r="95">
          <cell r="A95" t="str">
            <v>1000/1301       Amoniak</v>
          </cell>
          <cell r="J95">
            <v>0</v>
          </cell>
        </row>
        <row r="96">
          <cell r="A96" t="str">
            <v>1000/1301       Amoniak</v>
          </cell>
          <cell r="J96">
            <v>0</v>
          </cell>
        </row>
        <row r="97">
          <cell r="A97" t="str">
            <v>1000/1301       Amoniak</v>
          </cell>
          <cell r="J97">
            <v>0</v>
          </cell>
        </row>
        <row r="98">
          <cell r="A98" t="str">
            <v>1000/1301       Amoniak</v>
          </cell>
          <cell r="J98">
            <v>0</v>
          </cell>
        </row>
        <row r="99">
          <cell r="A99" t="str">
            <v>1000/1301       Amoniak</v>
          </cell>
          <cell r="J99">
            <v>0</v>
          </cell>
        </row>
        <row r="100">
          <cell r="A100" t="str">
            <v>1000/1301       Amoniak</v>
          </cell>
          <cell r="J100">
            <v>0</v>
          </cell>
        </row>
        <row r="101">
          <cell r="A101" t="str">
            <v>1000/1301       Amoniak</v>
          </cell>
          <cell r="J101">
            <v>0</v>
          </cell>
        </row>
        <row r="102">
          <cell r="A102" t="str">
            <v>1000/1301       Amoniak</v>
          </cell>
          <cell r="J102">
            <v>0</v>
          </cell>
        </row>
        <row r="103">
          <cell r="A103" t="str">
            <v>1000/1301       Amoniak</v>
          </cell>
          <cell r="J103">
            <v>0</v>
          </cell>
        </row>
        <row r="104">
          <cell r="A104" t="str">
            <v>1000/1301       Amoniak</v>
          </cell>
          <cell r="J104">
            <v>0</v>
          </cell>
        </row>
        <row r="105">
          <cell r="A105" t="str">
            <v>1000/1301       Amoniak</v>
          </cell>
          <cell r="J105">
            <v>0</v>
          </cell>
        </row>
        <row r="106">
          <cell r="A106" t="str">
            <v>1000/1301       Amoniak</v>
          </cell>
          <cell r="J106">
            <v>0</v>
          </cell>
        </row>
        <row r="107">
          <cell r="A107" t="str">
            <v>1000/1401       NPK 6-20-30</v>
          </cell>
          <cell r="J107">
            <v>-228</v>
          </cell>
        </row>
        <row r="108">
          <cell r="A108" t="str">
            <v>1000/1401       NPK 6-20-30</v>
          </cell>
          <cell r="J108">
            <v>0</v>
          </cell>
        </row>
        <row r="109">
          <cell r="A109" t="str">
            <v>1000/1401       NPK 6-20-30</v>
          </cell>
          <cell r="J109">
            <v>0</v>
          </cell>
        </row>
        <row r="110">
          <cell r="A110" t="str">
            <v>1000/1401       NPK 6-20-30</v>
          </cell>
          <cell r="J110">
            <v>0</v>
          </cell>
        </row>
        <row r="111">
          <cell r="A111" t="str">
            <v>1000/1401       NPK 6-20-30</v>
          </cell>
          <cell r="J111">
            <v>3180</v>
          </cell>
        </row>
        <row r="112">
          <cell r="A112" t="str">
            <v>1000/1401       NPK 6-20-30</v>
          </cell>
          <cell r="J112">
            <v>0</v>
          </cell>
        </row>
        <row r="113">
          <cell r="A113" t="str">
            <v>1000/1401       NPK 6-20-30</v>
          </cell>
          <cell r="J113">
            <v>2554.3200000000002</v>
          </cell>
        </row>
        <row r="114">
          <cell r="A114" t="str">
            <v>1000/1401       NPK 6-20-30</v>
          </cell>
          <cell r="J114">
            <v>449.39999999999901</v>
          </cell>
        </row>
        <row r="115">
          <cell r="A115" t="str">
            <v>1000/1401       NPK 6-20-30</v>
          </cell>
          <cell r="J115">
            <v>10381.200000000001</v>
          </cell>
        </row>
        <row r="116">
          <cell r="A116" t="str">
            <v>1000/1401       NPK 6-20-30</v>
          </cell>
          <cell r="J116">
            <v>0</v>
          </cell>
        </row>
        <row r="117">
          <cell r="A117" t="str">
            <v>1000/1401       NPK 6-20-30</v>
          </cell>
          <cell r="J117">
            <v>985.55999999999904</v>
          </cell>
        </row>
        <row r="118">
          <cell r="A118" t="str">
            <v>1000/1401       NPK 6-20-30</v>
          </cell>
          <cell r="J118">
            <v>0</v>
          </cell>
        </row>
        <row r="119">
          <cell r="A119" t="str">
            <v>1000/1401       NPK 6-20-30</v>
          </cell>
          <cell r="J119">
            <v>4094.6399999999899</v>
          </cell>
        </row>
        <row r="120">
          <cell r="A120" t="str">
            <v>1000/1401       NPK 6-20-30</v>
          </cell>
          <cell r="J120">
            <v>0</v>
          </cell>
        </row>
        <row r="121">
          <cell r="A121" t="str">
            <v>1000/1401       NPK 6-20-30</v>
          </cell>
          <cell r="J121">
            <v>13546.2</v>
          </cell>
        </row>
        <row r="122">
          <cell r="A122" t="str">
            <v>1000/1401       NPK 6-20-30</v>
          </cell>
          <cell r="J122">
            <v>0</v>
          </cell>
        </row>
        <row r="123">
          <cell r="A123" t="str">
            <v>1000/1401       NPK 6-20-30</v>
          </cell>
          <cell r="J123">
            <v>1419.1199999999899</v>
          </cell>
        </row>
        <row r="124">
          <cell r="A124" t="str">
            <v>1000/1401       NPK 6-20-30</v>
          </cell>
          <cell r="J124">
            <v>0</v>
          </cell>
        </row>
        <row r="125">
          <cell r="A125" t="str">
            <v>1000/1401       NPK 6-20-30</v>
          </cell>
          <cell r="J125">
            <v>2595</v>
          </cell>
        </row>
        <row r="126">
          <cell r="A126" t="str">
            <v>1000/1401       NPK 6-20-30</v>
          </cell>
          <cell r="J126">
            <v>0</v>
          </cell>
        </row>
        <row r="127">
          <cell r="A127" t="str">
            <v>1000/1401       NPK 6-20-30</v>
          </cell>
          <cell r="J127">
            <v>0</v>
          </cell>
        </row>
        <row r="128">
          <cell r="A128" t="str">
            <v>1000/1401       NPK 6-20-30</v>
          </cell>
          <cell r="J128">
            <v>0</v>
          </cell>
        </row>
        <row r="129">
          <cell r="A129" t="str">
            <v>1000/1401       NPK 6-20-30</v>
          </cell>
          <cell r="J129">
            <v>0</v>
          </cell>
        </row>
        <row r="130">
          <cell r="A130" t="str">
            <v>1000/1401       NPK 6-20-30</v>
          </cell>
          <cell r="J130">
            <v>12507.78</v>
          </cell>
        </row>
        <row r="131">
          <cell r="A131" t="str">
            <v>1000/1401       NPK 6-20-30</v>
          </cell>
          <cell r="J131">
            <v>0</v>
          </cell>
        </row>
        <row r="132">
          <cell r="A132" t="str">
            <v>1000/1401       NPK 6-20-30</v>
          </cell>
          <cell r="J132">
            <v>1537.38</v>
          </cell>
        </row>
        <row r="133">
          <cell r="A133" t="str">
            <v>1000/1401       NPK 6-20-30</v>
          </cell>
          <cell r="J133">
            <v>0</v>
          </cell>
        </row>
        <row r="134">
          <cell r="A134" t="str">
            <v>1000/1401       NPK 6-20-30</v>
          </cell>
          <cell r="J134">
            <v>4236.96</v>
          </cell>
        </row>
        <row r="135">
          <cell r="A135" t="str">
            <v>1000/1401       NPK 6-20-30</v>
          </cell>
          <cell r="J135">
            <v>0</v>
          </cell>
        </row>
        <row r="136">
          <cell r="A136" t="str">
            <v>1000/1401       NPK 6-20-30</v>
          </cell>
          <cell r="J136">
            <v>3484.5599999999899</v>
          </cell>
        </row>
        <row r="137">
          <cell r="A137" t="str">
            <v>1000/1401       NPK 6-20-30</v>
          </cell>
          <cell r="J137">
            <v>0</v>
          </cell>
        </row>
        <row r="138">
          <cell r="A138" t="str">
            <v>1000/1401       NPK 6-20-30</v>
          </cell>
          <cell r="J138">
            <v>0</v>
          </cell>
        </row>
        <row r="139">
          <cell r="A139" t="str">
            <v>1000/1401       NPK 6-20-30</v>
          </cell>
          <cell r="J139">
            <v>6275.01</v>
          </cell>
        </row>
        <row r="140">
          <cell r="A140" t="str">
            <v>1000/1401       NPK 6-20-30</v>
          </cell>
          <cell r="J140">
            <v>0</v>
          </cell>
        </row>
        <row r="141">
          <cell r="A141" t="str">
            <v>1000/1401       NPK 6-20-30</v>
          </cell>
          <cell r="J141">
            <v>0</v>
          </cell>
        </row>
        <row r="142">
          <cell r="A142" t="str">
            <v>1000/1401       NPK 6-20-30</v>
          </cell>
          <cell r="J142">
            <v>1637.28</v>
          </cell>
        </row>
        <row r="143">
          <cell r="A143" t="str">
            <v>1000/1401       NPK 6-20-30</v>
          </cell>
          <cell r="J143">
            <v>1283.04</v>
          </cell>
        </row>
        <row r="144">
          <cell r="A144" t="str">
            <v>1000/1401       NPK 6-20-30</v>
          </cell>
          <cell r="J144">
            <v>0</v>
          </cell>
        </row>
        <row r="145">
          <cell r="A145" t="str">
            <v>1000/1401       NPK 6-20-30</v>
          </cell>
          <cell r="J145">
            <v>0</v>
          </cell>
        </row>
        <row r="146">
          <cell r="A146" t="str">
            <v>1000/1401       NPK 6-20-30</v>
          </cell>
          <cell r="J146">
            <v>0</v>
          </cell>
        </row>
        <row r="147">
          <cell r="A147" t="str">
            <v>1000/1401       NPK 6-20-30</v>
          </cell>
          <cell r="J147">
            <v>3018.2199999999898</v>
          </cell>
        </row>
        <row r="148">
          <cell r="A148" t="str">
            <v>1000/1401       NPK 6-20-30</v>
          </cell>
          <cell r="J148">
            <v>0</v>
          </cell>
        </row>
        <row r="149">
          <cell r="A149" t="str">
            <v>1000/1401       NPK 6-20-30</v>
          </cell>
          <cell r="J149">
            <v>0</v>
          </cell>
        </row>
        <row r="150">
          <cell r="A150" t="str">
            <v>1000/1401       NPK 6-20-30</v>
          </cell>
          <cell r="J150">
            <v>1200.96</v>
          </cell>
        </row>
        <row r="151">
          <cell r="A151" t="str">
            <v>1000/1401       NPK 6-20-30</v>
          </cell>
          <cell r="J151">
            <v>0</v>
          </cell>
        </row>
        <row r="152">
          <cell r="A152" t="str">
            <v>1000/1401       NPK 6-20-30</v>
          </cell>
          <cell r="J152">
            <v>2141.88</v>
          </cell>
        </row>
        <row r="153">
          <cell r="A153" t="str">
            <v>1000/1401       NPK 6-20-30</v>
          </cell>
          <cell r="J153">
            <v>736.08</v>
          </cell>
        </row>
        <row r="154">
          <cell r="A154" t="str">
            <v>1000/1401       NPK 6-20-30</v>
          </cell>
          <cell r="J154">
            <v>0</v>
          </cell>
        </row>
        <row r="155">
          <cell r="A155" t="str">
            <v>1000/1401       NPK 6-20-30</v>
          </cell>
          <cell r="J155">
            <v>4963.1000000000004</v>
          </cell>
        </row>
        <row r="156">
          <cell r="A156" t="str">
            <v>1000/1401       NPK 6-20-30</v>
          </cell>
          <cell r="J156">
            <v>0</v>
          </cell>
        </row>
        <row r="157">
          <cell r="A157" t="str">
            <v>1000/1401       NPK 6-20-30</v>
          </cell>
          <cell r="J157">
            <v>1788.75</v>
          </cell>
        </row>
        <row r="158">
          <cell r="A158" t="str">
            <v>1000/1401       NPK 6-20-30</v>
          </cell>
          <cell r="J158">
            <v>0</v>
          </cell>
        </row>
        <row r="159">
          <cell r="A159" t="str">
            <v>1000/1401       NPK 6-20-30</v>
          </cell>
          <cell r="J159">
            <v>0</v>
          </cell>
        </row>
        <row r="160">
          <cell r="A160" t="str">
            <v>1000/1401       NPK 6-20-30</v>
          </cell>
          <cell r="J160">
            <v>965.75999999999897</v>
          </cell>
        </row>
        <row r="161">
          <cell r="A161" t="str">
            <v>1000/1401       NPK 6-20-30</v>
          </cell>
          <cell r="J161">
            <v>0</v>
          </cell>
        </row>
        <row r="162">
          <cell r="A162" t="str">
            <v>1000/1401       NPK 6-20-30</v>
          </cell>
          <cell r="J162">
            <v>0</v>
          </cell>
        </row>
        <row r="163">
          <cell r="A163" t="str">
            <v>1000/1401       NPK 6-20-30</v>
          </cell>
          <cell r="J163">
            <v>0</v>
          </cell>
        </row>
        <row r="164">
          <cell r="A164" t="str">
            <v>1000/1401       NPK 6-20-30</v>
          </cell>
          <cell r="J164">
            <v>0</v>
          </cell>
        </row>
        <row r="165">
          <cell r="A165" t="str">
            <v>1000/1401       NPK 6-20-30</v>
          </cell>
          <cell r="J165">
            <v>1038.1199999999899</v>
          </cell>
        </row>
        <row r="166">
          <cell r="A166" t="str">
            <v>1000/1401       NPK 6-20-30</v>
          </cell>
          <cell r="J166">
            <v>5826.4799999999896</v>
          </cell>
        </row>
        <row r="167">
          <cell r="A167" t="str">
            <v>1000/1401       NPK 6-20-30</v>
          </cell>
          <cell r="J167">
            <v>16813.41</v>
          </cell>
        </row>
        <row r="168">
          <cell r="A168" t="str">
            <v>1000/1401       NPK 6-20-30</v>
          </cell>
          <cell r="J168">
            <v>0</v>
          </cell>
        </row>
        <row r="169">
          <cell r="A169" t="str">
            <v>1000/1401       NPK 6-20-30</v>
          </cell>
          <cell r="J169">
            <v>0</v>
          </cell>
        </row>
        <row r="170">
          <cell r="A170" t="str">
            <v>1000/1401       NPK 6-20-30</v>
          </cell>
          <cell r="J170">
            <v>2956.6799999999898</v>
          </cell>
        </row>
        <row r="171">
          <cell r="A171" t="str">
            <v>1000/1401       NPK 6-20-30</v>
          </cell>
          <cell r="J171">
            <v>0</v>
          </cell>
        </row>
        <row r="172">
          <cell r="A172" t="str">
            <v>1000/1401       NPK 6-20-30</v>
          </cell>
          <cell r="J172">
            <v>118192.73</v>
          </cell>
        </row>
        <row r="173">
          <cell r="A173" t="str">
            <v>1000/1401       NPK 6-20-30</v>
          </cell>
          <cell r="J173">
            <v>7569.96</v>
          </cell>
        </row>
        <row r="174">
          <cell r="A174" t="str">
            <v>1000/1401       NPK 6-20-30</v>
          </cell>
          <cell r="J174">
            <v>0</v>
          </cell>
        </row>
        <row r="175">
          <cell r="A175" t="str">
            <v>1000/1401       NPK 6-20-30</v>
          </cell>
          <cell r="J175">
            <v>0</v>
          </cell>
        </row>
        <row r="176">
          <cell r="A176" t="str">
            <v>1000/1401       NPK 6-20-30</v>
          </cell>
          <cell r="J176">
            <v>0</v>
          </cell>
        </row>
        <row r="177">
          <cell r="A177" t="str">
            <v>1000/1401       NPK 6-20-30</v>
          </cell>
          <cell r="J177">
            <v>5164.22</v>
          </cell>
        </row>
        <row r="178">
          <cell r="A178" t="str">
            <v>1000/1401       NPK 6-20-30</v>
          </cell>
          <cell r="J178">
            <v>11144.36</v>
          </cell>
        </row>
        <row r="179">
          <cell r="A179" t="str">
            <v>1000/1401       NPK 6-20-30</v>
          </cell>
          <cell r="J179">
            <v>29409.360000000001</v>
          </cell>
        </row>
        <row r="180">
          <cell r="A180" t="str">
            <v>1000/1401       NPK 6-20-30</v>
          </cell>
          <cell r="J180">
            <v>0</v>
          </cell>
        </row>
        <row r="181">
          <cell r="A181" t="str">
            <v>1000/1401       NPK 6-20-30</v>
          </cell>
          <cell r="J181">
            <v>4457.2799999999897</v>
          </cell>
        </row>
        <row r="182">
          <cell r="A182" t="str">
            <v>1000/1401       NPK 6-20-30</v>
          </cell>
          <cell r="J182">
            <v>2047.3199999999899</v>
          </cell>
        </row>
        <row r="183">
          <cell r="A183" t="str">
            <v>1000/1401       NPK 6-20-30</v>
          </cell>
          <cell r="J183">
            <v>0</v>
          </cell>
        </row>
        <row r="184">
          <cell r="A184" t="str">
            <v>1000/1401       NPK 6-20-30</v>
          </cell>
          <cell r="J184">
            <v>1779.1199999999899</v>
          </cell>
        </row>
        <row r="185">
          <cell r="A185" t="str">
            <v>1000/1401       NPK 6-20-30</v>
          </cell>
          <cell r="J185">
            <v>1742.4</v>
          </cell>
        </row>
        <row r="186">
          <cell r="A186" t="str">
            <v>1000/1401       NPK 6-20-30</v>
          </cell>
          <cell r="J186">
            <v>0</v>
          </cell>
        </row>
        <row r="187">
          <cell r="A187" t="str">
            <v>1000/1401       NPK 6-20-30</v>
          </cell>
          <cell r="J187">
            <v>1379.76</v>
          </cell>
        </row>
        <row r="188">
          <cell r="A188" t="str">
            <v>1000/1401       NPK 6-20-30</v>
          </cell>
          <cell r="J188">
            <v>1399.3199999999899</v>
          </cell>
        </row>
        <row r="189">
          <cell r="A189" t="str">
            <v>1000/1401       NPK 6-20-30</v>
          </cell>
          <cell r="J189">
            <v>0</v>
          </cell>
        </row>
        <row r="190">
          <cell r="A190" t="str">
            <v>1000/1401       NPK 6-20-30</v>
          </cell>
          <cell r="J190">
            <v>0</v>
          </cell>
        </row>
        <row r="191">
          <cell r="A191" t="str">
            <v>1000/1401       NPK 6-20-30</v>
          </cell>
          <cell r="J191">
            <v>0</v>
          </cell>
        </row>
        <row r="192">
          <cell r="A192" t="str">
            <v>1000/1401       NPK 6-20-30</v>
          </cell>
          <cell r="J192">
            <v>0</v>
          </cell>
        </row>
        <row r="193">
          <cell r="A193" t="str">
            <v>1000/1401       NPK 6-20-30</v>
          </cell>
          <cell r="J193">
            <v>0</v>
          </cell>
        </row>
        <row r="194">
          <cell r="A194" t="str">
            <v>1000/1401       NPK 6-20-30</v>
          </cell>
          <cell r="J194">
            <v>0</v>
          </cell>
        </row>
        <row r="195">
          <cell r="A195" t="str">
            <v>1000/1401       NPK 6-20-30</v>
          </cell>
          <cell r="J195">
            <v>0</v>
          </cell>
        </row>
        <row r="196">
          <cell r="A196" t="str">
            <v>1000/1401       NPK 6-20-30</v>
          </cell>
          <cell r="J196">
            <v>0</v>
          </cell>
        </row>
        <row r="197">
          <cell r="A197" t="str">
            <v>1000/1401       NPK 6-20-30</v>
          </cell>
          <cell r="J197">
            <v>1075.68</v>
          </cell>
        </row>
        <row r="198">
          <cell r="A198" t="str">
            <v>1000/1401       NPK 6-20-30</v>
          </cell>
          <cell r="J198">
            <v>0</v>
          </cell>
        </row>
        <row r="199">
          <cell r="A199" t="str">
            <v>1000/1401       NPK 6-20-30</v>
          </cell>
          <cell r="J199">
            <v>0</v>
          </cell>
        </row>
        <row r="200">
          <cell r="A200" t="str">
            <v>1000/1401       NPK 6-20-30</v>
          </cell>
          <cell r="J200">
            <v>0</v>
          </cell>
        </row>
        <row r="201">
          <cell r="A201" t="str">
            <v>1000/1401       NPK 6-20-30</v>
          </cell>
          <cell r="J201">
            <v>2611.84</v>
          </cell>
        </row>
        <row r="202">
          <cell r="A202" t="str">
            <v>1000/1401       NPK 6-20-30</v>
          </cell>
          <cell r="J202">
            <v>0</v>
          </cell>
        </row>
        <row r="203">
          <cell r="A203" t="str">
            <v>1000/1401       NPK 6-20-30</v>
          </cell>
          <cell r="J203">
            <v>0</v>
          </cell>
        </row>
        <row r="204">
          <cell r="A204" t="str">
            <v>1000/1401       NPK 6-20-30</v>
          </cell>
          <cell r="J204">
            <v>1518.96</v>
          </cell>
        </row>
        <row r="205">
          <cell r="A205" t="str">
            <v>1000/1401       NPK 6-20-30</v>
          </cell>
          <cell r="J205">
            <v>0</v>
          </cell>
        </row>
        <row r="206">
          <cell r="A206" t="str">
            <v>1000/1401       NPK 6-20-30</v>
          </cell>
          <cell r="J206">
            <v>0</v>
          </cell>
        </row>
        <row r="207">
          <cell r="A207" t="str">
            <v>1000/1401       NPK 6-20-30</v>
          </cell>
          <cell r="J207">
            <v>10978.559999999899</v>
          </cell>
        </row>
        <row r="208">
          <cell r="A208" t="str">
            <v>1000/1401       NPK 6-20-30</v>
          </cell>
          <cell r="J208">
            <v>0</v>
          </cell>
        </row>
        <row r="209">
          <cell r="A209" t="str">
            <v>1000/1401       NPK 6-20-30</v>
          </cell>
          <cell r="J209">
            <v>2721.5999999999899</v>
          </cell>
        </row>
        <row r="210">
          <cell r="A210" t="str">
            <v>1000/1401       NPK 6-20-30</v>
          </cell>
          <cell r="J210">
            <v>795</v>
          </cell>
        </row>
        <row r="211">
          <cell r="A211" t="str">
            <v>1000/1401       NPK 6-20-30</v>
          </cell>
          <cell r="J211">
            <v>1637.28</v>
          </cell>
        </row>
        <row r="212">
          <cell r="A212" t="str">
            <v>1000/1401       NPK 6-20-30</v>
          </cell>
          <cell r="J212">
            <v>557.15999999999894</v>
          </cell>
        </row>
        <row r="213">
          <cell r="A213" t="str">
            <v>1000/1401       NPK 6-20-30</v>
          </cell>
          <cell r="J213">
            <v>1087.44</v>
          </cell>
        </row>
        <row r="214">
          <cell r="A214" t="str">
            <v>1000/1401       NPK 6-20-30</v>
          </cell>
          <cell r="J214">
            <v>0</v>
          </cell>
        </row>
        <row r="215">
          <cell r="A215" t="str">
            <v>1000/1401       NPK 6-20-30</v>
          </cell>
          <cell r="J215">
            <v>1931.52</v>
          </cell>
        </row>
        <row r="216">
          <cell r="A216" t="str">
            <v>1000/1401       NPK 6-20-30</v>
          </cell>
          <cell r="J216">
            <v>0</v>
          </cell>
        </row>
        <row r="217">
          <cell r="A217" t="str">
            <v>1000/1401       NPK 6-20-30</v>
          </cell>
          <cell r="J217">
            <v>0</v>
          </cell>
        </row>
        <row r="218">
          <cell r="A218" t="str">
            <v>1000/1401       NPK 6-20-30</v>
          </cell>
          <cell r="J218">
            <v>228</v>
          </cell>
        </row>
        <row r="219">
          <cell r="A219" t="str">
            <v>1000/1401       NPK 6-20-30</v>
          </cell>
          <cell r="J219">
            <v>0</v>
          </cell>
        </row>
        <row r="220">
          <cell r="A220" t="str">
            <v>1000/1401       NPK 6-20-30</v>
          </cell>
          <cell r="J220">
            <v>1742.4</v>
          </cell>
        </row>
        <row r="221">
          <cell r="A221" t="str">
            <v>1000/1401       NPK 6-20-30</v>
          </cell>
          <cell r="J221">
            <v>1300.8</v>
          </cell>
        </row>
        <row r="222">
          <cell r="A222" t="str">
            <v>1000/1401       NPK 6-20-30</v>
          </cell>
          <cell r="J222">
            <v>3114.36</v>
          </cell>
        </row>
        <row r="223">
          <cell r="A223" t="str">
            <v>1000/1401       NPK 6-20-30</v>
          </cell>
          <cell r="J223">
            <v>1165.48</v>
          </cell>
        </row>
        <row r="224">
          <cell r="A224" t="str">
            <v>1000/1401       NPK 6-20-30</v>
          </cell>
          <cell r="J224">
            <v>1390.18</v>
          </cell>
        </row>
        <row r="225">
          <cell r="A225" t="str">
            <v>1000/1401       NPK 6-20-30</v>
          </cell>
          <cell r="J225">
            <v>0</v>
          </cell>
        </row>
        <row r="226">
          <cell r="A226" t="str">
            <v>1000/1401       NPK 6-20-30</v>
          </cell>
          <cell r="J226">
            <v>0</v>
          </cell>
        </row>
        <row r="227">
          <cell r="A227" t="str">
            <v>1000/1401       NPK 6-20-30</v>
          </cell>
          <cell r="J227">
            <v>8690.4899999999907</v>
          </cell>
        </row>
        <row r="228">
          <cell r="A228" t="str">
            <v>1000/1401       NPK 6-20-30</v>
          </cell>
          <cell r="J228">
            <v>0</v>
          </cell>
        </row>
        <row r="229">
          <cell r="A229" t="str">
            <v>1000/1401       NPK 6-20-30</v>
          </cell>
          <cell r="J229">
            <v>2173.92</v>
          </cell>
        </row>
        <row r="230">
          <cell r="A230" t="str">
            <v>1000/1401       NPK 6-20-30</v>
          </cell>
          <cell r="J230">
            <v>3991.98</v>
          </cell>
        </row>
        <row r="231">
          <cell r="A231" t="str">
            <v>1000/1401       NPK 6-20-30</v>
          </cell>
          <cell r="J231">
            <v>0</v>
          </cell>
        </row>
        <row r="232">
          <cell r="A232" t="str">
            <v>1000/1401       NPK 6-20-30</v>
          </cell>
          <cell r="J232">
            <v>0</v>
          </cell>
        </row>
        <row r="233">
          <cell r="A233" t="str">
            <v>1000/1401       NPK 6-20-30</v>
          </cell>
          <cell r="J233">
            <v>0</v>
          </cell>
        </row>
        <row r="234">
          <cell r="A234" t="str">
            <v>1000/1401       NPK 6-20-30</v>
          </cell>
          <cell r="J234">
            <v>16531.3499999999</v>
          </cell>
        </row>
        <row r="235">
          <cell r="A235" t="str">
            <v>1000/1401       NPK 6-20-30</v>
          </cell>
          <cell r="J235">
            <v>0</v>
          </cell>
        </row>
        <row r="236">
          <cell r="A236" t="str">
            <v>1000/1401       NPK 6-20-30</v>
          </cell>
          <cell r="J236">
            <v>0</v>
          </cell>
        </row>
        <row r="237">
          <cell r="A237" t="str">
            <v>1000/1401       NPK 6-20-30</v>
          </cell>
          <cell r="J237">
            <v>0</v>
          </cell>
        </row>
        <row r="238">
          <cell r="A238" t="str">
            <v>1000/1401       NPK 6-20-30</v>
          </cell>
          <cell r="J238">
            <v>0</v>
          </cell>
        </row>
        <row r="239">
          <cell r="A239" t="str">
            <v>1000/1401       NPK 6-20-30</v>
          </cell>
          <cell r="J239">
            <v>0</v>
          </cell>
        </row>
        <row r="240">
          <cell r="A240" t="str">
            <v>1000/1401       NPK 6-20-30</v>
          </cell>
          <cell r="J240">
            <v>0</v>
          </cell>
        </row>
        <row r="241">
          <cell r="A241" t="str">
            <v>1000/1401       NPK 6-20-30</v>
          </cell>
          <cell r="J241">
            <v>3308.76</v>
          </cell>
        </row>
        <row r="242">
          <cell r="A242" t="str">
            <v>1000/1401       NPK 6-20-30</v>
          </cell>
          <cell r="J242">
            <v>0</v>
          </cell>
        </row>
        <row r="243">
          <cell r="A243" t="str">
            <v>1000/1401       NPK 6-20-30</v>
          </cell>
          <cell r="J243">
            <v>1571.4</v>
          </cell>
        </row>
        <row r="244">
          <cell r="A244" t="str">
            <v>1000/1401       NPK 6-20-30</v>
          </cell>
          <cell r="J244">
            <v>0</v>
          </cell>
        </row>
        <row r="245">
          <cell r="A245" t="str">
            <v>1000/1401       NPK 6-20-30</v>
          </cell>
          <cell r="J245">
            <v>0</v>
          </cell>
        </row>
        <row r="246">
          <cell r="A246" t="str">
            <v>1000/1401       NPK 6-20-30</v>
          </cell>
          <cell r="J246">
            <v>952.55999999999904</v>
          </cell>
        </row>
        <row r="247">
          <cell r="A247" t="str">
            <v>1000/1401       NPK 6-20-30</v>
          </cell>
          <cell r="J247">
            <v>0</v>
          </cell>
        </row>
        <row r="248">
          <cell r="A248" t="str">
            <v>1000/1401       NPK 6-20-30</v>
          </cell>
          <cell r="J248">
            <v>946.08</v>
          </cell>
        </row>
        <row r="249">
          <cell r="A249" t="str">
            <v>1000/1401       NPK 6-20-30</v>
          </cell>
          <cell r="J249">
            <v>3204.88</v>
          </cell>
        </row>
        <row r="250">
          <cell r="A250" t="str">
            <v>1000/1401       NPK 6-20-30</v>
          </cell>
          <cell r="J250">
            <v>0</v>
          </cell>
        </row>
        <row r="251">
          <cell r="A251" t="str">
            <v>1000/1401       NPK 6-20-30</v>
          </cell>
          <cell r="J251">
            <v>1149.8199999999899</v>
          </cell>
        </row>
        <row r="252">
          <cell r="A252" t="str">
            <v>1000/1401       NPK 6-20-30</v>
          </cell>
          <cell r="J252">
            <v>0</v>
          </cell>
        </row>
        <row r="253">
          <cell r="A253" t="str">
            <v>1000/1401       NPK 6-20-30</v>
          </cell>
          <cell r="J253">
            <v>1341.43</v>
          </cell>
        </row>
        <row r="254">
          <cell r="A254" t="str">
            <v>1000/1401       NPK 6-20-30</v>
          </cell>
          <cell r="J254">
            <v>913.55999999999904</v>
          </cell>
        </row>
        <row r="255">
          <cell r="A255" t="str">
            <v>1000/1401       NPK 6-20-30</v>
          </cell>
          <cell r="J255">
            <v>0</v>
          </cell>
        </row>
        <row r="256">
          <cell r="A256" t="str">
            <v>1000/1401       NPK 6-20-30</v>
          </cell>
          <cell r="J256">
            <v>0</v>
          </cell>
        </row>
        <row r="257">
          <cell r="A257" t="str">
            <v>1000/1401       NPK 6-20-30</v>
          </cell>
          <cell r="J257">
            <v>4931.0699999999897</v>
          </cell>
        </row>
        <row r="258">
          <cell r="A258" t="str">
            <v>1000/1401       NPK 6-20-30</v>
          </cell>
          <cell r="J258">
            <v>1779.1199999999899</v>
          </cell>
        </row>
        <row r="259">
          <cell r="A259" t="str">
            <v>1000/1401       NPK 6-20-30</v>
          </cell>
          <cell r="J259">
            <v>20110.2</v>
          </cell>
        </row>
        <row r="260">
          <cell r="A260" t="str">
            <v>1000/1401       NPK 6-20-30</v>
          </cell>
          <cell r="J260">
            <v>0</v>
          </cell>
        </row>
        <row r="261">
          <cell r="A261" t="str">
            <v>1000/1401       NPK 6-20-30</v>
          </cell>
          <cell r="J261">
            <v>1521.5999999999899</v>
          </cell>
        </row>
        <row r="262">
          <cell r="A262" t="str">
            <v>1000/1401       NPK 6-20-30</v>
          </cell>
          <cell r="J262">
            <v>7181.06</v>
          </cell>
        </row>
        <row r="263">
          <cell r="A263" t="str">
            <v>1000/1401       NPK 6-20-30</v>
          </cell>
          <cell r="J263">
            <v>126145.24</v>
          </cell>
        </row>
        <row r="264">
          <cell r="A264" t="str">
            <v>1000/1401       NPK 6-20-30</v>
          </cell>
          <cell r="J264">
            <v>1335.1199999999899</v>
          </cell>
        </row>
        <row r="265">
          <cell r="A265" t="str">
            <v>1000/1401       NPK 6-20-30</v>
          </cell>
          <cell r="J265">
            <v>0</v>
          </cell>
        </row>
        <row r="266">
          <cell r="A266" t="str">
            <v>1000/1401       NPK 6-20-30</v>
          </cell>
          <cell r="J266">
            <v>0</v>
          </cell>
        </row>
        <row r="267">
          <cell r="A267" t="str">
            <v>1000/1401       NPK 6-20-30</v>
          </cell>
          <cell r="J267">
            <v>0</v>
          </cell>
        </row>
        <row r="268">
          <cell r="A268" t="str">
            <v>1000/1401       NPK 6-20-30</v>
          </cell>
          <cell r="J268">
            <v>2401.92</v>
          </cell>
        </row>
        <row r="269">
          <cell r="A269" t="str">
            <v>1000/1401       NPK 6-20-30</v>
          </cell>
          <cell r="J269">
            <v>0</v>
          </cell>
        </row>
        <row r="270">
          <cell r="A270" t="str">
            <v>1000/1401       NPK 6-20-30</v>
          </cell>
          <cell r="J270">
            <v>11794.48</v>
          </cell>
        </row>
        <row r="271">
          <cell r="A271" t="str">
            <v>1000/1401       NPK 6-20-30</v>
          </cell>
          <cell r="J271">
            <v>907.91999999999905</v>
          </cell>
        </row>
        <row r="272">
          <cell r="A272" t="str">
            <v>1000/1401       NPK 6-20-30</v>
          </cell>
          <cell r="J272">
            <v>8541.1200000000008</v>
          </cell>
        </row>
        <row r="273">
          <cell r="A273" t="str">
            <v>1000/1401       NPK 6-20-30</v>
          </cell>
          <cell r="J273">
            <v>0</v>
          </cell>
        </row>
        <row r="274">
          <cell r="A274" t="str">
            <v>1000/1401       NPK 6-20-30</v>
          </cell>
          <cell r="J274">
            <v>6083.85</v>
          </cell>
        </row>
        <row r="275">
          <cell r="A275" t="str">
            <v>1000/1401       NPK 6-20-30</v>
          </cell>
          <cell r="J275">
            <v>1379.76</v>
          </cell>
        </row>
        <row r="276">
          <cell r="A276" t="str">
            <v>1000/1401       NPK 6-20-30</v>
          </cell>
          <cell r="J276">
            <v>650.39999999999895</v>
          </cell>
        </row>
        <row r="277">
          <cell r="A277" t="str">
            <v>1000/1401       NPK 6-20-30</v>
          </cell>
          <cell r="J277">
            <v>4644.13</v>
          </cell>
        </row>
        <row r="278">
          <cell r="A278" t="str">
            <v>1000/1401       NPK 6-20-30</v>
          </cell>
          <cell r="J278">
            <v>408.6</v>
          </cell>
        </row>
        <row r="279">
          <cell r="A279" t="str">
            <v>1000/1401       NPK 6-20-30</v>
          </cell>
          <cell r="J279">
            <v>0</v>
          </cell>
        </row>
        <row r="280">
          <cell r="A280" t="str">
            <v>1000/1401       NPK 6-20-30</v>
          </cell>
          <cell r="J280">
            <v>2778.13</v>
          </cell>
        </row>
        <row r="281">
          <cell r="A281" t="str">
            <v>1000/1401       NPK 6-20-30</v>
          </cell>
          <cell r="J281">
            <v>0</v>
          </cell>
        </row>
        <row r="282">
          <cell r="A282" t="str">
            <v>1000/1401       NPK 6-20-30</v>
          </cell>
          <cell r="J282">
            <v>0</v>
          </cell>
        </row>
        <row r="283">
          <cell r="A283" t="str">
            <v>1000/1401       NPK 6-20-30</v>
          </cell>
          <cell r="J283">
            <v>0</v>
          </cell>
        </row>
        <row r="284">
          <cell r="A284" t="str">
            <v>1000/1401       NPK 6-20-30</v>
          </cell>
          <cell r="J284">
            <v>0</v>
          </cell>
        </row>
        <row r="285">
          <cell r="A285" t="str">
            <v>1000/1401       NPK 6-20-30</v>
          </cell>
          <cell r="J285">
            <v>798.96</v>
          </cell>
        </row>
        <row r="286">
          <cell r="A286" t="str">
            <v>1000/1401       NPK 6-20-30</v>
          </cell>
          <cell r="J286">
            <v>1590</v>
          </cell>
        </row>
        <row r="287">
          <cell r="A287" t="str">
            <v>1000/1401       NPK 6-20-30</v>
          </cell>
          <cell r="J287">
            <v>1855.01</v>
          </cell>
        </row>
        <row r="288">
          <cell r="A288" t="str">
            <v>1000/1401       NPK 6-20-30</v>
          </cell>
          <cell r="J288">
            <v>0</v>
          </cell>
        </row>
        <row r="289">
          <cell r="A289" t="str">
            <v>1000/1401       NPK 6-20-30</v>
          </cell>
          <cell r="J289">
            <v>926.39999999999895</v>
          </cell>
        </row>
        <row r="290">
          <cell r="A290" t="str">
            <v>1000/1401       NPK 6-20-30</v>
          </cell>
          <cell r="J290">
            <v>0</v>
          </cell>
        </row>
        <row r="291">
          <cell r="A291" t="str">
            <v>1000/1401       NPK 6-20-30</v>
          </cell>
          <cell r="J291">
            <v>16060.53</v>
          </cell>
        </row>
        <row r="292">
          <cell r="A292" t="str">
            <v>1000/1401       NPK 6-20-30</v>
          </cell>
          <cell r="J292">
            <v>0</v>
          </cell>
        </row>
        <row r="293">
          <cell r="A293" t="str">
            <v>1000/1401       NPK 6-20-30</v>
          </cell>
          <cell r="J293">
            <v>2944.1399999999899</v>
          </cell>
        </row>
        <row r="294">
          <cell r="A294" t="str">
            <v>1000/1401       NPK 6-20-30</v>
          </cell>
          <cell r="J294">
            <v>1253.52</v>
          </cell>
        </row>
        <row r="295">
          <cell r="A295" t="str">
            <v>1000/1401       NPK 6-20-30</v>
          </cell>
          <cell r="J295">
            <v>0</v>
          </cell>
        </row>
        <row r="296">
          <cell r="A296" t="str">
            <v>1000/1401       NPK 6-20-30</v>
          </cell>
          <cell r="J296">
            <v>0</v>
          </cell>
        </row>
        <row r="297">
          <cell r="A297" t="str">
            <v>1000/1401       NPK 6-20-30</v>
          </cell>
          <cell r="J297">
            <v>924.40999999999894</v>
          </cell>
        </row>
        <row r="298">
          <cell r="A298" t="str">
            <v>1000/1401       NPK 6-20-30</v>
          </cell>
          <cell r="J298">
            <v>0</v>
          </cell>
        </row>
        <row r="299">
          <cell r="A299" t="str">
            <v>1000/1401       NPK 6-20-30</v>
          </cell>
          <cell r="J299">
            <v>0</v>
          </cell>
        </row>
        <row r="300">
          <cell r="A300" t="str">
            <v>1000/1401       NPK 6-20-30</v>
          </cell>
          <cell r="J300">
            <v>0</v>
          </cell>
        </row>
        <row r="301">
          <cell r="A301" t="str">
            <v>1000/1401       NPK 6-20-30</v>
          </cell>
          <cell r="J301">
            <v>0</v>
          </cell>
        </row>
        <row r="302">
          <cell r="A302" t="str">
            <v>1000/1401       NPK 6-20-30</v>
          </cell>
          <cell r="J302">
            <v>0</v>
          </cell>
        </row>
        <row r="303">
          <cell r="A303" t="str">
            <v>1000/1401       NPK 6-20-30</v>
          </cell>
          <cell r="J303">
            <v>0</v>
          </cell>
        </row>
        <row r="304">
          <cell r="A304" t="str">
            <v>1000/1401       NPK 6-20-30</v>
          </cell>
          <cell r="J304">
            <v>0</v>
          </cell>
        </row>
        <row r="305">
          <cell r="A305" t="str">
            <v>1000/1401       NPK 6-20-30</v>
          </cell>
          <cell r="J305">
            <v>0</v>
          </cell>
        </row>
        <row r="306">
          <cell r="A306" t="str">
            <v>1000/1401       NPK 6-20-30</v>
          </cell>
          <cell r="J306">
            <v>0</v>
          </cell>
        </row>
        <row r="307">
          <cell r="A307" t="str">
            <v>1000/1401       NPK 6-20-30</v>
          </cell>
          <cell r="J307">
            <v>898.79999999999905</v>
          </cell>
        </row>
        <row r="308">
          <cell r="A308" t="str">
            <v>1000/1401       NPK 6-20-30</v>
          </cell>
          <cell r="J308">
            <v>1038.1199999999899</v>
          </cell>
        </row>
        <row r="309">
          <cell r="A309" t="str">
            <v>1000/1401       NPK 6-20-30</v>
          </cell>
          <cell r="J309">
            <v>2163.36</v>
          </cell>
        </row>
        <row r="310">
          <cell r="A310" t="str">
            <v>1000/1401       NPK 6-20-30</v>
          </cell>
          <cell r="J310">
            <v>0</v>
          </cell>
        </row>
        <row r="311">
          <cell r="A311" t="str">
            <v>1000/1401       NPK 6-20-30</v>
          </cell>
          <cell r="J311">
            <v>0</v>
          </cell>
        </row>
        <row r="312">
          <cell r="A312" t="str">
            <v>1000/1401       NPK 6-20-30</v>
          </cell>
          <cell r="J312">
            <v>2759.52</v>
          </cell>
        </row>
        <row r="313">
          <cell r="A313" t="str">
            <v>1000/1401       NPK 6-20-30</v>
          </cell>
          <cell r="J313">
            <v>0</v>
          </cell>
        </row>
        <row r="314">
          <cell r="A314" t="str">
            <v>1000/1401       NPK 6-20-30</v>
          </cell>
          <cell r="J314">
            <v>6969.84</v>
          </cell>
        </row>
        <row r="315">
          <cell r="A315" t="str">
            <v>1000/1401       NPK 6-20-30</v>
          </cell>
          <cell r="J315">
            <v>0</v>
          </cell>
        </row>
        <row r="316">
          <cell r="A316" t="str">
            <v>1000/1401       NPK 6-20-30</v>
          </cell>
          <cell r="J316">
            <v>907.91999999999905</v>
          </cell>
        </row>
        <row r="317">
          <cell r="A317" t="str">
            <v>1000/1401       NPK 6-20-30</v>
          </cell>
          <cell r="J317">
            <v>2938.0799999999899</v>
          </cell>
        </row>
        <row r="318">
          <cell r="A318" t="str">
            <v>1000/1401       NPK 6-20-30</v>
          </cell>
          <cell r="J318">
            <v>0</v>
          </cell>
        </row>
        <row r="319">
          <cell r="A319" t="str">
            <v>1000/1401       NPK 6-20-30</v>
          </cell>
          <cell r="J319">
            <v>0</v>
          </cell>
        </row>
        <row r="320">
          <cell r="A320" t="str">
            <v>1000/1401       NPK 6-20-30</v>
          </cell>
          <cell r="J320">
            <v>0</v>
          </cell>
        </row>
        <row r="321">
          <cell r="A321" t="str">
            <v>1000/1401       NPK 6-20-30</v>
          </cell>
          <cell r="J321">
            <v>0</v>
          </cell>
        </row>
        <row r="322">
          <cell r="A322" t="str">
            <v>1000/1401       NPK 6-20-30</v>
          </cell>
          <cell r="J322">
            <v>0</v>
          </cell>
        </row>
        <row r="323">
          <cell r="A323" t="str">
            <v>1000/1401       NPK 6-20-30</v>
          </cell>
          <cell r="J323">
            <v>0</v>
          </cell>
        </row>
        <row r="324">
          <cell r="A324" t="str">
            <v>1000/1401       NPK 6-20-30</v>
          </cell>
          <cell r="J324">
            <v>5023.3999999999896</v>
          </cell>
        </row>
        <row r="325">
          <cell r="A325" t="str">
            <v>1000/1401       NPK 6-20-30</v>
          </cell>
          <cell r="J325">
            <v>0</v>
          </cell>
        </row>
        <row r="326">
          <cell r="A326" t="str">
            <v>1000/1401       NPK 6-20-30</v>
          </cell>
          <cell r="J326">
            <v>0</v>
          </cell>
        </row>
        <row r="327">
          <cell r="A327" t="str">
            <v>1000/1401       NPK 6-20-30</v>
          </cell>
          <cell r="J327">
            <v>0</v>
          </cell>
        </row>
        <row r="328">
          <cell r="A328" t="str">
            <v>1000/1401       NPK 6-20-30</v>
          </cell>
          <cell r="J328">
            <v>0</v>
          </cell>
        </row>
        <row r="329">
          <cell r="A329" t="str">
            <v>1000/1401       NPK 6-20-30</v>
          </cell>
          <cell r="J329">
            <v>0</v>
          </cell>
        </row>
        <row r="330">
          <cell r="A330" t="str">
            <v>1000/1401       NPK 6-20-30</v>
          </cell>
          <cell r="J330">
            <v>0</v>
          </cell>
        </row>
        <row r="331">
          <cell r="A331" t="str">
            <v>1000/1401       NPK 6-20-30</v>
          </cell>
          <cell r="J331">
            <v>5113.1999999999898</v>
          </cell>
        </row>
        <row r="332">
          <cell r="A332" t="str">
            <v>1000/1401       NPK 6-20-30</v>
          </cell>
          <cell r="J332">
            <v>0</v>
          </cell>
        </row>
        <row r="333">
          <cell r="A333" t="str">
            <v>1000/1401       NPK 6-20-30</v>
          </cell>
          <cell r="J333">
            <v>0</v>
          </cell>
        </row>
        <row r="334">
          <cell r="A334" t="str">
            <v>1000/1401       NPK 6-20-30</v>
          </cell>
          <cell r="J334">
            <v>0</v>
          </cell>
        </row>
        <row r="335">
          <cell r="A335" t="str">
            <v>1000/1401       NPK 6-20-30</v>
          </cell>
          <cell r="J335">
            <v>0</v>
          </cell>
        </row>
        <row r="336">
          <cell r="A336" t="str">
            <v>1000/1401       NPK 6-20-30</v>
          </cell>
          <cell r="J336">
            <v>428.39999999999901</v>
          </cell>
        </row>
        <row r="337">
          <cell r="A337" t="str">
            <v>1000/1401       NPK 6-20-30</v>
          </cell>
          <cell r="J337">
            <v>0</v>
          </cell>
        </row>
        <row r="338">
          <cell r="A338" t="str">
            <v>1000/1401       NPK 6-20-30</v>
          </cell>
          <cell r="J338">
            <v>0</v>
          </cell>
        </row>
        <row r="339">
          <cell r="A339" t="str">
            <v>1000/1401       NPK 6-20-30</v>
          </cell>
          <cell r="J339">
            <v>3269.78</v>
          </cell>
        </row>
        <row r="340">
          <cell r="A340" t="str">
            <v>1000/1401       NPK 6-20-30</v>
          </cell>
          <cell r="J340">
            <v>0</v>
          </cell>
        </row>
        <row r="341">
          <cell r="A341" t="str">
            <v>1000/1401       NPK 6-20-30</v>
          </cell>
          <cell r="J341">
            <v>0</v>
          </cell>
        </row>
        <row r="342">
          <cell r="A342" t="str">
            <v>1000/1401       NPK 6-20-30</v>
          </cell>
          <cell r="J342">
            <v>3509.76</v>
          </cell>
        </row>
        <row r="343">
          <cell r="A343" t="str">
            <v>1000/1401       NPK 6-20-30</v>
          </cell>
          <cell r="J343">
            <v>9385.2000000000007</v>
          </cell>
        </row>
        <row r="344">
          <cell r="A344" t="str">
            <v>1000/1401       NPK 6-20-30</v>
          </cell>
          <cell r="J344">
            <v>8055.6</v>
          </cell>
        </row>
        <row r="345">
          <cell r="A345" t="str">
            <v>1000/1401       NPK 6-20-30</v>
          </cell>
          <cell r="J345">
            <v>0</v>
          </cell>
        </row>
        <row r="346">
          <cell r="A346" t="str">
            <v>1000/1401       NPK 6-20-30</v>
          </cell>
          <cell r="J346">
            <v>3729.2399999999898</v>
          </cell>
        </row>
        <row r="347">
          <cell r="A347" t="str">
            <v>1000/1401       NPK 6-20-30</v>
          </cell>
          <cell r="J347">
            <v>0</v>
          </cell>
        </row>
        <row r="348">
          <cell r="A348" t="str">
            <v>1000/1401       NPK 6-20-30</v>
          </cell>
          <cell r="J348">
            <v>3180</v>
          </cell>
        </row>
        <row r="349">
          <cell r="A349" t="str">
            <v>1000/1401       NPK 6-20-30</v>
          </cell>
          <cell r="J349">
            <v>0</v>
          </cell>
        </row>
        <row r="350">
          <cell r="A350" t="str">
            <v>1000/1401       NPK 6-20-30</v>
          </cell>
          <cell r="J350">
            <v>0</v>
          </cell>
        </row>
        <row r="351">
          <cell r="A351" t="str">
            <v>1000/1401       NPK 6-20-30</v>
          </cell>
          <cell r="J351">
            <v>842.27999999999895</v>
          </cell>
        </row>
        <row r="352">
          <cell r="A352" t="str">
            <v>1000/1401       NPK 6-20-30</v>
          </cell>
          <cell r="J352">
            <v>0</v>
          </cell>
        </row>
        <row r="353">
          <cell r="A353" t="str">
            <v>1000/1401       NPK 6-20-30</v>
          </cell>
          <cell r="J353">
            <v>0</v>
          </cell>
        </row>
        <row r="354">
          <cell r="A354" t="str">
            <v>1000/1401       NPK 6-20-30</v>
          </cell>
          <cell r="J354">
            <v>0</v>
          </cell>
        </row>
        <row r="355">
          <cell r="A355" t="str">
            <v>1000/1401       NPK 6-20-30</v>
          </cell>
          <cell r="J355">
            <v>0</v>
          </cell>
        </row>
        <row r="356">
          <cell r="A356" t="str">
            <v>1000/1401       NPK 6-20-30</v>
          </cell>
          <cell r="J356">
            <v>1016.16</v>
          </cell>
        </row>
        <row r="357">
          <cell r="A357" t="str">
            <v>1000/1401       NPK 6-20-30</v>
          </cell>
          <cell r="J357">
            <v>9539.6399999999903</v>
          </cell>
        </row>
        <row r="358">
          <cell r="A358" t="str">
            <v>1000/1401       NPK 6-20-30</v>
          </cell>
          <cell r="J358">
            <v>1944</v>
          </cell>
        </row>
        <row r="359">
          <cell r="A359" t="str">
            <v>1000/1401       NPK 6-20-30</v>
          </cell>
          <cell r="J359">
            <v>4284</v>
          </cell>
        </row>
        <row r="360">
          <cell r="A360" t="str">
            <v>1000/1401       NPK 6-20-30</v>
          </cell>
          <cell r="J360">
            <v>7930.8</v>
          </cell>
        </row>
        <row r="361">
          <cell r="A361" t="str">
            <v>1000/1401       NPK 6-20-30</v>
          </cell>
          <cell r="J361">
            <v>0</v>
          </cell>
        </row>
        <row r="362">
          <cell r="A362" t="str">
            <v>1000/1401       NPK 6-20-30</v>
          </cell>
          <cell r="J362">
            <v>1637.28</v>
          </cell>
        </row>
        <row r="363">
          <cell r="A363" t="str">
            <v>1000/1401       NPK 6-20-30</v>
          </cell>
          <cell r="J363">
            <v>0</v>
          </cell>
        </row>
        <row r="364">
          <cell r="A364" t="str">
            <v>1000/1401       NPK 6-20-30</v>
          </cell>
          <cell r="J364">
            <v>51050.01</v>
          </cell>
        </row>
        <row r="365">
          <cell r="A365" t="str">
            <v>1000/1401       NPK 6-20-30</v>
          </cell>
          <cell r="J365">
            <v>2993.1599999999899</v>
          </cell>
        </row>
        <row r="366">
          <cell r="A366" t="str">
            <v>1000/1401       NPK 6-20-30</v>
          </cell>
          <cell r="J366">
            <v>0</v>
          </cell>
        </row>
        <row r="367">
          <cell r="A367" t="str">
            <v>1000/1401       NPK 6-20-30</v>
          </cell>
          <cell r="J367">
            <v>0</v>
          </cell>
        </row>
        <row r="368">
          <cell r="A368" t="str">
            <v>1000/1401       NPK 6-20-30</v>
          </cell>
          <cell r="J368">
            <v>3466.5599999999899</v>
          </cell>
        </row>
        <row r="369">
          <cell r="A369" t="str">
            <v>1000/1401       NPK 6-20-30</v>
          </cell>
          <cell r="J369">
            <v>0</v>
          </cell>
        </row>
        <row r="370">
          <cell r="A370" t="str">
            <v>1000/1401       NPK 6-20-30</v>
          </cell>
          <cell r="J370">
            <v>0</v>
          </cell>
        </row>
        <row r="371">
          <cell r="A371" t="str">
            <v>1000/1401       NPK 6-20-30</v>
          </cell>
          <cell r="J371">
            <v>6749.92</v>
          </cell>
        </row>
        <row r="372">
          <cell r="A372" t="str">
            <v>1000/1401       NPK 6-20-30</v>
          </cell>
          <cell r="J372">
            <v>1971.1199999999899</v>
          </cell>
        </row>
        <row r="373">
          <cell r="A373" t="str">
            <v>1000/1401       NPK 6-20-30</v>
          </cell>
          <cell r="J373">
            <v>1518.96</v>
          </cell>
        </row>
        <row r="374">
          <cell r="A374" t="str">
            <v>1000/1401       NPK 6-20-30</v>
          </cell>
          <cell r="J374">
            <v>11983.309999999899</v>
          </cell>
        </row>
        <row r="375">
          <cell r="A375" t="str">
            <v>1000/1401       NPK 6-20-30</v>
          </cell>
          <cell r="J375">
            <v>0</v>
          </cell>
        </row>
        <row r="376">
          <cell r="A376" t="str">
            <v>1000/1401       NPK 6-20-30</v>
          </cell>
          <cell r="J376">
            <v>0</v>
          </cell>
        </row>
        <row r="377">
          <cell r="A377" t="str">
            <v>1000/1401       NPK 6-20-30</v>
          </cell>
          <cell r="J377">
            <v>902.75999999999897</v>
          </cell>
        </row>
        <row r="378">
          <cell r="A378" t="str">
            <v>1000/1401       NPK 6-20-30</v>
          </cell>
          <cell r="J378">
            <v>0</v>
          </cell>
        </row>
        <row r="379">
          <cell r="A379" t="str">
            <v>1000/1401       NPK 6-20-30</v>
          </cell>
          <cell r="J379">
            <v>0</v>
          </cell>
        </row>
        <row r="380">
          <cell r="A380" t="str">
            <v>1000/1401       NPK 6-20-30</v>
          </cell>
          <cell r="J380">
            <v>1379.76</v>
          </cell>
        </row>
        <row r="381">
          <cell r="A381" t="str">
            <v>1000/1401       NPK 6-20-30</v>
          </cell>
          <cell r="J381">
            <v>1316.64</v>
          </cell>
        </row>
        <row r="382">
          <cell r="A382" t="str">
            <v>1000/1401       NPK 6-20-30</v>
          </cell>
          <cell r="J382">
            <v>7754.51</v>
          </cell>
        </row>
        <row r="383">
          <cell r="A383" t="str">
            <v>1000/1401       NPK 6-20-30</v>
          </cell>
          <cell r="J383">
            <v>0</v>
          </cell>
        </row>
        <row r="384">
          <cell r="A384" t="str">
            <v>1000/1401       NPK 6-20-30</v>
          </cell>
          <cell r="J384">
            <v>0</v>
          </cell>
        </row>
        <row r="385">
          <cell r="A385" t="str">
            <v>1000/1401       NPK 6-20-30</v>
          </cell>
          <cell r="J385">
            <v>0</v>
          </cell>
        </row>
        <row r="386">
          <cell r="A386" t="str">
            <v>1000/1401       NPK 6-20-30</v>
          </cell>
          <cell r="J386">
            <v>0</v>
          </cell>
        </row>
        <row r="387">
          <cell r="A387" t="str">
            <v>1000/1401       NPK 6-20-30</v>
          </cell>
          <cell r="J387">
            <v>798.96</v>
          </cell>
        </row>
        <row r="388">
          <cell r="A388" t="str">
            <v>1000/1401       NPK 6-20-30</v>
          </cell>
          <cell r="J388">
            <v>0</v>
          </cell>
        </row>
        <row r="389">
          <cell r="A389" t="str">
            <v>1000/1401       NPK 6-20-30</v>
          </cell>
          <cell r="J389">
            <v>6065.2799999999897</v>
          </cell>
        </row>
        <row r="390">
          <cell r="A390" t="str">
            <v>1000/1401       NPK 6-20-30</v>
          </cell>
          <cell r="J390">
            <v>3404.11</v>
          </cell>
        </row>
        <row r="391">
          <cell r="A391" t="str">
            <v>1000/1401       NPK 6-20-30</v>
          </cell>
          <cell r="J391">
            <v>0</v>
          </cell>
        </row>
        <row r="392">
          <cell r="A392" t="str">
            <v>1000/1401       NPK 6-20-30</v>
          </cell>
          <cell r="J392">
            <v>0</v>
          </cell>
        </row>
        <row r="393">
          <cell r="A393" t="str">
            <v>1000/1401       NPK 6-20-30</v>
          </cell>
          <cell r="J393">
            <v>0</v>
          </cell>
        </row>
        <row r="394">
          <cell r="A394" t="str">
            <v>1000/1401       NPK 6-20-30</v>
          </cell>
          <cell r="J394">
            <v>0</v>
          </cell>
        </row>
        <row r="395">
          <cell r="A395" t="str">
            <v>1000/1401       NPK 6-20-30</v>
          </cell>
          <cell r="J395">
            <v>0</v>
          </cell>
        </row>
        <row r="396">
          <cell r="A396" t="str">
            <v>1000/1401       NPK 6-20-30</v>
          </cell>
          <cell r="J396">
            <v>17955.119999999901</v>
          </cell>
        </row>
        <row r="397">
          <cell r="A397" t="str">
            <v>1000/1401       NPK 6-20-30</v>
          </cell>
          <cell r="J397">
            <v>3229.44</v>
          </cell>
        </row>
        <row r="398">
          <cell r="A398" t="str">
            <v>1000/1401       NPK 6-20-30</v>
          </cell>
          <cell r="J398">
            <v>3370.32</v>
          </cell>
        </row>
        <row r="399">
          <cell r="A399" t="str">
            <v>1000/1401       NPK 6-20-30</v>
          </cell>
          <cell r="J399">
            <v>10778.639999999899</v>
          </cell>
        </row>
        <row r="400">
          <cell r="A400" t="str">
            <v>1000/1401       NPK 6-20-30</v>
          </cell>
          <cell r="J400">
            <v>5787.1199999999899</v>
          </cell>
        </row>
        <row r="401">
          <cell r="A401" t="str">
            <v>1000/1401       NPK 6-20-30</v>
          </cell>
          <cell r="J401">
            <v>0</v>
          </cell>
        </row>
        <row r="402">
          <cell r="A402" t="str">
            <v>1000/1401       NPK 6-20-30</v>
          </cell>
          <cell r="J402">
            <v>0</v>
          </cell>
        </row>
        <row r="403">
          <cell r="A403" t="str">
            <v>1000/1401       NPK 6-20-30</v>
          </cell>
          <cell r="J403">
            <v>1542.72</v>
          </cell>
        </row>
        <row r="404">
          <cell r="A404" t="str">
            <v>1000/1401       NPK 6-20-30</v>
          </cell>
          <cell r="J404">
            <v>5589.3599999999897</v>
          </cell>
        </row>
        <row r="405">
          <cell r="A405" t="str">
            <v>1000/1401       NPK 6-20-30</v>
          </cell>
          <cell r="J405">
            <v>0</v>
          </cell>
        </row>
        <row r="406">
          <cell r="A406" t="str">
            <v>1000/1401       NPK 6-20-30</v>
          </cell>
          <cell r="J406">
            <v>0</v>
          </cell>
        </row>
        <row r="407">
          <cell r="A407" t="str">
            <v>1000/1401       NPK 6-20-30</v>
          </cell>
          <cell r="J407">
            <v>0</v>
          </cell>
        </row>
        <row r="408">
          <cell r="A408" t="str">
            <v>1000/1401       NPK 6-20-30</v>
          </cell>
          <cell r="J408">
            <v>1833.8399999999899</v>
          </cell>
        </row>
        <row r="409">
          <cell r="A409" t="str">
            <v>1000/1401       NPK 6-20-30</v>
          </cell>
          <cell r="J409">
            <v>0</v>
          </cell>
        </row>
        <row r="410">
          <cell r="A410" t="str">
            <v>1000/1401       NPK 6-20-30</v>
          </cell>
          <cell r="J410">
            <v>9403.92</v>
          </cell>
        </row>
        <row r="411">
          <cell r="A411" t="str">
            <v>1000/1401       NPK 6-20-30</v>
          </cell>
          <cell r="J411">
            <v>1456.8</v>
          </cell>
        </row>
        <row r="412">
          <cell r="A412" t="str">
            <v>1000/1401       NPK 6-20-30</v>
          </cell>
          <cell r="J412">
            <v>2163.36</v>
          </cell>
        </row>
        <row r="413">
          <cell r="A413" t="str">
            <v>1000/1401       NPK 6-20-30</v>
          </cell>
          <cell r="J413">
            <v>0</v>
          </cell>
        </row>
        <row r="414">
          <cell r="A414" t="str">
            <v>1000/1401       NPK 6-20-30</v>
          </cell>
          <cell r="J414">
            <v>0</v>
          </cell>
        </row>
        <row r="415">
          <cell r="A415" t="str">
            <v>1000/1401       NPK 6-20-30</v>
          </cell>
          <cell r="J415">
            <v>1693.74</v>
          </cell>
        </row>
        <row r="416">
          <cell r="A416" t="str">
            <v>1000/1401       NPK 6-20-30</v>
          </cell>
          <cell r="J416">
            <v>0</v>
          </cell>
        </row>
        <row r="417">
          <cell r="A417" t="str">
            <v>1000/1401       NPK 6-20-30</v>
          </cell>
          <cell r="J417">
            <v>0</v>
          </cell>
        </row>
        <row r="418">
          <cell r="A418" t="str">
            <v>1000/1401       NPK 6-20-30</v>
          </cell>
          <cell r="J418">
            <v>10181.280000000001</v>
          </cell>
        </row>
        <row r="419">
          <cell r="A419" t="str">
            <v>1000/1401       NPK 6-20-30</v>
          </cell>
          <cell r="J419">
            <v>0</v>
          </cell>
        </row>
        <row r="420">
          <cell r="A420" t="str">
            <v>1000/1401       NPK 6-20-30</v>
          </cell>
          <cell r="J420">
            <v>0</v>
          </cell>
        </row>
        <row r="421">
          <cell r="A421" t="str">
            <v>1000/1401       NPK 6-20-30</v>
          </cell>
          <cell r="J421">
            <v>0</v>
          </cell>
        </row>
        <row r="422">
          <cell r="A422" t="str">
            <v>1000/1401       NPK 6-20-30</v>
          </cell>
          <cell r="J422">
            <v>0</v>
          </cell>
        </row>
        <row r="423">
          <cell r="A423" t="str">
            <v>1000/1401       NPK 6-20-30</v>
          </cell>
          <cell r="J423">
            <v>0</v>
          </cell>
        </row>
        <row r="424">
          <cell r="A424" t="str">
            <v>1000/1401       NPK 6-20-30</v>
          </cell>
          <cell r="J424">
            <v>0</v>
          </cell>
        </row>
        <row r="425">
          <cell r="A425" t="str">
            <v>1000/1401       NPK 6-20-30</v>
          </cell>
          <cell r="J425">
            <v>1833.8399999999899</v>
          </cell>
        </row>
        <row r="426">
          <cell r="A426" t="str">
            <v>1000/1401       NPK 6-20-30</v>
          </cell>
          <cell r="J426">
            <v>0</v>
          </cell>
        </row>
        <row r="427">
          <cell r="A427" t="str">
            <v>1000/1401       NPK 6-20-30</v>
          </cell>
          <cell r="J427">
            <v>1788.1199999999899</v>
          </cell>
        </row>
        <row r="428">
          <cell r="A428" t="str">
            <v>1000/1401       NPK 6-20-30</v>
          </cell>
          <cell r="J428">
            <v>0</v>
          </cell>
        </row>
        <row r="429">
          <cell r="A429" t="str">
            <v>1000/1401       NPK 6-20-30</v>
          </cell>
          <cell r="J429">
            <v>1992.72</v>
          </cell>
        </row>
        <row r="430">
          <cell r="A430" t="str">
            <v>1000/1401       NPK 6-20-30</v>
          </cell>
          <cell r="J430">
            <v>0</v>
          </cell>
        </row>
        <row r="431">
          <cell r="A431" t="str">
            <v>1000/1401       NPK 6-20-30</v>
          </cell>
          <cell r="J431">
            <v>0</v>
          </cell>
        </row>
        <row r="432">
          <cell r="A432" t="str">
            <v>1000/1401       NPK 6-20-30</v>
          </cell>
          <cell r="J432">
            <v>0</v>
          </cell>
        </row>
        <row r="433">
          <cell r="A433" t="str">
            <v>1000/1401       NPK 6-20-30</v>
          </cell>
          <cell r="J433">
            <v>0</v>
          </cell>
        </row>
        <row r="434">
          <cell r="A434" t="str">
            <v>1000/1401       NPK 6-20-30</v>
          </cell>
          <cell r="J434">
            <v>3561.5999999999899</v>
          </cell>
        </row>
        <row r="435">
          <cell r="A435" t="str">
            <v>1000/1401       NPK 6-20-30</v>
          </cell>
          <cell r="J435">
            <v>0</v>
          </cell>
        </row>
        <row r="436">
          <cell r="A436" t="str">
            <v>1000/1401       NPK 6-20-30</v>
          </cell>
          <cell r="J436">
            <v>10288.5</v>
          </cell>
        </row>
        <row r="437">
          <cell r="A437" t="str">
            <v>1000/1401       NPK 6-20-30</v>
          </cell>
          <cell r="J437">
            <v>0</v>
          </cell>
        </row>
        <row r="438">
          <cell r="A438" t="str">
            <v>1000/1401       NPK 6-20-30</v>
          </cell>
          <cell r="J438">
            <v>0</v>
          </cell>
        </row>
        <row r="439">
          <cell r="A439" t="str">
            <v>1000/1401       NPK 6-20-30</v>
          </cell>
          <cell r="J439">
            <v>1146.72</v>
          </cell>
        </row>
        <row r="440">
          <cell r="A440" t="str">
            <v>1000/1401       NPK 6-20-30</v>
          </cell>
          <cell r="J440">
            <v>0</v>
          </cell>
        </row>
        <row r="441">
          <cell r="A441" t="str">
            <v>1000/1401       NPK 6-20-30</v>
          </cell>
          <cell r="J441">
            <v>0</v>
          </cell>
        </row>
        <row r="442">
          <cell r="A442" t="str">
            <v>1000/1401       NPK 6-20-30</v>
          </cell>
          <cell r="J442">
            <v>0</v>
          </cell>
        </row>
        <row r="443">
          <cell r="A443" t="str">
            <v>1000/1401       NPK 6-20-30</v>
          </cell>
          <cell r="J443">
            <v>0</v>
          </cell>
        </row>
        <row r="444">
          <cell r="A444" t="str">
            <v>1000/1401       NPK 6-20-30</v>
          </cell>
          <cell r="J444">
            <v>0</v>
          </cell>
        </row>
        <row r="445">
          <cell r="A445" t="str">
            <v>1000/1401       NPK 6-20-30</v>
          </cell>
          <cell r="J445">
            <v>2119.1999999999898</v>
          </cell>
        </row>
        <row r="446">
          <cell r="A446" t="str">
            <v>1000/1401       NPK 6-20-30</v>
          </cell>
          <cell r="J446">
            <v>0</v>
          </cell>
        </row>
        <row r="447">
          <cell r="A447" t="str">
            <v>1000/1401       NPK 6-20-30</v>
          </cell>
          <cell r="J447">
            <v>13810.93</v>
          </cell>
        </row>
        <row r="448">
          <cell r="A448" t="str">
            <v>1000/1401       NPK 6-20-30</v>
          </cell>
          <cell r="J448">
            <v>0</v>
          </cell>
        </row>
        <row r="449">
          <cell r="A449" t="str">
            <v>1000/1401       NPK 6-20-30</v>
          </cell>
          <cell r="J449">
            <v>0</v>
          </cell>
        </row>
        <row r="450">
          <cell r="A450" t="str">
            <v>1000/1401       NPK 6-20-30</v>
          </cell>
          <cell r="J450">
            <v>2013.24</v>
          </cell>
        </row>
        <row r="451">
          <cell r="A451" t="str">
            <v>1000/1401       NPK 6-20-30</v>
          </cell>
          <cell r="J451">
            <v>0</v>
          </cell>
        </row>
        <row r="452">
          <cell r="A452" t="str">
            <v>1000/1401       NPK 6-20-30</v>
          </cell>
          <cell r="J452">
            <v>3339.4299999999898</v>
          </cell>
        </row>
        <row r="453">
          <cell r="A453" t="str">
            <v>1000/1401       NPK 6-20-30</v>
          </cell>
          <cell r="J453">
            <v>0</v>
          </cell>
        </row>
        <row r="454">
          <cell r="A454" t="str">
            <v>1000/1401       NPK 6-20-30</v>
          </cell>
          <cell r="J454">
            <v>0</v>
          </cell>
        </row>
        <row r="455">
          <cell r="A455" t="str">
            <v>1000/1401       NPK 6-20-30</v>
          </cell>
          <cell r="J455">
            <v>2207.7600000000002</v>
          </cell>
        </row>
        <row r="456">
          <cell r="A456" t="str">
            <v>1000/1401       NPK 6-20-30</v>
          </cell>
          <cell r="J456">
            <v>7578.72</v>
          </cell>
        </row>
        <row r="457">
          <cell r="A457" t="str">
            <v>1000/1401       NPK 6-20-30</v>
          </cell>
          <cell r="J457">
            <v>0</v>
          </cell>
        </row>
        <row r="458">
          <cell r="A458" t="str">
            <v>1000/1401       NPK 6-20-30</v>
          </cell>
          <cell r="J458">
            <v>0</v>
          </cell>
        </row>
        <row r="459">
          <cell r="A459" t="str">
            <v>1000/1401       NPK 6-20-30</v>
          </cell>
          <cell r="J459">
            <v>0</v>
          </cell>
        </row>
        <row r="460">
          <cell r="A460" t="str">
            <v>1000/1401       NPK 6-20-30</v>
          </cell>
          <cell r="J460">
            <v>1212.48</v>
          </cell>
        </row>
        <row r="461">
          <cell r="A461" t="str">
            <v>1000/1401       NPK 6-20-30</v>
          </cell>
          <cell r="J461">
            <v>14672.4</v>
          </cell>
        </row>
        <row r="462">
          <cell r="A462" t="str">
            <v>1000/1401       NPK 6-20-30</v>
          </cell>
          <cell r="J462">
            <v>7914.1</v>
          </cell>
        </row>
        <row r="463">
          <cell r="A463" t="str">
            <v>1000/1401       NPK 6-20-30</v>
          </cell>
          <cell r="J463">
            <v>0</v>
          </cell>
        </row>
        <row r="464">
          <cell r="A464" t="str">
            <v>1000/1401       NPK 6-20-30</v>
          </cell>
          <cell r="J464">
            <v>0</v>
          </cell>
        </row>
        <row r="465">
          <cell r="A465" t="str">
            <v>1000/1401       NPK 6-20-30</v>
          </cell>
          <cell r="J465">
            <v>0</v>
          </cell>
        </row>
        <row r="466">
          <cell r="A466" t="str">
            <v>1000/1401       NPK 6-20-30</v>
          </cell>
          <cell r="J466">
            <v>0</v>
          </cell>
        </row>
        <row r="467">
          <cell r="A467" t="str">
            <v>1000/1401       NPK 6-20-30</v>
          </cell>
          <cell r="J467">
            <v>0</v>
          </cell>
        </row>
        <row r="468">
          <cell r="A468" t="str">
            <v>1000/1401       NPK 6-20-30</v>
          </cell>
          <cell r="J468">
            <v>1910.04</v>
          </cell>
        </row>
        <row r="469">
          <cell r="A469" t="str">
            <v>1000/1401       NPK 6-20-30</v>
          </cell>
          <cell r="J469">
            <v>909.36</v>
          </cell>
        </row>
        <row r="470">
          <cell r="A470" t="str">
            <v>1000/1401       NPK 6-20-30</v>
          </cell>
          <cell r="J470">
            <v>0</v>
          </cell>
        </row>
        <row r="471">
          <cell r="A471" t="str">
            <v>1000/1401       NPK 6-20-30</v>
          </cell>
          <cell r="J471">
            <v>0</v>
          </cell>
        </row>
        <row r="472">
          <cell r="A472" t="str">
            <v>1000/1401       NPK 6-20-30</v>
          </cell>
          <cell r="J472">
            <v>0</v>
          </cell>
        </row>
        <row r="473">
          <cell r="A473" t="str">
            <v>1000/1401       NPK 6-20-30</v>
          </cell>
          <cell r="J473">
            <v>0</v>
          </cell>
        </row>
        <row r="474">
          <cell r="A474" t="str">
            <v>1000/1401       NPK 6-20-30</v>
          </cell>
          <cell r="J474">
            <v>0</v>
          </cell>
        </row>
        <row r="475">
          <cell r="A475" t="str">
            <v>1000/1401       NPK 6-20-30</v>
          </cell>
          <cell r="J475">
            <v>8521.68</v>
          </cell>
        </row>
        <row r="476">
          <cell r="A476" t="str">
            <v>1000/1401       NPK 6-20-30</v>
          </cell>
          <cell r="J476">
            <v>0</v>
          </cell>
        </row>
        <row r="477">
          <cell r="A477" t="str">
            <v>1000/1401       NPK 6-20-30</v>
          </cell>
          <cell r="J477">
            <v>0</v>
          </cell>
        </row>
        <row r="478">
          <cell r="A478" t="str">
            <v>1000/1401       NPK 6-20-30</v>
          </cell>
          <cell r="J478">
            <v>1456.8</v>
          </cell>
        </row>
        <row r="479">
          <cell r="A479" t="str">
            <v>1000/1401       NPK 6-20-30</v>
          </cell>
          <cell r="J479">
            <v>0</v>
          </cell>
        </row>
        <row r="480">
          <cell r="A480" t="str">
            <v>1000/1401       NPK 6-20-30</v>
          </cell>
          <cell r="J480">
            <v>6143.51</v>
          </cell>
        </row>
        <row r="481">
          <cell r="A481" t="str">
            <v>1000/1401       NPK 6-20-30</v>
          </cell>
          <cell r="J481">
            <v>7388.1599999999899</v>
          </cell>
        </row>
        <row r="482">
          <cell r="A482" t="str">
            <v>1000/1401       NPK 6-20-30</v>
          </cell>
          <cell r="J482">
            <v>0</v>
          </cell>
        </row>
        <row r="483">
          <cell r="A483" t="str">
            <v>1000/1401       NPK 6-20-30</v>
          </cell>
          <cell r="J483">
            <v>1833.8399999999899</v>
          </cell>
        </row>
        <row r="484">
          <cell r="A484" t="str">
            <v>1000/1401       NPK 6-20-30</v>
          </cell>
          <cell r="J484">
            <v>1065.5999999999899</v>
          </cell>
        </row>
        <row r="485">
          <cell r="A485" t="str">
            <v>1000/1401       NPK 6-20-30</v>
          </cell>
          <cell r="J485">
            <v>0</v>
          </cell>
        </row>
        <row r="486">
          <cell r="A486" t="str">
            <v>1000/1401       NPK 6-20-30</v>
          </cell>
          <cell r="J486">
            <v>3325.92</v>
          </cell>
        </row>
        <row r="487">
          <cell r="A487" t="str">
            <v>1000/1401       NPK 6-20-30</v>
          </cell>
          <cell r="J487">
            <v>0</v>
          </cell>
        </row>
        <row r="488">
          <cell r="A488" t="str">
            <v>1000/1401       NPK 6-20-30</v>
          </cell>
          <cell r="J488">
            <v>4238.3999999999896</v>
          </cell>
        </row>
        <row r="489">
          <cell r="A489" t="str">
            <v>1000/1401       NPK 6-20-30</v>
          </cell>
          <cell r="J489">
            <v>0</v>
          </cell>
        </row>
        <row r="490">
          <cell r="A490" t="str">
            <v>1000/1401       NPK 6-20-30</v>
          </cell>
          <cell r="J490">
            <v>122.069999999999</v>
          </cell>
        </row>
        <row r="491">
          <cell r="A491" t="str">
            <v>1000/1401       NPK 6-20-30</v>
          </cell>
          <cell r="J491">
            <v>0</v>
          </cell>
        </row>
        <row r="492">
          <cell r="A492" t="str">
            <v>1000/1401       NPK 6-20-30</v>
          </cell>
          <cell r="J492">
            <v>0</v>
          </cell>
        </row>
        <row r="493">
          <cell r="A493" t="str">
            <v>1000/1401       NPK 6-20-30</v>
          </cell>
          <cell r="J493">
            <v>6964.0799999999899</v>
          </cell>
        </row>
        <row r="494">
          <cell r="A494" t="str">
            <v>1000/1401       NPK 6-20-30</v>
          </cell>
          <cell r="J494">
            <v>9198.95999999999</v>
          </cell>
        </row>
        <row r="495">
          <cell r="A495" t="str">
            <v>1000/1401       NPK 6-20-30</v>
          </cell>
          <cell r="J495">
            <v>835.91999999999905</v>
          </cell>
        </row>
        <row r="496">
          <cell r="A496" t="str">
            <v>1000/1401       NPK 6-20-30</v>
          </cell>
          <cell r="J496">
            <v>0</v>
          </cell>
        </row>
        <row r="497">
          <cell r="A497" t="str">
            <v>1000/1401       NPK 6-20-30</v>
          </cell>
          <cell r="J497">
            <v>0</v>
          </cell>
        </row>
        <row r="498">
          <cell r="A498" t="str">
            <v>1000/1401       NPK 6-20-30</v>
          </cell>
          <cell r="J498">
            <v>0</v>
          </cell>
        </row>
        <row r="499">
          <cell r="A499" t="str">
            <v>1000/1401       NPK 6-20-30</v>
          </cell>
          <cell r="J499">
            <v>0</v>
          </cell>
        </row>
        <row r="500">
          <cell r="A500" t="str">
            <v>1000/1401       NPK 6-20-30</v>
          </cell>
          <cell r="J500">
            <v>1288.8</v>
          </cell>
        </row>
        <row r="501">
          <cell r="A501" t="str">
            <v>1000/1401       NPK 6-20-30</v>
          </cell>
          <cell r="J501">
            <v>3179.04</v>
          </cell>
        </row>
        <row r="502">
          <cell r="A502" t="str">
            <v>1000/1401       NPK 6-20-30</v>
          </cell>
          <cell r="J502">
            <v>0</v>
          </cell>
        </row>
        <row r="503">
          <cell r="A503" t="str">
            <v>1000/1401       NPK 6-20-30</v>
          </cell>
          <cell r="J503">
            <v>1103.8800000000001</v>
          </cell>
        </row>
        <row r="504">
          <cell r="A504" t="str">
            <v>1000/1401       NPK 6-20-30</v>
          </cell>
          <cell r="J504">
            <v>0</v>
          </cell>
        </row>
        <row r="505">
          <cell r="A505" t="str">
            <v>1000/1401       NPK 6-20-30</v>
          </cell>
          <cell r="J505">
            <v>0</v>
          </cell>
        </row>
        <row r="506">
          <cell r="A506" t="str">
            <v>1000/1401       NPK 6-20-30</v>
          </cell>
          <cell r="J506">
            <v>0</v>
          </cell>
        </row>
        <row r="507">
          <cell r="A507" t="str">
            <v>1000/1401       NPK 6-20-30</v>
          </cell>
          <cell r="J507">
            <v>8414.3999999999905</v>
          </cell>
        </row>
        <row r="508">
          <cell r="A508" t="str">
            <v>1000/1401       NPK 6-20-30</v>
          </cell>
          <cell r="J508">
            <v>0</v>
          </cell>
        </row>
        <row r="509">
          <cell r="A509" t="str">
            <v>1000/1401       NPK 6-20-30</v>
          </cell>
          <cell r="J509">
            <v>3493.38</v>
          </cell>
        </row>
        <row r="510">
          <cell r="A510" t="str">
            <v>1000/1401       NPK 6-20-30</v>
          </cell>
          <cell r="J510">
            <v>0</v>
          </cell>
        </row>
        <row r="511">
          <cell r="A511" t="str">
            <v>1000/1401       NPK 6-20-30</v>
          </cell>
          <cell r="J511">
            <v>0</v>
          </cell>
        </row>
        <row r="512">
          <cell r="A512" t="str">
            <v>1000/1401       NPK 6-20-30</v>
          </cell>
          <cell r="J512">
            <v>0</v>
          </cell>
        </row>
        <row r="513">
          <cell r="A513" t="str">
            <v>1000/1401       NPK 6-20-30</v>
          </cell>
          <cell r="J513">
            <v>0</v>
          </cell>
        </row>
        <row r="514">
          <cell r="A514" t="str">
            <v>1000/1401       NPK 6-20-30</v>
          </cell>
          <cell r="J514">
            <v>0</v>
          </cell>
        </row>
        <row r="515">
          <cell r="A515" t="str">
            <v>1000/1401       NPK 6-20-30</v>
          </cell>
          <cell r="J515">
            <v>6966.96</v>
          </cell>
        </row>
        <row r="516">
          <cell r="A516" t="str">
            <v>1000/1401       NPK 6-20-30</v>
          </cell>
          <cell r="J516">
            <v>3408.48</v>
          </cell>
        </row>
        <row r="517">
          <cell r="A517" t="str">
            <v>1000/1401       NPK 6-20-30</v>
          </cell>
          <cell r="J517">
            <v>0</v>
          </cell>
        </row>
        <row r="518">
          <cell r="A518" t="str">
            <v>1000/1401       NPK 6-20-30</v>
          </cell>
          <cell r="J518">
            <v>0</v>
          </cell>
        </row>
        <row r="519">
          <cell r="A519" t="str">
            <v>1000/1401       NPK 6-20-30</v>
          </cell>
          <cell r="J519">
            <v>0</v>
          </cell>
        </row>
        <row r="520">
          <cell r="A520" t="str">
            <v>1000/1401       NPK 6-20-30</v>
          </cell>
          <cell r="J520">
            <v>20298.04</v>
          </cell>
        </row>
        <row r="521">
          <cell r="A521" t="str">
            <v>1000/1401       NPK 6-20-30</v>
          </cell>
          <cell r="J521">
            <v>0</v>
          </cell>
        </row>
        <row r="522">
          <cell r="A522" t="str">
            <v>1000/1401       NPK 6-20-30</v>
          </cell>
          <cell r="J522">
            <v>0</v>
          </cell>
        </row>
        <row r="523">
          <cell r="A523" t="str">
            <v>1000/1401       NPK 6-20-30</v>
          </cell>
          <cell r="J523">
            <v>0</v>
          </cell>
        </row>
        <row r="524">
          <cell r="A524" t="str">
            <v>1000/1401       NPK 6-20-30</v>
          </cell>
          <cell r="J524">
            <v>4341.6000000000004</v>
          </cell>
        </row>
        <row r="525">
          <cell r="A525" t="str">
            <v>1000/1401       NPK 6-20-30</v>
          </cell>
          <cell r="J525">
            <v>0</v>
          </cell>
        </row>
        <row r="526">
          <cell r="A526" t="str">
            <v>1000/1401       NPK 6-20-30</v>
          </cell>
          <cell r="J526">
            <v>0</v>
          </cell>
        </row>
        <row r="527">
          <cell r="A527" t="str">
            <v>1000/1401       NPK 6-20-30</v>
          </cell>
          <cell r="J527">
            <v>0</v>
          </cell>
        </row>
        <row r="528">
          <cell r="A528" t="str">
            <v>1000/1401       NPK 6-20-30</v>
          </cell>
          <cell r="J528">
            <v>1345.53</v>
          </cell>
        </row>
        <row r="529">
          <cell r="A529" t="str">
            <v>1000/1401       NPK 6-20-30</v>
          </cell>
          <cell r="J529">
            <v>1992.72</v>
          </cell>
        </row>
        <row r="530">
          <cell r="A530" t="str">
            <v>1000/1401       NPK 6-20-30</v>
          </cell>
          <cell r="J530">
            <v>0</v>
          </cell>
        </row>
        <row r="531">
          <cell r="A531" t="str">
            <v>1000/1401       NPK 6-20-30</v>
          </cell>
          <cell r="J531">
            <v>4451.4799999999896</v>
          </cell>
        </row>
        <row r="532">
          <cell r="A532" t="str">
            <v>1000/1401       NPK 6-20-30</v>
          </cell>
          <cell r="J532">
            <v>0</v>
          </cell>
        </row>
        <row r="533">
          <cell r="A533" t="str">
            <v>1000/1401       NPK 6-20-30</v>
          </cell>
          <cell r="J533">
            <v>16929.36</v>
          </cell>
        </row>
        <row r="534">
          <cell r="A534" t="str">
            <v>1000/1401       NPK 6-20-30</v>
          </cell>
          <cell r="J534">
            <v>11684.28</v>
          </cell>
        </row>
        <row r="535">
          <cell r="A535" t="str">
            <v>1000/1401       NPK 6-20-30</v>
          </cell>
          <cell r="J535">
            <v>7305.6999999999898</v>
          </cell>
        </row>
        <row r="536">
          <cell r="A536" t="str">
            <v>1000/1401       NPK 6-20-30</v>
          </cell>
          <cell r="J536">
            <v>0</v>
          </cell>
        </row>
        <row r="537">
          <cell r="A537" t="str">
            <v>1000/1401       NPK 6-20-30</v>
          </cell>
          <cell r="J537">
            <v>3782.1599999999899</v>
          </cell>
        </row>
        <row r="538">
          <cell r="A538" t="str">
            <v>1000/1401       NPK 6-20-30</v>
          </cell>
          <cell r="J538">
            <v>0</v>
          </cell>
        </row>
        <row r="539">
          <cell r="A539" t="str">
            <v>1000/1401       NPK 6-20-30</v>
          </cell>
          <cell r="J539">
            <v>1261.4000000000001</v>
          </cell>
        </row>
        <row r="540">
          <cell r="A540" t="str">
            <v>1000/1401       NPK 6-20-30</v>
          </cell>
          <cell r="J540">
            <v>1685.8099999999899</v>
          </cell>
        </row>
        <row r="541">
          <cell r="A541" t="str">
            <v>1000/1401       NPK 6-20-30</v>
          </cell>
          <cell r="J541">
            <v>0</v>
          </cell>
        </row>
        <row r="542">
          <cell r="A542" t="str">
            <v>1000/1401       NPK 6-20-30</v>
          </cell>
          <cell r="J542">
            <v>1344.96</v>
          </cell>
        </row>
        <row r="543">
          <cell r="A543" t="str">
            <v>1000/1401       NPK 6-20-30</v>
          </cell>
          <cell r="J543">
            <v>12070.799999999899</v>
          </cell>
        </row>
        <row r="544">
          <cell r="A544" t="str">
            <v>1000/1401       NPK 6-20-30</v>
          </cell>
          <cell r="J544">
            <v>1855.3199999999899</v>
          </cell>
        </row>
        <row r="545">
          <cell r="A545" t="str">
            <v>1000/1401       NPK 6-20-30</v>
          </cell>
          <cell r="J545">
            <v>1242.24</v>
          </cell>
        </row>
        <row r="546">
          <cell r="A546" t="str">
            <v>1000/1401       NPK 6-20-30</v>
          </cell>
          <cell r="J546">
            <v>0</v>
          </cell>
        </row>
        <row r="547">
          <cell r="A547" t="str">
            <v>1000/1401       NPK 6-20-30</v>
          </cell>
          <cell r="J547">
            <v>0</v>
          </cell>
        </row>
        <row r="548">
          <cell r="A548" t="str">
            <v>1000/1401       NPK 6-20-30</v>
          </cell>
          <cell r="J548">
            <v>0</v>
          </cell>
        </row>
        <row r="549">
          <cell r="A549" t="str">
            <v>1000/1401       NPK 6-20-30</v>
          </cell>
          <cell r="J549">
            <v>1524</v>
          </cell>
        </row>
        <row r="550">
          <cell r="A550" t="str">
            <v>1000/1401       NPK 6-20-30</v>
          </cell>
          <cell r="J550">
            <v>1068.3599999999899</v>
          </cell>
        </row>
        <row r="551">
          <cell r="A551" t="str">
            <v>1000/1401       NPK 6-20-30</v>
          </cell>
          <cell r="J551">
            <v>1194.6600000000001</v>
          </cell>
        </row>
        <row r="552">
          <cell r="A552" t="str">
            <v>1000/1401       NPK 6-20-30</v>
          </cell>
          <cell r="J552">
            <v>0</v>
          </cell>
        </row>
        <row r="553">
          <cell r="A553" t="str">
            <v>1000/1401       NPK 6-20-30</v>
          </cell>
          <cell r="J553">
            <v>0</v>
          </cell>
        </row>
        <row r="554">
          <cell r="A554" t="str">
            <v>1000/1401       NPK 6-20-30</v>
          </cell>
          <cell r="J554">
            <v>0</v>
          </cell>
        </row>
        <row r="555">
          <cell r="A555" t="str">
            <v>1000/1401       NPK 6-20-30</v>
          </cell>
          <cell r="J555">
            <v>0</v>
          </cell>
        </row>
        <row r="556">
          <cell r="A556" t="str">
            <v>1000/1401       NPK 6-20-30</v>
          </cell>
          <cell r="J556">
            <v>0</v>
          </cell>
        </row>
        <row r="557">
          <cell r="A557" t="str">
            <v>1000/1401       NPK 6-20-30</v>
          </cell>
          <cell r="J557">
            <v>0</v>
          </cell>
        </row>
        <row r="558">
          <cell r="A558" t="str">
            <v>1000/1401       NPK 6-20-30</v>
          </cell>
          <cell r="J558">
            <v>0</v>
          </cell>
        </row>
        <row r="559">
          <cell r="A559" t="str">
            <v>1000/1401       NPK 6-20-30</v>
          </cell>
          <cell r="J559">
            <v>1021.92</v>
          </cell>
        </row>
        <row r="560">
          <cell r="A560" t="str">
            <v>1000/1401       NPK 6-20-30</v>
          </cell>
          <cell r="J560">
            <v>1261.4000000000001</v>
          </cell>
        </row>
        <row r="561">
          <cell r="A561" t="str">
            <v>1000/1401       NPK 6-20-30</v>
          </cell>
          <cell r="J561">
            <v>0</v>
          </cell>
        </row>
        <row r="562">
          <cell r="A562" t="str">
            <v>1000/1401       NPK 6-20-30</v>
          </cell>
          <cell r="J562">
            <v>5733.84</v>
          </cell>
        </row>
        <row r="563">
          <cell r="A563" t="str">
            <v>1000/1401       NPK 6-20-30</v>
          </cell>
          <cell r="J563">
            <v>0</v>
          </cell>
        </row>
        <row r="564">
          <cell r="A564" t="str">
            <v>1000/1401       NPK 6-20-30</v>
          </cell>
          <cell r="J564">
            <v>3629.1799999999898</v>
          </cell>
        </row>
        <row r="565">
          <cell r="A565" t="str">
            <v>1000/1401       NPK 6-20-30</v>
          </cell>
          <cell r="J565">
            <v>0</v>
          </cell>
        </row>
        <row r="566">
          <cell r="A566" t="str">
            <v>1000/1401       NPK 6-20-30</v>
          </cell>
          <cell r="J566">
            <v>1495.44</v>
          </cell>
        </row>
        <row r="567">
          <cell r="A567" t="str">
            <v>1000/1401       NPK 6-20-30</v>
          </cell>
          <cell r="J567">
            <v>29486.639999999901</v>
          </cell>
        </row>
        <row r="568">
          <cell r="A568" t="str">
            <v>1000/1401       NPK 6-20-30</v>
          </cell>
          <cell r="J568">
            <v>0</v>
          </cell>
        </row>
        <row r="569">
          <cell r="A569" t="str">
            <v>1000/1401       NPK 6-20-30</v>
          </cell>
          <cell r="J569">
            <v>0</v>
          </cell>
        </row>
        <row r="570">
          <cell r="A570" t="str">
            <v>1000/1401       NPK 6-20-30</v>
          </cell>
          <cell r="J570">
            <v>0</v>
          </cell>
        </row>
        <row r="571">
          <cell r="A571" t="str">
            <v>1000/1401       NPK 6-20-30</v>
          </cell>
          <cell r="J571">
            <v>1404</v>
          </cell>
        </row>
        <row r="572">
          <cell r="A572" t="str">
            <v>1000/1401       NPK 6-20-30</v>
          </cell>
          <cell r="J572">
            <v>0</v>
          </cell>
        </row>
        <row r="573">
          <cell r="A573" t="str">
            <v>1000/1401       NPK 6-20-30</v>
          </cell>
          <cell r="J573">
            <v>4371.1199999999899</v>
          </cell>
        </row>
        <row r="574">
          <cell r="A574" t="str">
            <v>1000/1401       NPK 6-20-30</v>
          </cell>
          <cell r="J574">
            <v>2119.1999999999898</v>
          </cell>
        </row>
        <row r="575">
          <cell r="A575" t="str">
            <v>1000/1401       NPK 6-20-30</v>
          </cell>
          <cell r="J575">
            <v>0</v>
          </cell>
        </row>
        <row r="576">
          <cell r="A576" t="str">
            <v>1000/1401       NPK 6-20-30</v>
          </cell>
          <cell r="J576">
            <v>7452.4799999999896</v>
          </cell>
        </row>
        <row r="577">
          <cell r="A577" t="str">
            <v>1000/1401       NPK 6-20-30</v>
          </cell>
          <cell r="J577">
            <v>37732.800000000003</v>
          </cell>
        </row>
        <row r="578">
          <cell r="A578" t="str">
            <v>1000/1401       NPK 6-20-30</v>
          </cell>
          <cell r="J578">
            <v>24.32</v>
          </cell>
        </row>
        <row r="579">
          <cell r="A579" t="str">
            <v>1000/1402       NPK 8-24-24</v>
          </cell>
          <cell r="J579">
            <v>0</v>
          </cell>
        </row>
        <row r="580">
          <cell r="A580" t="str">
            <v>1000/1402       NPK 8-24-24</v>
          </cell>
          <cell r="J580">
            <v>0</v>
          </cell>
        </row>
        <row r="581">
          <cell r="A581" t="str">
            <v>1000/1402       NPK 8-24-24</v>
          </cell>
          <cell r="J581">
            <v>0</v>
          </cell>
        </row>
        <row r="582">
          <cell r="A582" t="str">
            <v>1000/1402       NPK 8-24-24</v>
          </cell>
          <cell r="J582">
            <v>0</v>
          </cell>
        </row>
        <row r="583">
          <cell r="A583" t="str">
            <v>1000/1402       NPK 8-24-24</v>
          </cell>
          <cell r="J583">
            <v>4040.6399999999899</v>
          </cell>
        </row>
        <row r="584">
          <cell r="A584" t="str">
            <v>1000/1402       NPK 8-24-24</v>
          </cell>
          <cell r="J584">
            <v>0</v>
          </cell>
        </row>
        <row r="585">
          <cell r="A585" t="str">
            <v>1000/1402       NPK 8-24-24</v>
          </cell>
          <cell r="J585">
            <v>2554.3200000000002</v>
          </cell>
        </row>
        <row r="586">
          <cell r="A586" t="str">
            <v>1000/1402       NPK 8-24-24</v>
          </cell>
          <cell r="J586">
            <v>6228.72</v>
          </cell>
        </row>
        <row r="587">
          <cell r="A587" t="str">
            <v>1000/1402       NPK 8-24-24</v>
          </cell>
          <cell r="J587">
            <v>985.55999999999904</v>
          </cell>
        </row>
        <row r="588">
          <cell r="A588" t="str">
            <v>1000/1402       NPK 8-24-24</v>
          </cell>
          <cell r="J588">
            <v>0</v>
          </cell>
        </row>
        <row r="589">
          <cell r="A589" t="str">
            <v>1000/1402       NPK 8-24-24</v>
          </cell>
          <cell r="J589">
            <v>0</v>
          </cell>
        </row>
        <row r="590">
          <cell r="A590" t="str">
            <v>1000/1402       NPK 8-24-24</v>
          </cell>
          <cell r="J590">
            <v>1300.8</v>
          </cell>
        </row>
        <row r="591">
          <cell r="A591" t="str">
            <v>1000/1402       NPK 8-24-24</v>
          </cell>
          <cell r="J591">
            <v>9478.9799999999905</v>
          </cell>
        </row>
        <row r="592">
          <cell r="A592" t="str">
            <v>1000/1402       NPK 8-24-24</v>
          </cell>
          <cell r="J592">
            <v>0</v>
          </cell>
        </row>
        <row r="593">
          <cell r="A593" t="str">
            <v>1000/1402       NPK 8-24-24</v>
          </cell>
          <cell r="J593">
            <v>2938.0799999999899</v>
          </cell>
        </row>
        <row r="594">
          <cell r="A594" t="str">
            <v>1000/1402       NPK 8-24-24</v>
          </cell>
          <cell r="J594">
            <v>0</v>
          </cell>
        </row>
        <row r="595">
          <cell r="A595" t="str">
            <v>1000/1402       NPK 8-24-24</v>
          </cell>
          <cell r="J595">
            <v>3003.84</v>
          </cell>
        </row>
        <row r="596">
          <cell r="A596" t="str">
            <v>1000/1402       NPK 8-24-24</v>
          </cell>
          <cell r="J596">
            <v>0</v>
          </cell>
        </row>
        <row r="597">
          <cell r="A597" t="str">
            <v>1000/1402       NPK 8-24-24</v>
          </cell>
          <cell r="J597">
            <v>0</v>
          </cell>
        </row>
        <row r="598">
          <cell r="A598" t="str">
            <v>1000/1402       NPK 8-24-24</v>
          </cell>
          <cell r="J598">
            <v>0</v>
          </cell>
        </row>
        <row r="599">
          <cell r="A599" t="str">
            <v>1000/1402       NPK 8-24-24</v>
          </cell>
          <cell r="J599">
            <v>11170.2</v>
          </cell>
        </row>
        <row r="600">
          <cell r="A600" t="str">
            <v>1000/1402       NPK 8-24-24</v>
          </cell>
          <cell r="J600">
            <v>0</v>
          </cell>
        </row>
        <row r="601">
          <cell r="A601" t="str">
            <v>1000/1402       NPK 8-24-24</v>
          </cell>
          <cell r="J601">
            <v>2719.92</v>
          </cell>
        </row>
        <row r="602">
          <cell r="A602" t="str">
            <v>1000/1402       NPK 8-24-24</v>
          </cell>
          <cell r="J602">
            <v>0</v>
          </cell>
        </row>
        <row r="603">
          <cell r="A603" t="str">
            <v>1000/1402       NPK 8-24-24</v>
          </cell>
          <cell r="J603">
            <v>0</v>
          </cell>
        </row>
        <row r="604">
          <cell r="A604" t="str">
            <v>1000/1402       NPK 8-24-24</v>
          </cell>
          <cell r="J604">
            <v>2995.92</v>
          </cell>
        </row>
        <row r="605">
          <cell r="A605" t="str">
            <v>1000/1402       NPK 8-24-24</v>
          </cell>
          <cell r="J605">
            <v>0</v>
          </cell>
        </row>
        <row r="606">
          <cell r="A606" t="str">
            <v>1000/1402       NPK 8-24-24</v>
          </cell>
          <cell r="J606">
            <v>1100.8800000000001</v>
          </cell>
        </row>
        <row r="607">
          <cell r="A607" t="str">
            <v>1000/1402       NPK 8-24-24</v>
          </cell>
          <cell r="J607">
            <v>0</v>
          </cell>
        </row>
        <row r="608">
          <cell r="A608" t="str">
            <v>1000/1402       NPK 8-24-24</v>
          </cell>
          <cell r="J608">
            <v>0</v>
          </cell>
        </row>
        <row r="609">
          <cell r="A609" t="str">
            <v>1000/1402       NPK 8-24-24</v>
          </cell>
          <cell r="J609">
            <v>13142.879999999899</v>
          </cell>
        </row>
        <row r="610">
          <cell r="A610" t="str">
            <v>1000/1402       NPK 8-24-24</v>
          </cell>
          <cell r="J610">
            <v>0</v>
          </cell>
        </row>
        <row r="611">
          <cell r="A611" t="str">
            <v>1000/1402       NPK 8-24-24</v>
          </cell>
          <cell r="J611">
            <v>1637.28</v>
          </cell>
        </row>
        <row r="612">
          <cell r="A612" t="str">
            <v>1000/1402       NPK 8-24-24</v>
          </cell>
          <cell r="J612">
            <v>0</v>
          </cell>
        </row>
        <row r="613">
          <cell r="A613" t="str">
            <v>1000/1402       NPK 8-24-24</v>
          </cell>
          <cell r="J613">
            <v>0</v>
          </cell>
        </row>
        <row r="614">
          <cell r="A614" t="str">
            <v>1000/1402       NPK 8-24-24</v>
          </cell>
          <cell r="J614">
            <v>0</v>
          </cell>
        </row>
        <row r="615">
          <cell r="A615" t="str">
            <v>1000/1402       NPK 8-24-24</v>
          </cell>
          <cell r="J615">
            <v>6228.72</v>
          </cell>
        </row>
        <row r="616">
          <cell r="A616" t="str">
            <v>1000/1402       NPK 8-24-24</v>
          </cell>
          <cell r="J616">
            <v>0</v>
          </cell>
        </row>
        <row r="617">
          <cell r="A617" t="str">
            <v>1000/1402       NPK 8-24-24</v>
          </cell>
          <cell r="J617">
            <v>6370.8199999999897</v>
          </cell>
        </row>
        <row r="618">
          <cell r="A618" t="str">
            <v>1000/1402       NPK 8-24-24</v>
          </cell>
          <cell r="J618">
            <v>0</v>
          </cell>
        </row>
        <row r="619">
          <cell r="A619" t="str">
            <v>1000/1402       NPK 8-24-24</v>
          </cell>
          <cell r="J619">
            <v>0</v>
          </cell>
        </row>
        <row r="620">
          <cell r="A620" t="str">
            <v>1000/1402       NPK 8-24-24</v>
          </cell>
          <cell r="J620">
            <v>0</v>
          </cell>
        </row>
        <row r="621">
          <cell r="A621" t="str">
            <v>1000/1402       NPK 8-24-24</v>
          </cell>
          <cell r="J621">
            <v>0</v>
          </cell>
        </row>
        <row r="622">
          <cell r="A622" t="str">
            <v>1000/1402       NPK 8-24-24</v>
          </cell>
          <cell r="J622">
            <v>821.29999999999905</v>
          </cell>
        </row>
        <row r="623">
          <cell r="A623" t="str">
            <v>1000/1402       NPK 8-24-24</v>
          </cell>
          <cell r="J623">
            <v>1944</v>
          </cell>
        </row>
        <row r="624">
          <cell r="A624" t="str">
            <v>1000/1402       NPK 8-24-24</v>
          </cell>
          <cell r="J624">
            <v>10588.66</v>
          </cell>
        </row>
        <row r="625">
          <cell r="A625" t="str">
            <v>1000/1402       NPK 8-24-24</v>
          </cell>
          <cell r="J625">
            <v>0</v>
          </cell>
        </row>
        <row r="626">
          <cell r="A626" t="str">
            <v>1000/1402       NPK 8-24-24</v>
          </cell>
          <cell r="J626">
            <v>1788.75</v>
          </cell>
        </row>
        <row r="627">
          <cell r="A627" t="str">
            <v>1000/1402       NPK 8-24-24</v>
          </cell>
          <cell r="J627">
            <v>0</v>
          </cell>
        </row>
        <row r="628">
          <cell r="A628" t="str">
            <v>1000/1402       NPK 8-24-24</v>
          </cell>
          <cell r="J628">
            <v>1301.52</v>
          </cell>
        </row>
        <row r="629">
          <cell r="A629" t="str">
            <v>1000/1402       NPK 8-24-24</v>
          </cell>
          <cell r="J629">
            <v>4300.1899999999896</v>
          </cell>
        </row>
        <row r="630">
          <cell r="A630" t="str">
            <v>1000/1402       NPK 8-24-24</v>
          </cell>
          <cell r="J630">
            <v>0</v>
          </cell>
        </row>
        <row r="631">
          <cell r="A631" t="str">
            <v>1000/1402       NPK 8-24-24</v>
          </cell>
          <cell r="J631">
            <v>0</v>
          </cell>
        </row>
        <row r="632">
          <cell r="A632" t="str">
            <v>1000/1402       NPK 8-24-24</v>
          </cell>
          <cell r="J632">
            <v>3114.36</v>
          </cell>
        </row>
        <row r="633">
          <cell r="A633" t="str">
            <v>1000/1402       NPK 8-24-24</v>
          </cell>
          <cell r="J633">
            <v>19559.16</v>
          </cell>
        </row>
        <row r="634">
          <cell r="A634" t="str">
            <v>1000/1402       NPK 8-24-24</v>
          </cell>
          <cell r="J634">
            <v>0</v>
          </cell>
        </row>
        <row r="635">
          <cell r="A635" t="str">
            <v>1000/1402       NPK 8-24-24</v>
          </cell>
          <cell r="J635">
            <v>0</v>
          </cell>
        </row>
        <row r="636">
          <cell r="A636" t="str">
            <v>1000/1402       NPK 8-24-24</v>
          </cell>
          <cell r="J636">
            <v>3942.2399999999898</v>
          </cell>
        </row>
        <row r="637">
          <cell r="A637" t="str">
            <v>1000/1402       NPK 8-24-24</v>
          </cell>
          <cell r="J637">
            <v>9720</v>
          </cell>
        </row>
        <row r="638">
          <cell r="A638" t="str">
            <v>1000/1402       NPK 8-24-24</v>
          </cell>
          <cell r="J638">
            <v>137946.72</v>
          </cell>
        </row>
        <row r="639">
          <cell r="A639" t="str">
            <v>1000/1402       NPK 8-24-24</v>
          </cell>
          <cell r="J639">
            <v>6025.3999999999896</v>
          </cell>
        </row>
        <row r="640">
          <cell r="A640" t="str">
            <v>1000/1402       NPK 8-24-24</v>
          </cell>
          <cell r="J640">
            <v>0</v>
          </cell>
        </row>
        <row r="641">
          <cell r="A641" t="str">
            <v>1000/1402       NPK 8-24-24</v>
          </cell>
          <cell r="J641">
            <v>3085.44</v>
          </cell>
        </row>
        <row r="642">
          <cell r="A642" t="str">
            <v>1000/1402       NPK 8-24-24</v>
          </cell>
          <cell r="J642">
            <v>0</v>
          </cell>
        </row>
        <row r="643">
          <cell r="A643" t="str">
            <v>1000/1402       NPK 8-24-24</v>
          </cell>
          <cell r="J643">
            <v>6610.56</v>
          </cell>
        </row>
        <row r="644">
          <cell r="A644" t="str">
            <v>1000/1402       NPK 8-24-24</v>
          </cell>
          <cell r="J644">
            <v>0</v>
          </cell>
        </row>
        <row r="645">
          <cell r="A645" t="str">
            <v>1000/1402       NPK 8-24-24</v>
          </cell>
          <cell r="J645">
            <v>8763.3999999999905</v>
          </cell>
        </row>
        <row r="646">
          <cell r="A646" t="str">
            <v>1000/1402       NPK 8-24-24</v>
          </cell>
          <cell r="J646">
            <v>28232.04</v>
          </cell>
        </row>
        <row r="647">
          <cell r="A647" t="str">
            <v>1000/1402       NPK 8-24-24</v>
          </cell>
          <cell r="J647">
            <v>1866.24</v>
          </cell>
        </row>
        <row r="648">
          <cell r="A648" t="str">
            <v>1000/1402       NPK 8-24-24</v>
          </cell>
          <cell r="J648">
            <v>1518.96</v>
          </cell>
        </row>
        <row r="649">
          <cell r="A649" t="str">
            <v>1000/1402       NPK 8-24-24</v>
          </cell>
          <cell r="J649">
            <v>3137.76</v>
          </cell>
        </row>
        <row r="650">
          <cell r="A650" t="str">
            <v>1000/1402       NPK 8-24-24</v>
          </cell>
          <cell r="J650">
            <v>1892.16</v>
          </cell>
        </row>
        <row r="651">
          <cell r="A651" t="str">
            <v>1000/1402       NPK 8-24-24</v>
          </cell>
          <cell r="J651">
            <v>3300.84</v>
          </cell>
        </row>
        <row r="652">
          <cell r="A652" t="str">
            <v>1000/1402       NPK 8-24-24</v>
          </cell>
          <cell r="J652">
            <v>0</v>
          </cell>
        </row>
        <row r="653">
          <cell r="A653" t="str">
            <v>1000/1402       NPK 8-24-24</v>
          </cell>
          <cell r="J653">
            <v>0</v>
          </cell>
        </row>
        <row r="654">
          <cell r="A654" t="str">
            <v>1000/1402       NPK 8-24-24</v>
          </cell>
          <cell r="J654">
            <v>4513.8</v>
          </cell>
        </row>
        <row r="655">
          <cell r="A655" t="str">
            <v>1000/1402       NPK 8-24-24</v>
          </cell>
          <cell r="J655">
            <v>0</v>
          </cell>
        </row>
        <row r="656">
          <cell r="A656" t="str">
            <v>1000/1402       NPK 8-24-24</v>
          </cell>
          <cell r="J656">
            <v>1684.5599999999899</v>
          </cell>
        </row>
        <row r="657">
          <cell r="A657" t="str">
            <v>1000/1402       NPK 8-24-24</v>
          </cell>
          <cell r="J657">
            <v>0</v>
          </cell>
        </row>
        <row r="658">
          <cell r="A658" t="str">
            <v>1000/1402       NPK 8-24-24</v>
          </cell>
          <cell r="J658">
            <v>2922.48</v>
          </cell>
        </row>
        <row r="659">
          <cell r="A659" t="str">
            <v>1000/1402       NPK 8-24-24</v>
          </cell>
          <cell r="J659">
            <v>876.36</v>
          </cell>
        </row>
        <row r="660">
          <cell r="A660" t="str">
            <v>1000/1402       NPK 8-24-24</v>
          </cell>
          <cell r="J660">
            <v>0</v>
          </cell>
        </row>
        <row r="661">
          <cell r="A661" t="str">
            <v>1000/1402       NPK 8-24-24</v>
          </cell>
          <cell r="J661">
            <v>0</v>
          </cell>
        </row>
        <row r="662">
          <cell r="A662" t="str">
            <v>1000/1402       NPK 8-24-24</v>
          </cell>
          <cell r="J662">
            <v>0</v>
          </cell>
        </row>
        <row r="663">
          <cell r="A663" t="str">
            <v>1000/1402       NPK 8-24-24</v>
          </cell>
          <cell r="J663">
            <v>0</v>
          </cell>
        </row>
        <row r="664">
          <cell r="A664" t="str">
            <v>1000/1402       NPK 8-24-24</v>
          </cell>
          <cell r="J664">
            <v>0</v>
          </cell>
        </row>
        <row r="665">
          <cell r="A665" t="str">
            <v>1000/1402       NPK 8-24-24</v>
          </cell>
          <cell r="J665">
            <v>5906.5799999999899</v>
          </cell>
        </row>
        <row r="666">
          <cell r="A666" t="str">
            <v>1000/1402       NPK 8-24-24</v>
          </cell>
          <cell r="J666">
            <v>0</v>
          </cell>
        </row>
        <row r="667">
          <cell r="A667" t="str">
            <v>1000/1402       NPK 8-24-24</v>
          </cell>
          <cell r="J667">
            <v>0</v>
          </cell>
        </row>
        <row r="668">
          <cell r="A668" t="str">
            <v>1000/1402       NPK 8-24-24</v>
          </cell>
          <cell r="J668">
            <v>5162.1599999999899</v>
          </cell>
        </row>
        <row r="669">
          <cell r="A669" t="str">
            <v>1000/1402       NPK 8-24-24</v>
          </cell>
          <cell r="J669">
            <v>0</v>
          </cell>
        </row>
        <row r="670">
          <cell r="A670" t="str">
            <v>1000/1402       NPK 8-24-24</v>
          </cell>
          <cell r="J670">
            <v>1590.72</v>
          </cell>
        </row>
        <row r="671">
          <cell r="A671" t="str">
            <v>1000/1402       NPK 8-24-24</v>
          </cell>
          <cell r="J671">
            <v>2600.92</v>
          </cell>
        </row>
        <row r="672">
          <cell r="A672" t="str">
            <v>1000/1402       NPK 8-24-24</v>
          </cell>
          <cell r="J672">
            <v>0</v>
          </cell>
        </row>
        <row r="673">
          <cell r="A673" t="str">
            <v>1000/1402       NPK 8-24-24</v>
          </cell>
          <cell r="J673">
            <v>0</v>
          </cell>
        </row>
        <row r="674">
          <cell r="A674" t="str">
            <v>1000/1402       NPK 8-24-24</v>
          </cell>
          <cell r="J674">
            <v>2021.39</v>
          </cell>
        </row>
        <row r="675">
          <cell r="A675" t="str">
            <v>1000/1402       NPK 8-24-24</v>
          </cell>
          <cell r="J675">
            <v>16231.44</v>
          </cell>
        </row>
        <row r="676">
          <cell r="A676" t="str">
            <v>1000/1402       NPK 8-24-24</v>
          </cell>
          <cell r="J676">
            <v>0</v>
          </cell>
        </row>
        <row r="677">
          <cell r="A677" t="str">
            <v>1000/1402       NPK 8-24-24</v>
          </cell>
          <cell r="J677">
            <v>2721.5999999999899</v>
          </cell>
        </row>
        <row r="678">
          <cell r="A678" t="str">
            <v>1000/1402       NPK 8-24-24</v>
          </cell>
          <cell r="J678">
            <v>0</v>
          </cell>
        </row>
        <row r="679">
          <cell r="A679" t="str">
            <v>1000/1402       NPK 8-24-24</v>
          </cell>
          <cell r="J679">
            <v>0</v>
          </cell>
        </row>
        <row r="680">
          <cell r="A680" t="str">
            <v>1000/1402       NPK 8-24-24</v>
          </cell>
          <cell r="J680">
            <v>2155.44</v>
          </cell>
        </row>
        <row r="681">
          <cell r="A681" t="str">
            <v>1000/1402       NPK 8-24-24</v>
          </cell>
          <cell r="J681">
            <v>1399.68</v>
          </cell>
        </row>
        <row r="682">
          <cell r="A682" t="str">
            <v>1000/1402       NPK 8-24-24</v>
          </cell>
          <cell r="J682">
            <v>0</v>
          </cell>
        </row>
        <row r="683">
          <cell r="A683" t="str">
            <v>1000/1402       NPK 8-24-24</v>
          </cell>
          <cell r="J683">
            <v>1931.52</v>
          </cell>
        </row>
        <row r="684">
          <cell r="A684" t="str">
            <v>1000/1402       NPK 8-24-24</v>
          </cell>
          <cell r="J684">
            <v>2601.5999999999899</v>
          </cell>
        </row>
        <row r="685">
          <cell r="A685" t="str">
            <v>1000/1402       NPK 8-24-24</v>
          </cell>
          <cell r="J685">
            <v>0</v>
          </cell>
        </row>
        <row r="686">
          <cell r="A686" t="str">
            <v>1000/1402       NPK 8-24-24</v>
          </cell>
          <cell r="J686">
            <v>1779.1199999999899</v>
          </cell>
        </row>
        <row r="687">
          <cell r="A687" t="str">
            <v>1000/1402       NPK 8-24-24</v>
          </cell>
          <cell r="J687">
            <v>0</v>
          </cell>
        </row>
        <row r="688">
          <cell r="A688" t="str">
            <v>1000/1402       NPK 8-24-24</v>
          </cell>
          <cell r="J688">
            <v>1030.0799999999899</v>
          </cell>
        </row>
        <row r="689">
          <cell r="A689" t="str">
            <v>1000/1402       NPK 8-24-24</v>
          </cell>
          <cell r="J689">
            <v>1637.28</v>
          </cell>
        </row>
        <row r="690">
          <cell r="A690" t="str">
            <v>1000/1402       NPK 8-24-24</v>
          </cell>
          <cell r="J690">
            <v>1568.16</v>
          </cell>
        </row>
        <row r="691">
          <cell r="A691" t="str">
            <v>1000/1402       NPK 8-24-24</v>
          </cell>
          <cell r="J691">
            <v>965.75999999999897</v>
          </cell>
        </row>
        <row r="692">
          <cell r="A692" t="str">
            <v>1000/1402       NPK 8-24-24</v>
          </cell>
          <cell r="J692">
            <v>0</v>
          </cell>
        </row>
        <row r="693">
          <cell r="A693" t="str">
            <v>1000/1402       NPK 8-24-24</v>
          </cell>
          <cell r="J693">
            <v>1300.8</v>
          </cell>
        </row>
        <row r="694">
          <cell r="A694" t="str">
            <v>1000/1402       NPK 8-24-24</v>
          </cell>
          <cell r="J694">
            <v>2076.2399999999898</v>
          </cell>
        </row>
        <row r="695">
          <cell r="A695" t="str">
            <v>1000/1402       NPK 8-24-24</v>
          </cell>
          <cell r="J695">
            <v>675.36</v>
          </cell>
        </row>
        <row r="696">
          <cell r="A696" t="str">
            <v>1000/1402       NPK 8-24-24</v>
          </cell>
          <cell r="J696">
            <v>1999.3199999999899</v>
          </cell>
        </row>
        <row r="697">
          <cell r="A697" t="str">
            <v>1000/1402       NPK 8-24-24</v>
          </cell>
          <cell r="J697">
            <v>1390.18</v>
          </cell>
        </row>
        <row r="698">
          <cell r="A698" t="str">
            <v>1000/1402       NPK 8-24-24</v>
          </cell>
          <cell r="J698">
            <v>0</v>
          </cell>
        </row>
        <row r="699">
          <cell r="A699" t="str">
            <v>1000/1402       NPK 8-24-24</v>
          </cell>
          <cell r="J699">
            <v>2969.76</v>
          </cell>
        </row>
        <row r="700">
          <cell r="A700" t="str">
            <v>1000/1402       NPK 8-24-24</v>
          </cell>
          <cell r="J700">
            <v>2301.5999999999899</v>
          </cell>
        </row>
        <row r="701">
          <cell r="A701" t="str">
            <v>1000/1402       NPK 8-24-24</v>
          </cell>
          <cell r="J701">
            <v>4866.29</v>
          </cell>
        </row>
        <row r="702">
          <cell r="A702" t="str">
            <v>1000/1402       NPK 8-24-24</v>
          </cell>
          <cell r="J702">
            <v>0</v>
          </cell>
        </row>
        <row r="703">
          <cell r="A703" t="str">
            <v>1000/1402       NPK 8-24-24</v>
          </cell>
          <cell r="J703">
            <v>2063.2199999999898</v>
          </cell>
        </row>
        <row r="704">
          <cell r="A704" t="str">
            <v>1000/1402       NPK 8-24-24</v>
          </cell>
          <cell r="J704">
            <v>0</v>
          </cell>
        </row>
        <row r="705">
          <cell r="A705" t="str">
            <v>1000/1402       NPK 8-24-24</v>
          </cell>
          <cell r="J705">
            <v>4284.6000000000004</v>
          </cell>
        </row>
        <row r="706">
          <cell r="A706" t="str">
            <v>1000/1402       NPK 8-24-24</v>
          </cell>
          <cell r="J706">
            <v>0</v>
          </cell>
        </row>
        <row r="707">
          <cell r="A707" t="str">
            <v>1000/1402       NPK 8-24-24</v>
          </cell>
          <cell r="J707">
            <v>0</v>
          </cell>
        </row>
        <row r="708">
          <cell r="A708" t="str">
            <v>1000/1402       NPK 8-24-24</v>
          </cell>
          <cell r="J708">
            <v>9307.6</v>
          </cell>
        </row>
        <row r="709">
          <cell r="A709" t="str">
            <v>1000/1402       NPK 8-24-24</v>
          </cell>
          <cell r="J709">
            <v>0</v>
          </cell>
        </row>
        <row r="710">
          <cell r="A710" t="str">
            <v>1000/1402       NPK 8-24-24</v>
          </cell>
          <cell r="J710">
            <v>667.55999999999904</v>
          </cell>
        </row>
        <row r="711">
          <cell r="A711" t="str">
            <v>1000/1402       NPK 8-24-24</v>
          </cell>
          <cell r="J711">
            <v>0</v>
          </cell>
        </row>
        <row r="712">
          <cell r="A712" t="str">
            <v>1000/1402       NPK 8-24-24</v>
          </cell>
          <cell r="J712">
            <v>0</v>
          </cell>
        </row>
        <row r="713">
          <cell r="A713" t="str">
            <v>1000/1402       NPK 8-24-24</v>
          </cell>
          <cell r="J713">
            <v>0</v>
          </cell>
        </row>
        <row r="714">
          <cell r="A714" t="str">
            <v>1000/1402       NPK 8-24-24</v>
          </cell>
          <cell r="J714">
            <v>4091.6199999999899</v>
          </cell>
        </row>
        <row r="715">
          <cell r="A715" t="str">
            <v>1000/1402       NPK 8-24-24</v>
          </cell>
          <cell r="J715">
            <v>0</v>
          </cell>
        </row>
        <row r="716">
          <cell r="A716" t="str">
            <v>1000/1402       NPK 8-24-24</v>
          </cell>
          <cell r="J716">
            <v>2667.36</v>
          </cell>
        </row>
        <row r="717">
          <cell r="A717" t="str">
            <v>1000/1402       NPK 8-24-24</v>
          </cell>
          <cell r="J717">
            <v>0</v>
          </cell>
        </row>
        <row r="718">
          <cell r="A718" t="str">
            <v>1000/1402       NPK 8-24-24</v>
          </cell>
          <cell r="J718">
            <v>0</v>
          </cell>
        </row>
        <row r="719">
          <cell r="A719" t="str">
            <v>1000/1402       NPK 8-24-24</v>
          </cell>
          <cell r="J719">
            <v>952.55999999999904</v>
          </cell>
        </row>
        <row r="720">
          <cell r="A720" t="str">
            <v>1000/1402       NPK 8-24-24</v>
          </cell>
          <cell r="J720">
            <v>1038.1199999999899</v>
          </cell>
        </row>
        <row r="721">
          <cell r="A721" t="str">
            <v>1000/1402       NPK 8-24-24</v>
          </cell>
          <cell r="J721">
            <v>0</v>
          </cell>
        </row>
        <row r="722">
          <cell r="A722" t="str">
            <v>1000/1402       NPK 8-24-24</v>
          </cell>
          <cell r="J722">
            <v>650.39999999999895</v>
          </cell>
        </row>
        <row r="723">
          <cell r="A723" t="str">
            <v>1000/1402       NPK 8-24-24</v>
          </cell>
          <cell r="J723">
            <v>0</v>
          </cell>
        </row>
        <row r="724">
          <cell r="A724" t="str">
            <v>1000/1402       NPK 8-24-24</v>
          </cell>
          <cell r="J724">
            <v>4877.76</v>
          </cell>
        </row>
        <row r="725">
          <cell r="A725" t="str">
            <v>1000/1402       NPK 8-24-24</v>
          </cell>
          <cell r="J725">
            <v>1150.8</v>
          </cell>
        </row>
        <row r="726">
          <cell r="A726" t="str">
            <v>1000/1402       NPK 8-24-24</v>
          </cell>
          <cell r="J726">
            <v>651.67999999999904</v>
          </cell>
        </row>
        <row r="727">
          <cell r="A727" t="str">
            <v>1000/1402       NPK 8-24-24</v>
          </cell>
          <cell r="J727">
            <v>0</v>
          </cell>
        </row>
        <row r="728">
          <cell r="A728" t="str">
            <v>1000/1402       NPK 8-24-24</v>
          </cell>
          <cell r="J728">
            <v>1748.8</v>
          </cell>
        </row>
        <row r="729">
          <cell r="A729" t="str">
            <v>1000/1402       NPK 8-24-24</v>
          </cell>
          <cell r="J729">
            <v>0</v>
          </cell>
        </row>
        <row r="730">
          <cell r="A730" t="str">
            <v>1000/1402       NPK 8-24-24</v>
          </cell>
          <cell r="J730">
            <v>1443.93</v>
          </cell>
        </row>
        <row r="731">
          <cell r="A731" t="str">
            <v>1000/1402       NPK 8-24-24</v>
          </cell>
          <cell r="J731">
            <v>0</v>
          </cell>
        </row>
        <row r="732">
          <cell r="A732" t="str">
            <v>1000/1402       NPK 8-24-24</v>
          </cell>
          <cell r="J732">
            <v>0</v>
          </cell>
        </row>
        <row r="733">
          <cell r="A733" t="str">
            <v>1000/1402       NPK 8-24-24</v>
          </cell>
          <cell r="J733">
            <v>4099.92</v>
          </cell>
        </row>
        <row r="734">
          <cell r="A734" t="str">
            <v>1000/1402       NPK 8-24-24</v>
          </cell>
          <cell r="J734">
            <v>1779.1199999999899</v>
          </cell>
        </row>
        <row r="735">
          <cell r="A735" t="str">
            <v>1000/1402       NPK 8-24-24</v>
          </cell>
          <cell r="J735">
            <v>7416.1199999999899</v>
          </cell>
        </row>
        <row r="736">
          <cell r="A736" t="str">
            <v>1000/1402       NPK 8-24-24</v>
          </cell>
          <cell r="J736">
            <v>0</v>
          </cell>
        </row>
        <row r="737">
          <cell r="A737" t="str">
            <v>1000/1402       NPK 8-24-24</v>
          </cell>
          <cell r="J737">
            <v>985.55999999999904</v>
          </cell>
        </row>
        <row r="738">
          <cell r="A738" t="str">
            <v>1000/1402       NPK 8-24-24</v>
          </cell>
          <cell r="J738">
            <v>19105.8499999999</v>
          </cell>
        </row>
        <row r="739">
          <cell r="A739" t="str">
            <v>1000/1402       NPK 8-24-24</v>
          </cell>
          <cell r="J739">
            <v>5902.3199999999897</v>
          </cell>
        </row>
        <row r="740">
          <cell r="A740" t="str">
            <v>1000/1402       NPK 8-24-24</v>
          </cell>
          <cell r="J740">
            <v>0</v>
          </cell>
        </row>
        <row r="741">
          <cell r="A741" t="str">
            <v>1000/1402       NPK 8-24-24</v>
          </cell>
          <cell r="J741">
            <v>1327.2</v>
          </cell>
        </row>
        <row r="742">
          <cell r="A742" t="str">
            <v>1000/1402       NPK 8-24-24</v>
          </cell>
          <cell r="J742">
            <v>0</v>
          </cell>
        </row>
        <row r="743">
          <cell r="A743" t="str">
            <v>1000/1402       NPK 8-24-24</v>
          </cell>
          <cell r="J743">
            <v>3085.44</v>
          </cell>
        </row>
        <row r="744">
          <cell r="A744" t="str">
            <v>1000/1402       NPK 8-24-24</v>
          </cell>
          <cell r="J744">
            <v>0</v>
          </cell>
        </row>
        <row r="745">
          <cell r="A745" t="str">
            <v>1000/1402       NPK 8-24-24</v>
          </cell>
          <cell r="J745">
            <v>4099.5600000000004</v>
          </cell>
        </row>
        <row r="746">
          <cell r="A746" t="str">
            <v>1000/1402       NPK 8-24-24</v>
          </cell>
          <cell r="J746">
            <v>9226.1599999999908</v>
          </cell>
        </row>
        <row r="747">
          <cell r="A747" t="str">
            <v>1000/1402       NPK 8-24-24</v>
          </cell>
          <cell r="J747">
            <v>8003.2799999999897</v>
          </cell>
        </row>
        <row r="748">
          <cell r="A748" t="str">
            <v>1000/1402       NPK 8-24-24</v>
          </cell>
          <cell r="J748">
            <v>2076.2399999999898</v>
          </cell>
        </row>
        <row r="749">
          <cell r="A749" t="str">
            <v>1000/1402       NPK 8-24-24</v>
          </cell>
          <cell r="J749">
            <v>689.88</v>
          </cell>
        </row>
        <row r="750">
          <cell r="A750" t="str">
            <v>1000/1402       NPK 8-24-24</v>
          </cell>
          <cell r="J750">
            <v>0</v>
          </cell>
        </row>
        <row r="751">
          <cell r="A751" t="str">
            <v>1000/1402       NPK 8-24-24</v>
          </cell>
          <cell r="J751">
            <v>459.92</v>
          </cell>
        </row>
        <row r="752">
          <cell r="A752" t="str">
            <v>1000/1402       NPK 8-24-24</v>
          </cell>
          <cell r="J752">
            <v>4014.28</v>
          </cell>
        </row>
        <row r="753">
          <cell r="A753" t="str">
            <v>1000/1402       NPK 8-24-24</v>
          </cell>
          <cell r="J753">
            <v>1379.76</v>
          </cell>
        </row>
        <row r="754">
          <cell r="A754" t="str">
            <v>1000/1402       NPK 8-24-24</v>
          </cell>
          <cell r="J754">
            <v>2201.9899999999898</v>
          </cell>
        </row>
        <row r="755">
          <cell r="A755" t="str">
            <v>1000/1402       NPK 8-24-24</v>
          </cell>
          <cell r="J755">
            <v>0</v>
          </cell>
        </row>
        <row r="756">
          <cell r="A756" t="str">
            <v>1000/1402       NPK 8-24-24</v>
          </cell>
          <cell r="J756">
            <v>0</v>
          </cell>
        </row>
        <row r="757">
          <cell r="A757" t="str">
            <v>1000/1402       NPK 8-24-24</v>
          </cell>
          <cell r="J757">
            <v>0</v>
          </cell>
        </row>
        <row r="758">
          <cell r="A758" t="str">
            <v>1000/1402       NPK 8-24-24</v>
          </cell>
          <cell r="J758">
            <v>2950.8</v>
          </cell>
        </row>
        <row r="759">
          <cell r="A759" t="str">
            <v>1000/1402       NPK 8-24-24</v>
          </cell>
          <cell r="J759">
            <v>3669.5999999999899</v>
          </cell>
        </row>
        <row r="760">
          <cell r="A760" t="str">
            <v>1000/1402       NPK 8-24-24</v>
          </cell>
          <cell r="J760">
            <v>0</v>
          </cell>
        </row>
        <row r="761">
          <cell r="A761" t="str">
            <v>1000/1402       NPK 8-24-24</v>
          </cell>
          <cell r="J761">
            <v>926.39999999999895</v>
          </cell>
        </row>
        <row r="762">
          <cell r="A762" t="str">
            <v>1000/1402       NPK 8-24-24</v>
          </cell>
          <cell r="J762">
            <v>0</v>
          </cell>
        </row>
        <row r="763">
          <cell r="A763" t="str">
            <v>1000/1402       NPK 8-24-24</v>
          </cell>
          <cell r="J763">
            <v>23206.2</v>
          </cell>
        </row>
        <row r="764">
          <cell r="A764" t="str">
            <v>1000/1402       NPK 8-24-24</v>
          </cell>
          <cell r="J764">
            <v>0</v>
          </cell>
        </row>
        <row r="765">
          <cell r="A765" t="str">
            <v>1000/1402       NPK 8-24-24</v>
          </cell>
          <cell r="J765">
            <v>0</v>
          </cell>
        </row>
        <row r="766">
          <cell r="A766" t="str">
            <v>1000/1402       NPK 8-24-24</v>
          </cell>
          <cell r="J766">
            <v>1902.48</v>
          </cell>
        </row>
        <row r="767">
          <cell r="A767" t="str">
            <v>1000/1402       NPK 8-24-24</v>
          </cell>
          <cell r="J767">
            <v>0</v>
          </cell>
        </row>
        <row r="768">
          <cell r="A768" t="str">
            <v>1000/1402       NPK 8-24-24</v>
          </cell>
          <cell r="J768">
            <v>1542.72</v>
          </cell>
        </row>
        <row r="769">
          <cell r="A769" t="str">
            <v>1000/1402       NPK 8-24-24</v>
          </cell>
          <cell r="J769">
            <v>1542.72</v>
          </cell>
        </row>
        <row r="770">
          <cell r="A770" t="str">
            <v>1000/1402       NPK 8-24-24</v>
          </cell>
          <cell r="J770">
            <v>924.40999999999894</v>
          </cell>
        </row>
        <row r="771">
          <cell r="A771" t="str">
            <v>1000/1402       NPK 8-24-24</v>
          </cell>
          <cell r="J771">
            <v>0</v>
          </cell>
        </row>
        <row r="772">
          <cell r="A772" t="str">
            <v>1000/1402       NPK 8-24-24</v>
          </cell>
          <cell r="J772">
            <v>0</v>
          </cell>
        </row>
        <row r="773">
          <cell r="A773" t="str">
            <v>1000/1402       NPK 8-24-24</v>
          </cell>
          <cell r="J773">
            <v>0</v>
          </cell>
        </row>
        <row r="774">
          <cell r="A774" t="str">
            <v>1000/1402       NPK 8-24-24</v>
          </cell>
          <cell r="J774">
            <v>0</v>
          </cell>
        </row>
        <row r="775">
          <cell r="A775" t="str">
            <v>1000/1402       NPK 8-24-24</v>
          </cell>
          <cell r="J775">
            <v>0</v>
          </cell>
        </row>
        <row r="776">
          <cell r="A776" t="str">
            <v>1000/1402       NPK 8-24-24</v>
          </cell>
          <cell r="J776">
            <v>0</v>
          </cell>
        </row>
        <row r="777">
          <cell r="A777" t="str">
            <v>1000/1402       NPK 8-24-24</v>
          </cell>
          <cell r="J777">
            <v>4770</v>
          </cell>
        </row>
        <row r="778">
          <cell r="A778" t="str">
            <v>1000/1402       NPK 8-24-24</v>
          </cell>
          <cell r="J778">
            <v>0</v>
          </cell>
        </row>
        <row r="779">
          <cell r="A779" t="str">
            <v>1000/1402       NPK 8-24-24</v>
          </cell>
          <cell r="J779">
            <v>1300.8</v>
          </cell>
        </row>
        <row r="780">
          <cell r="A780" t="str">
            <v>1000/1402       NPK 8-24-24</v>
          </cell>
          <cell r="J780">
            <v>898.79999999999905</v>
          </cell>
        </row>
        <row r="781">
          <cell r="A781" t="str">
            <v>1000/1402       NPK 8-24-24</v>
          </cell>
          <cell r="J781">
            <v>5190.6000000000004</v>
          </cell>
        </row>
        <row r="782">
          <cell r="A782" t="str">
            <v>1000/1402       NPK 8-24-24</v>
          </cell>
          <cell r="J782">
            <v>0</v>
          </cell>
        </row>
        <row r="783">
          <cell r="A783" t="str">
            <v>1000/1402       NPK 8-24-24</v>
          </cell>
          <cell r="J783">
            <v>0</v>
          </cell>
        </row>
        <row r="784">
          <cell r="A784" t="str">
            <v>1000/1402       NPK 8-24-24</v>
          </cell>
          <cell r="J784">
            <v>2635.92</v>
          </cell>
        </row>
        <row r="785">
          <cell r="A785" t="str">
            <v>1000/1402       NPK 8-24-24</v>
          </cell>
          <cell r="J785">
            <v>0</v>
          </cell>
        </row>
        <row r="786">
          <cell r="A786" t="str">
            <v>1000/1402       NPK 8-24-24</v>
          </cell>
          <cell r="J786">
            <v>0</v>
          </cell>
        </row>
        <row r="787">
          <cell r="A787" t="str">
            <v>1000/1402       NPK 8-24-24</v>
          </cell>
          <cell r="J787">
            <v>0</v>
          </cell>
        </row>
        <row r="788">
          <cell r="A788" t="str">
            <v>1000/1402       NPK 8-24-24</v>
          </cell>
          <cell r="J788">
            <v>965.75999999999897</v>
          </cell>
        </row>
        <row r="789">
          <cell r="A789" t="str">
            <v>1000/1402       NPK 8-24-24</v>
          </cell>
          <cell r="J789">
            <v>1518.96</v>
          </cell>
        </row>
        <row r="790">
          <cell r="A790" t="str">
            <v>1000/1402       NPK 8-24-24</v>
          </cell>
          <cell r="J790">
            <v>0</v>
          </cell>
        </row>
        <row r="791">
          <cell r="A791" t="str">
            <v>1000/1402       NPK 8-24-24</v>
          </cell>
          <cell r="J791">
            <v>4560.3900000000003</v>
          </cell>
        </row>
        <row r="792">
          <cell r="A792" t="str">
            <v>1000/1402       NPK 8-24-24</v>
          </cell>
          <cell r="J792">
            <v>0</v>
          </cell>
        </row>
        <row r="793">
          <cell r="A793" t="str">
            <v>1000/1402       NPK 8-24-24</v>
          </cell>
          <cell r="J793">
            <v>0</v>
          </cell>
        </row>
        <row r="794">
          <cell r="A794" t="str">
            <v>1000/1402       NPK 8-24-24</v>
          </cell>
          <cell r="J794">
            <v>0</v>
          </cell>
        </row>
        <row r="795">
          <cell r="A795" t="str">
            <v>1000/1402       NPK 8-24-24</v>
          </cell>
          <cell r="J795">
            <v>0</v>
          </cell>
        </row>
        <row r="796">
          <cell r="A796" t="str">
            <v>1000/1402       NPK 8-24-24</v>
          </cell>
          <cell r="J796">
            <v>14262.639999999899</v>
          </cell>
        </row>
        <row r="797">
          <cell r="A797" t="str">
            <v>1000/1402       NPK 8-24-24</v>
          </cell>
          <cell r="J797">
            <v>0</v>
          </cell>
        </row>
        <row r="798">
          <cell r="A798" t="str">
            <v>1000/1402       NPK 8-24-24</v>
          </cell>
          <cell r="J798">
            <v>0</v>
          </cell>
        </row>
        <row r="799">
          <cell r="A799" t="str">
            <v>1000/1402       NPK 8-24-24</v>
          </cell>
          <cell r="J799">
            <v>946.08</v>
          </cell>
        </row>
        <row r="800">
          <cell r="A800" t="str">
            <v>1000/1402       NPK 8-24-24</v>
          </cell>
          <cell r="J800">
            <v>0</v>
          </cell>
        </row>
        <row r="801">
          <cell r="A801" t="str">
            <v>1000/1402       NPK 8-24-24</v>
          </cell>
          <cell r="J801">
            <v>0</v>
          </cell>
        </row>
        <row r="802">
          <cell r="A802" t="str">
            <v>1000/1402       NPK 8-24-24</v>
          </cell>
          <cell r="J802">
            <v>0</v>
          </cell>
        </row>
        <row r="803">
          <cell r="A803" t="str">
            <v>1000/1402       NPK 8-24-24</v>
          </cell>
          <cell r="J803">
            <v>6138.5</v>
          </cell>
        </row>
        <row r="804">
          <cell r="A804" t="str">
            <v>1000/1402       NPK 8-24-24</v>
          </cell>
          <cell r="J804">
            <v>0</v>
          </cell>
        </row>
        <row r="805">
          <cell r="A805" t="str">
            <v>1000/1402       NPK 8-24-24</v>
          </cell>
          <cell r="J805">
            <v>0</v>
          </cell>
        </row>
        <row r="806">
          <cell r="A806" t="str">
            <v>1000/1402       NPK 8-24-24</v>
          </cell>
          <cell r="J806">
            <v>0</v>
          </cell>
        </row>
        <row r="807">
          <cell r="A807" t="str">
            <v>1000/1402       NPK 8-24-24</v>
          </cell>
          <cell r="J807">
            <v>428.39999999999901</v>
          </cell>
        </row>
        <row r="808">
          <cell r="A808" t="str">
            <v>1000/1402       NPK 8-24-24</v>
          </cell>
          <cell r="J808">
            <v>4047.36</v>
          </cell>
        </row>
        <row r="809">
          <cell r="A809" t="str">
            <v>1000/1402       NPK 8-24-24</v>
          </cell>
          <cell r="J809">
            <v>0</v>
          </cell>
        </row>
        <row r="810">
          <cell r="A810" t="str">
            <v>1000/1402       NPK 8-24-24</v>
          </cell>
          <cell r="J810">
            <v>0</v>
          </cell>
        </row>
        <row r="811">
          <cell r="A811" t="str">
            <v>1000/1402       NPK 8-24-24</v>
          </cell>
          <cell r="J811">
            <v>18474.22</v>
          </cell>
        </row>
        <row r="812">
          <cell r="A812" t="str">
            <v>1000/1402       NPK 8-24-24</v>
          </cell>
          <cell r="J812">
            <v>0</v>
          </cell>
        </row>
        <row r="813">
          <cell r="A813" t="str">
            <v>1000/1402       NPK 8-24-24</v>
          </cell>
          <cell r="J813">
            <v>0</v>
          </cell>
        </row>
        <row r="814">
          <cell r="A814" t="str">
            <v>1000/1402       NPK 8-24-24</v>
          </cell>
          <cell r="J814">
            <v>1360.8</v>
          </cell>
        </row>
        <row r="815">
          <cell r="A815" t="str">
            <v>1000/1402       NPK 8-24-24</v>
          </cell>
          <cell r="J815">
            <v>5754</v>
          </cell>
        </row>
        <row r="816">
          <cell r="A816" t="str">
            <v>1000/1402       NPK 8-24-24</v>
          </cell>
          <cell r="J816">
            <v>2280.36</v>
          </cell>
        </row>
        <row r="817">
          <cell r="A817" t="str">
            <v>1000/1402       NPK 8-24-24</v>
          </cell>
          <cell r="J817">
            <v>1094.8800000000001</v>
          </cell>
        </row>
        <row r="818">
          <cell r="A818" t="str">
            <v>1000/1402       NPK 8-24-24</v>
          </cell>
          <cell r="J818">
            <v>2917.1999999999898</v>
          </cell>
        </row>
        <row r="819">
          <cell r="A819" t="str">
            <v>1000/1402       NPK 8-24-24</v>
          </cell>
          <cell r="J819">
            <v>12532.84</v>
          </cell>
        </row>
        <row r="820">
          <cell r="A820" t="str">
            <v>1000/1402       NPK 8-24-24</v>
          </cell>
          <cell r="J820">
            <v>0</v>
          </cell>
        </row>
        <row r="821">
          <cell r="A821" t="str">
            <v>1000/1402       NPK 8-24-24</v>
          </cell>
          <cell r="J821">
            <v>4509.3999999999896</v>
          </cell>
        </row>
        <row r="822">
          <cell r="A822" t="str">
            <v>1000/1402       NPK 8-24-24</v>
          </cell>
          <cell r="J822">
            <v>0</v>
          </cell>
        </row>
        <row r="823">
          <cell r="A823" t="str">
            <v>1000/1402       NPK 8-24-24</v>
          </cell>
          <cell r="J823">
            <v>1345.53</v>
          </cell>
        </row>
        <row r="824">
          <cell r="A824" t="str">
            <v>1000/1402       NPK 8-24-24</v>
          </cell>
          <cell r="J824">
            <v>1731.8399999999899</v>
          </cell>
        </row>
        <row r="825">
          <cell r="A825" t="str">
            <v>1000/1402       NPK 8-24-24</v>
          </cell>
          <cell r="J825">
            <v>0</v>
          </cell>
        </row>
        <row r="826">
          <cell r="A826" t="str">
            <v>1000/1402       NPK 8-24-24</v>
          </cell>
          <cell r="J826">
            <v>1114.5799999999899</v>
          </cell>
        </row>
        <row r="827">
          <cell r="A827" t="str">
            <v>1000/1402       NPK 8-24-24</v>
          </cell>
          <cell r="J827">
            <v>0</v>
          </cell>
        </row>
        <row r="828">
          <cell r="A828" t="str">
            <v>1000/1402       NPK 8-24-24</v>
          </cell>
          <cell r="J828">
            <v>0</v>
          </cell>
        </row>
        <row r="829">
          <cell r="A829" t="str">
            <v>1000/1402       NPK 8-24-24</v>
          </cell>
          <cell r="J829">
            <v>4152.4799999999896</v>
          </cell>
        </row>
        <row r="830">
          <cell r="A830" t="str">
            <v>1000/1402       NPK 8-24-24</v>
          </cell>
          <cell r="J830">
            <v>2076.2399999999898</v>
          </cell>
        </row>
        <row r="831">
          <cell r="A831" t="str">
            <v>1000/1402       NPK 8-24-24</v>
          </cell>
          <cell r="J831">
            <v>19748.16</v>
          </cell>
        </row>
        <row r="832">
          <cell r="A832" t="str">
            <v>1000/1402       NPK 8-24-24</v>
          </cell>
          <cell r="J832">
            <v>0</v>
          </cell>
        </row>
        <row r="833">
          <cell r="A833" t="str">
            <v>1000/1402       NPK 8-24-24</v>
          </cell>
          <cell r="J833">
            <v>3227.28</v>
          </cell>
        </row>
        <row r="834">
          <cell r="A834" t="str">
            <v>1000/1402       NPK 8-24-24</v>
          </cell>
          <cell r="J834">
            <v>0</v>
          </cell>
        </row>
        <row r="835">
          <cell r="A835" t="str">
            <v>1000/1402       NPK 8-24-24</v>
          </cell>
          <cell r="J835">
            <v>6459.2399999999898</v>
          </cell>
        </row>
        <row r="836">
          <cell r="A836" t="str">
            <v>1000/1402       NPK 8-24-24</v>
          </cell>
          <cell r="J836">
            <v>0</v>
          </cell>
        </row>
        <row r="837">
          <cell r="A837" t="str">
            <v>1000/1402       NPK 8-24-24</v>
          </cell>
          <cell r="J837">
            <v>201664.739999999</v>
          </cell>
        </row>
        <row r="838">
          <cell r="A838" t="str">
            <v>1000/1402       NPK 8-24-24</v>
          </cell>
          <cell r="J838">
            <v>1109.04</v>
          </cell>
        </row>
        <row r="839">
          <cell r="A839" t="str">
            <v>1000/1402       NPK 8-24-24</v>
          </cell>
          <cell r="J839">
            <v>0</v>
          </cell>
        </row>
        <row r="840">
          <cell r="A840" t="str">
            <v>1000/1402       NPK 8-24-24</v>
          </cell>
          <cell r="J840">
            <v>1090.5599999999899</v>
          </cell>
        </row>
        <row r="841">
          <cell r="A841" t="str">
            <v>1000/1402       NPK 8-24-24</v>
          </cell>
          <cell r="J841">
            <v>3624.77</v>
          </cell>
        </row>
        <row r="842">
          <cell r="A842" t="str">
            <v>1000/1402       NPK 8-24-24</v>
          </cell>
          <cell r="J842">
            <v>0</v>
          </cell>
        </row>
        <row r="843">
          <cell r="A843" t="str">
            <v>1000/1402       NPK 8-24-24</v>
          </cell>
          <cell r="J843">
            <v>0</v>
          </cell>
        </row>
        <row r="844">
          <cell r="A844" t="str">
            <v>1000/1402       NPK 8-24-24</v>
          </cell>
          <cell r="J844">
            <v>3960.0599999999899</v>
          </cell>
        </row>
        <row r="845">
          <cell r="A845" t="str">
            <v>1000/1402       NPK 8-24-24</v>
          </cell>
          <cell r="J845">
            <v>0</v>
          </cell>
        </row>
        <row r="846">
          <cell r="A846" t="str">
            <v>1000/1402       NPK 8-24-24</v>
          </cell>
          <cell r="J846">
            <v>3607.52</v>
          </cell>
        </row>
        <row r="847">
          <cell r="A847" t="str">
            <v>1000/1402       NPK 8-24-24</v>
          </cell>
          <cell r="J847">
            <v>3405.84</v>
          </cell>
        </row>
        <row r="848">
          <cell r="A848" t="str">
            <v>1000/1402       NPK 8-24-24</v>
          </cell>
          <cell r="J848">
            <v>1518.96</v>
          </cell>
        </row>
        <row r="849">
          <cell r="A849" t="str">
            <v>1000/1402       NPK 8-24-24</v>
          </cell>
          <cell r="J849">
            <v>3137.76</v>
          </cell>
        </row>
        <row r="850">
          <cell r="A850" t="str">
            <v>1000/1402       NPK 8-24-24</v>
          </cell>
          <cell r="J850">
            <v>2556.96</v>
          </cell>
        </row>
        <row r="851">
          <cell r="A851" t="str">
            <v>1000/1402       NPK 8-24-24</v>
          </cell>
          <cell r="J851">
            <v>0</v>
          </cell>
        </row>
        <row r="852">
          <cell r="A852" t="str">
            <v>1000/1402       NPK 8-24-24</v>
          </cell>
          <cell r="J852">
            <v>0</v>
          </cell>
        </row>
        <row r="853">
          <cell r="A853" t="str">
            <v>1000/1402       NPK 8-24-24</v>
          </cell>
          <cell r="J853">
            <v>975.6</v>
          </cell>
        </row>
        <row r="854">
          <cell r="A854" t="str">
            <v>1000/1402       NPK 8-24-24</v>
          </cell>
          <cell r="J854">
            <v>0</v>
          </cell>
        </row>
        <row r="855">
          <cell r="A855" t="str">
            <v>1000/1402       NPK 8-24-24</v>
          </cell>
          <cell r="J855">
            <v>0</v>
          </cell>
        </row>
        <row r="856">
          <cell r="A856" t="str">
            <v>1000/1402       NPK 8-24-24</v>
          </cell>
          <cell r="J856">
            <v>0</v>
          </cell>
        </row>
        <row r="857">
          <cell r="A857" t="str">
            <v>1000/1402       NPK 8-24-24</v>
          </cell>
          <cell r="J857">
            <v>4257.3599999999897</v>
          </cell>
        </row>
        <row r="858">
          <cell r="A858" t="str">
            <v>1000/1402       NPK 8-24-24</v>
          </cell>
          <cell r="J858">
            <v>2677.44</v>
          </cell>
        </row>
        <row r="859">
          <cell r="A859" t="str">
            <v>1000/1402       NPK 8-24-24</v>
          </cell>
          <cell r="J859">
            <v>0</v>
          </cell>
        </row>
        <row r="860">
          <cell r="A860" t="str">
            <v>1000/1402       NPK 8-24-24</v>
          </cell>
          <cell r="J860">
            <v>5828.05</v>
          </cell>
        </row>
        <row r="861">
          <cell r="A861" t="str">
            <v>1000/1402       NPK 8-24-24</v>
          </cell>
          <cell r="J861">
            <v>0</v>
          </cell>
        </row>
        <row r="862">
          <cell r="A862" t="str">
            <v>1000/1402       NPK 8-24-24</v>
          </cell>
          <cell r="J862">
            <v>0</v>
          </cell>
        </row>
        <row r="863">
          <cell r="A863" t="str">
            <v>1000/1402       NPK 8-24-24</v>
          </cell>
          <cell r="J863">
            <v>2526.84</v>
          </cell>
        </row>
        <row r="864">
          <cell r="A864" t="str">
            <v>1000/1402       NPK 8-24-24</v>
          </cell>
          <cell r="J864">
            <v>0</v>
          </cell>
        </row>
        <row r="865">
          <cell r="A865" t="str">
            <v>1000/1402       NPK 8-24-24</v>
          </cell>
          <cell r="J865">
            <v>1090.5599999999899</v>
          </cell>
        </row>
        <row r="866">
          <cell r="A866" t="str">
            <v>1000/1402       NPK 8-24-24</v>
          </cell>
          <cell r="J866">
            <v>1210.5599999999899</v>
          </cell>
        </row>
        <row r="867">
          <cell r="A867" t="str">
            <v>1000/1402       NPK 8-24-24</v>
          </cell>
          <cell r="J867">
            <v>7566.1</v>
          </cell>
        </row>
        <row r="868">
          <cell r="A868" t="str">
            <v>1000/1402       NPK 8-24-24</v>
          </cell>
          <cell r="J868">
            <v>0</v>
          </cell>
        </row>
        <row r="869">
          <cell r="A869" t="str">
            <v>1000/1402       NPK 8-24-24</v>
          </cell>
          <cell r="J869">
            <v>3605.5</v>
          </cell>
        </row>
        <row r="870">
          <cell r="A870" t="str">
            <v>1000/1402       NPK 8-24-24</v>
          </cell>
          <cell r="J870">
            <v>0</v>
          </cell>
        </row>
        <row r="871">
          <cell r="A871" t="str">
            <v>1000/1402       NPK 8-24-24</v>
          </cell>
          <cell r="J871">
            <v>1637.28</v>
          </cell>
        </row>
        <row r="872">
          <cell r="A872" t="str">
            <v>1000/1402       NPK 8-24-24</v>
          </cell>
          <cell r="J872">
            <v>1300.8</v>
          </cell>
        </row>
        <row r="873">
          <cell r="A873" t="str">
            <v>1000/1402       NPK 8-24-24</v>
          </cell>
          <cell r="J873">
            <v>0</v>
          </cell>
        </row>
        <row r="874">
          <cell r="A874" t="str">
            <v>1000/1402       NPK 8-24-24</v>
          </cell>
          <cell r="J874">
            <v>28937.15</v>
          </cell>
        </row>
        <row r="875">
          <cell r="A875" t="str">
            <v>1000/1402       NPK 8-24-24</v>
          </cell>
          <cell r="J875">
            <v>6342.2399999999898</v>
          </cell>
        </row>
        <row r="876">
          <cell r="A876" t="str">
            <v>1000/1402       NPK 8-24-24</v>
          </cell>
          <cell r="J876">
            <v>0</v>
          </cell>
        </row>
        <row r="877">
          <cell r="A877" t="str">
            <v>1000/1402       NPK 8-24-24</v>
          </cell>
          <cell r="J877">
            <v>977.51999999999896</v>
          </cell>
        </row>
        <row r="878">
          <cell r="A878" t="str">
            <v>1000/1402       NPK 8-24-24</v>
          </cell>
          <cell r="J878">
            <v>0</v>
          </cell>
        </row>
        <row r="879">
          <cell r="A879" t="str">
            <v>1000/1402       NPK 8-24-24</v>
          </cell>
          <cell r="J879">
            <v>1484.88</v>
          </cell>
        </row>
        <row r="880">
          <cell r="A880" t="str">
            <v>1000/1402       NPK 8-24-24</v>
          </cell>
          <cell r="J880">
            <v>1056.48</v>
          </cell>
        </row>
        <row r="881">
          <cell r="A881" t="str">
            <v>1000/1402       NPK 8-24-24</v>
          </cell>
          <cell r="J881">
            <v>1424.64</v>
          </cell>
        </row>
        <row r="882">
          <cell r="A882" t="str">
            <v>1000/1402       NPK 8-24-24</v>
          </cell>
          <cell r="J882">
            <v>0</v>
          </cell>
        </row>
        <row r="883">
          <cell r="A883" t="str">
            <v>1000/1402       NPK 8-24-24</v>
          </cell>
          <cell r="J883">
            <v>0</v>
          </cell>
        </row>
        <row r="884">
          <cell r="A884" t="str">
            <v>1000/1402       NPK 8-24-24</v>
          </cell>
          <cell r="J884">
            <v>0</v>
          </cell>
        </row>
        <row r="885">
          <cell r="A885" t="str">
            <v>1000/1402       NPK 8-24-24</v>
          </cell>
          <cell r="J885">
            <v>924.40999999999894</v>
          </cell>
        </row>
        <row r="886">
          <cell r="A886" t="str">
            <v>1000/1402       NPK 8-24-24</v>
          </cell>
          <cell r="J886">
            <v>0</v>
          </cell>
        </row>
        <row r="887">
          <cell r="A887" t="str">
            <v>1000/1402       NPK 8-24-24</v>
          </cell>
          <cell r="J887">
            <v>0</v>
          </cell>
        </row>
        <row r="888">
          <cell r="A888" t="str">
            <v>1000/1402       NPK 8-24-24</v>
          </cell>
          <cell r="J888">
            <v>0</v>
          </cell>
        </row>
        <row r="889">
          <cell r="A889" t="str">
            <v>1000/1402       NPK 8-24-24</v>
          </cell>
          <cell r="J889">
            <v>1833.8399999999899</v>
          </cell>
        </row>
        <row r="890">
          <cell r="A890" t="str">
            <v>1000/1402       NPK 8-24-24</v>
          </cell>
          <cell r="J890">
            <v>0</v>
          </cell>
        </row>
        <row r="891">
          <cell r="A891" t="str">
            <v>1000/1402       NPK 8-24-24</v>
          </cell>
          <cell r="J891">
            <v>0</v>
          </cell>
        </row>
        <row r="892">
          <cell r="A892" t="str">
            <v>1000/1402       NPK 8-24-24</v>
          </cell>
          <cell r="J892">
            <v>3556.5599999999899</v>
          </cell>
        </row>
        <row r="893">
          <cell r="A893" t="str">
            <v>1000/1402       NPK 8-24-24</v>
          </cell>
          <cell r="J893">
            <v>2325.36</v>
          </cell>
        </row>
        <row r="894">
          <cell r="A894" t="str">
            <v>1000/1402       NPK 8-24-24</v>
          </cell>
          <cell r="J894">
            <v>2163.36</v>
          </cell>
        </row>
        <row r="895">
          <cell r="A895" t="str">
            <v>1000/1402       NPK 8-24-24</v>
          </cell>
          <cell r="J895">
            <v>0</v>
          </cell>
        </row>
        <row r="896">
          <cell r="A896" t="str">
            <v>1000/1402       NPK 8-24-24</v>
          </cell>
          <cell r="J896">
            <v>0</v>
          </cell>
        </row>
        <row r="897">
          <cell r="A897" t="str">
            <v>1000/1402       NPK 8-24-24</v>
          </cell>
          <cell r="J897">
            <v>0</v>
          </cell>
        </row>
        <row r="898">
          <cell r="A898" t="str">
            <v>1000/1402       NPK 8-24-24</v>
          </cell>
          <cell r="J898">
            <v>0</v>
          </cell>
        </row>
        <row r="899">
          <cell r="A899" t="str">
            <v>1000/1402       NPK 8-24-24</v>
          </cell>
          <cell r="J899">
            <v>1701.1199999999899</v>
          </cell>
        </row>
        <row r="900">
          <cell r="A900" t="str">
            <v>1000/1402       NPK 8-24-24</v>
          </cell>
          <cell r="J900">
            <v>0</v>
          </cell>
        </row>
        <row r="901">
          <cell r="A901" t="str">
            <v>1000/1402       NPK 8-24-24</v>
          </cell>
          <cell r="J901">
            <v>0</v>
          </cell>
        </row>
        <row r="902">
          <cell r="A902" t="str">
            <v>1000/1402       NPK 8-24-24</v>
          </cell>
          <cell r="J902">
            <v>0</v>
          </cell>
        </row>
        <row r="903">
          <cell r="A903" t="str">
            <v>1000/1402       NPK 8-24-24</v>
          </cell>
          <cell r="J903">
            <v>1833.8399999999899</v>
          </cell>
        </row>
        <row r="904">
          <cell r="A904" t="str">
            <v>1000/1402       NPK 8-24-24</v>
          </cell>
          <cell r="J904">
            <v>0</v>
          </cell>
        </row>
        <row r="905">
          <cell r="A905" t="str">
            <v>1000/1402       NPK 8-24-24</v>
          </cell>
          <cell r="J905">
            <v>1589.52</v>
          </cell>
        </row>
        <row r="906">
          <cell r="A906" t="str">
            <v>1000/1402       NPK 8-24-24</v>
          </cell>
          <cell r="J906">
            <v>1788.1199999999899</v>
          </cell>
        </row>
        <row r="907">
          <cell r="A907" t="str">
            <v>1000/1402       NPK 8-24-24</v>
          </cell>
          <cell r="J907">
            <v>3985.44</v>
          </cell>
        </row>
        <row r="908">
          <cell r="A908" t="str">
            <v>1000/1402       NPK 8-24-24</v>
          </cell>
          <cell r="J908">
            <v>0</v>
          </cell>
        </row>
        <row r="909">
          <cell r="A909" t="str">
            <v>1000/1402       NPK 8-24-24</v>
          </cell>
          <cell r="J909">
            <v>1780.8</v>
          </cell>
        </row>
        <row r="910">
          <cell r="A910" t="str">
            <v>1000/1402       NPK 8-24-24</v>
          </cell>
          <cell r="J910">
            <v>0</v>
          </cell>
        </row>
        <row r="911">
          <cell r="A911" t="str">
            <v>1000/1402       NPK 8-24-24</v>
          </cell>
          <cell r="J911">
            <v>0</v>
          </cell>
        </row>
        <row r="912">
          <cell r="A912" t="str">
            <v>1000/1402       NPK 8-24-24</v>
          </cell>
          <cell r="J912">
            <v>2325.36</v>
          </cell>
        </row>
        <row r="913">
          <cell r="A913" t="str">
            <v>1000/1402       NPK 8-24-24</v>
          </cell>
          <cell r="J913">
            <v>1146.72</v>
          </cell>
        </row>
        <row r="914">
          <cell r="A914" t="str">
            <v>1000/1402       NPK 8-24-24</v>
          </cell>
          <cell r="J914">
            <v>1980.72</v>
          </cell>
        </row>
        <row r="915">
          <cell r="A915" t="str">
            <v>1000/1402       NPK 8-24-24</v>
          </cell>
          <cell r="J915">
            <v>0</v>
          </cell>
        </row>
        <row r="916">
          <cell r="A916" t="str">
            <v>1000/1402       NPK 8-24-24</v>
          </cell>
          <cell r="J916">
            <v>0</v>
          </cell>
        </row>
        <row r="917">
          <cell r="A917" t="str">
            <v>1000/1402       NPK 8-24-24</v>
          </cell>
          <cell r="J917">
            <v>1094.8800000000001</v>
          </cell>
        </row>
        <row r="918">
          <cell r="A918" t="str">
            <v>1000/1402       NPK 8-24-24</v>
          </cell>
          <cell r="J918">
            <v>0</v>
          </cell>
        </row>
        <row r="919">
          <cell r="A919" t="str">
            <v>1000/1402       NPK 8-24-24</v>
          </cell>
          <cell r="J919">
            <v>4444.5600000000004</v>
          </cell>
        </row>
        <row r="920">
          <cell r="A920" t="str">
            <v>1000/1402       NPK 8-24-24</v>
          </cell>
          <cell r="J920">
            <v>0</v>
          </cell>
        </row>
        <row r="921">
          <cell r="A921" t="str">
            <v>1000/1402       NPK 8-24-24</v>
          </cell>
          <cell r="J921">
            <v>12955.92</v>
          </cell>
        </row>
        <row r="922">
          <cell r="A922" t="str">
            <v>1000/1402       NPK 8-24-24</v>
          </cell>
          <cell r="J922">
            <v>0</v>
          </cell>
        </row>
        <row r="923">
          <cell r="A923" t="str">
            <v>1000/1402       NPK 8-24-24</v>
          </cell>
          <cell r="J923">
            <v>0</v>
          </cell>
        </row>
        <row r="924">
          <cell r="A924" t="str">
            <v>1000/1402       NPK 8-24-24</v>
          </cell>
          <cell r="J924">
            <v>0</v>
          </cell>
        </row>
        <row r="925">
          <cell r="A925" t="str">
            <v>1000/1402       NPK 8-24-24</v>
          </cell>
          <cell r="J925">
            <v>0</v>
          </cell>
        </row>
        <row r="926">
          <cell r="A926" t="str">
            <v>1000/1402       NPK 8-24-24</v>
          </cell>
          <cell r="J926">
            <v>0</v>
          </cell>
        </row>
        <row r="927">
          <cell r="A927" t="str">
            <v>1000/1402       NPK 8-24-24</v>
          </cell>
          <cell r="J927">
            <v>1212.48</v>
          </cell>
        </row>
        <row r="928">
          <cell r="A928" t="str">
            <v>1000/1402       NPK 8-24-24</v>
          </cell>
          <cell r="J928">
            <v>0</v>
          </cell>
        </row>
        <row r="929">
          <cell r="A929" t="str">
            <v>1000/1402       NPK 8-24-24</v>
          </cell>
          <cell r="J929">
            <v>0</v>
          </cell>
        </row>
        <row r="930">
          <cell r="A930" t="str">
            <v>1000/1402       NPK 8-24-24</v>
          </cell>
          <cell r="J930">
            <v>213959.92</v>
          </cell>
        </row>
        <row r="931">
          <cell r="A931" t="str">
            <v>1000/1402       NPK 8-24-24</v>
          </cell>
          <cell r="J931">
            <v>0</v>
          </cell>
        </row>
        <row r="932">
          <cell r="A932" t="str">
            <v>1000/1402       NPK 8-24-24</v>
          </cell>
          <cell r="J932">
            <v>0</v>
          </cell>
        </row>
        <row r="933">
          <cell r="A933" t="str">
            <v>1000/1402       NPK 8-24-24</v>
          </cell>
          <cell r="J933">
            <v>0</v>
          </cell>
        </row>
        <row r="934">
          <cell r="A934" t="str">
            <v>1000/1402       NPK 8-24-24</v>
          </cell>
          <cell r="J934">
            <v>3324.9899999999898</v>
          </cell>
        </row>
        <row r="935">
          <cell r="A935" t="str">
            <v>1000/1402       NPK 8-24-24</v>
          </cell>
          <cell r="J935">
            <v>0</v>
          </cell>
        </row>
        <row r="936">
          <cell r="A936" t="str">
            <v>1000/1402       NPK 8-24-24</v>
          </cell>
          <cell r="J936">
            <v>0</v>
          </cell>
        </row>
        <row r="937">
          <cell r="A937" t="str">
            <v>1000/1402       NPK 8-24-24</v>
          </cell>
          <cell r="J937">
            <v>24841.119999999901</v>
          </cell>
        </row>
        <row r="938">
          <cell r="A938" t="str">
            <v>1000/1402       NPK 8-24-24</v>
          </cell>
          <cell r="J938">
            <v>0</v>
          </cell>
        </row>
        <row r="939">
          <cell r="A939" t="str">
            <v>1000/1402       NPK 8-24-24</v>
          </cell>
          <cell r="J939">
            <v>1701.1199999999899</v>
          </cell>
        </row>
        <row r="940">
          <cell r="A940" t="str">
            <v>1000/1402       NPK 8-24-24</v>
          </cell>
          <cell r="J940">
            <v>0</v>
          </cell>
        </row>
        <row r="941">
          <cell r="A941" t="str">
            <v>1000/1402       NPK 8-24-24</v>
          </cell>
          <cell r="J941">
            <v>0</v>
          </cell>
        </row>
        <row r="942">
          <cell r="A942" t="str">
            <v>1000/1402       NPK 8-24-24</v>
          </cell>
          <cell r="J942">
            <v>1030.24</v>
          </cell>
        </row>
        <row r="943">
          <cell r="A943" t="str">
            <v>1000/1402       NPK 8-24-24</v>
          </cell>
          <cell r="J943">
            <v>0</v>
          </cell>
        </row>
        <row r="944">
          <cell r="A944" t="str">
            <v>1000/1402       NPK 8-24-24</v>
          </cell>
          <cell r="J944">
            <v>2495.88</v>
          </cell>
        </row>
        <row r="945">
          <cell r="A945" t="str">
            <v>1000/1402       NPK 8-24-24</v>
          </cell>
          <cell r="J945">
            <v>0</v>
          </cell>
        </row>
        <row r="946">
          <cell r="A946" t="str">
            <v>1000/1402       NPK 8-24-24</v>
          </cell>
          <cell r="J946">
            <v>1992.72</v>
          </cell>
        </row>
        <row r="947">
          <cell r="A947" t="str">
            <v>1000/1402       NPK 8-24-24</v>
          </cell>
          <cell r="J947">
            <v>0</v>
          </cell>
        </row>
        <row r="948">
          <cell r="A948" t="str">
            <v>1000/1402       NPK 8-24-24</v>
          </cell>
          <cell r="J948">
            <v>1662.96</v>
          </cell>
        </row>
        <row r="949">
          <cell r="A949" t="str">
            <v>1000/1402       NPK 8-24-24</v>
          </cell>
          <cell r="J949">
            <v>2369.1599999999899</v>
          </cell>
        </row>
        <row r="950">
          <cell r="A950" t="str">
            <v>1000/1402       NPK 8-24-24</v>
          </cell>
          <cell r="J950">
            <v>0</v>
          </cell>
        </row>
        <row r="951">
          <cell r="A951" t="str">
            <v>1000/1402       NPK 8-24-24</v>
          </cell>
          <cell r="J951">
            <v>1886.64</v>
          </cell>
        </row>
        <row r="952">
          <cell r="A952" t="str">
            <v>1000/1402       NPK 8-24-24</v>
          </cell>
          <cell r="J952">
            <v>0</v>
          </cell>
        </row>
        <row r="953">
          <cell r="A953" t="str">
            <v>1000/1402       NPK 8-24-24</v>
          </cell>
          <cell r="J953">
            <v>1833.8399999999899</v>
          </cell>
        </row>
        <row r="954">
          <cell r="A954" t="str">
            <v>1000/1402       NPK 8-24-24</v>
          </cell>
          <cell r="J954">
            <v>0</v>
          </cell>
        </row>
        <row r="955">
          <cell r="A955" t="str">
            <v>1000/1402       NPK 8-24-24</v>
          </cell>
          <cell r="J955">
            <v>0</v>
          </cell>
        </row>
        <row r="956">
          <cell r="A956" t="str">
            <v>1000/1402       NPK 8-24-24</v>
          </cell>
          <cell r="J956">
            <v>0</v>
          </cell>
        </row>
        <row r="957">
          <cell r="A957" t="str">
            <v>1000/1402       NPK 8-24-24</v>
          </cell>
          <cell r="J957">
            <v>0</v>
          </cell>
        </row>
        <row r="958">
          <cell r="A958" t="str">
            <v>1000/1402       NPK 8-24-24</v>
          </cell>
          <cell r="J958">
            <v>4238.3999999999896</v>
          </cell>
        </row>
        <row r="959">
          <cell r="A959" t="str">
            <v>1000/1402       NPK 8-24-24</v>
          </cell>
          <cell r="J959">
            <v>25281.040000000001</v>
          </cell>
        </row>
        <row r="960">
          <cell r="A960" t="str">
            <v>1000/1402       NPK 8-24-24</v>
          </cell>
          <cell r="J960">
            <v>0</v>
          </cell>
        </row>
        <row r="961">
          <cell r="A961" t="str">
            <v>1000/1402       NPK 8-24-24</v>
          </cell>
          <cell r="J961">
            <v>1242.24</v>
          </cell>
        </row>
        <row r="962">
          <cell r="A962" t="str">
            <v>1000/1402       NPK 8-24-24</v>
          </cell>
          <cell r="J962">
            <v>0</v>
          </cell>
        </row>
        <row r="963">
          <cell r="A963" t="str">
            <v>1000/1402       NPK 8-24-24</v>
          </cell>
          <cell r="J963">
            <v>3325.92</v>
          </cell>
        </row>
        <row r="964">
          <cell r="A964" t="str">
            <v>1000/1402       NPK 8-24-24</v>
          </cell>
          <cell r="J964">
            <v>1567.68</v>
          </cell>
        </row>
        <row r="965">
          <cell r="A965" t="str">
            <v>1000/1402       NPK 8-24-24</v>
          </cell>
          <cell r="J965">
            <v>2119.1999999999898</v>
          </cell>
        </row>
        <row r="966">
          <cell r="A966" t="str">
            <v>1000/1402       NPK 8-24-24</v>
          </cell>
          <cell r="J966">
            <v>1727.76</v>
          </cell>
        </row>
        <row r="967">
          <cell r="A967" t="str">
            <v>1000/1402       NPK 8-24-24</v>
          </cell>
          <cell r="J967">
            <v>0</v>
          </cell>
        </row>
        <row r="968">
          <cell r="A968" t="str">
            <v>1000/1402       NPK 8-24-24</v>
          </cell>
          <cell r="J968">
            <v>0</v>
          </cell>
        </row>
        <row r="969">
          <cell r="A969" t="str">
            <v>1000/1402       NPK 8-24-24</v>
          </cell>
          <cell r="J969">
            <v>0</v>
          </cell>
        </row>
        <row r="970">
          <cell r="A970" t="str">
            <v>1000/1402       NPK 8-24-24</v>
          </cell>
          <cell r="J970">
            <v>0</v>
          </cell>
        </row>
        <row r="971">
          <cell r="A971" t="str">
            <v>1000/1402       NPK 8-24-24</v>
          </cell>
          <cell r="J971">
            <v>0</v>
          </cell>
        </row>
        <row r="972">
          <cell r="A972" t="str">
            <v>1000/1402       NPK 8-24-24</v>
          </cell>
          <cell r="J972">
            <v>8797.92</v>
          </cell>
        </row>
        <row r="973">
          <cell r="A973" t="str">
            <v>1000/1402       NPK 8-24-24</v>
          </cell>
          <cell r="J973">
            <v>0</v>
          </cell>
        </row>
        <row r="974">
          <cell r="A974" t="str">
            <v>1000/1402       NPK 8-24-24</v>
          </cell>
          <cell r="J974">
            <v>3589.1999999999898</v>
          </cell>
        </row>
        <row r="975">
          <cell r="A975" t="str">
            <v>1000/1402       NPK 8-24-24</v>
          </cell>
          <cell r="J975">
            <v>0</v>
          </cell>
        </row>
        <row r="976">
          <cell r="A976" t="str">
            <v>1000/1402       NPK 8-24-24</v>
          </cell>
          <cell r="J976">
            <v>0</v>
          </cell>
        </row>
        <row r="977">
          <cell r="A977" t="str">
            <v>1000/1402       NPK 8-24-24</v>
          </cell>
          <cell r="J977">
            <v>1456.8</v>
          </cell>
        </row>
        <row r="978">
          <cell r="A978" t="str">
            <v>1000/1402       NPK 8-24-24</v>
          </cell>
          <cell r="J978">
            <v>0</v>
          </cell>
        </row>
        <row r="979">
          <cell r="A979" t="str">
            <v>1000/1402       NPK 8-24-24</v>
          </cell>
          <cell r="J979">
            <v>2090.52</v>
          </cell>
        </row>
        <row r="980">
          <cell r="A980" t="str">
            <v>1000/1402       NPK 8-24-24</v>
          </cell>
          <cell r="J980">
            <v>0</v>
          </cell>
        </row>
        <row r="981">
          <cell r="A981" t="str">
            <v>1000/1402       NPK 8-24-24</v>
          </cell>
          <cell r="J981">
            <v>0</v>
          </cell>
        </row>
        <row r="982">
          <cell r="A982" t="str">
            <v>1000/1402       NPK 8-24-24</v>
          </cell>
          <cell r="J982">
            <v>872.34</v>
          </cell>
        </row>
        <row r="983">
          <cell r="A983" t="str">
            <v>1000/1402       NPK 8-24-24</v>
          </cell>
          <cell r="J983">
            <v>0</v>
          </cell>
        </row>
        <row r="984">
          <cell r="A984" t="str">
            <v>1000/1402       NPK 8-24-24</v>
          </cell>
          <cell r="J984">
            <v>3558.98</v>
          </cell>
        </row>
        <row r="985">
          <cell r="A985" t="str">
            <v>1000/1402       NPK 8-24-24</v>
          </cell>
          <cell r="J985">
            <v>0</v>
          </cell>
        </row>
        <row r="986">
          <cell r="A986" t="str">
            <v>1000/1402       NPK 8-24-24</v>
          </cell>
          <cell r="J986">
            <v>1992.72</v>
          </cell>
        </row>
        <row r="987">
          <cell r="A987" t="str">
            <v>1000/1402       NPK 8-24-24</v>
          </cell>
          <cell r="J987">
            <v>0</v>
          </cell>
        </row>
        <row r="988">
          <cell r="A988" t="str">
            <v>1000/1402       NPK 8-24-24</v>
          </cell>
          <cell r="J988">
            <v>0</v>
          </cell>
        </row>
        <row r="989">
          <cell r="A989" t="str">
            <v>1000/1402       NPK 8-24-24</v>
          </cell>
          <cell r="J989">
            <v>0</v>
          </cell>
        </row>
        <row r="990">
          <cell r="A990" t="str">
            <v>1000/1402       NPK 8-24-24</v>
          </cell>
          <cell r="J990">
            <v>8824.3199999999906</v>
          </cell>
        </row>
        <row r="991">
          <cell r="A991" t="str">
            <v>1000/1402       NPK 8-24-24</v>
          </cell>
          <cell r="J991">
            <v>0</v>
          </cell>
        </row>
        <row r="992">
          <cell r="A992" t="str">
            <v>1000/1402       NPK 8-24-24</v>
          </cell>
          <cell r="J992">
            <v>0</v>
          </cell>
        </row>
        <row r="993">
          <cell r="A993" t="str">
            <v>1000/1402       NPK 8-24-24</v>
          </cell>
          <cell r="J993">
            <v>0</v>
          </cell>
        </row>
        <row r="994">
          <cell r="A994" t="str">
            <v>1000/1402       NPK 8-24-24</v>
          </cell>
          <cell r="J994">
            <v>9262.8999999999905</v>
          </cell>
        </row>
        <row r="995">
          <cell r="A995" t="str">
            <v>1000/1402       NPK 8-24-24</v>
          </cell>
          <cell r="J995">
            <v>0</v>
          </cell>
        </row>
        <row r="996">
          <cell r="A996" t="str">
            <v>1000/1402       NPK 8-24-24</v>
          </cell>
          <cell r="J996">
            <v>0</v>
          </cell>
        </row>
        <row r="997">
          <cell r="A997" t="str">
            <v>1000/1402       NPK 8-24-24</v>
          </cell>
          <cell r="J997">
            <v>2280.36</v>
          </cell>
        </row>
        <row r="998">
          <cell r="A998" t="str">
            <v>1000/1402       NPK 8-24-24</v>
          </cell>
          <cell r="J998">
            <v>3024.53</v>
          </cell>
        </row>
        <row r="999">
          <cell r="A999" t="str">
            <v>1000/1402       NPK 8-24-24</v>
          </cell>
          <cell r="J999">
            <v>0</v>
          </cell>
        </row>
        <row r="1000">
          <cell r="A1000" t="str">
            <v>1000/1402       NPK 8-24-24</v>
          </cell>
          <cell r="J1000">
            <v>0</v>
          </cell>
        </row>
        <row r="1001">
          <cell r="A1001" t="str">
            <v>1000/1402       NPK 8-24-24</v>
          </cell>
          <cell r="J1001">
            <v>0</v>
          </cell>
        </row>
        <row r="1002">
          <cell r="A1002" t="str">
            <v>1000/1402       NPK 8-24-24</v>
          </cell>
          <cell r="J1002">
            <v>0</v>
          </cell>
        </row>
        <row r="1003">
          <cell r="A1003" t="str">
            <v>1000/1402       NPK 8-24-24</v>
          </cell>
          <cell r="J1003">
            <v>0</v>
          </cell>
        </row>
        <row r="1004">
          <cell r="A1004" t="str">
            <v>1000/1402       NPK 8-24-24</v>
          </cell>
          <cell r="J1004">
            <v>7770.72</v>
          </cell>
        </row>
        <row r="1005">
          <cell r="A1005" t="str">
            <v>1000/1402       NPK 8-24-24</v>
          </cell>
          <cell r="J1005">
            <v>0</v>
          </cell>
        </row>
        <row r="1006">
          <cell r="A1006" t="str">
            <v>1000/1402       NPK 8-24-24</v>
          </cell>
          <cell r="J1006">
            <v>2280.36</v>
          </cell>
        </row>
        <row r="1007">
          <cell r="A1007" t="str">
            <v>1000/1402       NPK 8-24-24</v>
          </cell>
          <cell r="J1007">
            <v>4385.5200000000004</v>
          </cell>
        </row>
        <row r="1008">
          <cell r="A1008" t="str">
            <v>1000/1402       NPK 8-24-24</v>
          </cell>
          <cell r="J1008">
            <v>0</v>
          </cell>
        </row>
        <row r="1009">
          <cell r="A1009" t="str">
            <v>1000/1402       NPK 8-24-24</v>
          </cell>
          <cell r="J1009">
            <v>3941.28</v>
          </cell>
        </row>
        <row r="1010">
          <cell r="A1010" t="str">
            <v>1000/1402       NPK 8-24-24</v>
          </cell>
          <cell r="J1010">
            <v>33253.360000000001</v>
          </cell>
        </row>
        <row r="1011">
          <cell r="A1011" t="str">
            <v>1000/1402       NPK 8-24-24</v>
          </cell>
          <cell r="J1011">
            <v>1701.1199999999899</v>
          </cell>
        </row>
        <row r="1012">
          <cell r="A1012" t="str">
            <v>1000/1402       NPK 8-24-24</v>
          </cell>
          <cell r="J1012">
            <v>1589.52</v>
          </cell>
        </row>
        <row r="1013">
          <cell r="A1013" t="str">
            <v>1000/1402       NPK 8-24-24</v>
          </cell>
          <cell r="J1013">
            <v>0</v>
          </cell>
        </row>
        <row r="1014">
          <cell r="A1014" t="str">
            <v>1000/1402       NPK 8-24-24</v>
          </cell>
          <cell r="J1014">
            <v>0</v>
          </cell>
        </row>
        <row r="1015">
          <cell r="A1015" t="str">
            <v>1000/1402       NPK 8-24-24</v>
          </cell>
          <cell r="J1015">
            <v>0</v>
          </cell>
        </row>
        <row r="1016">
          <cell r="A1016" t="str">
            <v>1000/1402       NPK 8-24-24</v>
          </cell>
          <cell r="J1016">
            <v>2522.8000000000002</v>
          </cell>
        </row>
        <row r="1017">
          <cell r="A1017" t="str">
            <v>1000/1402       NPK 8-24-24</v>
          </cell>
          <cell r="J1017">
            <v>924.40999999999894</v>
          </cell>
        </row>
        <row r="1018">
          <cell r="A1018" t="str">
            <v>1000/1402       NPK 8-24-24</v>
          </cell>
          <cell r="J1018">
            <v>4519.5799999999899</v>
          </cell>
        </row>
        <row r="1019">
          <cell r="A1019" t="str">
            <v>1000/1402       NPK 8-24-24</v>
          </cell>
          <cell r="J1019">
            <v>850.55999999999904</v>
          </cell>
        </row>
        <row r="1020">
          <cell r="A1020" t="str">
            <v>1000/1402       NPK 8-24-24</v>
          </cell>
          <cell r="J1020">
            <v>9274.3199999999906</v>
          </cell>
        </row>
        <row r="1021">
          <cell r="A1021" t="str">
            <v>1000/1402       NPK 8-24-24</v>
          </cell>
          <cell r="J1021">
            <v>0</v>
          </cell>
        </row>
        <row r="1022">
          <cell r="A1022" t="str">
            <v>1000/1402       NPK 8-24-24</v>
          </cell>
          <cell r="J1022">
            <v>0</v>
          </cell>
        </row>
        <row r="1023">
          <cell r="A1023" t="str">
            <v>1000/1402       NPK 8-24-24</v>
          </cell>
          <cell r="J1023">
            <v>0</v>
          </cell>
        </row>
        <row r="1024">
          <cell r="A1024" t="str">
            <v>1000/1402       NPK 8-24-24</v>
          </cell>
          <cell r="J1024">
            <v>0</v>
          </cell>
        </row>
        <row r="1025">
          <cell r="A1025" t="str">
            <v>1000/1402       NPK 8-24-24</v>
          </cell>
          <cell r="J1025">
            <v>3288.9</v>
          </cell>
        </row>
        <row r="1026">
          <cell r="A1026" t="str">
            <v>1000/1402       NPK 8-24-24</v>
          </cell>
          <cell r="J1026">
            <v>1888.77</v>
          </cell>
        </row>
        <row r="1027">
          <cell r="A1027" t="str">
            <v>1000/1402       NPK 8-24-24</v>
          </cell>
          <cell r="J1027">
            <v>0</v>
          </cell>
        </row>
        <row r="1028">
          <cell r="A1028" t="str">
            <v>1000/1402       NPK 8-24-24</v>
          </cell>
          <cell r="J1028">
            <v>7452.4799999999896</v>
          </cell>
        </row>
        <row r="1029">
          <cell r="A1029" t="str">
            <v>1000/1403       POLIMAG 305</v>
          </cell>
          <cell r="J1029">
            <v>0</v>
          </cell>
        </row>
        <row r="1030">
          <cell r="A1030" t="str">
            <v>1000/1403       POLIMAG 305</v>
          </cell>
          <cell r="J1030">
            <v>0</v>
          </cell>
        </row>
        <row r="1031">
          <cell r="A1031" t="str">
            <v>1000/1403       POLIMAG 305</v>
          </cell>
          <cell r="J1031">
            <v>0</v>
          </cell>
        </row>
        <row r="1032">
          <cell r="A1032" t="str">
            <v>1000/1403       POLIMAG 305</v>
          </cell>
          <cell r="J1032">
            <v>0</v>
          </cell>
        </row>
        <row r="1033">
          <cell r="A1033" t="str">
            <v>1000/1405       PK 25 -25</v>
          </cell>
          <cell r="J1033">
            <v>0</v>
          </cell>
        </row>
        <row r="1034">
          <cell r="A1034" t="str">
            <v>1000/1406       NPK 12-24-12</v>
          </cell>
          <cell r="J1034">
            <v>0</v>
          </cell>
        </row>
        <row r="1035">
          <cell r="A1035" t="str">
            <v>1000/1409       NPK 4-12-32</v>
          </cell>
          <cell r="J1035">
            <v>0</v>
          </cell>
        </row>
        <row r="1036">
          <cell r="A1036" t="str">
            <v>1000/1409       NPK 4-12-32</v>
          </cell>
          <cell r="J1036">
            <v>0</v>
          </cell>
        </row>
        <row r="1037">
          <cell r="A1037" t="str">
            <v>1000/1409       NPK 4-12-32</v>
          </cell>
          <cell r="J1037">
            <v>0</v>
          </cell>
        </row>
        <row r="1038">
          <cell r="A1038" t="str">
            <v>1000/1409       NPK 4-12-32</v>
          </cell>
          <cell r="J1038">
            <v>907.91999999999905</v>
          </cell>
        </row>
        <row r="1039">
          <cell r="A1039" t="str">
            <v>1000/1409       NPK 4-12-32</v>
          </cell>
          <cell r="J1039">
            <v>0</v>
          </cell>
        </row>
        <row r="1040">
          <cell r="A1040" t="str">
            <v>1000/1409       NPK 4-12-32</v>
          </cell>
          <cell r="J1040">
            <v>1253.52</v>
          </cell>
        </row>
        <row r="1041">
          <cell r="A1041" t="str">
            <v>1000/1409       NPK 4-12-32</v>
          </cell>
          <cell r="J1041">
            <v>822.6</v>
          </cell>
        </row>
        <row r="1042">
          <cell r="A1042" t="str">
            <v>1000/1409       NPK 4-12-32</v>
          </cell>
          <cell r="J1042">
            <v>1999.3199999999899</v>
          </cell>
        </row>
        <row r="1043">
          <cell r="A1043" t="str">
            <v>1000/1409       NPK 4-12-32</v>
          </cell>
          <cell r="J1043">
            <v>1739.88</v>
          </cell>
        </row>
        <row r="1044">
          <cell r="A1044" t="str">
            <v>1000/1409       NPK 4-12-32</v>
          </cell>
          <cell r="J1044">
            <v>0</v>
          </cell>
        </row>
        <row r="1045">
          <cell r="A1045" t="str">
            <v>1000/1409       NPK 4-12-32</v>
          </cell>
          <cell r="J1045">
            <v>0</v>
          </cell>
        </row>
        <row r="1046">
          <cell r="A1046" t="str">
            <v>1000/1409       NPK 4-12-32</v>
          </cell>
          <cell r="J1046">
            <v>842.27999999999895</v>
          </cell>
        </row>
        <row r="1047">
          <cell r="A1047" t="str">
            <v>1000/1409       NPK 4-12-32</v>
          </cell>
          <cell r="J1047">
            <v>0</v>
          </cell>
        </row>
        <row r="1048">
          <cell r="A1048" t="str">
            <v>1000/1409       NPK 4-12-32</v>
          </cell>
          <cell r="J1048">
            <v>0</v>
          </cell>
        </row>
        <row r="1049">
          <cell r="A1049" t="str">
            <v>1000/1409       NPK 4-12-32</v>
          </cell>
          <cell r="J1049">
            <v>0</v>
          </cell>
        </row>
        <row r="1050">
          <cell r="A1050" t="str">
            <v>1000/1409       NPK 4-12-32</v>
          </cell>
          <cell r="J1050">
            <v>9930.92</v>
          </cell>
        </row>
        <row r="1051">
          <cell r="A1051" t="str">
            <v>1000/1409       NPK 4-12-32</v>
          </cell>
          <cell r="J1051">
            <v>0</v>
          </cell>
        </row>
        <row r="1052">
          <cell r="A1052" t="str">
            <v>1000/1409       NPK 4-12-32</v>
          </cell>
          <cell r="J1052">
            <v>0</v>
          </cell>
        </row>
        <row r="1053">
          <cell r="A1053" t="str">
            <v>1000/1409       NPK 4-12-32</v>
          </cell>
          <cell r="J1053">
            <v>3794.6399999999899</v>
          </cell>
        </row>
        <row r="1054">
          <cell r="A1054" t="str">
            <v>1000/1409       NPK 4-12-32</v>
          </cell>
          <cell r="J1054">
            <v>0</v>
          </cell>
        </row>
        <row r="1055">
          <cell r="A1055" t="str">
            <v>1000/1409       NPK 4-12-32</v>
          </cell>
          <cell r="J1055">
            <v>2773.36</v>
          </cell>
        </row>
        <row r="1056">
          <cell r="A1056" t="str">
            <v>1000/1409       NPK 4-12-32</v>
          </cell>
          <cell r="J1056">
            <v>0</v>
          </cell>
        </row>
        <row r="1057">
          <cell r="A1057" t="str">
            <v>1000/1409       NPK 4-12-32</v>
          </cell>
          <cell r="J1057">
            <v>7657.6199999999899</v>
          </cell>
        </row>
        <row r="1058">
          <cell r="A1058" t="str">
            <v>1000/1409       NPK 4-12-32</v>
          </cell>
          <cell r="J1058">
            <v>0</v>
          </cell>
        </row>
        <row r="1059">
          <cell r="A1059" t="str">
            <v>1000/1409       NPK 4-12-32</v>
          </cell>
          <cell r="J1059">
            <v>1200.96</v>
          </cell>
        </row>
        <row r="1060">
          <cell r="A1060" t="str">
            <v>1000/1409       NPK 4-12-32</v>
          </cell>
          <cell r="J1060">
            <v>0</v>
          </cell>
        </row>
        <row r="1061">
          <cell r="A1061" t="str">
            <v>1000/1409       NPK 4-12-32</v>
          </cell>
          <cell r="J1061">
            <v>0</v>
          </cell>
        </row>
        <row r="1062">
          <cell r="A1062" t="str">
            <v>1000/1409       NPK 4-12-32</v>
          </cell>
          <cell r="J1062">
            <v>0</v>
          </cell>
        </row>
        <row r="1063">
          <cell r="A1063" t="str">
            <v>1000/1409       NPK 4-12-32</v>
          </cell>
          <cell r="J1063">
            <v>1779.1199999999899</v>
          </cell>
        </row>
        <row r="1064">
          <cell r="A1064" t="str">
            <v>1000/1409       NPK 4-12-32</v>
          </cell>
          <cell r="J1064">
            <v>0</v>
          </cell>
        </row>
        <row r="1065">
          <cell r="A1065" t="str">
            <v>1000/1409       NPK 4-12-32</v>
          </cell>
          <cell r="J1065">
            <v>0</v>
          </cell>
        </row>
        <row r="1066">
          <cell r="A1066" t="str">
            <v>1000/1409       NPK 4-12-32</v>
          </cell>
          <cell r="J1066">
            <v>0</v>
          </cell>
        </row>
        <row r="1067">
          <cell r="A1067" t="str">
            <v>1000/1409       NPK 4-12-32</v>
          </cell>
          <cell r="J1067">
            <v>5416.18</v>
          </cell>
        </row>
        <row r="1068">
          <cell r="A1068" t="str">
            <v>1000/1409       NPK 4-12-32</v>
          </cell>
          <cell r="J1068">
            <v>0</v>
          </cell>
        </row>
        <row r="1069">
          <cell r="A1069" t="str">
            <v>1000/1409       NPK 4-12-32</v>
          </cell>
          <cell r="J1069">
            <v>0</v>
          </cell>
        </row>
        <row r="1070">
          <cell r="A1070" t="str">
            <v>1000/1409       NPK 4-12-32</v>
          </cell>
          <cell r="J1070">
            <v>0</v>
          </cell>
        </row>
        <row r="1071">
          <cell r="A1071" t="str">
            <v>1000/1409       NPK 4-12-32</v>
          </cell>
          <cell r="J1071">
            <v>0</v>
          </cell>
        </row>
        <row r="1072">
          <cell r="A1072" t="str">
            <v>1000/1409       NPK 4-12-32</v>
          </cell>
          <cell r="J1072">
            <v>0</v>
          </cell>
        </row>
        <row r="1073">
          <cell r="A1073" t="str">
            <v>1000/1409       NPK 4-12-32</v>
          </cell>
          <cell r="J1073">
            <v>2275.6199999999899</v>
          </cell>
        </row>
        <row r="1074">
          <cell r="A1074" t="str">
            <v>1000/1409       NPK 4-12-32</v>
          </cell>
          <cell r="J1074">
            <v>0</v>
          </cell>
        </row>
        <row r="1075">
          <cell r="A1075" t="str">
            <v>1000/1409       NPK 4-12-32</v>
          </cell>
          <cell r="J1075">
            <v>0</v>
          </cell>
        </row>
        <row r="1076">
          <cell r="A1076" t="str">
            <v>1000/1409       NPK 4-12-32</v>
          </cell>
          <cell r="J1076">
            <v>2076.2399999999898</v>
          </cell>
        </row>
        <row r="1077">
          <cell r="A1077" t="str">
            <v>1000/1409       NPK 4-12-32</v>
          </cell>
          <cell r="J1077">
            <v>1779.1199999999899</v>
          </cell>
        </row>
        <row r="1078">
          <cell r="A1078" t="str">
            <v>1000/1409       NPK 4-12-32</v>
          </cell>
          <cell r="J1078">
            <v>0</v>
          </cell>
        </row>
        <row r="1079">
          <cell r="A1079" t="str">
            <v>1000/1409       NPK 4-12-32</v>
          </cell>
          <cell r="J1079">
            <v>0</v>
          </cell>
        </row>
        <row r="1080">
          <cell r="A1080" t="str">
            <v>1000/1409       NPK 4-12-32</v>
          </cell>
          <cell r="J1080">
            <v>0</v>
          </cell>
        </row>
        <row r="1081">
          <cell r="A1081" t="str">
            <v>1000/1409       NPK 4-12-32</v>
          </cell>
          <cell r="J1081">
            <v>11999.54</v>
          </cell>
        </row>
        <row r="1082">
          <cell r="A1082" t="str">
            <v>1000/1409       NPK 4-12-32</v>
          </cell>
          <cell r="J1082">
            <v>0</v>
          </cell>
        </row>
        <row r="1083">
          <cell r="A1083" t="str">
            <v>1000/1409       NPK 4-12-32</v>
          </cell>
          <cell r="J1083">
            <v>0</v>
          </cell>
        </row>
        <row r="1084">
          <cell r="A1084" t="str">
            <v>1000/1409       NPK 4-12-32</v>
          </cell>
          <cell r="J1084">
            <v>0</v>
          </cell>
        </row>
        <row r="1085">
          <cell r="A1085" t="str">
            <v>1000/1409       NPK 4-12-32</v>
          </cell>
          <cell r="J1085">
            <v>650.39999999999895</v>
          </cell>
        </row>
        <row r="1086">
          <cell r="A1086" t="str">
            <v>1000/1409       NPK 4-12-32</v>
          </cell>
          <cell r="J1086">
            <v>41843.349999999897</v>
          </cell>
        </row>
        <row r="1087">
          <cell r="A1087" t="str">
            <v>1000/1409       NPK 4-12-32</v>
          </cell>
          <cell r="J1087">
            <v>19793.7599999999</v>
          </cell>
        </row>
        <row r="1088">
          <cell r="A1088" t="str">
            <v>1000/1409       NPK 4-12-32</v>
          </cell>
          <cell r="J1088">
            <v>0</v>
          </cell>
        </row>
        <row r="1089">
          <cell r="A1089" t="str">
            <v>1000/1409       NPK 4-12-32</v>
          </cell>
          <cell r="J1089">
            <v>1518.96</v>
          </cell>
        </row>
        <row r="1090">
          <cell r="A1090" t="str">
            <v>1000/1409       NPK 4-12-32</v>
          </cell>
          <cell r="J1090">
            <v>780.48</v>
          </cell>
        </row>
        <row r="1091">
          <cell r="A1091" t="str">
            <v>1000/1409       NPK 4-12-32</v>
          </cell>
          <cell r="J1091">
            <v>0</v>
          </cell>
        </row>
        <row r="1092">
          <cell r="A1092" t="str">
            <v>1000/1409       NPK 4-12-32</v>
          </cell>
          <cell r="J1092">
            <v>3558.2399999999898</v>
          </cell>
        </row>
        <row r="1093">
          <cell r="A1093" t="str">
            <v>1000/1409       NPK 4-12-32</v>
          </cell>
          <cell r="J1093">
            <v>409.92</v>
          </cell>
        </row>
        <row r="1094">
          <cell r="A1094" t="str">
            <v>1000/1409       NPK 4-12-32</v>
          </cell>
          <cell r="J1094">
            <v>0</v>
          </cell>
        </row>
        <row r="1095">
          <cell r="A1095" t="str">
            <v>1000/1409       NPK 4-12-32</v>
          </cell>
          <cell r="J1095">
            <v>1779.1199999999899</v>
          </cell>
        </row>
        <row r="1096">
          <cell r="A1096" t="str">
            <v>1000/1409       NPK 4-12-32</v>
          </cell>
          <cell r="J1096">
            <v>0</v>
          </cell>
        </row>
        <row r="1097">
          <cell r="A1097" t="str">
            <v>1000/1409       NPK 4-12-32</v>
          </cell>
          <cell r="J1097">
            <v>0</v>
          </cell>
        </row>
        <row r="1098">
          <cell r="A1098" t="str">
            <v>1000/1409       NPK 4-12-32</v>
          </cell>
          <cell r="J1098">
            <v>0</v>
          </cell>
        </row>
        <row r="1099">
          <cell r="A1099" t="str">
            <v>1000/1409       NPK 4-12-32</v>
          </cell>
          <cell r="J1099">
            <v>0</v>
          </cell>
        </row>
        <row r="1100">
          <cell r="A1100" t="str">
            <v>1000/1409       NPK 4-12-32</v>
          </cell>
          <cell r="J1100">
            <v>0</v>
          </cell>
        </row>
        <row r="1101">
          <cell r="A1101" t="str">
            <v>1000/1409       NPK 4-12-32</v>
          </cell>
          <cell r="J1101">
            <v>6028.79</v>
          </cell>
        </row>
        <row r="1102">
          <cell r="A1102" t="str">
            <v>1000/1409       NPK 4-12-32</v>
          </cell>
          <cell r="J1102">
            <v>2936.1999999999898</v>
          </cell>
        </row>
        <row r="1103">
          <cell r="A1103" t="str">
            <v>1000/1409       NPK 4-12-32</v>
          </cell>
          <cell r="J1103">
            <v>0</v>
          </cell>
        </row>
        <row r="1104">
          <cell r="A1104" t="str">
            <v>1000/1409       NPK 4-12-32</v>
          </cell>
          <cell r="J1104">
            <v>600.48</v>
          </cell>
        </row>
        <row r="1105">
          <cell r="A1105" t="str">
            <v>1000/1409       NPK 4-12-32</v>
          </cell>
          <cell r="J1105">
            <v>0</v>
          </cell>
        </row>
        <row r="1106">
          <cell r="A1106" t="str">
            <v>1000/1409       NPK 4-12-32</v>
          </cell>
          <cell r="J1106">
            <v>0</v>
          </cell>
        </row>
        <row r="1107">
          <cell r="A1107" t="str">
            <v>1000/1409       NPK 4-12-32</v>
          </cell>
          <cell r="J1107">
            <v>2021.39</v>
          </cell>
        </row>
        <row r="1108">
          <cell r="A1108" t="str">
            <v>1000/1409       NPK 4-12-32</v>
          </cell>
          <cell r="J1108">
            <v>10926</v>
          </cell>
        </row>
        <row r="1109">
          <cell r="A1109" t="str">
            <v>1000/1409       NPK 4-12-32</v>
          </cell>
          <cell r="J1109">
            <v>0</v>
          </cell>
        </row>
        <row r="1110">
          <cell r="A1110" t="str">
            <v>1000/1409       NPK 4-12-32</v>
          </cell>
          <cell r="J1110">
            <v>977.51999999999896</v>
          </cell>
        </row>
        <row r="1111">
          <cell r="A1111" t="str">
            <v>1000/1409       NPK 4-12-32</v>
          </cell>
          <cell r="J1111">
            <v>788.39999999999895</v>
          </cell>
        </row>
        <row r="1112">
          <cell r="A1112" t="str">
            <v>1000/1409       NPK 4-12-32</v>
          </cell>
          <cell r="J1112">
            <v>6969.6</v>
          </cell>
        </row>
        <row r="1113">
          <cell r="A1113" t="str">
            <v>1000/1409       NPK 4-12-32</v>
          </cell>
          <cell r="J1113">
            <v>0</v>
          </cell>
        </row>
        <row r="1114">
          <cell r="A1114" t="str">
            <v>1000/1409       NPK 4-12-32</v>
          </cell>
          <cell r="J1114">
            <v>2969.76</v>
          </cell>
        </row>
        <row r="1115">
          <cell r="A1115" t="str">
            <v>1000/1409       NPK 4-12-32</v>
          </cell>
          <cell r="J1115">
            <v>0</v>
          </cell>
        </row>
        <row r="1116">
          <cell r="A1116" t="str">
            <v>1000/1409       NPK 4-12-32</v>
          </cell>
          <cell r="J1116">
            <v>1827.1199999999899</v>
          </cell>
        </row>
        <row r="1117">
          <cell r="A1117" t="str">
            <v>1000/1409       NPK 4-12-32</v>
          </cell>
          <cell r="J1117">
            <v>3274.5599999999899</v>
          </cell>
        </row>
        <row r="1118">
          <cell r="A1118" t="str">
            <v>1000/1409       NPK 4-12-32</v>
          </cell>
          <cell r="J1118">
            <v>1484.88</v>
          </cell>
        </row>
        <row r="1119">
          <cell r="A1119" t="str">
            <v>1000/1409       NPK 4-12-32</v>
          </cell>
          <cell r="J1119">
            <v>0</v>
          </cell>
        </row>
        <row r="1120">
          <cell r="A1120" t="str">
            <v>1000/1409       NPK 4-12-32</v>
          </cell>
          <cell r="J1120">
            <v>0</v>
          </cell>
        </row>
        <row r="1121">
          <cell r="A1121" t="str">
            <v>1000/1409       NPK 4-12-32</v>
          </cell>
          <cell r="J1121">
            <v>0</v>
          </cell>
        </row>
        <row r="1122">
          <cell r="A1122" t="str">
            <v>1000/1409       NPK 4-12-32</v>
          </cell>
          <cell r="J1122">
            <v>3206.6199999999899</v>
          </cell>
        </row>
        <row r="1123">
          <cell r="A1123" t="str">
            <v>1000/1409       NPK 4-12-32</v>
          </cell>
          <cell r="J1123">
            <v>0</v>
          </cell>
        </row>
        <row r="1124">
          <cell r="A1124" t="str">
            <v>1000/1409       NPK 4-12-32</v>
          </cell>
          <cell r="J1124">
            <v>0</v>
          </cell>
        </row>
        <row r="1125">
          <cell r="A1125" t="str">
            <v>1000/1409       NPK 4-12-32</v>
          </cell>
          <cell r="J1125">
            <v>0</v>
          </cell>
        </row>
        <row r="1126">
          <cell r="A1126" t="str">
            <v>1000/1409       NPK 4-12-32</v>
          </cell>
          <cell r="J1126">
            <v>600.48</v>
          </cell>
        </row>
        <row r="1127">
          <cell r="A1127" t="str">
            <v>1000/1409       NPK 4-12-32</v>
          </cell>
          <cell r="J1127">
            <v>0</v>
          </cell>
        </row>
        <row r="1128">
          <cell r="A1128" t="str">
            <v>1000/1409       NPK 4-12-32</v>
          </cell>
          <cell r="J1128">
            <v>1566.3599999999899</v>
          </cell>
        </row>
        <row r="1129">
          <cell r="A1129" t="str">
            <v>1000/1409       NPK 4-12-32</v>
          </cell>
          <cell r="J1129">
            <v>0</v>
          </cell>
        </row>
        <row r="1130">
          <cell r="A1130" t="str">
            <v>1000/1409       NPK 4-12-32</v>
          </cell>
          <cell r="J1130">
            <v>0</v>
          </cell>
        </row>
        <row r="1131">
          <cell r="A1131" t="str">
            <v>1000/1409       NPK 4-12-32</v>
          </cell>
          <cell r="J1131">
            <v>0</v>
          </cell>
        </row>
        <row r="1132">
          <cell r="A1132" t="str">
            <v>1000/1409       NPK 4-12-32</v>
          </cell>
          <cell r="J1132">
            <v>0</v>
          </cell>
        </row>
        <row r="1133">
          <cell r="A1133" t="str">
            <v>1000/1409       NPK 4-12-32</v>
          </cell>
          <cell r="J1133">
            <v>946.08</v>
          </cell>
        </row>
        <row r="1134">
          <cell r="A1134" t="str">
            <v>1000/1409       NPK 4-12-32</v>
          </cell>
          <cell r="J1134">
            <v>0</v>
          </cell>
        </row>
        <row r="1135">
          <cell r="A1135" t="str">
            <v>1000/1409       NPK 4-12-32</v>
          </cell>
          <cell r="J1135">
            <v>1542.72</v>
          </cell>
        </row>
        <row r="1136">
          <cell r="A1136" t="str">
            <v>1000/1409       NPK 4-12-32</v>
          </cell>
          <cell r="J1136">
            <v>0</v>
          </cell>
        </row>
        <row r="1137">
          <cell r="A1137" t="str">
            <v>1000/1409       NPK 4-12-32</v>
          </cell>
          <cell r="J1137">
            <v>2016</v>
          </cell>
        </row>
        <row r="1138">
          <cell r="A1138" t="str">
            <v>1000/1409       NPK 4-12-32</v>
          </cell>
          <cell r="J1138">
            <v>0</v>
          </cell>
        </row>
        <row r="1139">
          <cell r="A1139" t="str">
            <v>1000/1409       NPK 4-12-32</v>
          </cell>
          <cell r="J1139">
            <v>913.55999999999904</v>
          </cell>
        </row>
        <row r="1140">
          <cell r="A1140" t="str">
            <v>1000/1409       NPK 4-12-32</v>
          </cell>
          <cell r="J1140">
            <v>0</v>
          </cell>
        </row>
        <row r="1141">
          <cell r="A1141" t="str">
            <v>1000/1409       NPK 4-12-32</v>
          </cell>
          <cell r="J1141">
            <v>2460.1199999999899</v>
          </cell>
        </row>
        <row r="1142">
          <cell r="A1142" t="str">
            <v>1000/1409       NPK 4-12-32</v>
          </cell>
          <cell r="J1142">
            <v>2124.2399999999898</v>
          </cell>
        </row>
        <row r="1143">
          <cell r="A1143" t="str">
            <v>1000/1409       NPK 4-12-32</v>
          </cell>
          <cell r="J1143">
            <v>3261.82</v>
          </cell>
        </row>
        <row r="1144">
          <cell r="A1144" t="str">
            <v>1000/1409       NPK 4-12-32</v>
          </cell>
          <cell r="J1144">
            <v>19407.97</v>
          </cell>
        </row>
        <row r="1145">
          <cell r="A1145" t="str">
            <v>1000/1409       NPK 4-12-32</v>
          </cell>
          <cell r="J1145">
            <v>9081.6299999999901</v>
          </cell>
        </row>
        <row r="1146">
          <cell r="A1146" t="str">
            <v>1000/1409       NPK 4-12-32</v>
          </cell>
          <cell r="J1146">
            <v>0</v>
          </cell>
        </row>
        <row r="1147">
          <cell r="A1147" t="str">
            <v>1000/1409       NPK 4-12-32</v>
          </cell>
          <cell r="J1147">
            <v>0</v>
          </cell>
        </row>
        <row r="1148">
          <cell r="A1148" t="str">
            <v>1000/1409       NPK 4-12-32</v>
          </cell>
          <cell r="J1148">
            <v>0</v>
          </cell>
        </row>
        <row r="1149">
          <cell r="A1149" t="str">
            <v>1000/1409       NPK 4-12-32</v>
          </cell>
          <cell r="J1149">
            <v>4531.1999999999898</v>
          </cell>
        </row>
        <row r="1150">
          <cell r="A1150" t="str">
            <v>1000/1409       NPK 4-12-32</v>
          </cell>
          <cell r="J1150">
            <v>15249.12</v>
          </cell>
        </row>
        <row r="1151">
          <cell r="A1151" t="str">
            <v>1000/1409       NPK 4-12-32</v>
          </cell>
          <cell r="J1151">
            <v>1518.96</v>
          </cell>
        </row>
        <row r="1152">
          <cell r="A1152" t="str">
            <v>1000/1409       NPK 4-12-32</v>
          </cell>
          <cell r="J1152">
            <v>3369.1199999999899</v>
          </cell>
        </row>
        <row r="1153">
          <cell r="A1153" t="str">
            <v>1000/1409       NPK 4-12-32</v>
          </cell>
          <cell r="J1153">
            <v>0</v>
          </cell>
        </row>
        <row r="1154">
          <cell r="A1154" t="str">
            <v>1000/1409       NPK 4-12-32</v>
          </cell>
          <cell r="J1154">
            <v>600.48</v>
          </cell>
        </row>
        <row r="1155">
          <cell r="A1155" t="str">
            <v>1000/1409       NPK 4-12-32</v>
          </cell>
          <cell r="J1155">
            <v>0</v>
          </cell>
        </row>
        <row r="1156">
          <cell r="A1156" t="str">
            <v>1000/1409       NPK 4-12-32</v>
          </cell>
          <cell r="J1156">
            <v>842.27999999999895</v>
          </cell>
        </row>
        <row r="1157">
          <cell r="A1157" t="str">
            <v>1000/1409       NPK 4-12-32</v>
          </cell>
          <cell r="J1157">
            <v>0</v>
          </cell>
        </row>
        <row r="1158">
          <cell r="A1158" t="str">
            <v>1000/1409       NPK 4-12-32</v>
          </cell>
          <cell r="J1158">
            <v>0</v>
          </cell>
        </row>
        <row r="1159">
          <cell r="A1159" t="str">
            <v>1000/1409       NPK 4-12-32</v>
          </cell>
          <cell r="J1159">
            <v>0</v>
          </cell>
        </row>
        <row r="1160">
          <cell r="A1160" t="str">
            <v>1000/1409       NPK 4-12-32</v>
          </cell>
          <cell r="J1160">
            <v>0</v>
          </cell>
        </row>
        <row r="1161">
          <cell r="A1161" t="str">
            <v>1000/1409       NPK 4-12-32</v>
          </cell>
          <cell r="J1161">
            <v>0</v>
          </cell>
        </row>
        <row r="1162">
          <cell r="A1162" t="str">
            <v>1000/1409       NPK 4-12-32</v>
          </cell>
          <cell r="J1162">
            <v>0</v>
          </cell>
        </row>
        <row r="1163">
          <cell r="A1163" t="str">
            <v>1000/1409       NPK 4-12-32</v>
          </cell>
          <cell r="J1163">
            <v>8671.67</v>
          </cell>
        </row>
        <row r="1164">
          <cell r="A1164" t="str">
            <v>1000/1409       NPK 4-12-32</v>
          </cell>
          <cell r="J1164">
            <v>0</v>
          </cell>
        </row>
        <row r="1165">
          <cell r="A1165" t="str">
            <v>1000/1409       NPK 4-12-32</v>
          </cell>
          <cell r="J1165">
            <v>924.96</v>
          </cell>
        </row>
        <row r="1166">
          <cell r="A1166" t="str">
            <v>1000/1409       NPK 4-12-32</v>
          </cell>
          <cell r="J1166">
            <v>1118.52</v>
          </cell>
        </row>
        <row r="1167">
          <cell r="A1167" t="str">
            <v>1000/1409       NPK 4-12-32</v>
          </cell>
          <cell r="J1167">
            <v>780.48</v>
          </cell>
        </row>
        <row r="1168">
          <cell r="A1168" t="str">
            <v>1000/1409       NPK 4-12-32</v>
          </cell>
          <cell r="J1168">
            <v>1516</v>
          </cell>
        </row>
        <row r="1169">
          <cell r="A1169" t="str">
            <v>1000/1409       NPK 4-12-32</v>
          </cell>
          <cell r="J1169">
            <v>515.03999999999905</v>
          </cell>
        </row>
        <row r="1170">
          <cell r="A1170" t="str">
            <v>1000/1409       NPK 4-12-32</v>
          </cell>
          <cell r="J1170">
            <v>1931.52</v>
          </cell>
        </row>
        <row r="1171">
          <cell r="A1171" t="str">
            <v>1000/1409       NPK 4-12-32</v>
          </cell>
          <cell r="J1171">
            <v>2533.44</v>
          </cell>
        </row>
        <row r="1172">
          <cell r="A1172" t="str">
            <v>1000/1409       NPK 4-12-32</v>
          </cell>
          <cell r="J1172">
            <v>0</v>
          </cell>
        </row>
        <row r="1173">
          <cell r="A1173" t="str">
            <v>1000/1409       NPK 4-12-32</v>
          </cell>
          <cell r="J1173">
            <v>1684.5599999999899</v>
          </cell>
        </row>
        <row r="1174">
          <cell r="A1174" t="str">
            <v>1000/1409       NPK 4-12-32</v>
          </cell>
          <cell r="J1174">
            <v>0</v>
          </cell>
        </row>
        <row r="1175">
          <cell r="A1175" t="str">
            <v>1000/1409       NPK 4-12-32</v>
          </cell>
          <cell r="J1175">
            <v>0</v>
          </cell>
        </row>
        <row r="1176">
          <cell r="A1176" t="str">
            <v>1000/1409       NPK 4-12-32</v>
          </cell>
          <cell r="J1176">
            <v>0</v>
          </cell>
        </row>
        <row r="1177">
          <cell r="A1177" t="str">
            <v>1000/1409       NPK 4-12-32</v>
          </cell>
          <cell r="J1177">
            <v>4713.04</v>
          </cell>
        </row>
        <row r="1178">
          <cell r="A1178" t="str">
            <v>1000/1409       NPK 4-12-32</v>
          </cell>
          <cell r="J1178">
            <v>0</v>
          </cell>
        </row>
        <row r="1179">
          <cell r="A1179" t="str">
            <v>1000/1409       NPK 4-12-32</v>
          </cell>
          <cell r="J1179">
            <v>0</v>
          </cell>
        </row>
        <row r="1180">
          <cell r="A1180" t="str">
            <v>1000/1409       NPK 4-12-32</v>
          </cell>
          <cell r="J1180">
            <v>0</v>
          </cell>
        </row>
        <row r="1181">
          <cell r="A1181" t="str">
            <v>1000/1409       NPK 4-12-32</v>
          </cell>
          <cell r="J1181">
            <v>0</v>
          </cell>
        </row>
        <row r="1182">
          <cell r="A1182" t="str">
            <v>1000/1409       NPK 4-12-32</v>
          </cell>
          <cell r="J1182">
            <v>1567.68</v>
          </cell>
        </row>
        <row r="1183">
          <cell r="A1183" t="str">
            <v>1000/1409       NPK 4-12-32</v>
          </cell>
          <cell r="J1183">
            <v>3180</v>
          </cell>
        </row>
        <row r="1184">
          <cell r="A1184" t="str">
            <v>1000/1409       NPK 4-12-32</v>
          </cell>
          <cell r="J1184">
            <v>0</v>
          </cell>
        </row>
        <row r="1185">
          <cell r="A1185" t="str">
            <v>1000/1409       NPK 4-12-32</v>
          </cell>
          <cell r="J1185">
            <v>0</v>
          </cell>
        </row>
        <row r="1186">
          <cell r="A1186" t="str">
            <v>1000/1409       NPK 4-12-32</v>
          </cell>
          <cell r="J1186">
            <v>946.08</v>
          </cell>
        </row>
        <row r="1187">
          <cell r="A1187" t="str">
            <v>1000/1409       NPK 4-12-32</v>
          </cell>
          <cell r="J1187">
            <v>0</v>
          </cell>
        </row>
        <row r="1188">
          <cell r="A1188" t="str">
            <v>1000/1409       NPK 4-12-32</v>
          </cell>
          <cell r="J1188">
            <v>0</v>
          </cell>
        </row>
        <row r="1189">
          <cell r="A1189" t="str">
            <v>1000/1409       NPK 4-12-32</v>
          </cell>
          <cell r="J1189">
            <v>2280.36</v>
          </cell>
        </row>
        <row r="1190">
          <cell r="A1190" t="str">
            <v>1000/1409       NPK 4-12-32</v>
          </cell>
          <cell r="J1190">
            <v>4941.68</v>
          </cell>
        </row>
        <row r="1191">
          <cell r="A1191" t="str">
            <v>1000/1409       NPK 4-12-32</v>
          </cell>
          <cell r="J1191">
            <v>925.91999999999905</v>
          </cell>
        </row>
        <row r="1192">
          <cell r="A1192" t="str">
            <v>1000/1409       NPK 4-12-32</v>
          </cell>
          <cell r="J1192">
            <v>1590</v>
          </cell>
        </row>
        <row r="1193">
          <cell r="A1193" t="str">
            <v>1000/1409       NPK 4-12-32</v>
          </cell>
          <cell r="J1193">
            <v>0</v>
          </cell>
        </row>
        <row r="1194">
          <cell r="A1194" t="str">
            <v>1000/1409       NPK 4-12-32</v>
          </cell>
          <cell r="J1194">
            <v>1345.53</v>
          </cell>
        </row>
        <row r="1195">
          <cell r="A1195" t="str">
            <v>1000/1409       NPK 4-12-32</v>
          </cell>
          <cell r="J1195">
            <v>1779.1199999999899</v>
          </cell>
        </row>
        <row r="1196">
          <cell r="A1196" t="str">
            <v>1000/1409       NPK 4-12-32</v>
          </cell>
          <cell r="J1196">
            <v>0</v>
          </cell>
        </row>
        <row r="1197">
          <cell r="A1197" t="str">
            <v>1000/1409       NPK 4-12-32</v>
          </cell>
          <cell r="J1197">
            <v>920.30999999999904</v>
          </cell>
        </row>
        <row r="1198">
          <cell r="A1198" t="str">
            <v>1000/1409       NPK 4-12-32</v>
          </cell>
          <cell r="J1198">
            <v>5138.04</v>
          </cell>
        </row>
        <row r="1199">
          <cell r="A1199" t="str">
            <v>1000/1409       NPK 4-12-32</v>
          </cell>
          <cell r="J1199">
            <v>0</v>
          </cell>
        </row>
        <row r="1200">
          <cell r="A1200" t="str">
            <v>1000/1409       NPK 4-12-32</v>
          </cell>
          <cell r="J1200">
            <v>0</v>
          </cell>
        </row>
        <row r="1201">
          <cell r="A1201" t="str">
            <v>1000/1409       NPK 4-12-32</v>
          </cell>
          <cell r="J1201">
            <v>34977.419999999896</v>
          </cell>
        </row>
        <row r="1202">
          <cell r="A1202" t="str">
            <v>1000/1409       NPK 4-12-32</v>
          </cell>
          <cell r="J1202">
            <v>0</v>
          </cell>
        </row>
        <row r="1203">
          <cell r="A1203" t="str">
            <v>1000/1409       NPK 4-12-32</v>
          </cell>
          <cell r="J1203">
            <v>0</v>
          </cell>
        </row>
        <row r="1204">
          <cell r="A1204" t="str">
            <v>1000/1409       NPK 4-12-32</v>
          </cell>
          <cell r="J1204">
            <v>0</v>
          </cell>
        </row>
        <row r="1205">
          <cell r="A1205" t="str">
            <v>1000/1409       NPK 4-12-32</v>
          </cell>
          <cell r="J1205">
            <v>0</v>
          </cell>
        </row>
        <row r="1206">
          <cell r="A1206" t="str">
            <v>1000/1409       NPK 4-12-32</v>
          </cell>
          <cell r="J1206">
            <v>1200.96</v>
          </cell>
        </row>
        <row r="1207">
          <cell r="A1207" t="str">
            <v>1000/1409       NPK 4-12-32</v>
          </cell>
          <cell r="J1207">
            <v>17710.9199999999</v>
          </cell>
        </row>
        <row r="1208">
          <cell r="A1208" t="str">
            <v>1000/1409       NPK 4-12-32</v>
          </cell>
          <cell r="J1208">
            <v>1992.72</v>
          </cell>
        </row>
        <row r="1209">
          <cell r="A1209" t="str">
            <v>1000/1409       NPK 4-12-32</v>
          </cell>
          <cell r="J1209">
            <v>3037.92</v>
          </cell>
        </row>
        <row r="1210">
          <cell r="A1210" t="str">
            <v>1000/1409       NPK 4-12-32</v>
          </cell>
          <cell r="J1210">
            <v>4406.88</v>
          </cell>
        </row>
        <row r="1211">
          <cell r="A1211" t="str">
            <v>1000/1409       NPK 4-12-32</v>
          </cell>
          <cell r="J1211">
            <v>0</v>
          </cell>
        </row>
        <row r="1212">
          <cell r="A1212" t="str">
            <v>1000/1409       NPK 4-12-32</v>
          </cell>
          <cell r="J1212">
            <v>5337.3599999999897</v>
          </cell>
        </row>
        <row r="1213">
          <cell r="A1213" t="str">
            <v>1000/1409       NPK 4-12-32</v>
          </cell>
          <cell r="J1213">
            <v>0</v>
          </cell>
        </row>
        <row r="1214">
          <cell r="A1214" t="str">
            <v>1000/1409       NPK 4-12-32</v>
          </cell>
          <cell r="J1214">
            <v>0</v>
          </cell>
        </row>
        <row r="1215">
          <cell r="A1215" t="str">
            <v>1000/1409       NPK 4-12-32</v>
          </cell>
          <cell r="J1215">
            <v>0</v>
          </cell>
        </row>
        <row r="1216">
          <cell r="A1216" t="str">
            <v>1000/1409       NPK 4-12-32</v>
          </cell>
          <cell r="J1216">
            <v>7999.77</v>
          </cell>
        </row>
        <row r="1217">
          <cell r="A1217" t="str">
            <v>1000/1409       NPK 4-12-32</v>
          </cell>
          <cell r="J1217">
            <v>0</v>
          </cell>
        </row>
        <row r="1218">
          <cell r="A1218" t="str">
            <v>1000/1409       NPK 4-12-32</v>
          </cell>
          <cell r="J1218">
            <v>0</v>
          </cell>
        </row>
        <row r="1219">
          <cell r="A1219" t="str">
            <v>1000/1409       NPK 4-12-32</v>
          </cell>
          <cell r="J1219">
            <v>1597.92</v>
          </cell>
        </row>
        <row r="1220">
          <cell r="A1220" t="str">
            <v>1000/1409       NPK 4-12-32</v>
          </cell>
          <cell r="J1220">
            <v>0</v>
          </cell>
        </row>
        <row r="1221">
          <cell r="A1221" t="str">
            <v>1000/1409       NPK 4-12-32</v>
          </cell>
          <cell r="J1221">
            <v>0</v>
          </cell>
        </row>
        <row r="1222">
          <cell r="A1222" t="str">
            <v>1000/1409       NPK 4-12-32</v>
          </cell>
          <cell r="J1222">
            <v>0</v>
          </cell>
        </row>
        <row r="1223">
          <cell r="A1223" t="str">
            <v>1000/1409       NPK 4-12-32</v>
          </cell>
          <cell r="J1223">
            <v>2734.8099999999899</v>
          </cell>
        </row>
        <row r="1224">
          <cell r="A1224" t="str">
            <v>1000/1409       NPK 4-12-32</v>
          </cell>
          <cell r="J1224">
            <v>7198.0299999999897</v>
          </cell>
        </row>
        <row r="1225">
          <cell r="A1225" t="str">
            <v>1000/1409       NPK 4-12-32</v>
          </cell>
          <cell r="J1225">
            <v>0</v>
          </cell>
        </row>
        <row r="1226">
          <cell r="A1226" t="str">
            <v>1000/1409       NPK 4-12-32</v>
          </cell>
          <cell r="J1226">
            <v>0</v>
          </cell>
        </row>
        <row r="1227">
          <cell r="A1227" t="str">
            <v>1000/1409       NPK 4-12-32</v>
          </cell>
          <cell r="J1227">
            <v>0</v>
          </cell>
        </row>
        <row r="1228">
          <cell r="A1228" t="str">
            <v>1000/1409       NPK 4-12-32</v>
          </cell>
          <cell r="J1228">
            <v>2119.1999999999898</v>
          </cell>
        </row>
        <row r="1229">
          <cell r="A1229" t="str">
            <v>1000/1409       NPK 4-12-32</v>
          </cell>
          <cell r="J1229">
            <v>10713.6</v>
          </cell>
        </row>
        <row r="1230">
          <cell r="A1230" t="str">
            <v>1000/1409       NPK 4-12-32</v>
          </cell>
          <cell r="J1230">
            <v>0</v>
          </cell>
        </row>
        <row r="1231">
          <cell r="A1231" t="str">
            <v>1000/1409       NPK 4-12-32</v>
          </cell>
          <cell r="J1231">
            <v>0</v>
          </cell>
        </row>
        <row r="1232">
          <cell r="A1232" t="str">
            <v>1000/1409       NPK 4-12-32</v>
          </cell>
          <cell r="J1232">
            <v>12740.879999999899</v>
          </cell>
        </row>
        <row r="1233">
          <cell r="A1233" t="str">
            <v>1000/1409       NPK 4-12-32</v>
          </cell>
          <cell r="J1233">
            <v>0</v>
          </cell>
        </row>
        <row r="1234">
          <cell r="A1234" t="str">
            <v>1000/1409       NPK 4-12-32</v>
          </cell>
          <cell r="J1234">
            <v>0</v>
          </cell>
        </row>
        <row r="1235">
          <cell r="A1235" t="str">
            <v>1000/1409       NPK 4-12-32</v>
          </cell>
          <cell r="J1235">
            <v>0</v>
          </cell>
        </row>
        <row r="1236">
          <cell r="A1236" t="str">
            <v>1000/1409       NPK 4-12-32</v>
          </cell>
          <cell r="J1236">
            <v>0</v>
          </cell>
        </row>
        <row r="1237">
          <cell r="A1237" t="str">
            <v>1000/1409       NPK 4-12-32</v>
          </cell>
          <cell r="J1237">
            <v>180</v>
          </cell>
        </row>
        <row r="1238">
          <cell r="A1238" t="str">
            <v>1000/1409       NPK 4-12-32</v>
          </cell>
          <cell r="J1238">
            <v>0</v>
          </cell>
        </row>
        <row r="1239">
          <cell r="A1239" t="str">
            <v>1000/1409       NPK 4-12-32</v>
          </cell>
          <cell r="J1239">
            <v>0</v>
          </cell>
        </row>
        <row r="1240">
          <cell r="A1240" t="str">
            <v>1000/1409       NPK 4-12-32</v>
          </cell>
          <cell r="J1240">
            <v>6858.2399999999898</v>
          </cell>
        </row>
        <row r="1241">
          <cell r="A1241" t="str">
            <v>1000/1409       NPK 4-12-32</v>
          </cell>
          <cell r="J1241">
            <v>0</v>
          </cell>
        </row>
        <row r="1242">
          <cell r="A1242" t="str">
            <v>1000/1409       NPK 4-12-32</v>
          </cell>
          <cell r="J1242">
            <v>0</v>
          </cell>
        </row>
        <row r="1243">
          <cell r="A1243" t="str">
            <v>1000/1409       NPK 4-12-32</v>
          </cell>
          <cell r="J1243">
            <v>0</v>
          </cell>
        </row>
        <row r="1244">
          <cell r="A1244" t="str">
            <v>1000/1409       NPK 4-12-32</v>
          </cell>
          <cell r="J1244">
            <v>0</v>
          </cell>
        </row>
        <row r="1245">
          <cell r="A1245" t="str">
            <v>1000/1409       NPK 4-12-32</v>
          </cell>
          <cell r="J1245">
            <v>0</v>
          </cell>
        </row>
        <row r="1246">
          <cell r="A1246" t="str">
            <v>1000/1409       NPK 4-12-32</v>
          </cell>
          <cell r="J1246">
            <v>0</v>
          </cell>
        </row>
        <row r="1247">
          <cell r="A1247" t="str">
            <v>1000/1409       NPK 4-12-32</v>
          </cell>
          <cell r="J1247">
            <v>3561.5999999999899</v>
          </cell>
        </row>
        <row r="1248">
          <cell r="A1248" t="str">
            <v>1000/1409       NPK 4-12-32</v>
          </cell>
          <cell r="J1248">
            <v>0</v>
          </cell>
        </row>
        <row r="1249">
          <cell r="A1249" t="str">
            <v>1000/1409       NPK 4-12-32</v>
          </cell>
          <cell r="J1249">
            <v>0</v>
          </cell>
        </row>
        <row r="1250">
          <cell r="A1250" t="str">
            <v>1000/1409       NPK 4-12-32</v>
          </cell>
          <cell r="J1250">
            <v>0</v>
          </cell>
        </row>
        <row r="1251">
          <cell r="A1251" t="str">
            <v>1000/1409       NPK 4-12-32</v>
          </cell>
          <cell r="J1251">
            <v>0</v>
          </cell>
        </row>
        <row r="1252">
          <cell r="A1252" t="str">
            <v>1000/1409       NPK 4-12-32</v>
          </cell>
          <cell r="J1252">
            <v>0</v>
          </cell>
        </row>
        <row r="1253">
          <cell r="A1253" t="str">
            <v>1000/1409       NPK 4-12-32</v>
          </cell>
          <cell r="J1253">
            <v>0</v>
          </cell>
        </row>
        <row r="1254">
          <cell r="A1254" t="str">
            <v>1000/1409       NPK 4-12-32</v>
          </cell>
          <cell r="J1254">
            <v>0</v>
          </cell>
        </row>
        <row r="1255">
          <cell r="A1255" t="str">
            <v>1000/1409       NPK 4-12-32</v>
          </cell>
          <cell r="J1255">
            <v>0</v>
          </cell>
        </row>
        <row r="1256">
          <cell r="A1256" t="str">
            <v>1000/1409       NPK 4-12-32</v>
          </cell>
          <cell r="J1256">
            <v>0</v>
          </cell>
        </row>
        <row r="1257">
          <cell r="A1257" t="str">
            <v>1000/1409       NPK 4-12-32</v>
          </cell>
          <cell r="J1257">
            <v>3200.03</v>
          </cell>
        </row>
        <row r="1258">
          <cell r="A1258" t="str">
            <v>1000/1409       NPK 4-12-32</v>
          </cell>
          <cell r="J1258">
            <v>0</v>
          </cell>
        </row>
        <row r="1259">
          <cell r="A1259" t="str">
            <v>1000/1409       NPK 4-12-32</v>
          </cell>
          <cell r="J1259">
            <v>93063.33</v>
          </cell>
        </row>
        <row r="1260">
          <cell r="A1260" t="str">
            <v>1000/1409       NPK 4-12-32</v>
          </cell>
          <cell r="J1260">
            <v>1589.52</v>
          </cell>
        </row>
        <row r="1261">
          <cell r="A1261" t="str">
            <v>1000/1409       NPK 4-12-32</v>
          </cell>
          <cell r="J1261">
            <v>0</v>
          </cell>
        </row>
        <row r="1262">
          <cell r="A1262" t="str">
            <v>1000/1409       NPK 4-12-32</v>
          </cell>
          <cell r="J1262">
            <v>0</v>
          </cell>
        </row>
        <row r="1263">
          <cell r="A1263" t="str">
            <v>1000/1409       NPK 4-12-32</v>
          </cell>
          <cell r="J1263">
            <v>3167.04</v>
          </cell>
        </row>
        <row r="1264">
          <cell r="A1264" t="str">
            <v>1000/1409       NPK 4-12-32</v>
          </cell>
          <cell r="J1264">
            <v>0</v>
          </cell>
        </row>
        <row r="1265">
          <cell r="A1265" t="str">
            <v>1000/1409       NPK 4-12-32</v>
          </cell>
          <cell r="J1265">
            <v>0</v>
          </cell>
        </row>
        <row r="1266">
          <cell r="A1266" t="str">
            <v>1000/1409       NPK 4-12-32</v>
          </cell>
          <cell r="J1266">
            <v>1701.1199999999899</v>
          </cell>
        </row>
        <row r="1267">
          <cell r="A1267" t="str">
            <v>1000/1409       NPK 4-12-32</v>
          </cell>
          <cell r="J1267">
            <v>1701.1199999999899</v>
          </cell>
        </row>
        <row r="1268">
          <cell r="A1268" t="str">
            <v>1000/1409       NPK 4-12-32</v>
          </cell>
          <cell r="J1268">
            <v>0</v>
          </cell>
        </row>
        <row r="1269">
          <cell r="A1269" t="str">
            <v>1000/1409       NPK 4-12-32</v>
          </cell>
          <cell r="J1269">
            <v>0</v>
          </cell>
        </row>
        <row r="1270">
          <cell r="A1270" t="str">
            <v>1000/1409       NPK 4-12-32</v>
          </cell>
          <cell r="J1270">
            <v>0</v>
          </cell>
        </row>
        <row r="1271">
          <cell r="A1271" t="str">
            <v>1000/1409       NPK 4-12-32</v>
          </cell>
          <cell r="J1271">
            <v>0</v>
          </cell>
        </row>
        <row r="1272">
          <cell r="A1272" t="str">
            <v>1000/1409       NPK 4-12-32</v>
          </cell>
          <cell r="J1272">
            <v>0</v>
          </cell>
        </row>
        <row r="1273">
          <cell r="A1273" t="str">
            <v>1000/1409       NPK 4-12-32</v>
          </cell>
          <cell r="J1273">
            <v>2325.36</v>
          </cell>
        </row>
        <row r="1274">
          <cell r="A1274" t="str">
            <v>1000/1409       NPK 4-12-32</v>
          </cell>
          <cell r="J1274">
            <v>0</v>
          </cell>
        </row>
        <row r="1275">
          <cell r="A1275" t="str">
            <v>1000/1409       NPK 4-12-32</v>
          </cell>
          <cell r="J1275">
            <v>0</v>
          </cell>
        </row>
        <row r="1276">
          <cell r="A1276" t="str">
            <v>1000/1409       NPK 4-12-32</v>
          </cell>
          <cell r="J1276">
            <v>0</v>
          </cell>
        </row>
        <row r="1277">
          <cell r="A1277" t="str">
            <v>1000/1409       NPK 4-12-32</v>
          </cell>
          <cell r="J1277">
            <v>1344.96</v>
          </cell>
        </row>
        <row r="1278">
          <cell r="A1278" t="str">
            <v>1000/1409       NPK 4-12-32</v>
          </cell>
          <cell r="J1278">
            <v>2033.76</v>
          </cell>
        </row>
        <row r="1279">
          <cell r="A1279" t="str">
            <v>1000/1409       NPK 4-12-32</v>
          </cell>
          <cell r="J1279">
            <v>1833.8399999999899</v>
          </cell>
        </row>
        <row r="1280">
          <cell r="A1280" t="str">
            <v>1000/1409       NPK 4-12-32</v>
          </cell>
          <cell r="J1280">
            <v>0</v>
          </cell>
        </row>
        <row r="1281">
          <cell r="A1281" t="str">
            <v>1000/1409       NPK 4-12-32</v>
          </cell>
          <cell r="J1281">
            <v>4988.88</v>
          </cell>
        </row>
        <row r="1282">
          <cell r="A1282" t="str">
            <v>1000/1409       NPK 4-12-32</v>
          </cell>
          <cell r="J1282">
            <v>0</v>
          </cell>
        </row>
        <row r="1283">
          <cell r="A1283" t="str">
            <v>1000/1409       NPK 4-12-32</v>
          </cell>
          <cell r="J1283">
            <v>1833.8399999999899</v>
          </cell>
        </row>
        <row r="1284">
          <cell r="A1284" t="str">
            <v>1000/1409       NPK 4-12-32</v>
          </cell>
          <cell r="J1284">
            <v>1456.8</v>
          </cell>
        </row>
        <row r="1285">
          <cell r="A1285" t="str">
            <v>1000/1409       NPK 4-12-32</v>
          </cell>
          <cell r="J1285">
            <v>0</v>
          </cell>
        </row>
        <row r="1286">
          <cell r="A1286" t="str">
            <v>1000/1409       NPK 4-12-32</v>
          </cell>
          <cell r="J1286">
            <v>0</v>
          </cell>
        </row>
        <row r="1287">
          <cell r="A1287" t="str">
            <v>1000/1409       NPK 4-12-32</v>
          </cell>
          <cell r="J1287">
            <v>0</v>
          </cell>
        </row>
        <row r="1288">
          <cell r="A1288" t="str">
            <v>1000/1409       NPK 4-12-32</v>
          </cell>
          <cell r="J1288">
            <v>0</v>
          </cell>
        </row>
        <row r="1289">
          <cell r="A1289" t="str">
            <v>1000/1409       NPK 4-12-32</v>
          </cell>
          <cell r="J1289">
            <v>0</v>
          </cell>
        </row>
        <row r="1290">
          <cell r="A1290" t="str">
            <v>1000/1409       NPK 4-12-32</v>
          </cell>
          <cell r="J1290">
            <v>12465.6</v>
          </cell>
        </row>
        <row r="1291">
          <cell r="A1291" t="str">
            <v>1000/1409       NPK 4-12-32</v>
          </cell>
          <cell r="J1291">
            <v>0</v>
          </cell>
        </row>
        <row r="1292">
          <cell r="A1292" t="str">
            <v>1000/1409       NPK 4-12-32</v>
          </cell>
          <cell r="J1292">
            <v>0</v>
          </cell>
        </row>
        <row r="1293">
          <cell r="A1293" t="str">
            <v>1000/1409       NPK 4-12-32</v>
          </cell>
          <cell r="J1293">
            <v>0</v>
          </cell>
        </row>
        <row r="1294">
          <cell r="A1294" t="str">
            <v>1000/1409       NPK 4-12-32</v>
          </cell>
          <cell r="J1294">
            <v>0</v>
          </cell>
        </row>
        <row r="1295">
          <cell r="A1295" t="str">
            <v>1000/1409       NPK 4-12-32</v>
          </cell>
          <cell r="J1295">
            <v>0</v>
          </cell>
        </row>
        <row r="1296">
          <cell r="A1296" t="str">
            <v>1000/1409       NPK 4-12-32</v>
          </cell>
          <cell r="J1296">
            <v>0</v>
          </cell>
        </row>
        <row r="1297">
          <cell r="A1297" t="str">
            <v>1000/1409       NPK 4-12-32</v>
          </cell>
          <cell r="J1297">
            <v>0</v>
          </cell>
        </row>
        <row r="1298">
          <cell r="A1298" t="str">
            <v>1000/1409       NPK 4-12-32</v>
          </cell>
          <cell r="J1298">
            <v>0</v>
          </cell>
        </row>
        <row r="1299">
          <cell r="A1299" t="str">
            <v>1000/1409       NPK 4-12-32</v>
          </cell>
          <cell r="J1299">
            <v>0</v>
          </cell>
        </row>
        <row r="1300">
          <cell r="A1300" t="str">
            <v>1000/1409       NPK 4-12-32</v>
          </cell>
          <cell r="J1300">
            <v>0</v>
          </cell>
        </row>
        <row r="1301">
          <cell r="A1301" t="str">
            <v>1000/1409       NPK 4-12-32</v>
          </cell>
          <cell r="J1301">
            <v>0</v>
          </cell>
        </row>
        <row r="1302">
          <cell r="A1302" t="str">
            <v>1000/1409       NPK 4-12-32</v>
          </cell>
          <cell r="J1302">
            <v>0</v>
          </cell>
        </row>
        <row r="1303">
          <cell r="A1303" t="str">
            <v>1000/1409       NPK 4-12-32</v>
          </cell>
          <cell r="J1303">
            <v>2207.7600000000002</v>
          </cell>
        </row>
        <row r="1304">
          <cell r="A1304" t="str">
            <v>1000/1409       NPK 4-12-32</v>
          </cell>
          <cell r="J1304">
            <v>0</v>
          </cell>
        </row>
        <row r="1305">
          <cell r="A1305" t="str">
            <v>1000/1409       NPK 4-12-32</v>
          </cell>
          <cell r="J1305">
            <v>1404</v>
          </cell>
        </row>
        <row r="1306">
          <cell r="A1306" t="str">
            <v>1000/1409       NPK 4-12-32</v>
          </cell>
          <cell r="J1306">
            <v>0</v>
          </cell>
        </row>
        <row r="1307">
          <cell r="A1307" t="str">
            <v>1000/1409       NPK 4-12-32</v>
          </cell>
          <cell r="J1307">
            <v>0</v>
          </cell>
        </row>
        <row r="1308">
          <cell r="A1308" t="str">
            <v>1000/1409       NPK 4-12-32</v>
          </cell>
          <cell r="J1308">
            <v>0</v>
          </cell>
        </row>
        <row r="1309">
          <cell r="A1309" t="str">
            <v>1000/1409       NPK 4-12-32</v>
          </cell>
          <cell r="J1309">
            <v>0</v>
          </cell>
        </row>
        <row r="1310">
          <cell r="A1310" t="str">
            <v>1000/1409       NPK 4-12-32</v>
          </cell>
          <cell r="J1310">
            <v>0</v>
          </cell>
        </row>
        <row r="1311">
          <cell r="A1311" t="str">
            <v>1000/1409       NPK 4-12-32</v>
          </cell>
          <cell r="J1311">
            <v>0</v>
          </cell>
        </row>
        <row r="1312">
          <cell r="A1312" t="str">
            <v>1000/1409       NPK 4-12-32</v>
          </cell>
          <cell r="J1312">
            <v>0</v>
          </cell>
        </row>
        <row r="1313">
          <cell r="A1313" t="str">
            <v>1000/1409       NPK 4-12-32</v>
          </cell>
          <cell r="J1313">
            <v>0</v>
          </cell>
        </row>
        <row r="1314">
          <cell r="A1314" t="str">
            <v>1000/1409       NPK 4-12-32</v>
          </cell>
          <cell r="J1314">
            <v>0</v>
          </cell>
        </row>
        <row r="1315">
          <cell r="A1315" t="str">
            <v>1000/1409       NPK 4-12-32</v>
          </cell>
          <cell r="J1315">
            <v>0</v>
          </cell>
        </row>
        <row r="1316">
          <cell r="A1316" t="str">
            <v>1000/1409       NPK 4-12-32</v>
          </cell>
          <cell r="J1316">
            <v>1261.4000000000001</v>
          </cell>
        </row>
        <row r="1317">
          <cell r="A1317" t="str">
            <v>1000/1409       NPK 4-12-32</v>
          </cell>
          <cell r="J1317">
            <v>1780.8</v>
          </cell>
        </row>
        <row r="1318">
          <cell r="A1318" t="str">
            <v>1000/1409       NPK 4-12-32</v>
          </cell>
          <cell r="J1318">
            <v>0</v>
          </cell>
        </row>
        <row r="1319">
          <cell r="A1319" t="str">
            <v>1000/1409       NPK 4-12-32</v>
          </cell>
          <cell r="J1319">
            <v>1814.5899999999899</v>
          </cell>
        </row>
        <row r="1320">
          <cell r="A1320" t="str">
            <v>1000/1409       NPK 4-12-32</v>
          </cell>
          <cell r="J1320">
            <v>672.48</v>
          </cell>
        </row>
        <row r="1321">
          <cell r="A1321" t="str">
            <v>1000/1409       NPK 4-12-32</v>
          </cell>
          <cell r="J1321">
            <v>5766</v>
          </cell>
        </row>
        <row r="1322">
          <cell r="A1322" t="str">
            <v>1000/1409       NPK 4-12-32</v>
          </cell>
          <cell r="J1322">
            <v>0</v>
          </cell>
        </row>
        <row r="1323">
          <cell r="A1323" t="str">
            <v>1000/1409       NPK 4-12-32</v>
          </cell>
          <cell r="J1323">
            <v>0</v>
          </cell>
        </row>
        <row r="1324">
          <cell r="A1324" t="str">
            <v>1000/1409       NPK 4-12-32</v>
          </cell>
          <cell r="J1324">
            <v>1662.96</v>
          </cell>
        </row>
        <row r="1325">
          <cell r="A1325" t="str">
            <v>1000/1409       NPK 4-12-32</v>
          </cell>
          <cell r="J1325">
            <v>0</v>
          </cell>
        </row>
        <row r="1326">
          <cell r="A1326" t="str">
            <v>1000/1409       NPK 4-12-32</v>
          </cell>
          <cell r="J1326">
            <v>0</v>
          </cell>
        </row>
        <row r="1327">
          <cell r="A1327" t="str">
            <v>1000/1410       PK 15-24</v>
          </cell>
          <cell r="J1327">
            <v>1794.0799999999899</v>
          </cell>
        </row>
        <row r="1328">
          <cell r="A1328" t="str">
            <v>1000/1411       NPK MG 5-15-30-2</v>
          </cell>
          <cell r="J1328">
            <v>0</v>
          </cell>
        </row>
        <row r="1329">
          <cell r="A1329" t="str">
            <v>1000/1411       NPK MG 5-15-30-2</v>
          </cell>
          <cell r="J1329">
            <v>5619.3599999999897</v>
          </cell>
        </row>
        <row r="1330">
          <cell r="A1330" t="str">
            <v>1000/1411       NPK MG 5-15-30-2</v>
          </cell>
          <cell r="J1330">
            <v>6192.2399999999898</v>
          </cell>
        </row>
        <row r="1331">
          <cell r="A1331" t="str">
            <v>1000/1411       NPK MG 5-15-30-2</v>
          </cell>
          <cell r="J1331">
            <v>5048.1599999999899</v>
          </cell>
        </row>
        <row r="1332">
          <cell r="A1332" t="str">
            <v>1000/1411       NPK MG 5-15-30-2</v>
          </cell>
          <cell r="J1332">
            <v>8273.2800000000007</v>
          </cell>
        </row>
        <row r="1333">
          <cell r="A1333" t="str">
            <v>1000/1411       NPK MG 5-15-30-2</v>
          </cell>
          <cell r="J1333">
            <v>0</v>
          </cell>
        </row>
        <row r="1334">
          <cell r="A1334" t="str">
            <v>1000/1411       NPK MG 5-15-30-2</v>
          </cell>
          <cell r="J1334">
            <v>2118.2399999999898</v>
          </cell>
        </row>
        <row r="1335">
          <cell r="A1335" t="str">
            <v>1000/1411       NPK MG 5-15-30-2</v>
          </cell>
          <cell r="J1335">
            <v>0</v>
          </cell>
        </row>
        <row r="1336">
          <cell r="A1336" t="str">
            <v>1000/1411       NPK MG 5-15-30-2</v>
          </cell>
          <cell r="J1336">
            <v>0</v>
          </cell>
        </row>
        <row r="1337">
          <cell r="A1337" t="str">
            <v>1000/1411       NPK MG 5-15-30-2</v>
          </cell>
          <cell r="J1337">
            <v>1360.8</v>
          </cell>
        </row>
        <row r="1338">
          <cell r="A1338" t="str">
            <v>1000/1411       NPK MG 5-15-30-2</v>
          </cell>
          <cell r="J1338">
            <v>0</v>
          </cell>
        </row>
        <row r="1339">
          <cell r="A1339" t="str">
            <v>1000/1411       NPK MG 5-15-30-2</v>
          </cell>
          <cell r="J1339">
            <v>0</v>
          </cell>
        </row>
        <row r="1340">
          <cell r="A1340" t="str">
            <v>1000/1411       NPK MG 5-15-30-2</v>
          </cell>
          <cell r="J1340">
            <v>0</v>
          </cell>
        </row>
        <row r="1341">
          <cell r="A1341" t="str">
            <v>1000/1411       NPK MG 5-15-30-2</v>
          </cell>
          <cell r="J1341">
            <v>1166.8800000000001</v>
          </cell>
        </row>
        <row r="1342">
          <cell r="A1342" t="str">
            <v>1000/1411       NPK MG 5-15-30-2</v>
          </cell>
          <cell r="J1342">
            <v>5260.8299999999899</v>
          </cell>
        </row>
        <row r="1343">
          <cell r="A1343" t="str">
            <v>1000/1411       NPK MG 5-15-30-2</v>
          </cell>
          <cell r="J1343">
            <v>0</v>
          </cell>
        </row>
        <row r="1344">
          <cell r="A1344" t="str">
            <v>1000/1411       NPK MG 5-15-30-2</v>
          </cell>
          <cell r="J1344">
            <v>5913.3599999999897</v>
          </cell>
        </row>
        <row r="1345">
          <cell r="A1345" t="str">
            <v>1000/1411       NPK MG 5-15-30-2</v>
          </cell>
          <cell r="J1345">
            <v>1851.3599999999899</v>
          </cell>
        </row>
        <row r="1346">
          <cell r="A1346" t="str">
            <v>1000/1411       NPK MG 5-15-30-2</v>
          </cell>
          <cell r="J1346">
            <v>1272</v>
          </cell>
        </row>
        <row r="1347">
          <cell r="A1347" t="str">
            <v>1000/1411       NPK MG 5-15-30-2</v>
          </cell>
          <cell r="J1347">
            <v>5349.6</v>
          </cell>
        </row>
        <row r="1348">
          <cell r="A1348" t="str">
            <v>1000/1411       NPK MG 5-15-30-2</v>
          </cell>
          <cell r="J1348">
            <v>0</v>
          </cell>
        </row>
        <row r="1349">
          <cell r="A1349" t="str">
            <v>1000/1411       NPK MG 5-15-30-2</v>
          </cell>
          <cell r="J1349">
            <v>0</v>
          </cell>
        </row>
        <row r="1350">
          <cell r="A1350" t="str">
            <v>1000/1411       NPK MG 5-15-30-2</v>
          </cell>
          <cell r="J1350">
            <v>0</v>
          </cell>
        </row>
        <row r="1351">
          <cell r="A1351" t="str">
            <v>1000/1411       NPK MG 5-15-30-2</v>
          </cell>
          <cell r="J1351">
            <v>0</v>
          </cell>
        </row>
        <row r="1352">
          <cell r="A1352" t="str">
            <v>1000/1411       NPK MG 5-15-30-2</v>
          </cell>
          <cell r="J1352">
            <v>2774.88</v>
          </cell>
        </row>
        <row r="1353">
          <cell r="A1353" t="str">
            <v>1000/1411       NPK MG 5-15-30-2</v>
          </cell>
          <cell r="J1353">
            <v>650.39999999999895</v>
          </cell>
        </row>
        <row r="1354">
          <cell r="A1354" t="str">
            <v>1000/1411       NPK MG 5-15-30-2</v>
          </cell>
          <cell r="J1354">
            <v>1166.8800000000001</v>
          </cell>
        </row>
        <row r="1355">
          <cell r="A1355" t="str">
            <v>1000/1411       NPK MG 5-15-30-2</v>
          </cell>
          <cell r="J1355">
            <v>2561.7600000000002</v>
          </cell>
        </row>
        <row r="1356">
          <cell r="A1356" t="str">
            <v>1000/1411       NPK MG 5-15-30-2</v>
          </cell>
          <cell r="J1356">
            <v>1360.8</v>
          </cell>
        </row>
        <row r="1357">
          <cell r="A1357" t="str">
            <v>1000/1411       NPK MG 5-15-30-2</v>
          </cell>
          <cell r="J1357">
            <v>0</v>
          </cell>
        </row>
        <row r="1358">
          <cell r="A1358" t="str">
            <v>1000/1411       NPK MG 5-15-30-2</v>
          </cell>
          <cell r="J1358">
            <v>8162.88</v>
          </cell>
        </row>
        <row r="1359">
          <cell r="A1359" t="str">
            <v>1000/1411       NPK MG 5-15-30-2</v>
          </cell>
          <cell r="J1359">
            <v>6327.3599999999897</v>
          </cell>
        </row>
        <row r="1360">
          <cell r="A1360" t="str">
            <v>1000/1411       NPK MG 5-15-30-2</v>
          </cell>
          <cell r="J1360">
            <v>1931.52</v>
          </cell>
        </row>
        <row r="1361">
          <cell r="A1361" t="str">
            <v>1000/1411       NPK MG 5-15-30-2</v>
          </cell>
          <cell r="J1361">
            <v>1979.52</v>
          </cell>
        </row>
        <row r="1362">
          <cell r="A1362" t="str">
            <v>1000/1411       NPK MG 5-15-30-2</v>
          </cell>
          <cell r="J1362">
            <v>1426.97</v>
          </cell>
        </row>
        <row r="1363">
          <cell r="A1363" t="str">
            <v>1000/1411       NPK MG 5-15-30-2</v>
          </cell>
          <cell r="J1363">
            <v>2554.3200000000002</v>
          </cell>
        </row>
        <row r="1364">
          <cell r="A1364" t="str">
            <v>1000/1411       NPK MG 5-15-30-2</v>
          </cell>
          <cell r="J1364">
            <v>3421.44</v>
          </cell>
        </row>
        <row r="1365">
          <cell r="A1365" t="str">
            <v>1000/1411       NPK MG 5-15-30-2</v>
          </cell>
          <cell r="J1365">
            <v>0</v>
          </cell>
        </row>
        <row r="1366">
          <cell r="A1366" t="str">
            <v>1000/1411       NPK MG 5-15-30-2</v>
          </cell>
          <cell r="J1366">
            <v>6658.4399999999896</v>
          </cell>
        </row>
        <row r="1367">
          <cell r="A1367" t="str">
            <v>1000/1411       NPK MG 5-15-30-2</v>
          </cell>
          <cell r="J1367">
            <v>0</v>
          </cell>
        </row>
        <row r="1368">
          <cell r="A1368" t="str">
            <v>1000/1411       NPK MG 5-15-30-2</v>
          </cell>
          <cell r="J1368">
            <v>3211.5599999999899</v>
          </cell>
        </row>
        <row r="1369">
          <cell r="A1369" t="str">
            <v>1000/1411       NPK MG 5-15-30-2</v>
          </cell>
          <cell r="J1369">
            <v>0</v>
          </cell>
        </row>
        <row r="1370">
          <cell r="A1370" t="str">
            <v>1000/1411       NPK MG 5-15-30-2</v>
          </cell>
          <cell r="J1370">
            <v>2420.4</v>
          </cell>
        </row>
        <row r="1371">
          <cell r="A1371" t="str">
            <v>1000/1411       NPK MG 5-15-30-2</v>
          </cell>
          <cell r="J1371">
            <v>0</v>
          </cell>
        </row>
        <row r="1372">
          <cell r="A1372" t="str">
            <v>1000/1411       NPK MG 5-15-30-2</v>
          </cell>
          <cell r="J1372">
            <v>1075.68</v>
          </cell>
        </row>
        <row r="1373">
          <cell r="A1373" t="str">
            <v>1000/1411       NPK MG 5-15-30-2</v>
          </cell>
          <cell r="J1373">
            <v>1109.04</v>
          </cell>
        </row>
        <row r="1374">
          <cell r="A1374" t="str">
            <v>1000/1411       NPK MG 5-15-30-2</v>
          </cell>
          <cell r="J1374">
            <v>0</v>
          </cell>
        </row>
        <row r="1375">
          <cell r="A1375" t="str">
            <v>1000/1411       NPK MG 5-15-30-2</v>
          </cell>
          <cell r="J1375">
            <v>1098.18</v>
          </cell>
        </row>
        <row r="1376">
          <cell r="A1376" t="str">
            <v>1000/1411       NPK MG 5-15-30-2</v>
          </cell>
          <cell r="J1376">
            <v>5069.3999999999896</v>
          </cell>
        </row>
        <row r="1377">
          <cell r="A1377" t="str">
            <v>1000/1411       NPK MG 5-15-30-2</v>
          </cell>
          <cell r="J1377">
            <v>2076.2399999999898</v>
          </cell>
        </row>
        <row r="1378">
          <cell r="A1378" t="str">
            <v>1000/1411       NPK MG 5-15-30-2</v>
          </cell>
          <cell r="J1378">
            <v>0</v>
          </cell>
        </row>
        <row r="1379">
          <cell r="A1379" t="str">
            <v>1000/1411       NPK MG 5-15-30-2</v>
          </cell>
          <cell r="J1379">
            <v>1184.6400000000001</v>
          </cell>
        </row>
        <row r="1380">
          <cell r="A1380" t="str">
            <v>1000/1411       NPK MG 5-15-30-2</v>
          </cell>
          <cell r="J1380">
            <v>2947.1999999999898</v>
          </cell>
        </row>
        <row r="1381">
          <cell r="A1381" t="str">
            <v>1000/1411       NPK MG 5-15-30-2</v>
          </cell>
          <cell r="J1381">
            <v>0</v>
          </cell>
        </row>
        <row r="1382">
          <cell r="A1382" t="str">
            <v>1000/1411       NPK MG 5-15-30-2</v>
          </cell>
          <cell r="J1382">
            <v>0</v>
          </cell>
        </row>
        <row r="1383">
          <cell r="A1383" t="str">
            <v>1000/1411       NPK MG 5-15-30-2</v>
          </cell>
          <cell r="J1383">
            <v>0</v>
          </cell>
        </row>
        <row r="1384">
          <cell r="A1384" t="str">
            <v>1000/1411       NPK MG 5-15-30-2</v>
          </cell>
          <cell r="J1384">
            <v>0</v>
          </cell>
        </row>
        <row r="1385">
          <cell r="A1385" t="str">
            <v>1000/1411       NPK MG 5-15-30-2</v>
          </cell>
          <cell r="J1385">
            <v>0</v>
          </cell>
        </row>
        <row r="1386">
          <cell r="A1386" t="str">
            <v>1000/1411       NPK MG 5-15-30-2</v>
          </cell>
          <cell r="J1386">
            <v>1080.8</v>
          </cell>
        </row>
        <row r="1387">
          <cell r="A1387" t="str">
            <v>1000/1411       NPK MG 5-15-30-2</v>
          </cell>
          <cell r="J1387">
            <v>0</v>
          </cell>
        </row>
        <row r="1388">
          <cell r="A1388" t="str">
            <v>1000/1411       NPK MG 5-15-30-2</v>
          </cell>
          <cell r="J1388">
            <v>15753.469999999899</v>
          </cell>
        </row>
        <row r="1389">
          <cell r="A1389" t="str">
            <v>1000/1411       NPK MG 5-15-30-2</v>
          </cell>
          <cell r="J1389">
            <v>4092.7199999999898</v>
          </cell>
        </row>
        <row r="1390">
          <cell r="A1390" t="str">
            <v>1000/1411       NPK MG 5-15-30-2</v>
          </cell>
          <cell r="J1390">
            <v>0</v>
          </cell>
        </row>
        <row r="1391">
          <cell r="A1391" t="str">
            <v>1000/1411       NPK MG 5-15-30-2</v>
          </cell>
          <cell r="J1391">
            <v>2328.48</v>
          </cell>
        </row>
        <row r="1392">
          <cell r="A1392" t="str">
            <v>1000/1411       NPK MG 5-15-30-2</v>
          </cell>
          <cell r="J1392">
            <v>1065.5999999999899</v>
          </cell>
        </row>
        <row r="1393">
          <cell r="A1393" t="str">
            <v>1000/1411       NPK MG 5-15-30-2</v>
          </cell>
          <cell r="J1393">
            <v>0</v>
          </cell>
        </row>
        <row r="1394">
          <cell r="A1394" t="str">
            <v>1000/1411       NPK MG 5-15-30-2</v>
          </cell>
          <cell r="J1394">
            <v>5310</v>
          </cell>
        </row>
        <row r="1395">
          <cell r="A1395" t="str">
            <v>1000/1411       NPK MG 5-15-30-2</v>
          </cell>
          <cell r="J1395">
            <v>0</v>
          </cell>
        </row>
        <row r="1396">
          <cell r="A1396" t="str">
            <v>1000/1411       NPK MG 5-15-30-2</v>
          </cell>
          <cell r="J1396">
            <v>1724.64</v>
          </cell>
        </row>
        <row r="1397">
          <cell r="A1397" t="str">
            <v>1000/1411       NPK MG 5-15-30-2</v>
          </cell>
          <cell r="J1397">
            <v>0</v>
          </cell>
        </row>
        <row r="1398">
          <cell r="A1398" t="str">
            <v>1000/1411       NPK MG 5-15-30-2</v>
          </cell>
          <cell r="J1398">
            <v>0</v>
          </cell>
        </row>
        <row r="1399">
          <cell r="A1399" t="str">
            <v>1000/1411       NPK MG 5-15-30-2</v>
          </cell>
          <cell r="J1399">
            <v>2685.84</v>
          </cell>
        </row>
        <row r="1400">
          <cell r="A1400" t="str">
            <v>1000/1411       NPK MG 5-15-30-2</v>
          </cell>
          <cell r="J1400">
            <v>0</v>
          </cell>
        </row>
        <row r="1401">
          <cell r="A1401" t="str">
            <v>1000/1411       NPK MG 5-15-30-2</v>
          </cell>
          <cell r="J1401">
            <v>3532.92</v>
          </cell>
        </row>
        <row r="1402">
          <cell r="A1402" t="str">
            <v>1000/1411       NPK MG 5-15-30-2</v>
          </cell>
          <cell r="J1402">
            <v>0</v>
          </cell>
        </row>
        <row r="1403">
          <cell r="A1403" t="str">
            <v>1000/1411       NPK MG 5-15-30-2</v>
          </cell>
          <cell r="J1403">
            <v>1056.48</v>
          </cell>
        </row>
        <row r="1404">
          <cell r="A1404" t="str">
            <v>1000/1411       NPK MG 5-15-30-2</v>
          </cell>
          <cell r="J1404">
            <v>9707.52</v>
          </cell>
        </row>
        <row r="1405">
          <cell r="A1405" t="str">
            <v>1000/1411       NPK MG 5-15-30-2</v>
          </cell>
          <cell r="J1405">
            <v>2829.36</v>
          </cell>
        </row>
        <row r="1406">
          <cell r="A1406" t="str">
            <v>1000/1411       NPK MG 5-15-30-2</v>
          </cell>
          <cell r="J1406">
            <v>0</v>
          </cell>
        </row>
        <row r="1407">
          <cell r="A1407" t="str">
            <v>1000/1411       NPK MG 5-15-30-2</v>
          </cell>
          <cell r="J1407">
            <v>449.39999999999901</v>
          </cell>
        </row>
        <row r="1408">
          <cell r="A1408" t="str">
            <v>1000/1411       NPK MG 5-15-30-2</v>
          </cell>
          <cell r="J1408">
            <v>742.44</v>
          </cell>
        </row>
        <row r="1409">
          <cell r="A1409" t="str">
            <v>1000/1411       NPK MG 5-15-30-2</v>
          </cell>
          <cell r="J1409">
            <v>4152.4799999999896</v>
          </cell>
        </row>
        <row r="1410">
          <cell r="A1410" t="str">
            <v>1000/1411       NPK MG 5-15-30-2</v>
          </cell>
          <cell r="J1410">
            <v>0</v>
          </cell>
        </row>
        <row r="1411">
          <cell r="A1411" t="str">
            <v>1000/1411       NPK MG 5-15-30-2</v>
          </cell>
          <cell r="J1411">
            <v>0</v>
          </cell>
        </row>
        <row r="1412">
          <cell r="A1412" t="str">
            <v>1000/1411       NPK MG 5-15-30-2</v>
          </cell>
          <cell r="J1412">
            <v>0</v>
          </cell>
        </row>
        <row r="1413">
          <cell r="A1413" t="str">
            <v>1000/1411       NPK MG 5-15-30-2</v>
          </cell>
          <cell r="J1413">
            <v>1148.4000000000001</v>
          </cell>
        </row>
        <row r="1414">
          <cell r="A1414" t="str">
            <v>1000/1411       NPK MG 5-15-30-2</v>
          </cell>
          <cell r="J1414">
            <v>9566.0400000000009</v>
          </cell>
        </row>
        <row r="1415">
          <cell r="A1415" t="str">
            <v>1000/1411       NPK MG 5-15-30-2</v>
          </cell>
          <cell r="J1415">
            <v>1685.28</v>
          </cell>
        </row>
        <row r="1416">
          <cell r="A1416" t="str">
            <v>1000/1411       NPK MG 5-15-30-2</v>
          </cell>
          <cell r="J1416">
            <v>1130.8199999999899</v>
          </cell>
        </row>
        <row r="1417">
          <cell r="A1417" t="str">
            <v>1000/1411       NPK MG 5-15-30-2</v>
          </cell>
          <cell r="J1417">
            <v>25876.2</v>
          </cell>
        </row>
        <row r="1418">
          <cell r="A1418" t="str">
            <v>1000/1411       NPK MG 5-15-30-2</v>
          </cell>
          <cell r="J1418">
            <v>3260.1599999999899</v>
          </cell>
        </row>
        <row r="1419">
          <cell r="A1419" t="str">
            <v>1000/1411       NPK MG 5-15-30-2</v>
          </cell>
          <cell r="J1419">
            <v>0</v>
          </cell>
        </row>
        <row r="1420">
          <cell r="A1420" t="str">
            <v>1000/1411       NPK MG 5-15-30-2</v>
          </cell>
          <cell r="J1420">
            <v>1992.72</v>
          </cell>
        </row>
        <row r="1421">
          <cell r="A1421" t="str">
            <v>1000/1411       NPK MG 5-15-30-2</v>
          </cell>
          <cell r="J1421">
            <v>1138.0799999999899</v>
          </cell>
        </row>
        <row r="1422">
          <cell r="A1422" t="str">
            <v>1000/1411       NPK MG 5-15-30-2</v>
          </cell>
          <cell r="J1422">
            <v>623.1</v>
          </cell>
        </row>
        <row r="1423">
          <cell r="A1423" t="str">
            <v>1000/1411       NPK MG 5-15-30-2</v>
          </cell>
          <cell r="J1423">
            <v>0</v>
          </cell>
        </row>
        <row r="1424">
          <cell r="A1424" t="str">
            <v>1000/1411       NPK MG 5-15-30-2</v>
          </cell>
          <cell r="J1424">
            <v>1183.2</v>
          </cell>
        </row>
        <row r="1425">
          <cell r="A1425" t="str">
            <v>1000/1411       NPK MG 5-15-30-2</v>
          </cell>
          <cell r="J1425">
            <v>0</v>
          </cell>
        </row>
        <row r="1426">
          <cell r="A1426" t="str">
            <v>1000/1411       NPK MG 5-15-30-2</v>
          </cell>
          <cell r="J1426">
            <v>0</v>
          </cell>
        </row>
        <row r="1427">
          <cell r="A1427" t="str">
            <v>1000/1411       NPK MG 5-15-30-2</v>
          </cell>
          <cell r="J1427">
            <v>2462.88</v>
          </cell>
        </row>
        <row r="1428">
          <cell r="A1428" t="str">
            <v>1000/1411       NPK MG 5-15-30-2</v>
          </cell>
          <cell r="J1428">
            <v>0</v>
          </cell>
        </row>
        <row r="1429">
          <cell r="A1429" t="str">
            <v>1000/1411       NPK MG 5-15-30-2</v>
          </cell>
          <cell r="J1429">
            <v>1050.96</v>
          </cell>
        </row>
        <row r="1430">
          <cell r="A1430" t="str">
            <v>1000/1411       NPK MG 5-15-30-2</v>
          </cell>
          <cell r="J1430">
            <v>1153.68</v>
          </cell>
        </row>
        <row r="1431">
          <cell r="A1431" t="str">
            <v>1000/1411       NPK MG 5-15-30-2</v>
          </cell>
          <cell r="J1431">
            <v>0</v>
          </cell>
        </row>
        <row r="1432">
          <cell r="A1432" t="str">
            <v>1000/1411       NPK MG 5-15-30-2</v>
          </cell>
          <cell r="J1432">
            <v>1212.48</v>
          </cell>
        </row>
        <row r="1433">
          <cell r="A1433" t="str">
            <v>1000/1411       NPK MG 5-15-30-2</v>
          </cell>
          <cell r="J1433">
            <v>2517.36</v>
          </cell>
        </row>
        <row r="1434">
          <cell r="A1434" t="str">
            <v>1000/1411       NPK MG 5-15-30-2</v>
          </cell>
          <cell r="J1434">
            <v>3234.96</v>
          </cell>
        </row>
        <row r="1435">
          <cell r="A1435" t="str">
            <v>1000/1411       NPK MG 5-15-30-2</v>
          </cell>
          <cell r="J1435">
            <v>0</v>
          </cell>
        </row>
        <row r="1436">
          <cell r="A1436" t="str">
            <v>1000/1411       NPK MG 5-15-30-2</v>
          </cell>
          <cell r="J1436">
            <v>3920.4</v>
          </cell>
        </row>
        <row r="1437">
          <cell r="A1437" t="str">
            <v>1000/1411       NPK MG 5-15-30-2</v>
          </cell>
          <cell r="J1437">
            <v>0</v>
          </cell>
        </row>
        <row r="1438">
          <cell r="A1438" t="str">
            <v>1000/1411       NPK MG 5-15-30-2</v>
          </cell>
          <cell r="J1438">
            <v>0</v>
          </cell>
        </row>
        <row r="1439">
          <cell r="A1439" t="str">
            <v>1000/1411       NPK MG 5-15-30-2</v>
          </cell>
          <cell r="J1439">
            <v>0</v>
          </cell>
        </row>
        <row r="1440">
          <cell r="A1440" t="str">
            <v>1000/1411       NPK MG 5-15-30-2</v>
          </cell>
          <cell r="J1440">
            <v>0</v>
          </cell>
        </row>
        <row r="1441">
          <cell r="A1441" t="str">
            <v>1000/1411       NPK MG 5-15-30-2</v>
          </cell>
          <cell r="J1441">
            <v>1212.48</v>
          </cell>
        </row>
        <row r="1442">
          <cell r="A1442" t="str">
            <v>1000/1411       NPK MG 5-15-30-2</v>
          </cell>
          <cell r="J1442">
            <v>1701.1199999999899</v>
          </cell>
        </row>
        <row r="1443">
          <cell r="A1443" t="str">
            <v>1000/1411       NPK MG 5-15-30-2</v>
          </cell>
          <cell r="J1443">
            <v>0</v>
          </cell>
        </row>
        <row r="1444">
          <cell r="A1444" t="str">
            <v>1000/1411       NPK MG 5-15-30-2</v>
          </cell>
          <cell r="J1444">
            <v>0</v>
          </cell>
        </row>
        <row r="1445">
          <cell r="A1445" t="str">
            <v>1000/1411       NPK MG 5-15-30-2</v>
          </cell>
          <cell r="J1445">
            <v>3240.0599999999899</v>
          </cell>
        </row>
        <row r="1446">
          <cell r="A1446" t="str">
            <v>1000/1411       NPK MG 5-15-30-2</v>
          </cell>
          <cell r="J1446">
            <v>2484.48</v>
          </cell>
        </row>
        <row r="1447">
          <cell r="A1447" t="str">
            <v>1000/1411       NPK MG 5-15-30-2</v>
          </cell>
          <cell r="J1447">
            <v>3985.44</v>
          </cell>
        </row>
        <row r="1448">
          <cell r="A1448" t="str">
            <v>1000/1411       NPK MG 5-15-30-2</v>
          </cell>
          <cell r="J1448">
            <v>9996.84</v>
          </cell>
        </row>
        <row r="1449">
          <cell r="A1449" t="str">
            <v>1000/1411       NPK MG 5-15-30-2</v>
          </cell>
          <cell r="J1449">
            <v>6474.72</v>
          </cell>
        </row>
        <row r="1450">
          <cell r="A1450" t="str">
            <v>1000/1411       NPK MG 5-15-30-2</v>
          </cell>
          <cell r="J1450">
            <v>0</v>
          </cell>
        </row>
        <row r="1451">
          <cell r="A1451" t="str">
            <v>1000/1411       NPK MG 5-15-30-2</v>
          </cell>
          <cell r="J1451">
            <v>10139.280000000001</v>
          </cell>
        </row>
        <row r="1452">
          <cell r="A1452" t="str">
            <v>1000/1411       NPK MG 5-15-30-2</v>
          </cell>
          <cell r="J1452">
            <v>3985.44</v>
          </cell>
        </row>
        <row r="1453">
          <cell r="A1453" t="str">
            <v>1000/1411       NPK MG 5-15-30-2</v>
          </cell>
          <cell r="J1453">
            <v>1072.46</v>
          </cell>
        </row>
        <row r="1454">
          <cell r="A1454" t="str">
            <v>1000/1411       NPK MG 5-15-30-2</v>
          </cell>
          <cell r="J1454">
            <v>0</v>
          </cell>
        </row>
        <row r="1455">
          <cell r="A1455" t="str">
            <v>1000/1411       NPK MG 5-15-30-2</v>
          </cell>
          <cell r="J1455">
            <v>0</v>
          </cell>
        </row>
        <row r="1456">
          <cell r="A1456" t="str">
            <v>1000/1411       NPK MG 5-15-30-2</v>
          </cell>
          <cell r="J1456">
            <v>0</v>
          </cell>
        </row>
        <row r="1457">
          <cell r="A1457" t="str">
            <v>1000/1411       NPK MG 5-15-30-2</v>
          </cell>
          <cell r="J1457">
            <v>0</v>
          </cell>
        </row>
        <row r="1458">
          <cell r="A1458" t="str">
            <v>1000/1411       NPK MG 5-15-30-2</v>
          </cell>
          <cell r="J1458">
            <v>0</v>
          </cell>
        </row>
        <row r="1459">
          <cell r="A1459" t="str">
            <v>1000/1411       NPK MG 5-15-30-2</v>
          </cell>
          <cell r="J1459">
            <v>35129.760000000002</v>
          </cell>
        </row>
        <row r="1460">
          <cell r="A1460" t="str">
            <v>1000/1411       NPK MG 5-15-30-2</v>
          </cell>
          <cell r="J1460">
            <v>3578.88</v>
          </cell>
        </row>
        <row r="1461">
          <cell r="A1461" t="str">
            <v>1000/1411       NPK MG 5-15-30-2</v>
          </cell>
          <cell r="J1461">
            <v>1785.3599999999899</v>
          </cell>
        </row>
        <row r="1462">
          <cell r="A1462" t="str">
            <v>1000/1412       NPK 4-20-20</v>
          </cell>
          <cell r="J1462">
            <v>0</v>
          </cell>
        </row>
        <row r="1463">
          <cell r="A1463" t="str">
            <v>1000/1414       POLI.M 5-16-24-4</v>
          </cell>
          <cell r="J1463">
            <v>0</v>
          </cell>
        </row>
        <row r="1464">
          <cell r="A1464" t="str">
            <v>1000/1414       POLI.M 5-16-24-4</v>
          </cell>
          <cell r="J1464">
            <v>6456</v>
          </cell>
        </row>
        <row r="1465">
          <cell r="A1465" t="str">
            <v>1000/1414       POLI.M 5-16-24-4</v>
          </cell>
          <cell r="J1465">
            <v>0</v>
          </cell>
        </row>
        <row r="1466">
          <cell r="A1466" t="str">
            <v>1000/1414       POLI.M 5-16-24-4</v>
          </cell>
          <cell r="J1466">
            <v>1253.52</v>
          </cell>
        </row>
        <row r="1467">
          <cell r="A1467" t="str">
            <v>1000/1414       POLI.M 5-16-24-4</v>
          </cell>
          <cell r="J1467">
            <v>1390.18</v>
          </cell>
        </row>
        <row r="1468">
          <cell r="A1468" t="str">
            <v>1000/1414       POLI.M 5-16-24-4</v>
          </cell>
          <cell r="J1468">
            <v>0</v>
          </cell>
        </row>
        <row r="1469">
          <cell r="A1469" t="str">
            <v>1000/1414       POLI.M 5-16-24-4</v>
          </cell>
          <cell r="J1469">
            <v>0</v>
          </cell>
        </row>
        <row r="1470">
          <cell r="A1470" t="str">
            <v>1000/1414       POLI.M 5-16-24-4</v>
          </cell>
          <cell r="J1470">
            <v>0</v>
          </cell>
        </row>
        <row r="1471">
          <cell r="A1471" t="str">
            <v>1000/1414       POLI.M 5-16-24-4</v>
          </cell>
          <cell r="J1471">
            <v>5676.4799999999896</v>
          </cell>
        </row>
        <row r="1472">
          <cell r="A1472" t="str">
            <v>1000/1414       POLI.M 5-16-24-4</v>
          </cell>
          <cell r="J1472">
            <v>0</v>
          </cell>
        </row>
        <row r="1473">
          <cell r="A1473" t="str">
            <v>1000/1414       POLI.M 5-16-24-4</v>
          </cell>
          <cell r="J1473">
            <v>1855.01</v>
          </cell>
        </row>
        <row r="1474">
          <cell r="A1474" t="str">
            <v>1000/1414       POLI.M 5-16-24-4</v>
          </cell>
          <cell r="J1474">
            <v>0</v>
          </cell>
        </row>
        <row r="1475">
          <cell r="A1475" t="str">
            <v>1000/1414       POLI.M 5-16-24-4</v>
          </cell>
          <cell r="J1475">
            <v>6946.26</v>
          </cell>
        </row>
        <row r="1476">
          <cell r="A1476" t="str">
            <v>1000/1414       POLI.M 5-16-24-4</v>
          </cell>
          <cell r="J1476">
            <v>0</v>
          </cell>
        </row>
        <row r="1477">
          <cell r="A1477" t="str">
            <v>1000/1414       POLI.M 5-16-24-4</v>
          </cell>
          <cell r="J1477">
            <v>2601.5999999999899</v>
          </cell>
        </row>
        <row r="1478">
          <cell r="A1478" t="str">
            <v>1000/1414       POLI.M 5-16-24-4</v>
          </cell>
          <cell r="J1478">
            <v>0</v>
          </cell>
        </row>
        <row r="1479">
          <cell r="A1479" t="str">
            <v>1000/1414       POLI.M 5-16-24-4</v>
          </cell>
          <cell r="J1479">
            <v>11034.84</v>
          </cell>
        </row>
        <row r="1480">
          <cell r="A1480" t="str">
            <v>1000/1414       POLI.M 5-16-24-4</v>
          </cell>
          <cell r="J1480">
            <v>0</v>
          </cell>
        </row>
        <row r="1481">
          <cell r="A1481" t="str">
            <v>1000/1414       POLI.M 5-16-24-4</v>
          </cell>
          <cell r="J1481">
            <v>0</v>
          </cell>
        </row>
        <row r="1482">
          <cell r="A1482" t="str">
            <v>1000/1414       POLI.M 5-16-24-4</v>
          </cell>
          <cell r="J1482">
            <v>0</v>
          </cell>
        </row>
        <row r="1483">
          <cell r="A1483" t="str">
            <v>1000/1414       POLI.M 5-16-24-4</v>
          </cell>
          <cell r="J1483">
            <v>0</v>
          </cell>
        </row>
        <row r="1484">
          <cell r="A1484" t="str">
            <v>1000/1414       POLI.M 5-16-24-4</v>
          </cell>
          <cell r="J1484">
            <v>1742.4</v>
          </cell>
        </row>
        <row r="1485">
          <cell r="A1485" t="str">
            <v>1000/1414       POLI.M 5-16-24-4</v>
          </cell>
          <cell r="J1485">
            <v>0</v>
          </cell>
        </row>
        <row r="1486">
          <cell r="A1486" t="str">
            <v>1000/1414       POLI.M 5-16-24-4</v>
          </cell>
          <cell r="J1486">
            <v>1300.8</v>
          </cell>
        </row>
        <row r="1487">
          <cell r="A1487" t="str">
            <v>1000/1414       POLI.M 5-16-24-4</v>
          </cell>
          <cell r="J1487">
            <v>0</v>
          </cell>
        </row>
        <row r="1488">
          <cell r="A1488" t="str">
            <v>1000/1414       POLI.M 5-16-24-4</v>
          </cell>
          <cell r="J1488">
            <v>0</v>
          </cell>
        </row>
        <row r="1489">
          <cell r="A1489" t="str">
            <v>1000/1414       POLI.M 5-16-24-4</v>
          </cell>
          <cell r="J1489">
            <v>7346.1599999999899</v>
          </cell>
        </row>
        <row r="1490">
          <cell r="A1490" t="str">
            <v>1000/1414       POLI.M 5-16-24-4</v>
          </cell>
          <cell r="J1490">
            <v>0</v>
          </cell>
        </row>
        <row r="1491">
          <cell r="A1491" t="str">
            <v>1000/1414       POLI.M 5-16-24-4</v>
          </cell>
          <cell r="J1491">
            <v>0</v>
          </cell>
        </row>
        <row r="1492">
          <cell r="A1492" t="str">
            <v>1000/1414       POLI.M 5-16-24-4</v>
          </cell>
          <cell r="J1492">
            <v>8945.76</v>
          </cell>
        </row>
        <row r="1493">
          <cell r="A1493" t="str">
            <v>1000/1414       POLI.M 5-16-24-4</v>
          </cell>
          <cell r="J1493">
            <v>0</v>
          </cell>
        </row>
        <row r="1494">
          <cell r="A1494" t="str">
            <v>1000/1414       POLI.M 5-16-24-4</v>
          </cell>
          <cell r="J1494">
            <v>1327.2</v>
          </cell>
        </row>
        <row r="1495">
          <cell r="A1495" t="str">
            <v>1000/1414       POLI.M 5-16-24-4</v>
          </cell>
          <cell r="J1495">
            <v>0</v>
          </cell>
        </row>
        <row r="1496">
          <cell r="A1496" t="str">
            <v>1000/1414       POLI.M 5-16-24-4</v>
          </cell>
          <cell r="J1496">
            <v>0</v>
          </cell>
        </row>
        <row r="1497">
          <cell r="A1497" t="str">
            <v>1000/1414       POLI.M 5-16-24-4</v>
          </cell>
          <cell r="J1497">
            <v>1590</v>
          </cell>
        </row>
        <row r="1498">
          <cell r="A1498" t="str">
            <v>1000/1414       POLI.M 5-16-24-4</v>
          </cell>
          <cell r="J1498">
            <v>0</v>
          </cell>
        </row>
        <row r="1499">
          <cell r="A1499" t="str">
            <v>1000/1414       POLI.M 5-16-24-4</v>
          </cell>
          <cell r="J1499">
            <v>0</v>
          </cell>
        </row>
        <row r="1500">
          <cell r="A1500" t="str">
            <v>1000/1414       POLI.M 5-16-24-4</v>
          </cell>
          <cell r="J1500">
            <v>913.55999999999904</v>
          </cell>
        </row>
        <row r="1501">
          <cell r="A1501" t="str">
            <v>1000/1414       POLI.M 5-16-24-4</v>
          </cell>
          <cell r="J1501">
            <v>0</v>
          </cell>
        </row>
        <row r="1502">
          <cell r="A1502" t="str">
            <v>1000/1414       POLI.M 5-16-24-4</v>
          </cell>
          <cell r="J1502">
            <v>0</v>
          </cell>
        </row>
        <row r="1503">
          <cell r="A1503" t="str">
            <v>1000/1414       POLI.M 5-16-24-4</v>
          </cell>
          <cell r="J1503">
            <v>0</v>
          </cell>
        </row>
        <row r="1504">
          <cell r="A1504" t="str">
            <v>1000/1414       POLI.M 5-16-24-4</v>
          </cell>
          <cell r="J1504">
            <v>2076.2399999999898</v>
          </cell>
        </row>
        <row r="1505">
          <cell r="A1505" t="str">
            <v>1000/1414       POLI.M 5-16-24-4</v>
          </cell>
          <cell r="J1505">
            <v>9516</v>
          </cell>
        </row>
        <row r="1506">
          <cell r="A1506" t="str">
            <v>1000/1414       POLI.M 5-16-24-4</v>
          </cell>
          <cell r="J1506">
            <v>1590</v>
          </cell>
        </row>
        <row r="1507">
          <cell r="A1507" t="str">
            <v>1000/1414       POLI.M 5-16-24-4</v>
          </cell>
          <cell r="J1507">
            <v>0</v>
          </cell>
        </row>
        <row r="1508">
          <cell r="A1508" t="str">
            <v>1000/1414       POLI.M 5-16-24-4</v>
          </cell>
          <cell r="J1508">
            <v>66818.339999999895</v>
          </cell>
        </row>
        <row r="1509">
          <cell r="A1509" t="str">
            <v>1000/1414       POLI.M 5-16-24-4</v>
          </cell>
          <cell r="J1509">
            <v>3776.1999999999898</v>
          </cell>
        </row>
        <row r="1510">
          <cell r="A1510" t="str">
            <v>1000/1414       POLI.M 5-16-24-4</v>
          </cell>
          <cell r="J1510">
            <v>0</v>
          </cell>
        </row>
        <row r="1511">
          <cell r="A1511" t="str">
            <v>1000/1414       POLI.M 5-16-24-4</v>
          </cell>
          <cell r="J1511">
            <v>0</v>
          </cell>
        </row>
        <row r="1512">
          <cell r="A1512" t="str">
            <v>1000/1414       POLI.M 5-16-24-4</v>
          </cell>
          <cell r="J1512">
            <v>3682.17</v>
          </cell>
        </row>
        <row r="1513">
          <cell r="A1513" t="str">
            <v>1000/1414       POLI.M 5-16-24-4</v>
          </cell>
          <cell r="J1513">
            <v>3802.5599999999899</v>
          </cell>
        </row>
        <row r="1514">
          <cell r="A1514" t="str">
            <v>1000/1414       POLI.M 5-16-24-4</v>
          </cell>
          <cell r="J1514">
            <v>0</v>
          </cell>
        </row>
        <row r="1515">
          <cell r="A1515" t="str">
            <v>1000/1414       POLI.M 5-16-24-4</v>
          </cell>
          <cell r="J1515">
            <v>650.39999999999895</v>
          </cell>
        </row>
        <row r="1516">
          <cell r="A1516" t="str">
            <v>1000/1414       POLI.M 5-16-24-4</v>
          </cell>
          <cell r="J1516">
            <v>7038.2399999999898</v>
          </cell>
        </row>
        <row r="1517">
          <cell r="A1517" t="str">
            <v>1000/1414       POLI.M 5-16-24-4</v>
          </cell>
          <cell r="J1517">
            <v>18239.400000000001</v>
          </cell>
        </row>
        <row r="1518">
          <cell r="A1518" t="str">
            <v>1000/1414       POLI.M 5-16-24-4</v>
          </cell>
          <cell r="J1518">
            <v>5049.84</v>
          </cell>
        </row>
        <row r="1519">
          <cell r="A1519" t="str">
            <v>1000/1414       POLI.M 5-16-24-4</v>
          </cell>
          <cell r="J1519">
            <v>0</v>
          </cell>
        </row>
        <row r="1520">
          <cell r="A1520" t="str">
            <v>1000/1414       POLI.M 5-16-24-4</v>
          </cell>
          <cell r="J1520">
            <v>2708.28</v>
          </cell>
        </row>
        <row r="1521">
          <cell r="A1521" t="str">
            <v>1000/1414       POLI.M 5-16-24-4</v>
          </cell>
          <cell r="J1521">
            <v>0</v>
          </cell>
        </row>
        <row r="1522">
          <cell r="A1522" t="str">
            <v>1000/1414       POLI.M 5-16-24-4</v>
          </cell>
          <cell r="J1522">
            <v>0</v>
          </cell>
        </row>
        <row r="1523">
          <cell r="A1523" t="str">
            <v>1000/1414       POLI.M 5-16-24-4</v>
          </cell>
          <cell r="J1523">
            <v>2126.1599999999899</v>
          </cell>
        </row>
        <row r="1524">
          <cell r="A1524" t="str">
            <v>1000/1414       POLI.M 5-16-24-4</v>
          </cell>
          <cell r="J1524">
            <v>0</v>
          </cell>
        </row>
        <row r="1525">
          <cell r="A1525" t="str">
            <v>1000/1414       POLI.M 5-16-24-4</v>
          </cell>
          <cell r="J1525">
            <v>0</v>
          </cell>
        </row>
        <row r="1526">
          <cell r="A1526" t="str">
            <v>1000/1414       POLI.M 5-16-24-4</v>
          </cell>
          <cell r="J1526">
            <v>0</v>
          </cell>
        </row>
        <row r="1527">
          <cell r="A1527" t="str">
            <v>1000/1414       POLI.M 5-16-24-4</v>
          </cell>
          <cell r="J1527">
            <v>0</v>
          </cell>
        </row>
        <row r="1528">
          <cell r="A1528" t="str">
            <v>1000/1414       POLI.M 5-16-24-4</v>
          </cell>
          <cell r="J1528">
            <v>1064.4000000000001</v>
          </cell>
        </row>
        <row r="1529">
          <cell r="A1529" t="str">
            <v>1000/1414       POLI.M 5-16-24-4</v>
          </cell>
          <cell r="J1529">
            <v>0</v>
          </cell>
        </row>
        <row r="1530">
          <cell r="A1530" t="str">
            <v>1000/1414       POLI.M 5-16-24-4</v>
          </cell>
          <cell r="J1530">
            <v>3140.6399999999899</v>
          </cell>
        </row>
        <row r="1531">
          <cell r="A1531" t="str">
            <v>1000/1414       POLI.M 5-16-24-4</v>
          </cell>
          <cell r="J1531">
            <v>0</v>
          </cell>
        </row>
        <row r="1532">
          <cell r="A1532" t="str">
            <v>1000/1414       POLI.M 5-16-24-4</v>
          </cell>
          <cell r="J1532">
            <v>1814.5899999999899</v>
          </cell>
        </row>
        <row r="1533">
          <cell r="A1533" t="str">
            <v>1000/1414       POLI.M 5-16-24-4</v>
          </cell>
          <cell r="J1533">
            <v>0</v>
          </cell>
        </row>
        <row r="1534">
          <cell r="A1534" t="str">
            <v>1000/1414       POLI.M 5-16-24-4</v>
          </cell>
          <cell r="J1534">
            <v>600.48</v>
          </cell>
        </row>
        <row r="1535">
          <cell r="A1535" t="str">
            <v>1000/1414       POLI.M 5-16-24-4</v>
          </cell>
          <cell r="J1535">
            <v>1327.2</v>
          </cell>
        </row>
        <row r="1536">
          <cell r="A1536" t="str">
            <v>1000/1414       POLI.M 5-16-24-4</v>
          </cell>
          <cell r="J1536">
            <v>4723.1999999999898</v>
          </cell>
        </row>
        <row r="1537">
          <cell r="A1537" t="str">
            <v>1000/1414       POLI.M 5-16-24-4</v>
          </cell>
          <cell r="J1537">
            <v>0</v>
          </cell>
        </row>
        <row r="1538">
          <cell r="A1538" t="str">
            <v>1000/1414       POLI.M 5-16-24-4</v>
          </cell>
          <cell r="J1538">
            <v>0</v>
          </cell>
        </row>
        <row r="1539">
          <cell r="A1539" t="str">
            <v>1000/1414       POLI.M 5-16-24-4</v>
          </cell>
          <cell r="J1539">
            <v>977.51999999999896</v>
          </cell>
        </row>
        <row r="1540">
          <cell r="A1540" t="str">
            <v>1000/1414       POLI.M 5-16-24-4</v>
          </cell>
          <cell r="J1540">
            <v>3529.44</v>
          </cell>
        </row>
        <row r="1541">
          <cell r="A1541" t="str">
            <v>1000/1414       POLI.M 5-16-24-4</v>
          </cell>
          <cell r="J1541">
            <v>557.15999999999894</v>
          </cell>
        </row>
        <row r="1542">
          <cell r="A1542" t="str">
            <v>1000/1414       POLI.M 5-16-24-4</v>
          </cell>
          <cell r="J1542">
            <v>1484.88</v>
          </cell>
        </row>
        <row r="1543">
          <cell r="A1543" t="str">
            <v>1000/1414       POLI.M 5-16-24-4</v>
          </cell>
          <cell r="J1543">
            <v>1335.1199999999899</v>
          </cell>
        </row>
        <row r="1544">
          <cell r="A1544" t="str">
            <v>1000/1414       POLI.M 5-16-24-4</v>
          </cell>
          <cell r="J1544">
            <v>0</v>
          </cell>
        </row>
        <row r="1545">
          <cell r="A1545" t="str">
            <v>1000/1414       POLI.M 5-16-24-4</v>
          </cell>
          <cell r="J1545">
            <v>1779.1199999999899</v>
          </cell>
        </row>
        <row r="1546">
          <cell r="A1546" t="str">
            <v>1000/1414       POLI.M 5-16-24-4</v>
          </cell>
          <cell r="J1546">
            <v>0</v>
          </cell>
        </row>
        <row r="1547">
          <cell r="A1547" t="str">
            <v>1000/1414       POLI.M 5-16-24-4</v>
          </cell>
          <cell r="J1547">
            <v>0</v>
          </cell>
        </row>
        <row r="1548">
          <cell r="A1548" t="str">
            <v>1000/1414       POLI.M 5-16-24-4</v>
          </cell>
          <cell r="J1548">
            <v>1038.1199999999899</v>
          </cell>
        </row>
        <row r="1549">
          <cell r="A1549" t="str">
            <v>1000/1414       POLI.M 5-16-24-4</v>
          </cell>
          <cell r="J1549">
            <v>0</v>
          </cell>
        </row>
        <row r="1550">
          <cell r="A1550" t="str">
            <v>1000/1414       POLI.M 5-16-24-4</v>
          </cell>
          <cell r="J1550">
            <v>1103.98</v>
          </cell>
        </row>
        <row r="1551">
          <cell r="A1551" t="str">
            <v>1000/1414       POLI.M 5-16-24-4</v>
          </cell>
          <cell r="J1551">
            <v>1971.1199999999899</v>
          </cell>
        </row>
        <row r="1552">
          <cell r="A1552" t="str">
            <v>1000/1414       POLI.M 5-16-24-4</v>
          </cell>
          <cell r="J1552">
            <v>0</v>
          </cell>
        </row>
        <row r="1553">
          <cell r="A1553" t="str">
            <v>1000/1414       POLI.M 5-16-24-4</v>
          </cell>
          <cell r="J1553">
            <v>0</v>
          </cell>
        </row>
        <row r="1554">
          <cell r="A1554" t="str">
            <v>1000/1414       POLI.M 5-16-24-4</v>
          </cell>
          <cell r="J1554">
            <v>0</v>
          </cell>
        </row>
        <row r="1555">
          <cell r="A1555" t="str">
            <v>1000/1414       POLI.M 5-16-24-4</v>
          </cell>
          <cell r="J1555">
            <v>2149.3200000000002</v>
          </cell>
        </row>
        <row r="1556">
          <cell r="A1556" t="str">
            <v>1000/1414       POLI.M 5-16-24-4</v>
          </cell>
          <cell r="J1556">
            <v>0</v>
          </cell>
        </row>
        <row r="1557">
          <cell r="A1557" t="str">
            <v>1000/1414       POLI.M 5-16-24-4</v>
          </cell>
          <cell r="J1557">
            <v>5493.8</v>
          </cell>
        </row>
        <row r="1558">
          <cell r="A1558" t="str">
            <v>1000/1414       POLI.M 5-16-24-4</v>
          </cell>
          <cell r="J1558">
            <v>10568.36</v>
          </cell>
        </row>
        <row r="1559">
          <cell r="A1559" t="str">
            <v>1000/1414       POLI.M 5-16-24-4</v>
          </cell>
          <cell r="J1559">
            <v>0</v>
          </cell>
        </row>
        <row r="1560">
          <cell r="A1560" t="str">
            <v>1000/1414       POLI.M 5-16-24-4</v>
          </cell>
          <cell r="J1560">
            <v>0</v>
          </cell>
        </row>
        <row r="1561">
          <cell r="A1561" t="str">
            <v>1000/1414       POLI.M 5-16-24-4</v>
          </cell>
          <cell r="J1561">
            <v>1024.92</v>
          </cell>
        </row>
        <row r="1562">
          <cell r="A1562" t="str">
            <v>1000/1414       POLI.M 5-16-24-4</v>
          </cell>
          <cell r="J1562">
            <v>0</v>
          </cell>
        </row>
        <row r="1563">
          <cell r="A1563" t="str">
            <v>1000/1414       POLI.M 5-16-24-4</v>
          </cell>
          <cell r="J1563">
            <v>0</v>
          </cell>
        </row>
        <row r="1564">
          <cell r="A1564" t="str">
            <v>1000/1414       POLI.M 5-16-24-4</v>
          </cell>
          <cell r="J1564">
            <v>0</v>
          </cell>
        </row>
        <row r="1565">
          <cell r="A1565" t="str">
            <v>1000/1414       POLI.M 5-16-24-4</v>
          </cell>
          <cell r="J1565">
            <v>1200.96</v>
          </cell>
        </row>
        <row r="1566">
          <cell r="A1566" t="str">
            <v>1000/1414       POLI.M 5-16-24-4</v>
          </cell>
          <cell r="J1566">
            <v>0</v>
          </cell>
        </row>
        <row r="1567">
          <cell r="A1567" t="str">
            <v>1000/1414       POLI.M 5-16-24-4</v>
          </cell>
          <cell r="J1567">
            <v>6077.1</v>
          </cell>
        </row>
        <row r="1568">
          <cell r="A1568" t="str">
            <v>1000/1414       POLI.M 5-16-24-4</v>
          </cell>
          <cell r="J1568">
            <v>0</v>
          </cell>
        </row>
        <row r="1569">
          <cell r="A1569" t="str">
            <v>1000/1414       POLI.M 5-16-24-4</v>
          </cell>
          <cell r="J1569">
            <v>2501.7600000000002</v>
          </cell>
        </row>
        <row r="1570">
          <cell r="A1570" t="str">
            <v>1000/1414       POLI.M 5-16-24-4</v>
          </cell>
          <cell r="J1570">
            <v>0</v>
          </cell>
        </row>
        <row r="1571">
          <cell r="A1571" t="str">
            <v>1000/1414       POLI.M 5-16-24-4</v>
          </cell>
          <cell r="J1571">
            <v>1616.16</v>
          </cell>
        </row>
        <row r="1572">
          <cell r="A1572" t="str">
            <v>1000/1414       POLI.M 5-16-24-4</v>
          </cell>
          <cell r="J1572">
            <v>3456</v>
          </cell>
        </row>
        <row r="1573">
          <cell r="A1573" t="str">
            <v>1000/1414       POLI.M 5-16-24-4</v>
          </cell>
          <cell r="J1573">
            <v>0</v>
          </cell>
        </row>
        <row r="1574">
          <cell r="A1574" t="str">
            <v>1000/1414       POLI.M 5-16-24-4</v>
          </cell>
          <cell r="J1574">
            <v>821.29999999999905</v>
          </cell>
        </row>
        <row r="1575">
          <cell r="A1575" t="str">
            <v>1000/1414       POLI.M 5-16-24-4</v>
          </cell>
          <cell r="J1575">
            <v>0</v>
          </cell>
        </row>
        <row r="1576">
          <cell r="A1576" t="str">
            <v>1000/1414       POLI.M 5-16-24-4</v>
          </cell>
          <cell r="J1576">
            <v>1566.93</v>
          </cell>
        </row>
        <row r="1577">
          <cell r="A1577" t="str">
            <v>1000/1414       POLI.M 5-16-24-4</v>
          </cell>
          <cell r="J1577">
            <v>989.75999999999897</v>
          </cell>
        </row>
        <row r="1578">
          <cell r="A1578" t="str">
            <v>1000/1414       POLI.M 5-16-24-4</v>
          </cell>
          <cell r="J1578">
            <v>0</v>
          </cell>
        </row>
        <row r="1579">
          <cell r="A1579" t="str">
            <v>1000/1414       POLI.M 5-16-24-4</v>
          </cell>
          <cell r="J1579">
            <v>2076.2399999999898</v>
          </cell>
        </row>
        <row r="1580">
          <cell r="A1580" t="str">
            <v>1000/1414       POLI.M 5-16-24-4</v>
          </cell>
          <cell r="J1580">
            <v>7116.4799999999896</v>
          </cell>
        </row>
        <row r="1581">
          <cell r="A1581" t="str">
            <v>1000/1414       POLI.M 5-16-24-4</v>
          </cell>
          <cell r="J1581">
            <v>0</v>
          </cell>
        </row>
        <row r="1582">
          <cell r="A1582" t="str">
            <v>1000/1414       POLI.M 5-16-24-4</v>
          </cell>
          <cell r="J1582">
            <v>6077.6199999999899</v>
          </cell>
        </row>
        <row r="1583">
          <cell r="A1583" t="str">
            <v>1000/1414       POLI.M 5-16-24-4</v>
          </cell>
          <cell r="J1583">
            <v>37816.79</v>
          </cell>
        </row>
        <row r="1584">
          <cell r="A1584" t="str">
            <v>1000/1414       POLI.M 5-16-24-4</v>
          </cell>
          <cell r="J1584">
            <v>1921.76</v>
          </cell>
        </row>
        <row r="1585">
          <cell r="A1585" t="str">
            <v>1000/1414       POLI.M 5-16-24-4</v>
          </cell>
          <cell r="J1585">
            <v>0</v>
          </cell>
        </row>
        <row r="1586">
          <cell r="A1586" t="str">
            <v>1000/1414       POLI.M 5-16-24-4</v>
          </cell>
          <cell r="J1586">
            <v>0</v>
          </cell>
        </row>
        <row r="1587">
          <cell r="A1587" t="str">
            <v>1000/1414       POLI.M 5-16-24-4</v>
          </cell>
          <cell r="J1587">
            <v>3624.77</v>
          </cell>
        </row>
        <row r="1588">
          <cell r="A1588" t="str">
            <v>1000/1414       POLI.M 5-16-24-4</v>
          </cell>
          <cell r="J1588">
            <v>3994.0799999999899</v>
          </cell>
        </row>
        <row r="1589">
          <cell r="A1589" t="str">
            <v>1000/1414       POLI.M 5-16-24-4</v>
          </cell>
          <cell r="J1589">
            <v>0</v>
          </cell>
        </row>
        <row r="1590">
          <cell r="A1590" t="str">
            <v>1000/1414       POLI.M 5-16-24-4</v>
          </cell>
          <cell r="J1590">
            <v>5337.3599999999897</v>
          </cell>
        </row>
        <row r="1591">
          <cell r="A1591" t="str">
            <v>1000/1414       POLI.M 5-16-24-4</v>
          </cell>
          <cell r="J1591">
            <v>1518.96</v>
          </cell>
        </row>
        <row r="1592">
          <cell r="A1592" t="str">
            <v>1000/1414       POLI.M 5-16-24-4</v>
          </cell>
          <cell r="J1592">
            <v>3459.1799999999898</v>
          </cell>
        </row>
        <row r="1593">
          <cell r="A1593" t="str">
            <v>1000/1414       POLI.M 5-16-24-4</v>
          </cell>
          <cell r="J1593">
            <v>1359.96</v>
          </cell>
        </row>
        <row r="1594">
          <cell r="A1594" t="str">
            <v>1000/1414       POLI.M 5-16-24-4</v>
          </cell>
          <cell r="J1594">
            <v>1779.1199999999899</v>
          </cell>
        </row>
        <row r="1595">
          <cell r="A1595" t="str">
            <v>1000/1414       POLI.M 5-16-24-4</v>
          </cell>
          <cell r="J1595">
            <v>1805.52</v>
          </cell>
        </row>
        <row r="1596">
          <cell r="A1596" t="str">
            <v>1000/1414       POLI.M 5-16-24-4</v>
          </cell>
          <cell r="J1596">
            <v>0</v>
          </cell>
        </row>
        <row r="1597">
          <cell r="A1597" t="str">
            <v>1000/1414       POLI.M 5-16-24-4</v>
          </cell>
          <cell r="J1597">
            <v>1335.1199999999899</v>
          </cell>
        </row>
        <row r="1598">
          <cell r="A1598" t="str">
            <v>1000/1414       POLI.M 5-16-24-4</v>
          </cell>
          <cell r="J1598">
            <v>408.6</v>
          </cell>
        </row>
        <row r="1599">
          <cell r="A1599" t="str">
            <v>1000/1414       POLI.M 5-16-24-4</v>
          </cell>
          <cell r="J1599">
            <v>0</v>
          </cell>
        </row>
        <row r="1600">
          <cell r="A1600" t="str">
            <v>1000/1414       POLI.M 5-16-24-4</v>
          </cell>
          <cell r="J1600">
            <v>1939.95</v>
          </cell>
        </row>
        <row r="1601">
          <cell r="A1601" t="str">
            <v>1000/1414       POLI.M 5-16-24-4</v>
          </cell>
          <cell r="J1601">
            <v>0</v>
          </cell>
        </row>
        <row r="1602">
          <cell r="A1602" t="str">
            <v>1000/1414       POLI.M 5-16-24-4</v>
          </cell>
          <cell r="J1602">
            <v>0</v>
          </cell>
        </row>
        <row r="1603">
          <cell r="A1603" t="str">
            <v>1000/1414       POLI.M 5-16-24-4</v>
          </cell>
          <cell r="J1603">
            <v>0</v>
          </cell>
        </row>
        <row r="1604">
          <cell r="A1604" t="str">
            <v>1000/1414       POLI.M 5-16-24-4</v>
          </cell>
          <cell r="J1604">
            <v>0</v>
          </cell>
        </row>
        <row r="1605">
          <cell r="A1605" t="str">
            <v>1000/1414       POLI.M 5-16-24-4</v>
          </cell>
          <cell r="J1605">
            <v>1090.5599999999899</v>
          </cell>
        </row>
        <row r="1606">
          <cell r="A1606" t="str">
            <v>1000/1414       POLI.M 5-16-24-4</v>
          </cell>
          <cell r="J1606">
            <v>0</v>
          </cell>
        </row>
        <row r="1607">
          <cell r="A1607" t="str">
            <v>1000/1414       POLI.M 5-16-24-4</v>
          </cell>
          <cell r="J1607">
            <v>0</v>
          </cell>
        </row>
        <row r="1608">
          <cell r="A1608" t="str">
            <v>1000/1414       POLI.M 5-16-24-4</v>
          </cell>
          <cell r="J1608">
            <v>0</v>
          </cell>
        </row>
        <row r="1609">
          <cell r="A1609" t="str">
            <v>1000/1414       POLI.M 5-16-24-4</v>
          </cell>
          <cell r="J1609">
            <v>15526.28</v>
          </cell>
        </row>
        <row r="1610">
          <cell r="A1610" t="str">
            <v>1000/1414       POLI.M 5-16-24-4</v>
          </cell>
          <cell r="J1610">
            <v>977.51999999999896</v>
          </cell>
        </row>
        <row r="1611">
          <cell r="A1611" t="str">
            <v>1000/1414       POLI.M 5-16-24-4</v>
          </cell>
          <cell r="J1611">
            <v>2228.84</v>
          </cell>
        </row>
        <row r="1612">
          <cell r="A1612" t="str">
            <v>1000/1414       POLI.M 5-16-24-4</v>
          </cell>
          <cell r="J1612">
            <v>798.96</v>
          </cell>
        </row>
        <row r="1613">
          <cell r="A1613" t="str">
            <v>1000/1414       POLI.M 5-16-24-4</v>
          </cell>
          <cell r="J1613">
            <v>0</v>
          </cell>
        </row>
        <row r="1614">
          <cell r="A1614" t="str">
            <v>1000/1414       POLI.M 5-16-24-4</v>
          </cell>
          <cell r="J1614">
            <v>1484.88</v>
          </cell>
        </row>
        <row r="1615">
          <cell r="A1615" t="str">
            <v>1000/1414       POLI.M 5-16-24-4</v>
          </cell>
          <cell r="J1615">
            <v>1394.28</v>
          </cell>
        </row>
        <row r="1616">
          <cell r="A1616" t="str">
            <v>1000/1414       POLI.M 5-16-24-4</v>
          </cell>
          <cell r="J1616">
            <v>924.40999999999894</v>
          </cell>
        </row>
        <row r="1617">
          <cell r="A1617" t="str">
            <v>1000/1414       POLI.M 5-16-24-4</v>
          </cell>
          <cell r="J1617">
            <v>0</v>
          </cell>
        </row>
        <row r="1618">
          <cell r="A1618" t="str">
            <v>1000/1414       POLI.M 5-16-24-4</v>
          </cell>
          <cell r="J1618">
            <v>0</v>
          </cell>
        </row>
        <row r="1619">
          <cell r="A1619" t="str">
            <v>1000/1414       POLI.M 5-16-24-4</v>
          </cell>
          <cell r="J1619">
            <v>0</v>
          </cell>
        </row>
        <row r="1620">
          <cell r="A1620" t="str">
            <v>1000/1414       POLI.M 5-16-24-4</v>
          </cell>
          <cell r="J1620">
            <v>0</v>
          </cell>
        </row>
        <row r="1621">
          <cell r="A1621" t="str">
            <v>1000/1414       POLI.M 5-16-24-4</v>
          </cell>
          <cell r="J1621">
            <v>0</v>
          </cell>
        </row>
        <row r="1622">
          <cell r="A1622" t="str">
            <v>1000/1414       POLI.M 5-16-24-4</v>
          </cell>
          <cell r="J1622">
            <v>1038.1199999999899</v>
          </cell>
        </row>
        <row r="1623">
          <cell r="A1623" t="str">
            <v>1000/1414       POLI.M 5-16-24-4</v>
          </cell>
          <cell r="J1623">
            <v>0</v>
          </cell>
        </row>
        <row r="1624">
          <cell r="A1624" t="str">
            <v>1000/1414       POLI.M 5-16-24-4</v>
          </cell>
          <cell r="J1624">
            <v>0</v>
          </cell>
        </row>
        <row r="1625">
          <cell r="A1625" t="str">
            <v>1000/1414       POLI.M 5-16-24-4</v>
          </cell>
          <cell r="J1625">
            <v>2781.5999999999899</v>
          </cell>
        </row>
        <row r="1626">
          <cell r="A1626" t="str">
            <v>1000/1414       POLI.M 5-16-24-4</v>
          </cell>
          <cell r="J1626">
            <v>0</v>
          </cell>
        </row>
        <row r="1627">
          <cell r="A1627" t="str">
            <v>1000/1414       POLI.M 5-16-24-4</v>
          </cell>
          <cell r="J1627">
            <v>0</v>
          </cell>
        </row>
        <row r="1628">
          <cell r="A1628" t="str">
            <v>1000/1414       POLI.M 5-16-24-4</v>
          </cell>
          <cell r="J1628">
            <v>0</v>
          </cell>
        </row>
        <row r="1629">
          <cell r="A1629" t="str">
            <v>1000/1414       POLI.M 5-16-24-4</v>
          </cell>
          <cell r="J1629">
            <v>5614.18</v>
          </cell>
        </row>
        <row r="1630">
          <cell r="A1630" t="str">
            <v>1000/1414       POLI.M 5-16-24-4</v>
          </cell>
          <cell r="J1630">
            <v>0</v>
          </cell>
        </row>
        <row r="1631">
          <cell r="A1631" t="str">
            <v>1000/1414       POLI.M 5-16-24-4</v>
          </cell>
          <cell r="J1631">
            <v>0</v>
          </cell>
        </row>
        <row r="1632">
          <cell r="A1632" t="str">
            <v>1000/1414       POLI.M 5-16-24-4</v>
          </cell>
          <cell r="J1632">
            <v>2040.72</v>
          </cell>
        </row>
        <row r="1633">
          <cell r="A1633" t="str">
            <v>1000/1414       POLI.M 5-16-24-4</v>
          </cell>
          <cell r="J1633">
            <v>0</v>
          </cell>
        </row>
        <row r="1634">
          <cell r="A1634" t="str">
            <v>1000/1414       POLI.M 5-16-24-4</v>
          </cell>
          <cell r="J1634">
            <v>0</v>
          </cell>
        </row>
        <row r="1635">
          <cell r="A1635" t="str">
            <v>1000/1414       POLI.M 5-16-24-4</v>
          </cell>
          <cell r="J1635">
            <v>0</v>
          </cell>
        </row>
        <row r="1636">
          <cell r="A1636" t="str">
            <v>1000/1414       POLI.M 5-16-24-4</v>
          </cell>
          <cell r="J1636">
            <v>0</v>
          </cell>
        </row>
        <row r="1637">
          <cell r="A1637" t="str">
            <v>1000/1414       POLI.M 5-16-24-4</v>
          </cell>
          <cell r="J1637">
            <v>6372.72</v>
          </cell>
        </row>
        <row r="1638">
          <cell r="A1638" t="str">
            <v>1000/1414       POLI.M 5-16-24-4</v>
          </cell>
          <cell r="J1638">
            <v>0</v>
          </cell>
        </row>
        <row r="1639">
          <cell r="A1639" t="str">
            <v>1000/1414       POLI.M 5-16-24-4</v>
          </cell>
          <cell r="J1639">
            <v>11750.879999999899</v>
          </cell>
        </row>
        <row r="1640">
          <cell r="A1640" t="str">
            <v>1000/1414       POLI.M 5-16-24-4</v>
          </cell>
          <cell r="J1640">
            <v>0</v>
          </cell>
        </row>
        <row r="1641">
          <cell r="A1641" t="str">
            <v>1000/1414       POLI.M 5-16-24-4</v>
          </cell>
          <cell r="J1641">
            <v>3308.76</v>
          </cell>
        </row>
        <row r="1642">
          <cell r="A1642" t="str">
            <v>1000/1414       POLI.M 5-16-24-4</v>
          </cell>
          <cell r="J1642">
            <v>0</v>
          </cell>
        </row>
        <row r="1643">
          <cell r="A1643" t="str">
            <v>1000/1414       POLI.M 5-16-24-4</v>
          </cell>
          <cell r="J1643">
            <v>1379.76</v>
          </cell>
        </row>
        <row r="1644">
          <cell r="A1644" t="str">
            <v>1000/1414       POLI.M 5-16-24-4</v>
          </cell>
          <cell r="J1644">
            <v>0</v>
          </cell>
        </row>
        <row r="1645">
          <cell r="A1645" t="str">
            <v>1000/1414       POLI.M 5-16-24-4</v>
          </cell>
          <cell r="J1645">
            <v>0</v>
          </cell>
        </row>
        <row r="1646">
          <cell r="A1646" t="str">
            <v>1000/1414       POLI.M 5-16-24-4</v>
          </cell>
          <cell r="J1646">
            <v>2325.36</v>
          </cell>
        </row>
        <row r="1647">
          <cell r="A1647" t="str">
            <v>1000/1414       POLI.M 5-16-24-4</v>
          </cell>
          <cell r="J1647">
            <v>0</v>
          </cell>
        </row>
        <row r="1648">
          <cell r="A1648" t="str">
            <v>1000/1414       POLI.M 5-16-24-4</v>
          </cell>
          <cell r="J1648">
            <v>977.51999999999896</v>
          </cell>
        </row>
        <row r="1649">
          <cell r="A1649" t="str">
            <v>1000/1414       POLI.M 5-16-24-4</v>
          </cell>
          <cell r="J1649">
            <v>0</v>
          </cell>
        </row>
        <row r="1650">
          <cell r="A1650" t="str">
            <v>1000/1414       POLI.M 5-16-24-4</v>
          </cell>
          <cell r="J1650">
            <v>1537.67</v>
          </cell>
        </row>
        <row r="1651">
          <cell r="A1651" t="str">
            <v>1000/1414       POLI.M 5-16-24-4</v>
          </cell>
          <cell r="J1651">
            <v>0</v>
          </cell>
        </row>
        <row r="1652">
          <cell r="A1652" t="str">
            <v>1000/1414       POLI.M 5-16-24-4</v>
          </cell>
          <cell r="J1652">
            <v>0</v>
          </cell>
        </row>
        <row r="1653">
          <cell r="A1653" t="str">
            <v>1000/1414       POLI.M 5-16-24-4</v>
          </cell>
          <cell r="J1653">
            <v>1212.48</v>
          </cell>
        </row>
        <row r="1654">
          <cell r="A1654" t="str">
            <v>1000/1414       POLI.M 5-16-24-4</v>
          </cell>
          <cell r="J1654">
            <v>0</v>
          </cell>
        </row>
        <row r="1655">
          <cell r="A1655" t="str">
            <v>1000/1414       POLI.M 5-16-24-4</v>
          </cell>
          <cell r="J1655">
            <v>1300.8</v>
          </cell>
        </row>
        <row r="1656">
          <cell r="A1656" t="str">
            <v>1000/1414       POLI.M 5-16-24-4</v>
          </cell>
          <cell r="J1656">
            <v>0</v>
          </cell>
        </row>
        <row r="1657">
          <cell r="A1657" t="str">
            <v>1000/1414       POLI.M 5-16-24-4</v>
          </cell>
          <cell r="J1657">
            <v>1815.8399999999899</v>
          </cell>
        </row>
        <row r="1658">
          <cell r="A1658" t="str">
            <v>1000/1414       POLI.M 5-16-24-4</v>
          </cell>
          <cell r="J1658">
            <v>4308.1499999999896</v>
          </cell>
        </row>
        <row r="1659">
          <cell r="A1659" t="str">
            <v>1000/1414       POLI.M 5-16-24-4</v>
          </cell>
          <cell r="J1659">
            <v>1545.3599999999899</v>
          </cell>
        </row>
        <row r="1660">
          <cell r="A1660" t="str">
            <v>1000/1414       POLI.M 5-16-24-4</v>
          </cell>
          <cell r="J1660">
            <v>0</v>
          </cell>
        </row>
        <row r="1661">
          <cell r="A1661" t="str">
            <v>1000/1414       POLI.M 5-16-24-4</v>
          </cell>
          <cell r="J1661">
            <v>7222.0799999999899</v>
          </cell>
        </row>
        <row r="1662">
          <cell r="A1662" t="str">
            <v>1000/1414       POLI.M 5-16-24-4</v>
          </cell>
          <cell r="J1662">
            <v>0</v>
          </cell>
        </row>
        <row r="1663">
          <cell r="A1663" t="str">
            <v>1000/1414       POLI.M 5-16-24-4</v>
          </cell>
          <cell r="J1663">
            <v>0</v>
          </cell>
        </row>
        <row r="1664">
          <cell r="A1664" t="str">
            <v>1000/1414       POLI.M 5-16-24-4</v>
          </cell>
          <cell r="J1664">
            <v>0</v>
          </cell>
        </row>
        <row r="1665">
          <cell r="A1665" t="str">
            <v>1000/1414       POLI.M 5-16-24-4</v>
          </cell>
          <cell r="J1665">
            <v>0</v>
          </cell>
        </row>
        <row r="1666">
          <cell r="A1666" t="str">
            <v>1000/1414       POLI.M 5-16-24-4</v>
          </cell>
          <cell r="J1666">
            <v>0</v>
          </cell>
        </row>
        <row r="1667">
          <cell r="A1667" t="str">
            <v>1000/1414       POLI.M 5-16-24-4</v>
          </cell>
          <cell r="J1667">
            <v>0</v>
          </cell>
        </row>
        <row r="1668">
          <cell r="A1668" t="str">
            <v>1000/1414       POLI.M 5-16-24-4</v>
          </cell>
          <cell r="J1668">
            <v>2985.1199999999899</v>
          </cell>
        </row>
        <row r="1669">
          <cell r="A1669" t="str">
            <v>1000/1414       POLI.M 5-16-24-4</v>
          </cell>
          <cell r="J1669">
            <v>0</v>
          </cell>
        </row>
        <row r="1670">
          <cell r="A1670" t="str">
            <v>1000/1414       POLI.M 5-16-24-4</v>
          </cell>
          <cell r="J1670">
            <v>0</v>
          </cell>
        </row>
        <row r="1671">
          <cell r="A1671" t="str">
            <v>1000/1414       POLI.M 5-16-24-4</v>
          </cell>
          <cell r="J1671">
            <v>0</v>
          </cell>
        </row>
        <row r="1672">
          <cell r="A1672" t="str">
            <v>1000/1414       POLI.M 5-16-24-4</v>
          </cell>
          <cell r="J1672">
            <v>10415.790000000001</v>
          </cell>
        </row>
        <row r="1673">
          <cell r="A1673" t="str">
            <v>1000/1414       POLI.M 5-16-24-4</v>
          </cell>
          <cell r="J1673">
            <v>0</v>
          </cell>
        </row>
        <row r="1674">
          <cell r="A1674" t="str">
            <v>1000/1414       POLI.M 5-16-24-4</v>
          </cell>
          <cell r="J1674">
            <v>977.51999999999896</v>
          </cell>
        </row>
        <row r="1675">
          <cell r="A1675" t="str">
            <v>1000/1414       POLI.M 5-16-24-4</v>
          </cell>
          <cell r="J1675">
            <v>1118.52</v>
          </cell>
        </row>
        <row r="1676">
          <cell r="A1676" t="str">
            <v>1000/1414       POLI.M 5-16-24-4</v>
          </cell>
          <cell r="J1676">
            <v>2396.88</v>
          </cell>
        </row>
        <row r="1677">
          <cell r="A1677" t="str">
            <v>1000/1414       POLI.M 5-16-24-4</v>
          </cell>
          <cell r="J1677">
            <v>0</v>
          </cell>
        </row>
        <row r="1678">
          <cell r="A1678" t="str">
            <v>1000/1414       POLI.M 5-16-24-4</v>
          </cell>
          <cell r="J1678">
            <v>0</v>
          </cell>
        </row>
        <row r="1679">
          <cell r="A1679" t="str">
            <v>1000/1414       POLI.M 5-16-24-4</v>
          </cell>
          <cell r="J1679">
            <v>0</v>
          </cell>
        </row>
        <row r="1680">
          <cell r="A1680" t="str">
            <v>1000/1414       POLI.M 5-16-24-4</v>
          </cell>
          <cell r="J1680">
            <v>0</v>
          </cell>
        </row>
        <row r="1681">
          <cell r="A1681" t="str">
            <v>1000/1414       POLI.M 5-16-24-4</v>
          </cell>
          <cell r="J1681">
            <v>3561.5999999999899</v>
          </cell>
        </row>
        <row r="1682">
          <cell r="A1682" t="str">
            <v>1000/1414       POLI.M 5-16-24-4</v>
          </cell>
          <cell r="J1682">
            <v>0</v>
          </cell>
        </row>
        <row r="1683">
          <cell r="A1683" t="str">
            <v>1000/1414       POLI.M 5-16-24-4</v>
          </cell>
          <cell r="J1683">
            <v>0</v>
          </cell>
        </row>
        <row r="1684">
          <cell r="A1684" t="str">
            <v>1000/1414       POLI.M 5-16-24-4</v>
          </cell>
          <cell r="J1684">
            <v>1404</v>
          </cell>
        </row>
        <row r="1685">
          <cell r="A1685" t="str">
            <v>1000/1414       POLI.M 5-16-24-4</v>
          </cell>
          <cell r="J1685">
            <v>2163.36</v>
          </cell>
        </row>
        <row r="1686">
          <cell r="A1686" t="str">
            <v>1000/1414       POLI.M 5-16-24-4</v>
          </cell>
          <cell r="J1686">
            <v>0</v>
          </cell>
        </row>
        <row r="1687">
          <cell r="A1687" t="str">
            <v>1000/1414       POLI.M 5-16-24-4</v>
          </cell>
          <cell r="J1687">
            <v>0</v>
          </cell>
        </row>
        <row r="1688">
          <cell r="A1688" t="str">
            <v>1000/1414       POLI.M 5-16-24-4</v>
          </cell>
          <cell r="J1688">
            <v>0</v>
          </cell>
        </row>
        <row r="1689">
          <cell r="A1689" t="str">
            <v>1000/1414       POLI.M 5-16-24-4</v>
          </cell>
          <cell r="J1689">
            <v>0</v>
          </cell>
        </row>
        <row r="1690">
          <cell r="A1690" t="str">
            <v>1000/1414       POLI.M 5-16-24-4</v>
          </cell>
          <cell r="J1690">
            <v>1833.8399999999899</v>
          </cell>
        </row>
        <row r="1691">
          <cell r="A1691" t="str">
            <v>1000/1414       POLI.M 5-16-24-4</v>
          </cell>
          <cell r="J1691">
            <v>0</v>
          </cell>
        </row>
        <row r="1692">
          <cell r="A1692" t="str">
            <v>1000/1414       POLI.M 5-16-24-4</v>
          </cell>
          <cell r="J1692">
            <v>5978.1599999999899</v>
          </cell>
        </row>
        <row r="1693">
          <cell r="A1693" t="str">
            <v>1000/1414       POLI.M 5-16-24-4</v>
          </cell>
          <cell r="J1693">
            <v>0</v>
          </cell>
        </row>
        <row r="1694">
          <cell r="A1694" t="str">
            <v>1000/1414       POLI.M 5-16-24-4</v>
          </cell>
          <cell r="J1694">
            <v>0</v>
          </cell>
        </row>
        <row r="1695">
          <cell r="A1695" t="str">
            <v>1000/1414       POLI.M 5-16-24-4</v>
          </cell>
          <cell r="J1695">
            <v>0</v>
          </cell>
        </row>
        <row r="1696">
          <cell r="A1696" t="str">
            <v>1000/1414       POLI.M 5-16-24-4</v>
          </cell>
          <cell r="J1696">
            <v>0</v>
          </cell>
        </row>
        <row r="1697">
          <cell r="A1697" t="str">
            <v>1000/1414       POLI.M 5-16-24-4</v>
          </cell>
          <cell r="J1697">
            <v>2801.76</v>
          </cell>
        </row>
        <row r="1698">
          <cell r="A1698" t="str">
            <v>1000/1414       POLI.M 5-16-24-4</v>
          </cell>
          <cell r="J1698">
            <v>2119.1999999999898</v>
          </cell>
        </row>
        <row r="1699">
          <cell r="A1699" t="str">
            <v>1000/1414       POLI.M 5-16-24-4</v>
          </cell>
          <cell r="J1699">
            <v>4391.2799999999897</v>
          </cell>
        </row>
        <row r="1700">
          <cell r="A1700" t="str">
            <v>1000/1414       POLI.M 5-16-24-4</v>
          </cell>
          <cell r="J1700">
            <v>0</v>
          </cell>
        </row>
        <row r="1701">
          <cell r="A1701" t="str">
            <v>1000/1414       POLI.M 5-16-24-4</v>
          </cell>
          <cell r="J1701">
            <v>0</v>
          </cell>
        </row>
        <row r="1702">
          <cell r="A1702" t="str">
            <v>1000/1414       POLI.M 5-16-24-4</v>
          </cell>
          <cell r="J1702">
            <v>1016.88</v>
          </cell>
        </row>
        <row r="1703">
          <cell r="A1703" t="str">
            <v>1000/1414       POLI.M 5-16-24-4</v>
          </cell>
          <cell r="J1703">
            <v>0</v>
          </cell>
        </row>
        <row r="1704">
          <cell r="A1704" t="str">
            <v>1000/1414       POLI.M 5-16-24-4</v>
          </cell>
          <cell r="J1704">
            <v>0</v>
          </cell>
        </row>
        <row r="1705">
          <cell r="A1705" t="str">
            <v>1000/1414       POLI.M 5-16-24-4</v>
          </cell>
          <cell r="J1705">
            <v>0</v>
          </cell>
        </row>
        <row r="1706">
          <cell r="A1706" t="str">
            <v>1000/1414       POLI.M 5-16-24-4</v>
          </cell>
          <cell r="J1706">
            <v>59789.709999999897</v>
          </cell>
        </row>
        <row r="1707">
          <cell r="A1707" t="str">
            <v>1000/1414       POLI.M 5-16-24-4</v>
          </cell>
          <cell r="J1707">
            <v>0</v>
          </cell>
        </row>
        <row r="1708">
          <cell r="A1708" t="str">
            <v>1000/1414       POLI.M 5-16-24-4</v>
          </cell>
          <cell r="J1708">
            <v>0</v>
          </cell>
        </row>
        <row r="1709">
          <cell r="A1709" t="str">
            <v>1000/1414       POLI.M 5-16-24-4</v>
          </cell>
          <cell r="J1709">
            <v>0</v>
          </cell>
        </row>
        <row r="1710">
          <cell r="A1710" t="str">
            <v>1000/1414       POLI.M 5-16-24-4</v>
          </cell>
          <cell r="J1710">
            <v>0</v>
          </cell>
        </row>
        <row r="1711">
          <cell r="A1711" t="str">
            <v>1000/1414       POLI.M 5-16-24-4</v>
          </cell>
          <cell r="J1711">
            <v>1456.8</v>
          </cell>
        </row>
        <row r="1712">
          <cell r="A1712" t="str">
            <v>1000/1414       POLI.M 5-16-24-4</v>
          </cell>
          <cell r="J1712">
            <v>0</v>
          </cell>
        </row>
        <row r="1713">
          <cell r="A1713" t="str">
            <v>1000/1414       POLI.M 5-16-24-4</v>
          </cell>
          <cell r="J1713">
            <v>794.75999999999897</v>
          </cell>
        </row>
        <row r="1714">
          <cell r="A1714" t="str">
            <v>1000/1414       POLI.M 5-16-24-4</v>
          </cell>
          <cell r="J1714">
            <v>0</v>
          </cell>
        </row>
        <row r="1715">
          <cell r="A1715" t="str">
            <v>1000/1414       POLI.M 5-16-24-4</v>
          </cell>
          <cell r="J1715">
            <v>943.32</v>
          </cell>
        </row>
        <row r="1716">
          <cell r="A1716" t="str">
            <v>1000/1414       POLI.M 5-16-24-4</v>
          </cell>
          <cell r="J1716">
            <v>918.24</v>
          </cell>
        </row>
        <row r="1717">
          <cell r="A1717" t="str">
            <v>1000/1414       POLI.M 5-16-24-4</v>
          </cell>
          <cell r="J1717">
            <v>0</v>
          </cell>
        </row>
        <row r="1718">
          <cell r="A1718" t="str">
            <v>1000/1414       POLI.M 5-16-24-4</v>
          </cell>
          <cell r="J1718">
            <v>2325.36</v>
          </cell>
        </row>
        <row r="1719">
          <cell r="A1719" t="str">
            <v>1000/1414       POLI.M 5-16-24-4</v>
          </cell>
          <cell r="J1719">
            <v>0</v>
          </cell>
        </row>
        <row r="1720">
          <cell r="A1720" t="str">
            <v>1000/1414       POLI.M 5-16-24-4</v>
          </cell>
          <cell r="J1720">
            <v>0</v>
          </cell>
        </row>
        <row r="1721">
          <cell r="A1721" t="str">
            <v>1000/1414       POLI.M 5-16-24-4</v>
          </cell>
          <cell r="J1721">
            <v>2119.1999999999898</v>
          </cell>
        </row>
        <row r="1722">
          <cell r="A1722" t="str">
            <v>1000/1414       POLI.M 5-16-24-4</v>
          </cell>
          <cell r="J1722">
            <v>9486.7199999999903</v>
          </cell>
        </row>
        <row r="1723">
          <cell r="A1723" t="str">
            <v>1000/1414       POLI.M 5-16-24-4</v>
          </cell>
          <cell r="J1723">
            <v>0</v>
          </cell>
        </row>
        <row r="1724">
          <cell r="A1724" t="str">
            <v>1000/1414       POLI.M 5-16-24-4</v>
          </cell>
          <cell r="J1724">
            <v>1833.8399999999899</v>
          </cell>
        </row>
        <row r="1725">
          <cell r="A1725" t="str">
            <v>1000/1414       POLI.M 5-16-24-4</v>
          </cell>
          <cell r="J1725">
            <v>0</v>
          </cell>
        </row>
        <row r="1726">
          <cell r="A1726" t="str">
            <v>1000/1414       POLI.M 5-16-24-4</v>
          </cell>
          <cell r="J1726">
            <v>0</v>
          </cell>
        </row>
        <row r="1727">
          <cell r="A1727" t="str">
            <v>1000/1414       POLI.M 5-16-24-4</v>
          </cell>
          <cell r="J1727">
            <v>0</v>
          </cell>
        </row>
        <row r="1728">
          <cell r="A1728" t="str">
            <v>1000/1414       POLI.M 5-16-24-4</v>
          </cell>
          <cell r="J1728">
            <v>0</v>
          </cell>
        </row>
        <row r="1729">
          <cell r="A1729" t="str">
            <v>1000/1414       POLI.M 5-16-24-4</v>
          </cell>
          <cell r="J1729">
            <v>0</v>
          </cell>
        </row>
        <row r="1730">
          <cell r="A1730" t="str">
            <v>1000/1414       POLI.M 5-16-24-4</v>
          </cell>
          <cell r="J1730">
            <v>7335.1199999999899</v>
          </cell>
        </row>
        <row r="1731">
          <cell r="A1731" t="str">
            <v>1000/1414       POLI.M 5-16-24-4</v>
          </cell>
          <cell r="J1731">
            <v>0</v>
          </cell>
        </row>
        <row r="1732">
          <cell r="A1732" t="str">
            <v>1000/1414       POLI.M 5-16-24-4</v>
          </cell>
          <cell r="J1732">
            <v>8470.5599999999904</v>
          </cell>
        </row>
        <row r="1733">
          <cell r="A1733" t="str">
            <v>1000/1414       POLI.M 5-16-24-4</v>
          </cell>
          <cell r="J1733">
            <v>4340.9099999999899</v>
          </cell>
        </row>
        <row r="1734">
          <cell r="A1734" t="str">
            <v>1000/1414       POLI.M 5-16-24-4</v>
          </cell>
          <cell r="J1734">
            <v>0</v>
          </cell>
        </row>
        <row r="1735">
          <cell r="A1735" t="str">
            <v>1000/1414       POLI.M 5-16-24-4</v>
          </cell>
          <cell r="J1735">
            <v>0</v>
          </cell>
        </row>
        <row r="1736">
          <cell r="A1736" t="str">
            <v>1000/1414       POLI.M 5-16-24-4</v>
          </cell>
          <cell r="J1736">
            <v>0</v>
          </cell>
        </row>
        <row r="1737">
          <cell r="A1737" t="str">
            <v>1000/1414       POLI.M 5-16-24-4</v>
          </cell>
          <cell r="J1737">
            <v>0</v>
          </cell>
        </row>
        <row r="1738">
          <cell r="A1738" t="str">
            <v>1000/1414       POLI.M 5-16-24-4</v>
          </cell>
          <cell r="J1738">
            <v>0</v>
          </cell>
        </row>
        <row r="1739">
          <cell r="A1739" t="str">
            <v>1000/1414       POLI.M 5-16-24-4</v>
          </cell>
          <cell r="J1739">
            <v>10663.85</v>
          </cell>
        </row>
        <row r="1740">
          <cell r="A1740" t="str">
            <v>1000/1414       POLI.M 5-16-24-4</v>
          </cell>
          <cell r="J1740">
            <v>0</v>
          </cell>
        </row>
        <row r="1741">
          <cell r="A1741" t="str">
            <v>1000/1414       POLI.M 5-16-24-4</v>
          </cell>
          <cell r="J1741">
            <v>0</v>
          </cell>
        </row>
        <row r="1742">
          <cell r="A1742" t="str">
            <v>1000/1414       POLI.M 5-16-24-4</v>
          </cell>
          <cell r="J1742">
            <v>14342.639999999899</v>
          </cell>
        </row>
        <row r="1743">
          <cell r="A1743" t="str">
            <v>1000/1414       POLI.M 5-16-24-4</v>
          </cell>
          <cell r="J1743">
            <v>0</v>
          </cell>
        </row>
        <row r="1744">
          <cell r="A1744" t="str">
            <v>1000/1414       POLI.M 5-16-24-4</v>
          </cell>
          <cell r="J1744">
            <v>1589.52</v>
          </cell>
        </row>
        <row r="1745">
          <cell r="A1745" t="str">
            <v>1000/1414       POLI.M 5-16-24-4</v>
          </cell>
          <cell r="J1745">
            <v>0</v>
          </cell>
        </row>
        <row r="1746">
          <cell r="A1746" t="str">
            <v>1000/1414       POLI.M 5-16-24-4</v>
          </cell>
          <cell r="J1746">
            <v>1780.8</v>
          </cell>
        </row>
        <row r="1747">
          <cell r="A1747" t="str">
            <v>1000/1414       POLI.M 5-16-24-4</v>
          </cell>
          <cell r="J1747">
            <v>0</v>
          </cell>
        </row>
        <row r="1748">
          <cell r="A1748" t="str">
            <v>1000/1414       POLI.M 5-16-24-4</v>
          </cell>
          <cell r="J1748">
            <v>6814.0799999999899</v>
          </cell>
        </row>
        <row r="1749">
          <cell r="A1749" t="str">
            <v>1000/1414       POLI.M 5-16-24-4</v>
          </cell>
          <cell r="J1749">
            <v>0</v>
          </cell>
        </row>
        <row r="1750">
          <cell r="A1750" t="str">
            <v>1000/1414       POLI.M 5-16-24-4</v>
          </cell>
          <cell r="J1750">
            <v>5848.47</v>
          </cell>
        </row>
        <row r="1751">
          <cell r="A1751" t="str">
            <v>1000/1414       POLI.M 5-16-24-4</v>
          </cell>
          <cell r="J1751">
            <v>1589.52</v>
          </cell>
        </row>
        <row r="1752">
          <cell r="A1752" t="str">
            <v>1000/1414       POLI.M 5-16-24-4</v>
          </cell>
          <cell r="J1752">
            <v>0</v>
          </cell>
        </row>
        <row r="1753">
          <cell r="A1753" t="str">
            <v>1000/1414       POLI.M 5-16-24-4</v>
          </cell>
          <cell r="J1753">
            <v>1456.8</v>
          </cell>
        </row>
        <row r="1754">
          <cell r="A1754" t="str">
            <v>1000/1414       POLI.M 5-16-24-4</v>
          </cell>
          <cell r="J1754">
            <v>0</v>
          </cell>
        </row>
        <row r="1755">
          <cell r="A1755" t="str">
            <v>1000/1414       POLI.M 5-16-24-4</v>
          </cell>
          <cell r="J1755">
            <v>1992.72</v>
          </cell>
        </row>
        <row r="1756">
          <cell r="A1756" t="str">
            <v>1000/1414       POLI.M 5-16-24-4</v>
          </cell>
          <cell r="J1756">
            <v>13949.04</v>
          </cell>
        </row>
        <row r="1757">
          <cell r="A1757" t="str">
            <v>1000/1414       POLI.M 5-16-24-4</v>
          </cell>
          <cell r="J1757">
            <v>11130</v>
          </cell>
        </row>
        <row r="1758">
          <cell r="A1758" t="str">
            <v>1000/1414       POLI.M 5-16-24-4</v>
          </cell>
          <cell r="J1758">
            <v>2207.7600000000002</v>
          </cell>
        </row>
        <row r="1759">
          <cell r="A1759" t="str">
            <v>1000/1414       POLI.M 5-16-24-4</v>
          </cell>
          <cell r="J1759">
            <v>8299.68</v>
          </cell>
        </row>
        <row r="1760">
          <cell r="A1760" t="str">
            <v>1000/1414       POLI.M 5-16-24-4</v>
          </cell>
          <cell r="J1760">
            <v>0</v>
          </cell>
        </row>
        <row r="1761">
          <cell r="A1761" t="str">
            <v>1000/1414       POLI.M 5-16-24-4</v>
          </cell>
          <cell r="J1761">
            <v>1685.8099999999899</v>
          </cell>
        </row>
        <row r="1762">
          <cell r="A1762" t="str">
            <v>1000/1414       POLI.M 5-16-24-4</v>
          </cell>
          <cell r="J1762">
            <v>1456.8</v>
          </cell>
        </row>
        <row r="1763">
          <cell r="A1763" t="str">
            <v>1000/1414       POLI.M 5-16-24-4</v>
          </cell>
          <cell r="J1763">
            <v>16112.16</v>
          </cell>
        </row>
        <row r="1764">
          <cell r="A1764" t="str">
            <v>1000/1414       POLI.M 5-16-24-4</v>
          </cell>
          <cell r="J1764">
            <v>1589.52</v>
          </cell>
        </row>
        <row r="1765">
          <cell r="A1765" t="str">
            <v>1000/1414       POLI.M 5-16-24-4</v>
          </cell>
          <cell r="J1765">
            <v>0</v>
          </cell>
        </row>
        <row r="1766">
          <cell r="A1766" t="str">
            <v>1000/1414       POLI.M 5-16-24-4</v>
          </cell>
          <cell r="J1766">
            <v>0</v>
          </cell>
        </row>
        <row r="1767">
          <cell r="A1767" t="str">
            <v>1000/1414       POLI.M 5-16-24-4</v>
          </cell>
          <cell r="J1767">
            <v>1992.72</v>
          </cell>
        </row>
        <row r="1768">
          <cell r="A1768" t="str">
            <v>1000/1414       POLI.M 5-16-24-4</v>
          </cell>
          <cell r="J1768">
            <v>1701.1199999999899</v>
          </cell>
        </row>
        <row r="1769">
          <cell r="A1769" t="str">
            <v>1000/1414       POLI.M 5-16-24-4</v>
          </cell>
          <cell r="J1769">
            <v>0</v>
          </cell>
        </row>
        <row r="1770">
          <cell r="A1770" t="str">
            <v>1000/1414       POLI.M 5-16-24-4</v>
          </cell>
          <cell r="J1770">
            <v>0</v>
          </cell>
        </row>
        <row r="1771">
          <cell r="A1771" t="str">
            <v>1000/1414       POLI.M 5-16-24-4</v>
          </cell>
          <cell r="J1771">
            <v>4768.3199999999897</v>
          </cell>
        </row>
        <row r="1772">
          <cell r="A1772" t="str">
            <v>1000/1414       POLI.M 5-16-24-4</v>
          </cell>
          <cell r="J1772">
            <v>0</v>
          </cell>
        </row>
        <row r="1773">
          <cell r="A1773" t="str">
            <v>1000/1414       POLI.M 5-16-24-4</v>
          </cell>
          <cell r="J1773">
            <v>1261.4000000000001</v>
          </cell>
        </row>
        <row r="1774">
          <cell r="A1774" t="str">
            <v>1000/1414       POLI.M 5-16-24-4</v>
          </cell>
          <cell r="J1774">
            <v>6499.54</v>
          </cell>
        </row>
        <row r="1775">
          <cell r="A1775" t="str">
            <v>1000/1414       POLI.M 5-16-24-4</v>
          </cell>
          <cell r="J1775">
            <v>0</v>
          </cell>
        </row>
        <row r="1776">
          <cell r="A1776" t="str">
            <v>1000/1414       POLI.M 5-16-24-4</v>
          </cell>
          <cell r="J1776">
            <v>1315.68</v>
          </cell>
        </row>
        <row r="1777">
          <cell r="A1777" t="str">
            <v>1000/1414       POLI.M 5-16-24-4</v>
          </cell>
          <cell r="J1777">
            <v>0</v>
          </cell>
        </row>
        <row r="1778">
          <cell r="A1778" t="str">
            <v>1000/1414       POLI.M 5-16-24-4</v>
          </cell>
          <cell r="J1778">
            <v>7546.56</v>
          </cell>
        </row>
        <row r="1779">
          <cell r="A1779" t="str">
            <v>1000/1414       POLI.M 5-16-24-4</v>
          </cell>
          <cell r="J1779">
            <v>0</v>
          </cell>
        </row>
        <row r="1780">
          <cell r="A1780" t="str">
            <v>1000/1414       POLI.M 5-16-24-4</v>
          </cell>
          <cell r="J1780">
            <v>1589.52</v>
          </cell>
        </row>
        <row r="1781">
          <cell r="A1781" t="str">
            <v>1000/1414       POLI.M 5-16-24-4</v>
          </cell>
          <cell r="J1781">
            <v>3667.6799999999898</v>
          </cell>
        </row>
        <row r="1782">
          <cell r="A1782" t="str">
            <v>1000/1414       POLI.M 5-16-24-4</v>
          </cell>
          <cell r="J1782">
            <v>0</v>
          </cell>
        </row>
        <row r="1783">
          <cell r="A1783" t="str">
            <v>1000/1414       POLI.M 5-16-24-4</v>
          </cell>
          <cell r="J1783">
            <v>1662.96</v>
          </cell>
        </row>
        <row r="1784">
          <cell r="A1784" t="str">
            <v>1000/1414       POLI.M 5-16-24-4</v>
          </cell>
          <cell r="J1784">
            <v>2163.36</v>
          </cell>
        </row>
        <row r="1785">
          <cell r="A1785" t="str">
            <v>1000/1414       POLI.M 5-16-24-4</v>
          </cell>
          <cell r="J1785">
            <v>3777.54</v>
          </cell>
        </row>
        <row r="1786">
          <cell r="A1786" t="str">
            <v>1000/1414       POLI.M 5-16-24-4</v>
          </cell>
          <cell r="J1786">
            <v>0</v>
          </cell>
        </row>
        <row r="1787">
          <cell r="A1787" t="str">
            <v>1000/1414       POLI.M 5-16-24-4</v>
          </cell>
          <cell r="J1787">
            <v>4067.52</v>
          </cell>
        </row>
        <row r="1788">
          <cell r="A1788" t="str">
            <v>1000/1414       POLI.M 5-16-24-4</v>
          </cell>
          <cell r="J1788">
            <v>37732.800000000003</v>
          </cell>
        </row>
        <row r="1789">
          <cell r="A1789" t="str">
            <v>1000/1415       POLIWAP</v>
          </cell>
          <cell r="J1789">
            <v>0</v>
          </cell>
        </row>
        <row r="1790">
          <cell r="A1790" t="str">
            <v>1000/1415       POLIWAP</v>
          </cell>
          <cell r="J1790">
            <v>1130.6400000000001</v>
          </cell>
        </row>
        <row r="1791">
          <cell r="A1791" t="str">
            <v>1000/1415       POLIWAP</v>
          </cell>
          <cell r="J1791">
            <v>688.55999999999904</v>
          </cell>
        </row>
        <row r="1792">
          <cell r="A1792" t="str">
            <v>1000/1415       POLIWAP</v>
          </cell>
          <cell r="J1792">
            <v>1590.72</v>
          </cell>
        </row>
        <row r="1793">
          <cell r="A1793" t="str">
            <v>1000/1415       POLIWAP</v>
          </cell>
          <cell r="J1793">
            <v>4961.5200000000004</v>
          </cell>
        </row>
        <row r="1794">
          <cell r="A1794" t="str">
            <v>1000/1415       POLIWAP</v>
          </cell>
          <cell r="J1794">
            <v>373.19999999999902</v>
          </cell>
        </row>
        <row r="1795">
          <cell r="A1795" t="str">
            <v>1000/1415       POLIWAP</v>
          </cell>
          <cell r="J1795">
            <v>8328.95999999999</v>
          </cell>
        </row>
        <row r="1796">
          <cell r="A1796" t="str">
            <v>1000/1415       POLIWAP</v>
          </cell>
          <cell r="J1796">
            <v>746.39999999999895</v>
          </cell>
        </row>
        <row r="1797">
          <cell r="A1797" t="str">
            <v>1000/1415       POLIWAP</v>
          </cell>
          <cell r="J1797">
            <v>1979.52</v>
          </cell>
        </row>
        <row r="1798">
          <cell r="A1798" t="str">
            <v>1000/1415       POLIWAP</v>
          </cell>
          <cell r="J1798">
            <v>0</v>
          </cell>
        </row>
        <row r="1799">
          <cell r="A1799" t="str">
            <v>1000/1415       POLIWAP</v>
          </cell>
          <cell r="J1799">
            <v>0</v>
          </cell>
        </row>
        <row r="1800">
          <cell r="A1800" t="str">
            <v>1000/1415       POLIWAP</v>
          </cell>
          <cell r="J1800">
            <v>1590</v>
          </cell>
        </row>
        <row r="1801">
          <cell r="A1801" t="str">
            <v>1000/1415       POLIWAP</v>
          </cell>
          <cell r="J1801">
            <v>0</v>
          </cell>
        </row>
        <row r="1802">
          <cell r="A1802" t="str">
            <v>1000/1415       POLIWAP</v>
          </cell>
          <cell r="J1802">
            <v>1030.0799999999899</v>
          </cell>
        </row>
        <row r="1803">
          <cell r="A1803" t="str">
            <v>1000/1415       POLIWAP</v>
          </cell>
          <cell r="J1803">
            <v>3374.1599999999899</v>
          </cell>
        </row>
        <row r="1804">
          <cell r="A1804" t="str">
            <v>1000/1415       POLIWAP</v>
          </cell>
          <cell r="J1804">
            <v>1892.16</v>
          </cell>
        </row>
        <row r="1805">
          <cell r="A1805" t="str">
            <v>1000/1415       POLIWAP</v>
          </cell>
          <cell r="J1805">
            <v>3022.0799999999899</v>
          </cell>
        </row>
        <row r="1806">
          <cell r="A1806" t="str">
            <v>1000/1415       POLIWAP</v>
          </cell>
          <cell r="J1806">
            <v>1518.96</v>
          </cell>
        </row>
        <row r="1807">
          <cell r="A1807" t="str">
            <v>1000/1415       POLIWAP</v>
          </cell>
          <cell r="J1807">
            <v>842.27999999999895</v>
          </cell>
        </row>
        <row r="1808">
          <cell r="A1808" t="str">
            <v>1000/1415       POLIWAP</v>
          </cell>
          <cell r="J1808">
            <v>0</v>
          </cell>
        </row>
        <row r="1809">
          <cell r="A1809" t="str">
            <v>1000/1415       POLIWAP</v>
          </cell>
          <cell r="J1809">
            <v>0</v>
          </cell>
        </row>
        <row r="1810">
          <cell r="A1810" t="str">
            <v>1000/1415       POLIWAP</v>
          </cell>
          <cell r="J1810">
            <v>0</v>
          </cell>
        </row>
        <row r="1811">
          <cell r="A1811" t="str">
            <v>1000/1415       POLIWAP</v>
          </cell>
          <cell r="J1811">
            <v>1779.1199999999899</v>
          </cell>
        </row>
        <row r="1812">
          <cell r="A1812" t="str">
            <v>1000/1415       POLIWAP</v>
          </cell>
          <cell r="J1812">
            <v>0</v>
          </cell>
        </row>
        <row r="1813">
          <cell r="A1813" t="str">
            <v>1000/1415       POLIWAP</v>
          </cell>
          <cell r="J1813">
            <v>3558.2399999999898</v>
          </cell>
        </row>
        <row r="1814">
          <cell r="A1814" t="str">
            <v>1000/1415       POLIWAP</v>
          </cell>
          <cell r="J1814">
            <v>3026.48</v>
          </cell>
        </row>
        <row r="1815">
          <cell r="A1815" t="str">
            <v>1000/1415       POLIWAP</v>
          </cell>
          <cell r="J1815">
            <v>2670.2399999999898</v>
          </cell>
        </row>
        <row r="1816">
          <cell r="A1816" t="str">
            <v>1000/1415       POLIWAP</v>
          </cell>
          <cell r="J1816">
            <v>3180</v>
          </cell>
        </row>
        <row r="1817">
          <cell r="A1817" t="str">
            <v>1000/1415       POLIWAP</v>
          </cell>
          <cell r="J1817">
            <v>0</v>
          </cell>
        </row>
        <row r="1818">
          <cell r="A1818" t="str">
            <v>1000/1415       POLIWAP</v>
          </cell>
          <cell r="J1818">
            <v>0</v>
          </cell>
        </row>
        <row r="1819">
          <cell r="A1819" t="str">
            <v>1000/1415       POLIWAP</v>
          </cell>
          <cell r="J1819">
            <v>12445.68</v>
          </cell>
        </row>
        <row r="1820">
          <cell r="A1820" t="str">
            <v>1000/1415       POLIWAP</v>
          </cell>
          <cell r="J1820">
            <v>0</v>
          </cell>
        </row>
        <row r="1821">
          <cell r="A1821" t="str">
            <v>1000/1415       POLIWAP</v>
          </cell>
          <cell r="J1821">
            <v>0</v>
          </cell>
        </row>
        <row r="1822">
          <cell r="A1822" t="str">
            <v>1000/1415       POLIWAP</v>
          </cell>
          <cell r="J1822">
            <v>788.39999999999895</v>
          </cell>
        </row>
        <row r="1823">
          <cell r="A1823" t="str">
            <v>1000/1415       POLIWAP</v>
          </cell>
          <cell r="J1823">
            <v>2165.2800000000002</v>
          </cell>
        </row>
        <row r="1824">
          <cell r="A1824" t="str">
            <v>1000/1415       POLIWAP</v>
          </cell>
          <cell r="J1824">
            <v>1348.64</v>
          </cell>
        </row>
        <row r="1825">
          <cell r="A1825" t="str">
            <v>1000/1415       POLIWAP</v>
          </cell>
          <cell r="J1825">
            <v>0</v>
          </cell>
        </row>
        <row r="1826">
          <cell r="A1826" t="str">
            <v>1000/1415       POLIWAP</v>
          </cell>
          <cell r="J1826">
            <v>2105.04</v>
          </cell>
        </row>
        <row r="1827">
          <cell r="A1827" t="str">
            <v>1000/1415       POLIWAP</v>
          </cell>
          <cell r="J1827">
            <v>0</v>
          </cell>
        </row>
        <row r="1828">
          <cell r="A1828" t="str">
            <v>1000/1415       POLIWAP</v>
          </cell>
          <cell r="J1828">
            <v>0</v>
          </cell>
        </row>
        <row r="1829">
          <cell r="A1829" t="str">
            <v>1000/1415       POLIWAP</v>
          </cell>
          <cell r="J1829">
            <v>2768.88</v>
          </cell>
        </row>
        <row r="1830">
          <cell r="A1830" t="str">
            <v>1000/1415       POLIWAP</v>
          </cell>
          <cell r="J1830">
            <v>0</v>
          </cell>
        </row>
        <row r="1831">
          <cell r="A1831" t="str">
            <v>1000/1415       POLIWAP</v>
          </cell>
          <cell r="J1831">
            <v>0</v>
          </cell>
        </row>
        <row r="1832">
          <cell r="A1832" t="str">
            <v>1000/1415       POLIWAP</v>
          </cell>
          <cell r="J1832">
            <v>0</v>
          </cell>
        </row>
        <row r="1833">
          <cell r="A1833" t="str">
            <v>1000/1415       POLIWAP</v>
          </cell>
          <cell r="J1833">
            <v>0</v>
          </cell>
        </row>
        <row r="1834">
          <cell r="A1834" t="str">
            <v>1000/1415       POLIWAP</v>
          </cell>
          <cell r="J1834">
            <v>932.88</v>
          </cell>
        </row>
        <row r="1835">
          <cell r="A1835" t="str">
            <v>1000/1415       POLIWAP</v>
          </cell>
          <cell r="J1835">
            <v>3750.2399999999898</v>
          </cell>
        </row>
        <row r="1836">
          <cell r="A1836" t="str">
            <v>1000/1415       POLIWAP</v>
          </cell>
          <cell r="J1836">
            <v>0</v>
          </cell>
        </row>
        <row r="1837">
          <cell r="A1837" t="str">
            <v>1000/1415       POLIWAP</v>
          </cell>
          <cell r="J1837">
            <v>47538.139999999898</v>
          </cell>
        </row>
        <row r="1838">
          <cell r="A1838" t="str">
            <v>1000/1415       POLIWAP</v>
          </cell>
          <cell r="J1838">
            <v>818.63999999999896</v>
          </cell>
        </row>
        <row r="1839">
          <cell r="A1839" t="str">
            <v>1000/1415       POLIWAP</v>
          </cell>
          <cell r="J1839">
            <v>0</v>
          </cell>
        </row>
        <row r="1840">
          <cell r="A1840" t="str">
            <v>1000/1415       POLIWAP</v>
          </cell>
          <cell r="J1840">
            <v>0</v>
          </cell>
        </row>
        <row r="1841">
          <cell r="A1841" t="str">
            <v>1000/1415       POLIWAP</v>
          </cell>
          <cell r="J1841">
            <v>0</v>
          </cell>
        </row>
        <row r="1842">
          <cell r="A1842" t="str">
            <v>1000/1415       POLIWAP</v>
          </cell>
          <cell r="J1842">
            <v>1200.96</v>
          </cell>
        </row>
        <row r="1843">
          <cell r="A1843" t="str">
            <v>1000/1415       POLIWAP</v>
          </cell>
          <cell r="J1843">
            <v>0</v>
          </cell>
        </row>
        <row r="1844">
          <cell r="A1844" t="str">
            <v>1000/1415       POLIWAP</v>
          </cell>
          <cell r="J1844">
            <v>1300.8</v>
          </cell>
        </row>
        <row r="1845">
          <cell r="A1845" t="str">
            <v>1000/1415       POLIWAP</v>
          </cell>
          <cell r="J1845">
            <v>6375.3599999999897</v>
          </cell>
        </row>
        <row r="1846">
          <cell r="A1846" t="str">
            <v>1000/1415       POLIWAP</v>
          </cell>
          <cell r="J1846">
            <v>18499.080000000002</v>
          </cell>
        </row>
        <row r="1847">
          <cell r="A1847" t="str">
            <v>1000/1415       POLIWAP</v>
          </cell>
          <cell r="J1847">
            <v>0</v>
          </cell>
        </row>
        <row r="1848">
          <cell r="A1848" t="str">
            <v>1000/1415       POLIWAP</v>
          </cell>
          <cell r="J1848">
            <v>1518.96</v>
          </cell>
        </row>
        <row r="1849">
          <cell r="A1849" t="str">
            <v>1000/1415       POLIWAP</v>
          </cell>
          <cell r="J1849">
            <v>1568.88</v>
          </cell>
        </row>
        <row r="1850">
          <cell r="A1850" t="str">
            <v>1000/1415       POLIWAP</v>
          </cell>
          <cell r="J1850">
            <v>8109</v>
          </cell>
        </row>
        <row r="1851">
          <cell r="A1851" t="str">
            <v>1000/1415       POLIWAP</v>
          </cell>
          <cell r="J1851">
            <v>0</v>
          </cell>
        </row>
        <row r="1852">
          <cell r="A1852" t="str">
            <v>1000/1415       POLIWAP</v>
          </cell>
          <cell r="J1852">
            <v>1568.88</v>
          </cell>
        </row>
        <row r="1853">
          <cell r="A1853" t="str">
            <v>1000/1415       POLIWAP</v>
          </cell>
          <cell r="J1853">
            <v>0</v>
          </cell>
        </row>
        <row r="1854">
          <cell r="A1854" t="str">
            <v>1000/1415       POLIWAP</v>
          </cell>
          <cell r="J1854">
            <v>1805.52</v>
          </cell>
        </row>
        <row r="1855">
          <cell r="A1855" t="str">
            <v>1000/1415       POLIWAP</v>
          </cell>
          <cell r="J1855">
            <v>3426.96</v>
          </cell>
        </row>
        <row r="1856">
          <cell r="A1856" t="str">
            <v>1000/1415       POLIWAP</v>
          </cell>
          <cell r="J1856">
            <v>0</v>
          </cell>
        </row>
        <row r="1857">
          <cell r="A1857" t="str">
            <v>1000/1415       POLIWAP</v>
          </cell>
          <cell r="J1857">
            <v>1684.5599999999899</v>
          </cell>
        </row>
        <row r="1858">
          <cell r="A1858" t="str">
            <v>1000/1415       POLIWAP</v>
          </cell>
          <cell r="J1858">
            <v>3389.76</v>
          </cell>
        </row>
        <row r="1859">
          <cell r="A1859" t="str">
            <v>1000/1415       POLIWAP</v>
          </cell>
          <cell r="J1859">
            <v>1109.04</v>
          </cell>
        </row>
        <row r="1860">
          <cell r="A1860" t="str">
            <v>1000/1415       POLIWAP</v>
          </cell>
          <cell r="J1860">
            <v>0</v>
          </cell>
        </row>
        <row r="1861">
          <cell r="A1861" t="str">
            <v>1000/1415       POLIWAP</v>
          </cell>
          <cell r="J1861">
            <v>0</v>
          </cell>
        </row>
        <row r="1862">
          <cell r="A1862" t="str">
            <v>1000/1415       POLIWAP</v>
          </cell>
          <cell r="J1862">
            <v>0</v>
          </cell>
        </row>
        <row r="1863">
          <cell r="A1863" t="str">
            <v>1000/1415       POLIWAP</v>
          </cell>
          <cell r="J1863">
            <v>0</v>
          </cell>
        </row>
        <row r="1864">
          <cell r="A1864" t="str">
            <v>1000/1415       POLIWAP</v>
          </cell>
          <cell r="J1864">
            <v>0</v>
          </cell>
        </row>
        <row r="1865">
          <cell r="A1865" t="str">
            <v>1000/1415       POLIWAP</v>
          </cell>
          <cell r="J1865">
            <v>0</v>
          </cell>
        </row>
        <row r="1866">
          <cell r="A1866" t="str">
            <v>1000/1415       POLIWAP</v>
          </cell>
          <cell r="J1866">
            <v>0</v>
          </cell>
        </row>
        <row r="1867">
          <cell r="A1867" t="str">
            <v>1000/1415       POLIWAP</v>
          </cell>
          <cell r="J1867">
            <v>0</v>
          </cell>
        </row>
        <row r="1868">
          <cell r="A1868" t="str">
            <v>1000/1415       POLIWAP</v>
          </cell>
          <cell r="J1868">
            <v>0</v>
          </cell>
        </row>
        <row r="1869">
          <cell r="A1869" t="str">
            <v>1000/1415       POLIWAP</v>
          </cell>
          <cell r="J1869">
            <v>0</v>
          </cell>
        </row>
        <row r="1870">
          <cell r="A1870" t="str">
            <v>1000/1415       POLIWAP</v>
          </cell>
          <cell r="J1870">
            <v>3558.2399999999898</v>
          </cell>
        </row>
        <row r="1871">
          <cell r="A1871" t="str">
            <v>1000/1415       POLIWAP</v>
          </cell>
          <cell r="J1871">
            <v>0</v>
          </cell>
        </row>
        <row r="1872">
          <cell r="A1872" t="str">
            <v>1000/1415       POLIWAP</v>
          </cell>
          <cell r="J1872">
            <v>924.96</v>
          </cell>
        </row>
        <row r="1873">
          <cell r="A1873" t="str">
            <v>1000/1415       POLIWAP</v>
          </cell>
          <cell r="J1873">
            <v>795</v>
          </cell>
        </row>
        <row r="1874">
          <cell r="A1874" t="str">
            <v>1000/1415       POLIWAP</v>
          </cell>
          <cell r="J1874">
            <v>0</v>
          </cell>
        </row>
        <row r="1875">
          <cell r="A1875" t="str">
            <v>1000/1415       POLIWAP</v>
          </cell>
          <cell r="J1875">
            <v>0</v>
          </cell>
        </row>
        <row r="1876">
          <cell r="A1876" t="str">
            <v>1000/1415       POLIWAP</v>
          </cell>
          <cell r="J1876">
            <v>1484.88</v>
          </cell>
        </row>
        <row r="1877">
          <cell r="A1877" t="str">
            <v>1000/1415       POLIWAP</v>
          </cell>
          <cell r="J1877">
            <v>3823.6799999999898</v>
          </cell>
        </row>
        <row r="1878">
          <cell r="A1878" t="str">
            <v>1000/1415       POLIWAP</v>
          </cell>
          <cell r="J1878">
            <v>0</v>
          </cell>
        </row>
        <row r="1879">
          <cell r="A1879" t="str">
            <v>1000/1415       POLIWAP</v>
          </cell>
          <cell r="J1879">
            <v>1815.8399999999899</v>
          </cell>
        </row>
        <row r="1880">
          <cell r="A1880" t="str">
            <v>1000/1415       POLIWAP</v>
          </cell>
          <cell r="J1880">
            <v>0</v>
          </cell>
        </row>
        <row r="1881">
          <cell r="A1881" t="str">
            <v>1000/1415       POLIWAP</v>
          </cell>
          <cell r="J1881">
            <v>1253.52</v>
          </cell>
        </row>
        <row r="1882">
          <cell r="A1882" t="str">
            <v>1000/1415       POLIWAP</v>
          </cell>
          <cell r="J1882">
            <v>1038.1199999999899</v>
          </cell>
        </row>
        <row r="1883">
          <cell r="A1883" t="str">
            <v>1000/1415       POLIWAP</v>
          </cell>
          <cell r="J1883">
            <v>2375.38</v>
          </cell>
        </row>
        <row r="1884">
          <cell r="A1884" t="str">
            <v>1000/1415       POLIWAP</v>
          </cell>
          <cell r="J1884">
            <v>0</v>
          </cell>
        </row>
        <row r="1885">
          <cell r="A1885" t="str">
            <v>1000/1415       POLIWAP</v>
          </cell>
          <cell r="J1885">
            <v>0</v>
          </cell>
        </row>
        <row r="1886">
          <cell r="A1886" t="str">
            <v>1000/1415       POLIWAP</v>
          </cell>
          <cell r="J1886">
            <v>1030.0799999999899</v>
          </cell>
        </row>
        <row r="1887">
          <cell r="A1887" t="str">
            <v>1000/1415       POLIWAP</v>
          </cell>
          <cell r="J1887">
            <v>0</v>
          </cell>
        </row>
        <row r="1888">
          <cell r="A1888" t="str">
            <v>1000/1415       POLIWAP</v>
          </cell>
          <cell r="J1888">
            <v>0</v>
          </cell>
        </row>
        <row r="1889">
          <cell r="A1889" t="str">
            <v>1000/1415       POLIWAP</v>
          </cell>
          <cell r="J1889">
            <v>0</v>
          </cell>
        </row>
        <row r="1890">
          <cell r="A1890" t="str">
            <v>1000/1415       POLIWAP</v>
          </cell>
          <cell r="J1890">
            <v>0</v>
          </cell>
        </row>
        <row r="1891">
          <cell r="A1891" t="str">
            <v>1000/1415       POLIWAP</v>
          </cell>
          <cell r="J1891">
            <v>0</v>
          </cell>
        </row>
        <row r="1892">
          <cell r="A1892" t="str">
            <v>1000/1415       POLIWAP</v>
          </cell>
          <cell r="J1892">
            <v>867.24</v>
          </cell>
        </row>
        <row r="1893">
          <cell r="A1893" t="str">
            <v>1000/1415       POLIWAP</v>
          </cell>
          <cell r="J1893">
            <v>0</v>
          </cell>
        </row>
        <row r="1894">
          <cell r="A1894" t="str">
            <v>1000/1415       POLIWAP</v>
          </cell>
          <cell r="J1894">
            <v>0</v>
          </cell>
        </row>
        <row r="1895">
          <cell r="A1895" t="str">
            <v>1000/1415       POLIWAP</v>
          </cell>
          <cell r="J1895">
            <v>0</v>
          </cell>
        </row>
        <row r="1896">
          <cell r="A1896" t="str">
            <v>1000/1415       POLIWAP</v>
          </cell>
          <cell r="J1896">
            <v>0</v>
          </cell>
        </row>
        <row r="1897">
          <cell r="A1897" t="str">
            <v>1000/1415       POLIWAP</v>
          </cell>
          <cell r="J1897">
            <v>984.7</v>
          </cell>
        </row>
        <row r="1898">
          <cell r="A1898" t="str">
            <v>1000/1415       POLIWAP</v>
          </cell>
          <cell r="J1898">
            <v>0</v>
          </cell>
        </row>
        <row r="1899">
          <cell r="A1899" t="str">
            <v>1000/1415       POLIWAP</v>
          </cell>
          <cell r="J1899">
            <v>3409.2399999999898</v>
          </cell>
        </row>
        <row r="1900">
          <cell r="A1900" t="str">
            <v>1000/1415       POLIWAP</v>
          </cell>
          <cell r="J1900">
            <v>0</v>
          </cell>
        </row>
        <row r="1901">
          <cell r="A1901" t="str">
            <v>1000/1415       POLIWAP</v>
          </cell>
          <cell r="J1901">
            <v>0</v>
          </cell>
        </row>
        <row r="1902">
          <cell r="A1902" t="str">
            <v>1000/1415       POLIWAP</v>
          </cell>
          <cell r="J1902">
            <v>0</v>
          </cell>
        </row>
        <row r="1903">
          <cell r="A1903" t="str">
            <v>1000/1415       POLIWAP</v>
          </cell>
          <cell r="J1903">
            <v>1345.53</v>
          </cell>
        </row>
        <row r="1904">
          <cell r="A1904" t="str">
            <v>1000/1415       POLIWAP</v>
          </cell>
          <cell r="J1904">
            <v>842.27999999999895</v>
          </cell>
        </row>
        <row r="1905">
          <cell r="A1905" t="str">
            <v>1000/1415       POLIWAP</v>
          </cell>
          <cell r="J1905">
            <v>0</v>
          </cell>
        </row>
        <row r="1906">
          <cell r="A1906" t="str">
            <v>1000/1415       POLIWAP</v>
          </cell>
          <cell r="J1906">
            <v>0</v>
          </cell>
        </row>
        <row r="1907">
          <cell r="A1907" t="str">
            <v>1000/1415       POLIWAP</v>
          </cell>
          <cell r="J1907">
            <v>1038.1199999999899</v>
          </cell>
        </row>
        <row r="1908">
          <cell r="A1908" t="str">
            <v>1000/1415       POLIWAP</v>
          </cell>
          <cell r="J1908">
            <v>3942.2399999999898</v>
          </cell>
        </row>
        <row r="1909">
          <cell r="A1909" t="str">
            <v>1000/1415       POLIWAP</v>
          </cell>
          <cell r="J1909">
            <v>0</v>
          </cell>
        </row>
        <row r="1910">
          <cell r="A1910" t="str">
            <v>1000/1415       POLIWAP</v>
          </cell>
          <cell r="J1910">
            <v>27171.1699999999</v>
          </cell>
        </row>
        <row r="1911">
          <cell r="A1911" t="str">
            <v>1000/1415       POLIWAP</v>
          </cell>
          <cell r="J1911">
            <v>0</v>
          </cell>
        </row>
        <row r="1912">
          <cell r="A1912" t="str">
            <v>1000/1415       POLIWAP</v>
          </cell>
          <cell r="J1912">
            <v>636.15999999999894</v>
          </cell>
        </row>
        <row r="1913">
          <cell r="A1913" t="str">
            <v>1000/1415       POLIWAP</v>
          </cell>
          <cell r="J1913">
            <v>0</v>
          </cell>
        </row>
        <row r="1914">
          <cell r="A1914" t="str">
            <v>1000/1415       POLIWAP</v>
          </cell>
          <cell r="J1914">
            <v>1542.72</v>
          </cell>
        </row>
        <row r="1915">
          <cell r="A1915" t="str">
            <v>1000/1415       POLIWAP</v>
          </cell>
          <cell r="J1915">
            <v>0</v>
          </cell>
        </row>
        <row r="1916">
          <cell r="A1916" t="str">
            <v>1000/1415       POLIWAP</v>
          </cell>
          <cell r="J1916">
            <v>0</v>
          </cell>
        </row>
        <row r="1917">
          <cell r="A1917" t="str">
            <v>1000/1415       POLIWAP</v>
          </cell>
          <cell r="J1917">
            <v>501.95999999999901</v>
          </cell>
        </row>
        <row r="1918">
          <cell r="A1918" t="str">
            <v>1000/1415       POLIWAP</v>
          </cell>
          <cell r="J1918">
            <v>2036.64</v>
          </cell>
        </row>
        <row r="1919">
          <cell r="A1919" t="str">
            <v>1000/1415       POLIWAP</v>
          </cell>
          <cell r="J1919">
            <v>1335.1199999999899</v>
          </cell>
        </row>
        <row r="1920">
          <cell r="A1920" t="str">
            <v>1000/1415       POLIWAP</v>
          </cell>
          <cell r="J1920">
            <v>0</v>
          </cell>
        </row>
        <row r="1921">
          <cell r="A1921" t="str">
            <v>1000/1415       POLIWAP</v>
          </cell>
          <cell r="J1921">
            <v>4684.21</v>
          </cell>
        </row>
        <row r="1922">
          <cell r="A1922" t="str">
            <v>1000/1415       POLIWAP</v>
          </cell>
          <cell r="J1922">
            <v>0</v>
          </cell>
        </row>
        <row r="1923">
          <cell r="A1923" t="str">
            <v>1000/1415       POLIWAP</v>
          </cell>
          <cell r="J1923">
            <v>0</v>
          </cell>
        </row>
        <row r="1924">
          <cell r="A1924" t="str">
            <v>1000/1415       POLIWAP</v>
          </cell>
          <cell r="J1924">
            <v>0</v>
          </cell>
        </row>
        <row r="1925">
          <cell r="A1925" t="str">
            <v>1000/1415       POLIWAP</v>
          </cell>
          <cell r="J1925">
            <v>0</v>
          </cell>
        </row>
        <row r="1926">
          <cell r="A1926" t="str">
            <v>1000/1415       POLIWAP</v>
          </cell>
          <cell r="J1926">
            <v>0</v>
          </cell>
        </row>
        <row r="1927">
          <cell r="A1927" t="str">
            <v>1000/1415       POLIWAP</v>
          </cell>
          <cell r="J1927">
            <v>1815.8399999999899</v>
          </cell>
        </row>
        <row r="1928">
          <cell r="A1928" t="str">
            <v>1000/1415       POLIWAP</v>
          </cell>
          <cell r="J1928">
            <v>0</v>
          </cell>
        </row>
        <row r="1929">
          <cell r="A1929" t="str">
            <v>1000/1415       POLIWAP</v>
          </cell>
          <cell r="J1929">
            <v>0</v>
          </cell>
        </row>
        <row r="1930">
          <cell r="A1930" t="str">
            <v>1000/1415       POLIWAP</v>
          </cell>
          <cell r="J1930">
            <v>6738.2399999999898</v>
          </cell>
        </row>
        <row r="1931">
          <cell r="A1931" t="str">
            <v>1000/1415       POLIWAP</v>
          </cell>
          <cell r="J1931">
            <v>2880</v>
          </cell>
        </row>
        <row r="1932">
          <cell r="A1932" t="str">
            <v>1000/1415       POLIWAP</v>
          </cell>
          <cell r="J1932">
            <v>2544.54</v>
          </cell>
        </row>
        <row r="1933">
          <cell r="A1933" t="str">
            <v>1000/1415       POLIWAP</v>
          </cell>
          <cell r="J1933">
            <v>780.48</v>
          </cell>
        </row>
        <row r="1934">
          <cell r="A1934" t="str">
            <v>1000/1415       POLIWAP</v>
          </cell>
          <cell r="J1934">
            <v>0</v>
          </cell>
        </row>
        <row r="1935">
          <cell r="A1935" t="str">
            <v>1000/1415       POLIWAP</v>
          </cell>
          <cell r="J1935">
            <v>0</v>
          </cell>
        </row>
        <row r="1936">
          <cell r="A1936" t="str">
            <v>1000/1415       POLIWAP</v>
          </cell>
          <cell r="J1936">
            <v>449.39999999999901</v>
          </cell>
        </row>
        <row r="1937">
          <cell r="A1937" t="str">
            <v>1000/1415       POLIWAP</v>
          </cell>
          <cell r="J1937">
            <v>0</v>
          </cell>
        </row>
        <row r="1938">
          <cell r="A1938" t="str">
            <v>1000/1415       POLIWAP</v>
          </cell>
          <cell r="J1938">
            <v>0</v>
          </cell>
        </row>
        <row r="1939">
          <cell r="A1939" t="str">
            <v>1000/1415       POLIWAP</v>
          </cell>
          <cell r="J1939">
            <v>0</v>
          </cell>
        </row>
        <row r="1940">
          <cell r="A1940" t="str">
            <v>1000/1415       POLIWAP</v>
          </cell>
          <cell r="J1940">
            <v>0</v>
          </cell>
        </row>
        <row r="1941">
          <cell r="A1941" t="str">
            <v>1000/1415       POLIWAP</v>
          </cell>
          <cell r="J1941">
            <v>0</v>
          </cell>
        </row>
        <row r="1942">
          <cell r="A1942" t="str">
            <v>1000/1415       POLIWAP</v>
          </cell>
          <cell r="J1942">
            <v>11755.17</v>
          </cell>
        </row>
        <row r="1943">
          <cell r="A1943" t="str">
            <v>1000/1415       POLIWAP</v>
          </cell>
          <cell r="J1943">
            <v>0</v>
          </cell>
        </row>
        <row r="1944">
          <cell r="A1944" t="str">
            <v>1000/1415       POLIWAP</v>
          </cell>
          <cell r="J1944">
            <v>0</v>
          </cell>
        </row>
        <row r="1945">
          <cell r="A1945" t="str">
            <v>1000/1415       POLIWAP</v>
          </cell>
          <cell r="J1945">
            <v>0</v>
          </cell>
        </row>
        <row r="1946">
          <cell r="A1946" t="str">
            <v>1000/1415       POLIWAP</v>
          </cell>
          <cell r="J1946">
            <v>541.32000000000005</v>
          </cell>
        </row>
        <row r="1947">
          <cell r="A1947" t="str">
            <v>1000/1415       POLIWAP</v>
          </cell>
          <cell r="J1947">
            <v>0</v>
          </cell>
        </row>
        <row r="1948">
          <cell r="A1948" t="str">
            <v>1000/1415       POLIWAP</v>
          </cell>
          <cell r="J1948">
            <v>0</v>
          </cell>
        </row>
        <row r="1949">
          <cell r="A1949" t="str">
            <v>1000/1415       POLIWAP</v>
          </cell>
          <cell r="J1949">
            <v>0</v>
          </cell>
        </row>
        <row r="1950">
          <cell r="A1950" t="str">
            <v>1000/1415       POLIWAP</v>
          </cell>
          <cell r="J1950">
            <v>1992.72</v>
          </cell>
        </row>
        <row r="1951">
          <cell r="A1951" t="str">
            <v>1000/1415       POLIWAP</v>
          </cell>
          <cell r="J1951">
            <v>0</v>
          </cell>
        </row>
        <row r="1952">
          <cell r="A1952" t="str">
            <v>1000/1415       POLIWAP</v>
          </cell>
          <cell r="J1952">
            <v>0</v>
          </cell>
        </row>
        <row r="1953">
          <cell r="A1953" t="str">
            <v>1000/1415       POLIWAP</v>
          </cell>
          <cell r="J1953">
            <v>0</v>
          </cell>
        </row>
        <row r="1954">
          <cell r="A1954" t="str">
            <v>1000/1415       POLIWAP</v>
          </cell>
          <cell r="J1954">
            <v>0</v>
          </cell>
        </row>
        <row r="1955">
          <cell r="A1955" t="str">
            <v>1000/1415       POLIWAP</v>
          </cell>
          <cell r="J1955">
            <v>0</v>
          </cell>
        </row>
        <row r="1956">
          <cell r="A1956" t="str">
            <v>1000/1415       POLIWAP</v>
          </cell>
          <cell r="J1956">
            <v>0</v>
          </cell>
        </row>
        <row r="1957">
          <cell r="A1957" t="str">
            <v>1000/1415       POLIWAP</v>
          </cell>
          <cell r="J1957">
            <v>0</v>
          </cell>
        </row>
        <row r="1958">
          <cell r="A1958" t="str">
            <v>1000/1415       POLIWAP</v>
          </cell>
          <cell r="J1958">
            <v>3594.96</v>
          </cell>
        </row>
        <row r="1959">
          <cell r="A1959" t="str">
            <v>1000/1415       POLIWAP</v>
          </cell>
          <cell r="J1959">
            <v>0</v>
          </cell>
        </row>
        <row r="1960">
          <cell r="A1960" t="str">
            <v>1000/1415       POLIWAP</v>
          </cell>
          <cell r="J1960">
            <v>1484.88</v>
          </cell>
        </row>
        <row r="1961">
          <cell r="A1961" t="str">
            <v>1000/1415       POLIWAP</v>
          </cell>
          <cell r="J1961">
            <v>0</v>
          </cell>
        </row>
        <row r="1962">
          <cell r="A1962" t="str">
            <v>1000/1415       POLIWAP</v>
          </cell>
          <cell r="J1962">
            <v>0</v>
          </cell>
        </row>
        <row r="1963">
          <cell r="A1963" t="str">
            <v>1000/1415       POLIWAP</v>
          </cell>
          <cell r="J1963">
            <v>0</v>
          </cell>
        </row>
        <row r="1964">
          <cell r="A1964" t="str">
            <v>1000/1415       POLIWAP</v>
          </cell>
          <cell r="J1964">
            <v>0</v>
          </cell>
        </row>
        <row r="1965">
          <cell r="A1965" t="str">
            <v>1000/1415       POLIWAP</v>
          </cell>
          <cell r="J1965">
            <v>0</v>
          </cell>
        </row>
        <row r="1966">
          <cell r="A1966" t="str">
            <v>1000/1415       POLIWAP</v>
          </cell>
          <cell r="J1966">
            <v>0</v>
          </cell>
        </row>
        <row r="1967">
          <cell r="A1967" t="str">
            <v>1000/1415       POLIWAP</v>
          </cell>
          <cell r="J1967">
            <v>0</v>
          </cell>
        </row>
        <row r="1968">
          <cell r="A1968" t="str">
            <v>1000/1415       POLIWAP</v>
          </cell>
          <cell r="J1968">
            <v>0</v>
          </cell>
        </row>
        <row r="1969">
          <cell r="A1969" t="str">
            <v>1000/1415       POLIWAP</v>
          </cell>
          <cell r="J1969">
            <v>7056.5799999999899</v>
          </cell>
        </row>
        <row r="1970">
          <cell r="A1970" t="str">
            <v>1000/1415       POLIWAP</v>
          </cell>
          <cell r="J1970">
            <v>2255.7600000000002</v>
          </cell>
        </row>
        <row r="1971">
          <cell r="A1971" t="str">
            <v>1000/1415       POLIWAP</v>
          </cell>
          <cell r="J1971">
            <v>0</v>
          </cell>
        </row>
        <row r="1972">
          <cell r="A1972" t="str">
            <v>1000/1415       POLIWAP</v>
          </cell>
          <cell r="J1972">
            <v>0</v>
          </cell>
        </row>
        <row r="1973">
          <cell r="A1973" t="str">
            <v>1000/1415       POLIWAP</v>
          </cell>
          <cell r="J1973">
            <v>0</v>
          </cell>
        </row>
        <row r="1974">
          <cell r="A1974" t="str">
            <v>1000/1415       POLIWAP</v>
          </cell>
          <cell r="J1974">
            <v>1733.16</v>
          </cell>
        </row>
        <row r="1975">
          <cell r="A1975" t="str">
            <v>1000/1415       POLIWAP</v>
          </cell>
          <cell r="J1975">
            <v>0</v>
          </cell>
        </row>
        <row r="1976">
          <cell r="A1976" t="str">
            <v>1000/1415       POLIWAP</v>
          </cell>
          <cell r="J1976">
            <v>0</v>
          </cell>
        </row>
        <row r="1977">
          <cell r="A1977" t="str">
            <v>1000/1415       POLIWAP</v>
          </cell>
          <cell r="J1977">
            <v>0</v>
          </cell>
        </row>
        <row r="1978">
          <cell r="A1978" t="str">
            <v>1000/1415       POLIWAP</v>
          </cell>
          <cell r="J1978">
            <v>1517.0799999999899</v>
          </cell>
        </row>
        <row r="1979">
          <cell r="A1979" t="str">
            <v>1000/1415       POLIWAP</v>
          </cell>
          <cell r="J1979">
            <v>1805.52</v>
          </cell>
        </row>
        <row r="1980">
          <cell r="A1980" t="str">
            <v>1000/1415       POLIWAP</v>
          </cell>
          <cell r="J1980">
            <v>0</v>
          </cell>
        </row>
        <row r="1981">
          <cell r="A1981" t="str">
            <v>1000/1415       POLIWAP</v>
          </cell>
          <cell r="J1981">
            <v>1684.5599999999899</v>
          </cell>
        </row>
        <row r="1982">
          <cell r="A1982" t="str">
            <v>1000/1415       POLIWAP</v>
          </cell>
          <cell r="J1982">
            <v>0</v>
          </cell>
        </row>
        <row r="1983">
          <cell r="A1983" t="str">
            <v>1000/1415       POLIWAP</v>
          </cell>
          <cell r="J1983">
            <v>0</v>
          </cell>
        </row>
        <row r="1984">
          <cell r="A1984" t="str">
            <v>1000/1415       POLIWAP</v>
          </cell>
          <cell r="J1984">
            <v>0</v>
          </cell>
        </row>
        <row r="1985">
          <cell r="A1985" t="str">
            <v>1000/1415       POLIWAP</v>
          </cell>
          <cell r="J1985">
            <v>0</v>
          </cell>
        </row>
        <row r="1986">
          <cell r="A1986" t="str">
            <v>1000/1415       POLIWAP</v>
          </cell>
          <cell r="J1986">
            <v>0</v>
          </cell>
        </row>
        <row r="1987">
          <cell r="A1987" t="str">
            <v>1000/1415       POLIWAP</v>
          </cell>
          <cell r="J1987">
            <v>2033.76</v>
          </cell>
        </row>
        <row r="1988">
          <cell r="A1988" t="str">
            <v>1000/1415       POLIWAP</v>
          </cell>
          <cell r="J1988">
            <v>0</v>
          </cell>
        </row>
        <row r="1989">
          <cell r="A1989" t="str">
            <v>1000/1415       POLIWAP</v>
          </cell>
          <cell r="J1989">
            <v>6738.2399999999898</v>
          </cell>
        </row>
        <row r="1990">
          <cell r="A1990" t="str">
            <v>1000/1415       POLIWAP</v>
          </cell>
          <cell r="J1990">
            <v>977.51999999999896</v>
          </cell>
        </row>
        <row r="1991">
          <cell r="A1991" t="str">
            <v>1000/1415       POLIWAP</v>
          </cell>
          <cell r="J1991">
            <v>0</v>
          </cell>
        </row>
        <row r="1992">
          <cell r="A1992" t="str">
            <v>1000/1415       POLIWAP</v>
          </cell>
          <cell r="J1992">
            <v>0</v>
          </cell>
        </row>
        <row r="1993">
          <cell r="A1993" t="str">
            <v>1000/1415       POLIWAP</v>
          </cell>
          <cell r="J1993">
            <v>0</v>
          </cell>
        </row>
        <row r="1994">
          <cell r="A1994" t="str">
            <v>1000/1415       POLIWAP</v>
          </cell>
          <cell r="J1994">
            <v>5395.4399999999896</v>
          </cell>
        </row>
        <row r="1995">
          <cell r="A1995" t="str">
            <v>1000/1415       POLIWAP</v>
          </cell>
          <cell r="J1995">
            <v>0</v>
          </cell>
        </row>
        <row r="1996">
          <cell r="A1996" t="str">
            <v>1000/1415       POLIWAP</v>
          </cell>
          <cell r="J1996">
            <v>0</v>
          </cell>
        </row>
        <row r="1997">
          <cell r="A1997" t="str">
            <v>1000/1415       POLIWAP</v>
          </cell>
          <cell r="J1997">
            <v>1542.24</v>
          </cell>
        </row>
        <row r="1998">
          <cell r="A1998" t="str">
            <v>1000/1415       POLIWAP</v>
          </cell>
          <cell r="J1998">
            <v>1992.72</v>
          </cell>
        </row>
        <row r="1999">
          <cell r="A1999" t="str">
            <v>1000/1415       POLIWAP</v>
          </cell>
          <cell r="J1999">
            <v>0</v>
          </cell>
        </row>
        <row r="2000">
          <cell r="A2000" t="str">
            <v>1000/1415       POLIWAP</v>
          </cell>
          <cell r="J2000">
            <v>0</v>
          </cell>
        </row>
        <row r="2001">
          <cell r="A2001" t="str">
            <v>1000/1415       POLIWAP</v>
          </cell>
          <cell r="J2001">
            <v>2207.7600000000002</v>
          </cell>
        </row>
        <row r="2002">
          <cell r="A2002" t="str">
            <v>1000/1415       POLIWAP</v>
          </cell>
          <cell r="J2002">
            <v>0</v>
          </cell>
        </row>
        <row r="2003">
          <cell r="A2003" t="str">
            <v>1000/1415       POLIWAP</v>
          </cell>
          <cell r="J2003">
            <v>0</v>
          </cell>
        </row>
        <row r="2004">
          <cell r="A2004" t="str">
            <v>1000/1415       POLIWAP</v>
          </cell>
          <cell r="J2004">
            <v>2671.1999999999898</v>
          </cell>
        </row>
        <row r="2005">
          <cell r="A2005" t="str">
            <v>1000/1415       POLIWAP</v>
          </cell>
          <cell r="J2005">
            <v>0</v>
          </cell>
        </row>
        <row r="2006">
          <cell r="A2006" t="str">
            <v>1000/1415       POLIWAP</v>
          </cell>
          <cell r="J2006">
            <v>0</v>
          </cell>
        </row>
        <row r="2007">
          <cell r="A2007" t="str">
            <v>1000/1415       POLIWAP</v>
          </cell>
          <cell r="J2007">
            <v>2119.1999999999898</v>
          </cell>
        </row>
        <row r="2008">
          <cell r="A2008" t="str">
            <v>1000/1415       POLIWAP</v>
          </cell>
          <cell r="J2008">
            <v>0</v>
          </cell>
        </row>
        <row r="2009">
          <cell r="A2009" t="str">
            <v>1000/1415       POLIWAP</v>
          </cell>
          <cell r="J2009">
            <v>0</v>
          </cell>
        </row>
        <row r="2010">
          <cell r="A2010" t="str">
            <v>1000/1415       POLIWAP</v>
          </cell>
          <cell r="J2010">
            <v>0</v>
          </cell>
        </row>
        <row r="2011">
          <cell r="A2011" t="str">
            <v>1000/1415       POLIWAP</v>
          </cell>
          <cell r="J2011">
            <v>0</v>
          </cell>
        </row>
        <row r="2012">
          <cell r="A2012" t="str">
            <v>1000/1415       POLIWAP</v>
          </cell>
          <cell r="J2012">
            <v>996.36</v>
          </cell>
        </row>
        <row r="2013">
          <cell r="A2013" t="str">
            <v>1000/1415       POLIWAP</v>
          </cell>
          <cell r="J2013">
            <v>0</v>
          </cell>
        </row>
        <row r="2014">
          <cell r="A2014" t="str">
            <v>1000/1415       POLIWAP</v>
          </cell>
          <cell r="J2014">
            <v>0</v>
          </cell>
        </row>
        <row r="2015">
          <cell r="A2015" t="str">
            <v>1000/1415       POLIWAP</v>
          </cell>
          <cell r="J2015">
            <v>1992.72</v>
          </cell>
        </row>
        <row r="2016">
          <cell r="A2016" t="str">
            <v>1000/1415       POLIWAP</v>
          </cell>
          <cell r="J2016">
            <v>2207.7600000000002</v>
          </cell>
        </row>
        <row r="2017">
          <cell r="A2017" t="str">
            <v>1000/1415       POLIWAP</v>
          </cell>
          <cell r="J2017">
            <v>61396.949999999903</v>
          </cell>
        </row>
        <row r="2018">
          <cell r="A2018" t="str">
            <v>1000/1415       POLIWAP</v>
          </cell>
          <cell r="J2018">
            <v>0</v>
          </cell>
        </row>
        <row r="2019">
          <cell r="A2019" t="str">
            <v>1000/1415       POLIWAP</v>
          </cell>
          <cell r="J2019">
            <v>0</v>
          </cell>
        </row>
        <row r="2020">
          <cell r="A2020" t="str">
            <v>1000/1415       POLIWAP</v>
          </cell>
          <cell r="J2020">
            <v>0</v>
          </cell>
        </row>
        <row r="2021">
          <cell r="A2021" t="str">
            <v>1000/1415       POLIWAP</v>
          </cell>
          <cell r="J2021">
            <v>943.32</v>
          </cell>
        </row>
        <row r="2022">
          <cell r="A2022" t="str">
            <v>1000/1415       POLIWAP</v>
          </cell>
          <cell r="J2022">
            <v>0</v>
          </cell>
        </row>
        <row r="2023">
          <cell r="A2023" t="str">
            <v>1000/1415       POLIWAP</v>
          </cell>
          <cell r="J2023">
            <v>0</v>
          </cell>
        </row>
        <row r="2024">
          <cell r="A2024" t="str">
            <v>1000/1415       POLIWAP</v>
          </cell>
          <cell r="J2024">
            <v>0</v>
          </cell>
        </row>
        <row r="2025">
          <cell r="A2025" t="str">
            <v>1000/1415       POLIWAP</v>
          </cell>
          <cell r="J2025">
            <v>3953.04</v>
          </cell>
        </row>
        <row r="2026">
          <cell r="A2026" t="str">
            <v>1000/1415       POLIWAP</v>
          </cell>
          <cell r="J2026">
            <v>0</v>
          </cell>
        </row>
        <row r="2027">
          <cell r="A2027" t="str">
            <v>1000/1415       POLIWAP</v>
          </cell>
          <cell r="J2027">
            <v>0</v>
          </cell>
        </row>
        <row r="2028">
          <cell r="A2028" t="str">
            <v>1000/1415       POLIWAP</v>
          </cell>
          <cell r="J2028">
            <v>0</v>
          </cell>
        </row>
        <row r="2029">
          <cell r="A2029" t="str">
            <v>1000/1415       POLIWAP</v>
          </cell>
          <cell r="J2029">
            <v>0</v>
          </cell>
        </row>
        <row r="2030">
          <cell r="A2030" t="str">
            <v>1000/1415       POLIWAP</v>
          </cell>
          <cell r="J2030">
            <v>0</v>
          </cell>
        </row>
        <row r="2031">
          <cell r="A2031" t="str">
            <v>1000/1415       POLIWAP</v>
          </cell>
          <cell r="J2031">
            <v>9258</v>
          </cell>
        </row>
        <row r="2032">
          <cell r="A2032" t="str">
            <v>1000/1415       POLIWAP</v>
          </cell>
          <cell r="J2032">
            <v>0</v>
          </cell>
        </row>
        <row r="2033">
          <cell r="A2033" t="str">
            <v>1000/1415       POLIWAP</v>
          </cell>
          <cell r="J2033">
            <v>0</v>
          </cell>
        </row>
        <row r="2034">
          <cell r="A2034" t="str">
            <v>1000/1415       POLIWAP</v>
          </cell>
          <cell r="J2034">
            <v>0</v>
          </cell>
        </row>
        <row r="2035">
          <cell r="A2035" t="str">
            <v>1000/1415       POLIWAP</v>
          </cell>
          <cell r="J2035">
            <v>0</v>
          </cell>
        </row>
        <row r="2036">
          <cell r="A2036" t="str">
            <v>1000/1415       POLIWAP</v>
          </cell>
          <cell r="J2036">
            <v>0</v>
          </cell>
        </row>
        <row r="2037">
          <cell r="A2037" t="str">
            <v>1000/1415       POLIWAP</v>
          </cell>
          <cell r="J2037">
            <v>0</v>
          </cell>
        </row>
        <row r="2038">
          <cell r="A2038" t="str">
            <v>1000/1415       POLIWAP</v>
          </cell>
          <cell r="J2038">
            <v>0</v>
          </cell>
        </row>
        <row r="2039">
          <cell r="A2039" t="str">
            <v>1000/1415       POLIWAP</v>
          </cell>
          <cell r="J2039">
            <v>0</v>
          </cell>
        </row>
        <row r="2040">
          <cell r="A2040" t="str">
            <v>1000/1415       POLIWAP</v>
          </cell>
          <cell r="J2040">
            <v>0</v>
          </cell>
        </row>
        <row r="2041">
          <cell r="A2041" t="str">
            <v>1000/1415       POLIWAP</v>
          </cell>
          <cell r="J2041">
            <v>2207.7600000000002</v>
          </cell>
        </row>
        <row r="2042">
          <cell r="A2042" t="str">
            <v>1000/1415       POLIWAP</v>
          </cell>
          <cell r="J2042">
            <v>0</v>
          </cell>
        </row>
        <row r="2043">
          <cell r="A2043" t="str">
            <v>1000/1415       POLIWAP</v>
          </cell>
          <cell r="J2043">
            <v>3240.0599999999899</v>
          </cell>
        </row>
        <row r="2044">
          <cell r="A2044" t="str">
            <v>1000/1415       POLIWAP</v>
          </cell>
          <cell r="J2044">
            <v>0</v>
          </cell>
        </row>
        <row r="2045">
          <cell r="A2045" t="str">
            <v>1000/1415       POLIWAP</v>
          </cell>
          <cell r="J2045">
            <v>0</v>
          </cell>
        </row>
        <row r="2046">
          <cell r="A2046" t="str">
            <v>1000/1415       POLIWAP</v>
          </cell>
          <cell r="J2046">
            <v>1992.72</v>
          </cell>
        </row>
        <row r="2047">
          <cell r="A2047" t="str">
            <v>1000/1415       POLIWAP</v>
          </cell>
          <cell r="J2047">
            <v>0</v>
          </cell>
        </row>
        <row r="2048">
          <cell r="A2048" t="str">
            <v>1000/1415       POLIWAP</v>
          </cell>
          <cell r="J2048">
            <v>6310.8</v>
          </cell>
        </row>
        <row r="2049">
          <cell r="A2049" t="str">
            <v>1000/1415       POLIWAP</v>
          </cell>
          <cell r="J2049">
            <v>0</v>
          </cell>
        </row>
        <row r="2050">
          <cell r="A2050" t="str">
            <v>1000/1415       POLIWAP</v>
          </cell>
          <cell r="J2050">
            <v>0</v>
          </cell>
        </row>
        <row r="2051">
          <cell r="A2051" t="str">
            <v>1000/1415       POLIWAP</v>
          </cell>
          <cell r="J2051">
            <v>1456.8</v>
          </cell>
        </row>
        <row r="2052">
          <cell r="A2052" t="str">
            <v>1000/1415       POLIWAP</v>
          </cell>
          <cell r="J2052">
            <v>4197.1199999999899</v>
          </cell>
        </row>
        <row r="2053">
          <cell r="A2053" t="str">
            <v>1000/1415       POLIWAP</v>
          </cell>
          <cell r="J2053">
            <v>0</v>
          </cell>
        </row>
        <row r="2054">
          <cell r="A2054" t="str">
            <v>1000/1415       POLIWAP</v>
          </cell>
          <cell r="J2054">
            <v>0</v>
          </cell>
        </row>
        <row r="2055">
          <cell r="A2055" t="str">
            <v>1000/1415       POLIWAP</v>
          </cell>
          <cell r="J2055">
            <v>0</v>
          </cell>
        </row>
        <row r="2056">
          <cell r="A2056" t="str">
            <v>1000/1415       POLIWAP</v>
          </cell>
          <cell r="J2056">
            <v>0</v>
          </cell>
        </row>
        <row r="2057">
          <cell r="A2057" t="str">
            <v>1000/1415       POLIWAP</v>
          </cell>
          <cell r="J2057">
            <v>5229.9099999999899</v>
          </cell>
        </row>
        <row r="2058">
          <cell r="A2058" t="str">
            <v>1000/1415       POLIWAP</v>
          </cell>
          <cell r="J2058">
            <v>0</v>
          </cell>
        </row>
        <row r="2059">
          <cell r="A2059" t="str">
            <v>1000/1415       POLIWAP</v>
          </cell>
          <cell r="J2059">
            <v>1261.4000000000001</v>
          </cell>
        </row>
        <row r="2060">
          <cell r="A2060" t="str">
            <v>1000/1415       POLIWAP</v>
          </cell>
          <cell r="J2060">
            <v>0</v>
          </cell>
        </row>
        <row r="2061">
          <cell r="A2061" t="str">
            <v>1000/1415       POLIWAP</v>
          </cell>
          <cell r="J2061">
            <v>0</v>
          </cell>
        </row>
        <row r="2062">
          <cell r="A2062" t="str">
            <v>1000/1415       POLIWAP</v>
          </cell>
          <cell r="J2062">
            <v>0</v>
          </cell>
        </row>
        <row r="2063">
          <cell r="A2063" t="str">
            <v>1000/1415       POLIWAP</v>
          </cell>
          <cell r="J2063">
            <v>0</v>
          </cell>
        </row>
        <row r="2064">
          <cell r="A2064" t="str">
            <v>1000/1415       POLIWAP</v>
          </cell>
          <cell r="J2064">
            <v>2033.76</v>
          </cell>
        </row>
        <row r="2065">
          <cell r="A2065" t="str">
            <v>1000/1415       POLIWAP</v>
          </cell>
          <cell r="J2065">
            <v>0</v>
          </cell>
        </row>
        <row r="2066">
          <cell r="A2066" t="str">
            <v>1000/1417       PMG 38-4</v>
          </cell>
          <cell r="J2066">
            <v>0</v>
          </cell>
        </row>
        <row r="2067">
          <cell r="A2067" t="str">
            <v>1000/1420       NP 18-46 POLIDAP</v>
          </cell>
          <cell r="J2067">
            <v>0</v>
          </cell>
        </row>
        <row r="2068">
          <cell r="A2068" t="str">
            <v>1000/1420       NP 18-46 POLIDAP</v>
          </cell>
          <cell r="J2068">
            <v>0</v>
          </cell>
        </row>
        <row r="2069">
          <cell r="A2069" t="str">
            <v>1000/1420       NP 18-46 POLIDAP</v>
          </cell>
          <cell r="J2069">
            <v>1542.72</v>
          </cell>
        </row>
        <row r="2070">
          <cell r="A2070" t="str">
            <v>1000/1420       NP 18-46 POLIDAP</v>
          </cell>
          <cell r="J2070">
            <v>0</v>
          </cell>
        </row>
        <row r="2071">
          <cell r="A2071" t="str">
            <v>1000/1420       NP 18-46 POLIDAP</v>
          </cell>
          <cell r="J2071">
            <v>18758.16</v>
          </cell>
        </row>
        <row r="2072">
          <cell r="A2072" t="str">
            <v>1000/1420       NP 18-46 POLIDAP</v>
          </cell>
          <cell r="J2072">
            <v>2176.96</v>
          </cell>
        </row>
        <row r="2073">
          <cell r="A2073" t="str">
            <v>1000/1420       NP 18-46 POLIDAP</v>
          </cell>
          <cell r="J2073">
            <v>2438.88</v>
          </cell>
        </row>
        <row r="2074">
          <cell r="A2074" t="str">
            <v>1000/1420       NP 18-46 POLIDAP</v>
          </cell>
          <cell r="J2074">
            <v>0</v>
          </cell>
        </row>
        <row r="2075">
          <cell r="A2075" t="str">
            <v>1000/1420       NP 18-46 POLIDAP</v>
          </cell>
          <cell r="J2075">
            <v>2714.88</v>
          </cell>
        </row>
        <row r="2076">
          <cell r="A2076" t="str">
            <v>1000/1420       NP 18-46 POLIDAP</v>
          </cell>
          <cell r="J2076">
            <v>0</v>
          </cell>
        </row>
        <row r="2077">
          <cell r="A2077" t="str">
            <v>1000/1420       NP 18-46 POLIDAP</v>
          </cell>
          <cell r="J2077">
            <v>1030.0799999999899</v>
          </cell>
        </row>
        <row r="2078">
          <cell r="A2078" t="str">
            <v>1000/1420       NP 18-46 POLIDAP</v>
          </cell>
          <cell r="J2078">
            <v>0</v>
          </cell>
        </row>
        <row r="2079">
          <cell r="A2079" t="str">
            <v>1000/1420       NP 18-46 POLIDAP</v>
          </cell>
          <cell r="J2079">
            <v>49399.98</v>
          </cell>
        </row>
        <row r="2080">
          <cell r="A2080" t="str">
            <v>1000/1420       NP 18-46 POLIDAP</v>
          </cell>
          <cell r="J2080">
            <v>0</v>
          </cell>
        </row>
        <row r="2081">
          <cell r="A2081" t="str">
            <v>1000/1420       NP 18-46 POLIDAP</v>
          </cell>
          <cell r="J2081">
            <v>5676.4799999999896</v>
          </cell>
        </row>
        <row r="2082">
          <cell r="A2082" t="str">
            <v>1000/1420       NP 18-46 POLIDAP</v>
          </cell>
          <cell r="J2082">
            <v>4257.3599999999897</v>
          </cell>
        </row>
        <row r="2083">
          <cell r="A2083" t="str">
            <v>1000/1420       NP 18-46 POLIDAP</v>
          </cell>
          <cell r="J2083">
            <v>0</v>
          </cell>
        </row>
        <row r="2084">
          <cell r="A2084" t="str">
            <v>1000/1420       NP 18-46 POLIDAP</v>
          </cell>
          <cell r="J2084">
            <v>12499.799999999899</v>
          </cell>
        </row>
        <row r="2085">
          <cell r="A2085" t="str">
            <v>1000/1420       NP 18-46 POLIDAP</v>
          </cell>
          <cell r="J2085">
            <v>0</v>
          </cell>
        </row>
        <row r="2086">
          <cell r="A2086" t="str">
            <v>1000/1420       NP 18-46 POLIDAP</v>
          </cell>
          <cell r="J2086">
            <v>0</v>
          </cell>
        </row>
        <row r="2087">
          <cell r="A2087" t="str">
            <v>1000/1420       NP 18-46 POLIDAP</v>
          </cell>
          <cell r="J2087">
            <v>0</v>
          </cell>
        </row>
        <row r="2088">
          <cell r="A2088" t="str">
            <v>1000/1420       NP 18-46 POLIDAP</v>
          </cell>
          <cell r="J2088">
            <v>47166.66</v>
          </cell>
        </row>
        <row r="2089">
          <cell r="A2089" t="str">
            <v>1000/1420       NP 18-46 POLIDAP</v>
          </cell>
          <cell r="J2089">
            <v>0</v>
          </cell>
        </row>
        <row r="2090">
          <cell r="A2090" t="str">
            <v>1000/1420       NP 18-46 POLIDAP</v>
          </cell>
          <cell r="J2090">
            <v>7327.5</v>
          </cell>
        </row>
        <row r="2091">
          <cell r="A2091" t="str">
            <v>1000/1420       NP 18-46 POLIDAP</v>
          </cell>
          <cell r="J2091">
            <v>0</v>
          </cell>
        </row>
        <row r="2092">
          <cell r="A2092" t="str">
            <v>1000/1420       NP 18-46 POLIDAP</v>
          </cell>
          <cell r="J2092">
            <v>0</v>
          </cell>
        </row>
        <row r="2093">
          <cell r="A2093" t="str">
            <v>1000/1420       NP 18-46 POLIDAP</v>
          </cell>
          <cell r="J2093">
            <v>18641.52</v>
          </cell>
        </row>
        <row r="2094">
          <cell r="A2094" t="str">
            <v>1000/1420       NP 18-46 POLIDAP</v>
          </cell>
          <cell r="J2094">
            <v>0</v>
          </cell>
        </row>
        <row r="2095">
          <cell r="A2095" t="str">
            <v>1000/1420       NP 18-46 POLIDAP</v>
          </cell>
          <cell r="J2095">
            <v>1151.6600000000001</v>
          </cell>
        </row>
        <row r="2096">
          <cell r="A2096" t="str">
            <v>1000/1420       NP 18-46 POLIDAP</v>
          </cell>
          <cell r="J2096">
            <v>0</v>
          </cell>
        </row>
        <row r="2097">
          <cell r="A2097" t="str">
            <v>1000/1420       NP 18-46 POLIDAP</v>
          </cell>
          <cell r="J2097">
            <v>2838.2399999999898</v>
          </cell>
        </row>
        <row r="2098">
          <cell r="A2098" t="str">
            <v>1000/1420       NP 18-46 POLIDAP</v>
          </cell>
          <cell r="J2098">
            <v>0</v>
          </cell>
        </row>
        <row r="2099">
          <cell r="A2099" t="str">
            <v>1000/1420       NP 18-46 POLIDAP</v>
          </cell>
          <cell r="J2099">
            <v>8270.43</v>
          </cell>
        </row>
        <row r="2100">
          <cell r="A2100" t="str">
            <v>1000/1420       NP 18-46 POLIDAP</v>
          </cell>
          <cell r="J2100">
            <v>0</v>
          </cell>
        </row>
        <row r="2101">
          <cell r="A2101" t="str">
            <v>1000/1420       NP 18-46 POLIDAP</v>
          </cell>
          <cell r="J2101">
            <v>0</v>
          </cell>
        </row>
        <row r="2102">
          <cell r="A2102" t="str">
            <v>1000/1420       NP 18-46 POLIDAP</v>
          </cell>
          <cell r="J2102">
            <v>0</v>
          </cell>
        </row>
        <row r="2103">
          <cell r="A2103" t="str">
            <v>1000/1420       NP 18-46 POLIDAP</v>
          </cell>
          <cell r="J2103">
            <v>924.96</v>
          </cell>
        </row>
        <row r="2104">
          <cell r="A2104" t="str">
            <v>1000/1420       NP 18-46 POLIDAP</v>
          </cell>
          <cell r="J2104">
            <v>2076.2399999999898</v>
          </cell>
        </row>
        <row r="2105">
          <cell r="A2105" t="str">
            <v>1000/1420       NP 18-46 POLIDAP</v>
          </cell>
          <cell r="J2105">
            <v>0</v>
          </cell>
        </row>
        <row r="2106">
          <cell r="A2106" t="str">
            <v>1000/1420       NP 18-46 POLIDAP</v>
          </cell>
          <cell r="J2106">
            <v>59918.519999999902</v>
          </cell>
        </row>
        <row r="2107">
          <cell r="A2107" t="str">
            <v>1000/1420       NP 18-46 POLIDAP</v>
          </cell>
          <cell r="J2107">
            <v>0</v>
          </cell>
        </row>
        <row r="2108">
          <cell r="A2108" t="str">
            <v>1000/1420       NP 18-46 POLIDAP</v>
          </cell>
          <cell r="J2108">
            <v>0</v>
          </cell>
        </row>
        <row r="2109">
          <cell r="A2109" t="str">
            <v>1000/1420       NP 18-46 POLIDAP</v>
          </cell>
          <cell r="J2109">
            <v>12342.78</v>
          </cell>
        </row>
        <row r="2110">
          <cell r="A2110" t="str">
            <v>1000/1420       NP 18-46 POLIDAP</v>
          </cell>
          <cell r="J2110">
            <v>19689.36</v>
          </cell>
        </row>
        <row r="2111">
          <cell r="A2111" t="str">
            <v>1000/1420       NP 18-46 POLIDAP</v>
          </cell>
          <cell r="J2111">
            <v>4152.4799999999896</v>
          </cell>
        </row>
        <row r="2112">
          <cell r="A2112" t="str">
            <v>1000/1420       NP 18-46 POLIDAP</v>
          </cell>
          <cell r="J2112">
            <v>3009.2399999999898</v>
          </cell>
        </row>
        <row r="2113">
          <cell r="A2113" t="str">
            <v>1000/1420       NP 18-46 POLIDAP</v>
          </cell>
          <cell r="J2113">
            <v>0</v>
          </cell>
        </row>
        <row r="2114">
          <cell r="A2114" t="str">
            <v>1000/1420       NP 18-46 POLIDAP</v>
          </cell>
          <cell r="J2114">
            <v>0</v>
          </cell>
        </row>
        <row r="2115">
          <cell r="A2115" t="str">
            <v>1000/1420       NP 18-46 POLIDAP</v>
          </cell>
          <cell r="J2115">
            <v>11182.84</v>
          </cell>
        </row>
        <row r="2116">
          <cell r="A2116" t="str">
            <v>1000/1420       NP 18-46 POLIDAP</v>
          </cell>
          <cell r="J2116">
            <v>0</v>
          </cell>
        </row>
        <row r="2117">
          <cell r="A2117" t="str">
            <v>1000/1420       NP 18-46 POLIDAP</v>
          </cell>
          <cell r="J2117">
            <v>5872.9799999999896</v>
          </cell>
        </row>
        <row r="2118">
          <cell r="A2118" t="str">
            <v>1000/1420       NP 18-46 POLIDAP</v>
          </cell>
          <cell r="J2118">
            <v>0</v>
          </cell>
        </row>
        <row r="2119">
          <cell r="A2119" t="str">
            <v>1000/1420       NP 18-46 POLIDAP</v>
          </cell>
          <cell r="J2119">
            <v>0</v>
          </cell>
        </row>
        <row r="2120">
          <cell r="A2120" t="str">
            <v>1000/1420       NP 18-46 POLIDAP</v>
          </cell>
          <cell r="J2120">
            <v>7769.1999999999898</v>
          </cell>
        </row>
        <row r="2121">
          <cell r="A2121" t="str">
            <v>1000/1420       NP 18-46 POLIDAP</v>
          </cell>
          <cell r="J2121">
            <v>0</v>
          </cell>
        </row>
        <row r="2122">
          <cell r="A2122" t="str">
            <v>1000/1420       NP 18-46 POLIDAP</v>
          </cell>
          <cell r="J2122">
            <v>0</v>
          </cell>
        </row>
        <row r="2123">
          <cell r="A2123" t="str">
            <v>1000/1420       NP 18-46 POLIDAP</v>
          </cell>
          <cell r="J2123">
            <v>2275.6199999999899</v>
          </cell>
        </row>
        <row r="2124">
          <cell r="A2124" t="str">
            <v>1000/1420       NP 18-46 POLIDAP</v>
          </cell>
          <cell r="J2124">
            <v>2228.6399999999899</v>
          </cell>
        </row>
        <row r="2125">
          <cell r="A2125" t="str">
            <v>1000/1420       NP 18-46 POLIDAP</v>
          </cell>
          <cell r="J2125">
            <v>0</v>
          </cell>
        </row>
        <row r="2126">
          <cell r="A2126" t="str">
            <v>1000/1420       NP 18-46 POLIDAP</v>
          </cell>
          <cell r="J2126">
            <v>2023.44</v>
          </cell>
        </row>
        <row r="2127">
          <cell r="A2127" t="str">
            <v>1000/1420       NP 18-46 POLIDAP</v>
          </cell>
          <cell r="J2127">
            <v>10276.08</v>
          </cell>
        </row>
        <row r="2128">
          <cell r="A2128" t="str">
            <v>1000/1420       NP 18-46 POLIDAP</v>
          </cell>
          <cell r="J2128">
            <v>19332</v>
          </cell>
        </row>
        <row r="2129">
          <cell r="A2129" t="str">
            <v>1000/1420       NP 18-46 POLIDAP</v>
          </cell>
          <cell r="J2129">
            <v>34230.36</v>
          </cell>
        </row>
        <row r="2130">
          <cell r="A2130" t="str">
            <v>1000/1420       NP 18-46 POLIDAP</v>
          </cell>
          <cell r="J2130">
            <v>0</v>
          </cell>
        </row>
        <row r="2131">
          <cell r="A2131" t="str">
            <v>1000/1420       NP 18-46 POLIDAP</v>
          </cell>
          <cell r="J2131">
            <v>3760.8</v>
          </cell>
        </row>
        <row r="2132">
          <cell r="A2132" t="str">
            <v>1000/1420       NP 18-46 POLIDAP</v>
          </cell>
          <cell r="J2132">
            <v>0</v>
          </cell>
        </row>
        <row r="2133">
          <cell r="A2133" t="str">
            <v>1000/1420       NP 18-46 POLIDAP</v>
          </cell>
          <cell r="J2133">
            <v>12150.66</v>
          </cell>
        </row>
        <row r="2134">
          <cell r="A2134" t="str">
            <v>1000/1420       NP 18-46 POLIDAP</v>
          </cell>
          <cell r="J2134">
            <v>155257.97</v>
          </cell>
        </row>
        <row r="2135">
          <cell r="A2135" t="str">
            <v>1000/1420       NP 18-46 POLIDAP</v>
          </cell>
          <cell r="J2135">
            <v>18653.04</v>
          </cell>
        </row>
        <row r="2136">
          <cell r="A2136" t="str">
            <v>1000/1420       NP 18-46 POLIDAP</v>
          </cell>
          <cell r="J2136">
            <v>0</v>
          </cell>
        </row>
        <row r="2137">
          <cell r="A2137" t="str">
            <v>1000/1420       NP 18-46 POLIDAP</v>
          </cell>
          <cell r="J2137">
            <v>0</v>
          </cell>
        </row>
        <row r="2138">
          <cell r="A2138" t="str">
            <v>1000/1420       NP 18-46 POLIDAP</v>
          </cell>
          <cell r="J2138">
            <v>7883.76</v>
          </cell>
        </row>
        <row r="2139">
          <cell r="A2139" t="str">
            <v>1000/1420       NP 18-46 POLIDAP</v>
          </cell>
          <cell r="J2139">
            <v>0</v>
          </cell>
        </row>
        <row r="2140">
          <cell r="A2140" t="str">
            <v>1000/1420       NP 18-46 POLIDAP</v>
          </cell>
          <cell r="J2140">
            <v>1300.8</v>
          </cell>
        </row>
        <row r="2141">
          <cell r="A2141" t="str">
            <v>1000/1420       NP 18-46 POLIDAP</v>
          </cell>
          <cell r="J2141">
            <v>30220.68</v>
          </cell>
        </row>
        <row r="2142">
          <cell r="A2142" t="str">
            <v>1000/1420       NP 18-46 POLIDAP</v>
          </cell>
          <cell r="J2142">
            <v>18252.84</v>
          </cell>
        </row>
        <row r="2143">
          <cell r="A2143" t="str">
            <v>1000/1420       NP 18-46 POLIDAP</v>
          </cell>
          <cell r="J2143">
            <v>1518.96</v>
          </cell>
        </row>
        <row r="2144">
          <cell r="A2144" t="str">
            <v>1000/1420       NP 18-46 POLIDAP</v>
          </cell>
          <cell r="J2144">
            <v>0</v>
          </cell>
        </row>
        <row r="2145">
          <cell r="A2145" t="str">
            <v>1000/1420       NP 18-46 POLIDAP</v>
          </cell>
          <cell r="J2145">
            <v>9074.2399999999907</v>
          </cell>
        </row>
        <row r="2146">
          <cell r="A2146" t="str">
            <v>1000/1420       NP 18-46 POLIDAP</v>
          </cell>
          <cell r="J2146">
            <v>0</v>
          </cell>
        </row>
        <row r="2147">
          <cell r="A2147" t="str">
            <v>1000/1420       NP 18-46 POLIDAP</v>
          </cell>
          <cell r="J2147">
            <v>0</v>
          </cell>
        </row>
        <row r="2148">
          <cell r="A2148" t="str">
            <v>1000/1420       NP 18-46 POLIDAP</v>
          </cell>
          <cell r="J2148">
            <v>4050</v>
          </cell>
        </row>
        <row r="2149">
          <cell r="A2149" t="str">
            <v>1000/1420       NP 18-46 POLIDAP</v>
          </cell>
          <cell r="J2149">
            <v>0</v>
          </cell>
        </row>
        <row r="2150">
          <cell r="A2150" t="str">
            <v>1000/1420       NP 18-46 POLIDAP</v>
          </cell>
          <cell r="J2150">
            <v>0</v>
          </cell>
        </row>
        <row r="2151">
          <cell r="A2151" t="str">
            <v>1000/1420       NP 18-46 POLIDAP</v>
          </cell>
          <cell r="J2151">
            <v>3516.2399999999898</v>
          </cell>
        </row>
        <row r="2152">
          <cell r="A2152" t="str">
            <v>1000/1420       NP 18-46 POLIDAP</v>
          </cell>
          <cell r="J2152">
            <v>11849.76</v>
          </cell>
        </row>
        <row r="2153">
          <cell r="A2153" t="str">
            <v>1000/1420       NP 18-46 POLIDAP</v>
          </cell>
          <cell r="J2153">
            <v>1684.5599999999899</v>
          </cell>
        </row>
        <row r="2154">
          <cell r="A2154" t="str">
            <v>1000/1420       NP 18-46 POLIDAP</v>
          </cell>
          <cell r="J2154">
            <v>0</v>
          </cell>
        </row>
        <row r="2155">
          <cell r="A2155" t="str">
            <v>1000/1420       NP 18-46 POLIDAP</v>
          </cell>
          <cell r="J2155">
            <v>1229.76</v>
          </cell>
        </row>
        <row r="2156">
          <cell r="A2156" t="str">
            <v>1000/1420       NP 18-46 POLIDAP</v>
          </cell>
          <cell r="J2156">
            <v>4670.1599999999899</v>
          </cell>
        </row>
        <row r="2157">
          <cell r="A2157" t="str">
            <v>1000/1420       NP 18-46 POLIDAP</v>
          </cell>
          <cell r="J2157">
            <v>0</v>
          </cell>
        </row>
        <row r="2158">
          <cell r="A2158" t="str">
            <v>1000/1420       NP 18-46 POLIDAP</v>
          </cell>
          <cell r="J2158">
            <v>0</v>
          </cell>
        </row>
        <row r="2159">
          <cell r="A2159" t="str">
            <v>1000/1420       NP 18-46 POLIDAP</v>
          </cell>
          <cell r="J2159">
            <v>0</v>
          </cell>
        </row>
        <row r="2160">
          <cell r="A2160" t="str">
            <v>1000/1420       NP 18-46 POLIDAP</v>
          </cell>
          <cell r="J2160">
            <v>0</v>
          </cell>
        </row>
        <row r="2161">
          <cell r="A2161" t="str">
            <v>1000/1420       NP 18-46 POLIDAP</v>
          </cell>
          <cell r="J2161">
            <v>0</v>
          </cell>
        </row>
        <row r="2162">
          <cell r="A2162" t="str">
            <v>1000/1420       NP 18-46 POLIDAP</v>
          </cell>
          <cell r="J2162">
            <v>0</v>
          </cell>
        </row>
        <row r="2163">
          <cell r="A2163" t="str">
            <v>1000/1420       NP 18-46 POLIDAP</v>
          </cell>
          <cell r="J2163">
            <v>0</v>
          </cell>
        </row>
        <row r="2164">
          <cell r="A2164" t="str">
            <v>1000/1420       NP 18-46 POLIDAP</v>
          </cell>
          <cell r="J2164">
            <v>1064.4000000000001</v>
          </cell>
        </row>
        <row r="2165">
          <cell r="A2165" t="str">
            <v>1000/1420       NP 18-46 POLIDAP</v>
          </cell>
          <cell r="J2165">
            <v>17624.7</v>
          </cell>
        </row>
        <row r="2166">
          <cell r="A2166" t="str">
            <v>1000/1420       NP 18-46 POLIDAP</v>
          </cell>
          <cell r="J2166">
            <v>0</v>
          </cell>
        </row>
        <row r="2167">
          <cell r="A2167" t="str">
            <v>1000/1420       NP 18-46 POLIDAP</v>
          </cell>
          <cell r="J2167">
            <v>11557.76</v>
          </cell>
        </row>
        <row r="2168">
          <cell r="A2168" t="str">
            <v>1000/1420       NP 18-46 POLIDAP</v>
          </cell>
          <cell r="J2168">
            <v>0</v>
          </cell>
        </row>
        <row r="2169">
          <cell r="A2169" t="str">
            <v>1000/1420       NP 18-46 POLIDAP</v>
          </cell>
          <cell r="J2169">
            <v>5325.6</v>
          </cell>
        </row>
        <row r="2170">
          <cell r="A2170" t="str">
            <v>1000/1420       NP 18-46 POLIDAP</v>
          </cell>
          <cell r="J2170">
            <v>2889.0799999999899</v>
          </cell>
        </row>
        <row r="2171">
          <cell r="A2171" t="str">
            <v>1000/1420       NP 18-46 POLIDAP</v>
          </cell>
          <cell r="J2171">
            <v>0</v>
          </cell>
        </row>
        <row r="2172">
          <cell r="A2172" t="str">
            <v>1000/1420       NP 18-46 POLIDAP</v>
          </cell>
          <cell r="J2172">
            <v>5053.68</v>
          </cell>
        </row>
        <row r="2173">
          <cell r="A2173" t="str">
            <v>1000/1420       NP 18-46 POLIDAP</v>
          </cell>
          <cell r="J2173">
            <v>19644.5999999999</v>
          </cell>
        </row>
        <row r="2174">
          <cell r="A2174" t="str">
            <v>1000/1420       NP 18-46 POLIDAP</v>
          </cell>
          <cell r="J2174">
            <v>2838.2399999999898</v>
          </cell>
        </row>
        <row r="2175">
          <cell r="A2175" t="str">
            <v>1000/1420       NP 18-46 POLIDAP</v>
          </cell>
          <cell r="J2175">
            <v>1103.76</v>
          </cell>
        </row>
        <row r="2176">
          <cell r="A2176" t="str">
            <v>1000/1420       NP 18-46 POLIDAP</v>
          </cell>
          <cell r="J2176">
            <v>11780.79</v>
          </cell>
        </row>
        <row r="2177">
          <cell r="A2177" t="str">
            <v>1000/1420       NP 18-46 POLIDAP</v>
          </cell>
          <cell r="J2177">
            <v>14405.04</v>
          </cell>
        </row>
        <row r="2178">
          <cell r="A2178" t="str">
            <v>1000/1420       NP 18-46 POLIDAP</v>
          </cell>
          <cell r="J2178">
            <v>0</v>
          </cell>
        </row>
        <row r="2179">
          <cell r="A2179" t="str">
            <v>1000/1420       NP 18-46 POLIDAP</v>
          </cell>
          <cell r="J2179">
            <v>0</v>
          </cell>
        </row>
        <row r="2180">
          <cell r="A2180" t="str">
            <v>1000/1420       NP 18-46 POLIDAP</v>
          </cell>
          <cell r="J2180">
            <v>0</v>
          </cell>
        </row>
        <row r="2181">
          <cell r="A2181" t="str">
            <v>1000/1420       NP 18-46 POLIDAP</v>
          </cell>
          <cell r="J2181">
            <v>7608</v>
          </cell>
        </row>
        <row r="2182">
          <cell r="A2182" t="str">
            <v>1000/1420       NP 18-46 POLIDAP</v>
          </cell>
          <cell r="J2182">
            <v>2601.5999999999899</v>
          </cell>
        </row>
        <row r="2183">
          <cell r="A2183" t="str">
            <v>1000/1420       NP 18-46 POLIDAP</v>
          </cell>
          <cell r="J2183">
            <v>0</v>
          </cell>
        </row>
        <row r="2184">
          <cell r="A2184" t="str">
            <v>1000/1420       NP 18-46 POLIDAP</v>
          </cell>
          <cell r="J2184">
            <v>0</v>
          </cell>
        </row>
        <row r="2185">
          <cell r="A2185" t="str">
            <v>1000/1420       NP 18-46 POLIDAP</v>
          </cell>
          <cell r="J2185">
            <v>3275.28</v>
          </cell>
        </row>
        <row r="2186">
          <cell r="A2186" t="str">
            <v>1000/1420       NP 18-46 POLIDAP</v>
          </cell>
          <cell r="J2186">
            <v>0</v>
          </cell>
        </row>
        <row r="2187">
          <cell r="A2187" t="str">
            <v>1000/1420       NP 18-46 POLIDAP</v>
          </cell>
          <cell r="J2187">
            <v>1038.1199999999899</v>
          </cell>
        </row>
        <row r="2188">
          <cell r="A2188" t="str">
            <v>1000/1420       NP 18-46 POLIDAP</v>
          </cell>
          <cell r="J2188">
            <v>1200.96</v>
          </cell>
        </row>
        <row r="2189">
          <cell r="A2189" t="str">
            <v>1000/1420       NP 18-46 POLIDAP</v>
          </cell>
          <cell r="J2189">
            <v>0</v>
          </cell>
        </row>
        <row r="2190">
          <cell r="A2190" t="str">
            <v>1000/1420       NP 18-46 POLIDAP</v>
          </cell>
          <cell r="J2190">
            <v>3829.0599999999899</v>
          </cell>
        </row>
        <row r="2191">
          <cell r="A2191" t="str">
            <v>1000/1420       NP 18-46 POLIDAP</v>
          </cell>
          <cell r="J2191">
            <v>0</v>
          </cell>
        </row>
        <row r="2192">
          <cell r="A2192" t="str">
            <v>1000/1420       NP 18-46 POLIDAP</v>
          </cell>
          <cell r="J2192">
            <v>4225.92</v>
          </cell>
        </row>
        <row r="2193">
          <cell r="A2193" t="str">
            <v>1000/1420       NP 18-46 POLIDAP</v>
          </cell>
          <cell r="J2193">
            <v>0</v>
          </cell>
        </row>
        <row r="2194">
          <cell r="A2194" t="str">
            <v>1000/1420       NP 18-46 POLIDAP</v>
          </cell>
          <cell r="J2194">
            <v>2060.1599999999899</v>
          </cell>
        </row>
        <row r="2195">
          <cell r="A2195" t="str">
            <v>1000/1420       NP 18-46 POLIDAP</v>
          </cell>
          <cell r="J2195">
            <v>7440</v>
          </cell>
        </row>
        <row r="2196">
          <cell r="A2196" t="str">
            <v>1000/1420       NP 18-46 POLIDAP</v>
          </cell>
          <cell r="J2196">
            <v>0</v>
          </cell>
        </row>
        <row r="2197">
          <cell r="A2197" t="str">
            <v>1000/1420       NP 18-46 POLIDAP</v>
          </cell>
          <cell r="J2197">
            <v>150959.70000000001</v>
          </cell>
        </row>
        <row r="2198">
          <cell r="A2198" t="str">
            <v>1000/1420       NP 18-46 POLIDAP</v>
          </cell>
          <cell r="J2198">
            <v>0</v>
          </cell>
        </row>
        <row r="2199">
          <cell r="A2199" t="str">
            <v>1000/1420       NP 18-46 POLIDAP</v>
          </cell>
          <cell r="J2199">
            <v>2063.2199999999898</v>
          </cell>
        </row>
        <row r="2200">
          <cell r="A2200" t="str">
            <v>1000/1420       NP 18-46 POLIDAP</v>
          </cell>
          <cell r="J2200">
            <v>1200.96</v>
          </cell>
        </row>
        <row r="2201">
          <cell r="A2201" t="str">
            <v>1000/1420       NP 18-46 POLIDAP</v>
          </cell>
          <cell r="J2201">
            <v>2838.2399999999898</v>
          </cell>
        </row>
        <row r="2202">
          <cell r="A2202" t="str">
            <v>1000/1420       NP 18-46 POLIDAP</v>
          </cell>
          <cell r="J2202">
            <v>0</v>
          </cell>
        </row>
        <row r="2203">
          <cell r="A2203" t="str">
            <v>1000/1420       NP 18-46 POLIDAP</v>
          </cell>
          <cell r="J2203">
            <v>14574.59</v>
          </cell>
        </row>
        <row r="2204">
          <cell r="A2204" t="str">
            <v>1000/1420       NP 18-46 POLIDAP</v>
          </cell>
          <cell r="J2204">
            <v>0</v>
          </cell>
        </row>
        <row r="2205">
          <cell r="A2205" t="str">
            <v>1000/1420       NP 18-46 POLIDAP</v>
          </cell>
          <cell r="J2205">
            <v>2620.0799999999899</v>
          </cell>
        </row>
        <row r="2206">
          <cell r="A2206" t="str">
            <v>1000/1420       NP 18-46 POLIDAP</v>
          </cell>
          <cell r="J2206">
            <v>0</v>
          </cell>
        </row>
        <row r="2207">
          <cell r="A2207" t="str">
            <v>1000/1420       NP 18-46 POLIDAP</v>
          </cell>
          <cell r="J2207">
            <v>0</v>
          </cell>
        </row>
        <row r="2208">
          <cell r="A2208" t="str">
            <v>1000/1420       NP 18-46 POLIDAP</v>
          </cell>
          <cell r="J2208">
            <v>34099.870000000003</v>
          </cell>
        </row>
        <row r="2209">
          <cell r="A2209" t="str">
            <v>1000/1420       NP 18-46 POLIDAP</v>
          </cell>
          <cell r="J2209">
            <v>0</v>
          </cell>
        </row>
        <row r="2210">
          <cell r="A2210" t="str">
            <v>1000/1420       NP 18-46 POLIDAP</v>
          </cell>
          <cell r="J2210">
            <v>667.55999999999904</v>
          </cell>
        </row>
        <row r="2211">
          <cell r="A2211" t="str">
            <v>1000/1420       NP 18-46 POLIDAP</v>
          </cell>
          <cell r="J2211">
            <v>0</v>
          </cell>
        </row>
        <row r="2212">
          <cell r="A2212" t="str">
            <v>1000/1420       NP 18-46 POLIDAP</v>
          </cell>
          <cell r="J2212">
            <v>3662.76</v>
          </cell>
        </row>
        <row r="2213">
          <cell r="A2213" t="str">
            <v>1000/1420       NP 18-46 POLIDAP</v>
          </cell>
          <cell r="J2213">
            <v>0</v>
          </cell>
        </row>
        <row r="2214">
          <cell r="A2214" t="str">
            <v>1000/1420       NP 18-46 POLIDAP</v>
          </cell>
          <cell r="J2214">
            <v>1232.02</v>
          </cell>
        </row>
        <row r="2215">
          <cell r="A2215" t="str">
            <v>1000/1420       NP 18-46 POLIDAP</v>
          </cell>
          <cell r="J2215">
            <v>2886.2399999999898</v>
          </cell>
        </row>
        <row r="2216">
          <cell r="A2216" t="str">
            <v>1000/1420       NP 18-46 POLIDAP</v>
          </cell>
          <cell r="J2216">
            <v>0</v>
          </cell>
        </row>
        <row r="2217">
          <cell r="A2217" t="str">
            <v>1000/1420       NP 18-46 POLIDAP</v>
          </cell>
          <cell r="J2217">
            <v>5531.6599999999899</v>
          </cell>
        </row>
        <row r="2218">
          <cell r="A2218" t="str">
            <v>1000/1420       NP 18-46 POLIDAP</v>
          </cell>
          <cell r="J2218">
            <v>0</v>
          </cell>
        </row>
        <row r="2219">
          <cell r="A2219" t="str">
            <v>1000/1420       NP 18-46 POLIDAP</v>
          </cell>
          <cell r="J2219">
            <v>0</v>
          </cell>
        </row>
        <row r="2220">
          <cell r="A2220" t="str">
            <v>1000/1420       NP 18-46 POLIDAP</v>
          </cell>
          <cell r="J2220">
            <v>3276.96</v>
          </cell>
        </row>
        <row r="2221">
          <cell r="A2221" t="str">
            <v>1000/1420       NP 18-46 POLIDAP</v>
          </cell>
          <cell r="J2221">
            <v>0</v>
          </cell>
        </row>
        <row r="2222">
          <cell r="A2222" t="str">
            <v>1000/1420       NP 18-46 POLIDAP</v>
          </cell>
          <cell r="J2222">
            <v>0</v>
          </cell>
        </row>
        <row r="2223">
          <cell r="A2223" t="str">
            <v>1000/1420       NP 18-46 POLIDAP</v>
          </cell>
          <cell r="J2223">
            <v>0</v>
          </cell>
        </row>
        <row r="2224">
          <cell r="A2224" t="str">
            <v>1000/1420       NP 18-46 POLIDAP</v>
          </cell>
          <cell r="J2224">
            <v>0</v>
          </cell>
        </row>
        <row r="2225">
          <cell r="A2225" t="str">
            <v>1000/1420       NP 18-46 POLIDAP</v>
          </cell>
          <cell r="J2225">
            <v>48048.61</v>
          </cell>
        </row>
        <row r="2226">
          <cell r="A2226" t="str">
            <v>1000/1420       NP 18-46 POLIDAP</v>
          </cell>
          <cell r="J2226">
            <v>0</v>
          </cell>
        </row>
        <row r="2227">
          <cell r="A2227" t="str">
            <v>1000/1420       NP 18-46 POLIDAP</v>
          </cell>
          <cell r="J2227">
            <v>10748.33</v>
          </cell>
        </row>
        <row r="2228">
          <cell r="A2228" t="str">
            <v>1000/1420       NP 18-46 POLIDAP</v>
          </cell>
          <cell r="J2228">
            <v>0</v>
          </cell>
        </row>
        <row r="2229">
          <cell r="A2229" t="str">
            <v>1000/1420       NP 18-46 POLIDAP</v>
          </cell>
          <cell r="J2229">
            <v>9283.5599999999904</v>
          </cell>
        </row>
        <row r="2230">
          <cell r="A2230" t="str">
            <v>1000/1420       NP 18-46 POLIDAP</v>
          </cell>
          <cell r="J2230">
            <v>4152.4799999999896</v>
          </cell>
        </row>
        <row r="2231">
          <cell r="A2231" t="str">
            <v>1000/1420       NP 18-46 POLIDAP</v>
          </cell>
          <cell r="J2231">
            <v>0</v>
          </cell>
        </row>
        <row r="2232">
          <cell r="A2232" t="str">
            <v>1000/1420       NP 18-46 POLIDAP</v>
          </cell>
          <cell r="J2232">
            <v>11151.84</v>
          </cell>
        </row>
        <row r="2233">
          <cell r="A2233" t="str">
            <v>1000/1420       NP 18-46 POLIDAP</v>
          </cell>
          <cell r="J2233">
            <v>0</v>
          </cell>
        </row>
        <row r="2234">
          <cell r="A2234" t="str">
            <v>1000/1420       NP 18-46 POLIDAP</v>
          </cell>
          <cell r="J2234">
            <v>2633.28</v>
          </cell>
        </row>
        <row r="2235">
          <cell r="A2235" t="str">
            <v>1000/1420       NP 18-46 POLIDAP</v>
          </cell>
          <cell r="J2235">
            <v>0</v>
          </cell>
        </row>
        <row r="2236">
          <cell r="A2236" t="str">
            <v>1000/1420       NP 18-46 POLIDAP</v>
          </cell>
          <cell r="J2236">
            <v>2699.26</v>
          </cell>
        </row>
        <row r="2237">
          <cell r="A2237" t="str">
            <v>1000/1420       NP 18-46 POLIDAP</v>
          </cell>
          <cell r="J2237">
            <v>2782.44</v>
          </cell>
        </row>
        <row r="2238">
          <cell r="A2238" t="str">
            <v>1000/1420       NP 18-46 POLIDAP</v>
          </cell>
          <cell r="J2238">
            <v>0</v>
          </cell>
        </row>
        <row r="2239">
          <cell r="A2239" t="str">
            <v>1000/1420       NP 18-46 POLIDAP</v>
          </cell>
          <cell r="J2239">
            <v>0</v>
          </cell>
        </row>
        <row r="2240">
          <cell r="A2240" t="str">
            <v>1000/1420       NP 18-46 POLIDAP</v>
          </cell>
          <cell r="J2240">
            <v>0</v>
          </cell>
        </row>
        <row r="2241">
          <cell r="A2241" t="str">
            <v>1000/1420       NP 18-46 POLIDAP</v>
          </cell>
          <cell r="J2241">
            <v>4505.2799999999897</v>
          </cell>
        </row>
        <row r="2242">
          <cell r="A2242" t="str">
            <v>1000/1420       NP 18-46 POLIDAP</v>
          </cell>
          <cell r="J2242">
            <v>0</v>
          </cell>
        </row>
        <row r="2243">
          <cell r="A2243" t="str">
            <v>1000/1420       NP 18-46 POLIDAP</v>
          </cell>
          <cell r="J2243">
            <v>9650.61</v>
          </cell>
        </row>
        <row r="2244">
          <cell r="A2244" t="str">
            <v>1000/1420       NP 18-46 POLIDAP</v>
          </cell>
          <cell r="J2244">
            <v>19905.279999999901</v>
          </cell>
        </row>
        <row r="2245">
          <cell r="A2245" t="str">
            <v>1000/1420       NP 18-46 POLIDAP</v>
          </cell>
          <cell r="J2245">
            <v>18944.04</v>
          </cell>
        </row>
        <row r="2246">
          <cell r="A2246" t="str">
            <v>1000/1420       NP 18-46 POLIDAP</v>
          </cell>
          <cell r="J2246">
            <v>0</v>
          </cell>
        </row>
        <row r="2247">
          <cell r="A2247" t="str">
            <v>1000/1420       NP 18-46 POLIDAP</v>
          </cell>
          <cell r="J2247">
            <v>11971.7</v>
          </cell>
        </row>
        <row r="2248">
          <cell r="A2248" t="str">
            <v>1000/1420       NP 18-46 POLIDAP</v>
          </cell>
          <cell r="J2248">
            <v>130749.97</v>
          </cell>
        </row>
        <row r="2249">
          <cell r="A2249" t="str">
            <v>1000/1420       NP 18-46 POLIDAP</v>
          </cell>
          <cell r="J2249">
            <v>92203.369999999893</v>
          </cell>
        </row>
        <row r="2250">
          <cell r="A2250" t="str">
            <v>1000/1420       NP 18-46 POLIDAP</v>
          </cell>
          <cell r="J2250">
            <v>0</v>
          </cell>
        </row>
        <row r="2251">
          <cell r="A2251" t="str">
            <v>1000/1420       NP 18-46 POLIDAP</v>
          </cell>
          <cell r="J2251">
            <v>1544.96</v>
          </cell>
        </row>
        <row r="2252">
          <cell r="A2252" t="str">
            <v>1000/1420       NP 18-46 POLIDAP</v>
          </cell>
          <cell r="J2252">
            <v>3326.9299999999898</v>
          </cell>
        </row>
        <row r="2253">
          <cell r="A2253" t="str">
            <v>1000/1420       NP 18-46 POLIDAP</v>
          </cell>
          <cell r="J2253">
            <v>0</v>
          </cell>
        </row>
        <row r="2254">
          <cell r="A2254" t="str">
            <v>1000/1420       NP 18-46 POLIDAP</v>
          </cell>
          <cell r="J2254">
            <v>11486.639999999899</v>
          </cell>
        </row>
        <row r="2255">
          <cell r="A2255" t="str">
            <v>1000/1420       NP 18-46 POLIDAP</v>
          </cell>
          <cell r="J2255">
            <v>26655.97</v>
          </cell>
        </row>
        <row r="2256">
          <cell r="A2256" t="str">
            <v>1000/1420       NP 18-46 POLIDAP</v>
          </cell>
          <cell r="J2256">
            <v>11814.92</v>
          </cell>
        </row>
        <row r="2257">
          <cell r="A2257" t="str">
            <v>1000/1420       NP 18-46 POLIDAP</v>
          </cell>
          <cell r="J2257">
            <v>7020.72</v>
          </cell>
        </row>
        <row r="2258">
          <cell r="A2258" t="str">
            <v>1000/1420       NP 18-46 POLIDAP</v>
          </cell>
          <cell r="J2258">
            <v>4858.1999999999898</v>
          </cell>
        </row>
        <row r="2259">
          <cell r="A2259" t="str">
            <v>1000/1420       NP 18-46 POLIDAP</v>
          </cell>
          <cell r="J2259">
            <v>1629.4</v>
          </cell>
        </row>
        <row r="2260">
          <cell r="A2260" t="str">
            <v>1000/1420       NP 18-46 POLIDAP</v>
          </cell>
          <cell r="J2260">
            <v>7960.1099999999897</v>
          </cell>
        </row>
        <row r="2261">
          <cell r="A2261" t="str">
            <v>1000/1420       NP 18-46 POLIDAP</v>
          </cell>
          <cell r="J2261">
            <v>3369.1199999999899</v>
          </cell>
        </row>
        <row r="2262">
          <cell r="A2262" t="str">
            <v>1000/1420       NP 18-46 POLIDAP</v>
          </cell>
          <cell r="J2262">
            <v>2843.52</v>
          </cell>
        </row>
        <row r="2263">
          <cell r="A2263" t="str">
            <v>1000/1420       NP 18-46 POLIDAP</v>
          </cell>
          <cell r="J2263">
            <v>5895.5699999999897</v>
          </cell>
        </row>
        <row r="2264">
          <cell r="A2264" t="str">
            <v>1000/1420       NP 18-46 POLIDAP</v>
          </cell>
          <cell r="J2264">
            <v>1481.0599999999899</v>
          </cell>
        </row>
        <row r="2265">
          <cell r="A2265" t="str">
            <v>1000/1420       NP 18-46 POLIDAP</v>
          </cell>
          <cell r="J2265">
            <v>1935.8499999999899</v>
          </cell>
        </row>
        <row r="2266">
          <cell r="A2266" t="str">
            <v>1000/1420       NP 18-46 POLIDAP</v>
          </cell>
          <cell r="J2266">
            <v>0</v>
          </cell>
        </row>
        <row r="2267">
          <cell r="A2267" t="str">
            <v>1000/1420       NP 18-46 POLIDAP</v>
          </cell>
          <cell r="J2267">
            <v>0</v>
          </cell>
        </row>
        <row r="2268">
          <cell r="A2268" t="str">
            <v>1000/1420       NP 18-46 POLIDAP</v>
          </cell>
          <cell r="J2268">
            <v>0</v>
          </cell>
        </row>
        <row r="2269">
          <cell r="A2269" t="str">
            <v>1000/1420       NP 18-46 POLIDAP</v>
          </cell>
          <cell r="J2269">
            <v>0</v>
          </cell>
        </row>
        <row r="2270">
          <cell r="A2270" t="str">
            <v>1000/1420       NP 18-46 POLIDAP</v>
          </cell>
          <cell r="J2270">
            <v>2875.1999999999898</v>
          </cell>
        </row>
        <row r="2271">
          <cell r="A2271" t="str">
            <v>1000/1420       NP 18-46 POLIDAP</v>
          </cell>
          <cell r="J2271">
            <v>7209.17</v>
          </cell>
        </row>
        <row r="2272">
          <cell r="A2272" t="str">
            <v>1000/1420       NP 18-46 POLIDAP</v>
          </cell>
          <cell r="J2272">
            <v>5518.2399999999898</v>
          </cell>
        </row>
        <row r="2273">
          <cell r="A2273" t="str">
            <v>1000/1420       NP 18-46 POLIDAP</v>
          </cell>
          <cell r="J2273">
            <v>8415.5799999999908</v>
          </cell>
        </row>
        <row r="2274">
          <cell r="A2274" t="str">
            <v>1000/1420       NP 18-46 POLIDAP</v>
          </cell>
          <cell r="J2274">
            <v>0</v>
          </cell>
        </row>
        <row r="2275">
          <cell r="A2275" t="str">
            <v>1000/1420       NP 18-46 POLIDAP</v>
          </cell>
          <cell r="J2275">
            <v>1892.16</v>
          </cell>
        </row>
        <row r="2276">
          <cell r="A2276" t="str">
            <v>1000/1420       NP 18-46 POLIDAP</v>
          </cell>
          <cell r="J2276">
            <v>16200.24</v>
          </cell>
        </row>
        <row r="2277">
          <cell r="A2277" t="str">
            <v>1000/1420       NP 18-46 POLIDAP</v>
          </cell>
          <cell r="J2277">
            <v>7926</v>
          </cell>
        </row>
        <row r="2278">
          <cell r="A2278" t="str">
            <v>1000/1420       NP 18-46 POLIDAP</v>
          </cell>
          <cell r="J2278">
            <v>0</v>
          </cell>
        </row>
        <row r="2279">
          <cell r="A2279" t="str">
            <v>1000/1420       NP 18-46 POLIDAP</v>
          </cell>
          <cell r="J2279">
            <v>7601.88</v>
          </cell>
        </row>
        <row r="2280">
          <cell r="A2280" t="str">
            <v>1000/1420       NP 18-46 POLIDAP</v>
          </cell>
          <cell r="J2280">
            <v>11692.559999999899</v>
          </cell>
        </row>
        <row r="2281">
          <cell r="A2281" t="str">
            <v>1000/1420       NP 18-46 POLIDAP</v>
          </cell>
          <cell r="J2281">
            <v>0</v>
          </cell>
        </row>
        <row r="2282">
          <cell r="A2282" t="str">
            <v>1000/1420       NP 18-46 POLIDAP</v>
          </cell>
          <cell r="J2282">
            <v>1335.1199999999899</v>
          </cell>
        </row>
        <row r="2283">
          <cell r="A2283" t="str">
            <v>1000/1420       NP 18-46 POLIDAP</v>
          </cell>
          <cell r="J2283">
            <v>1414.78</v>
          </cell>
        </row>
        <row r="2284">
          <cell r="A2284" t="str">
            <v>1000/1420       NP 18-46 POLIDAP</v>
          </cell>
          <cell r="J2284">
            <v>924.40999999999894</v>
          </cell>
        </row>
        <row r="2285">
          <cell r="A2285" t="str">
            <v>1000/1420       NP 18-46 POLIDAP</v>
          </cell>
          <cell r="J2285">
            <v>216.569999999999</v>
          </cell>
        </row>
        <row r="2286">
          <cell r="A2286" t="str">
            <v>1000/1420       NP 18-46 POLIDAP</v>
          </cell>
          <cell r="J2286">
            <v>2685.84</v>
          </cell>
        </row>
        <row r="2287">
          <cell r="A2287" t="str">
            <v>1000/1420       NP 18-46 POLIDAP</v>
          </cell>
          <cell r="J2287">
            <v>0</v>
          </cell>
        </row>
        <row r="2288">
          <cell r="A2288" t="str">
            <v>1000/1420       NP 18-46 POLIDAP</v>
          </cell>
          <cell r="J2288">
            <v>0</v>
          </cell>
        </row>
        <row r="2289">
          <cell r="A2289" t="str">
            <v>1000/1420       NP 18-46 POLIDAP</v>
          </cell>
          <cell r="J2289">
            <v>3220.1199999999899</v>
          </cell>
        </row>
        <row r="2290">
          <cell r="A2290" t="str">
            <v>1000/1420       NP 18-46 POLIDAP</v>
          </cell>
          <cell r="J2290">
            <v>11454.08</v>
          </cell>
        </row>
        <row r="2291">
          <cell r="A2291" t="str">
            <v>1000/1420       NP 18-46 POLIDAP</v>
          </cell>
          <cell r="J2291">
            <v>1431.0699999999899</v>
          </cell>
        </row>
        <row r="2292">
          <cell r="A2292" t="str">
            <v>1000/1420       NP 18-46 POLIDAP</v>
          </cell>
          <cell r="J2292">
            <v>0</v>
          </cell>
        </row>
        <row r="2293">
          <cell r="A2293" t="str">
            <v>1000/1420       NP 18-46 POLIDAP</v>
          </cell>
          <cell r="J2293">
            <v>4258.3199999999897</v>
          </cell>
        </row>
        <row r="2294">
          <cell r="A2294" t="str">
            <v>1000/1420       NP 18-46 POLIDAP</v>
          </cell>
          <cell r="J2294">
            <v>2351.2800000000002</v>
          </cell>
        </row>
        <row r="2295">
          <cell r="A2295" t="str">
            <v>1000/1420       NP 18-46 POLIDAP</v>
          </cell>
          <cell r="J2295">
            <v>5159.9099999999899</v>
          </cell>
        </row>
        <row r="2296">
          <cell r="A2296" t="str">
            <v>1000/1420       NP 18-46 POLIDAP</v>
          </cell>
          <cell r="J2296">
            <v>203556.829999999</v>
          </cell>
        </row>
        <row r="2297">
          <cell r="A2297" t="str">
            <v>1000/1420       NP 18-46 POLIDAP</v>
          </cell>
          <cell r="J2297">
            <v>0</v>
          </cell>
        </row>
        <row r="2298">
          <cell r="A2298" t="str">
            <v>1000/1420       NP 18-46 POLIDAP</v>
          </cell>
          <cell r="J2298">
            <v>907.91999999999905</v>
          </cell>
        </row>
        <row r="2299">
          <cell r="A2299" t="str">
            <v>1000/1420       NP 18-46 POLIDAP</v>
          </cell>
          <cell r="J2299">
            <v>1419.1199999999899</v>
          </cell>
        </row>
        <row r="2300">
          <cell r="A2300" t="str">
            <v>1000/1420       NP 18-46 POLIDAP</v>
          </cell>
          <cell r="J2300">
            <v>48296.800000000003</v>
          </cell>
        </row>
        <row r="2301">
          <cell r="A2301" t="str">
            <v>1000/1420       NP 18-46 POLIDAP</v>
          </cell>
          <cell r="J2301">
            <v>0</v>
          </cell>
        </row>
        <row r="2302">
          <cell r="A2302" t="str">
            <v>1000/1420       NP 18-46 POLIDAP</v>
          </cell>
          <cell r="J2302">
            <v>0</v>
          </cell>
        </row>
        <row r="2303">
          <cell r="A2303" t="str">
            <v>1000/1420       NP 18-46 POLIDAP</v>
          </cell>
          <cell r="J2303">
            <v>4906.6099999999897</v>
          </cell>
        </row>
        <row r="2304">
          <cell r="A2304" t="str">
            <v>1000/1420       NP 18-46 POLIDAP</v>
          </cell>
          <cell r="J2304">
            <v>0</v>
          </cell>
        </row>
        <row r="2305">
          <cell r="A2305" t="str">
            <v>1000/1420       NP 18-46 POLIDAP</v>
          </cell>
          <cell r="J2305">
            <v>54601.4</v>
          </cell>
        </row>
        <row r="2306">
          <cell r="A2306" t="str">
            <v>1000/1420       NP 18-46 POLIDAP</v>
          </cell>
          <cell r="J2306">
            <v>0</v>
          </cell>
        </row>
        <row r="2307">
          <cell r="A2307" t="str">
            <v>1000/1420       NP 18-46 POLIDAP</v>
          </cell>
          <cell r="J2307">
            <v>18424.560000000001</v>
          </cell>
        </row>
        <row r="2308">
          <cell r="A2308" t="str">
            <v>1000/1420       NP 18-46 POLIDAP</v>
          </cell>
          <cell r="J2308">
            <v>1200.96</v>
          </cell>
        </row>
        <row r="2309">
          <cell r="A2309" t="str">
            <v>1000/1420       NP 18-46 POLIDAP</v>
          </cell>
          <cell r="J2309">
            <v>8564.2900000000009</v>
          </cell>
        </row>
        <row r="2310">
          <cell r="A2310" t="str">
            <v>1000/1420       NP 18-46 POLIDAP</v>
          </cell>
          <cell r="J2310">
            <v>3332.4</v>
          </cell>
        </row>
        <row r="2311">
          <cell r="A2311" t="str">
            <v>1000/1420       NP 18-46 POLIDAP</v>
          </cell>
          <cell r="J2311">
            <v>13641.84</v>
          </cell>
        </row>
        <row r="2312">
          <cell r="A2312" t="str">
            <v>1000/1420       NP 18-46 POLIDAP</v>
          </cell>
          <cell r="J2312">
            <v>0</v>
          </cell>
        </row>
        <row r="2313">
          <cell r="A2313" t="str">
            <v>1000/1420       NP 18-46 POLIDAP</v>
          </cell>
          <cell r="J2313">
            <v>865.2</v>
          </cell>
        </row>
        <row r="2314">
          <cell r="A2314" t="str">
            <v>1000/1420       NP 18-46 POLIDAP</v>
          </cell>
          <cell r="J2314">
            <v>2076.2399999999898</v>
          </cell>
        </row>
        <row r="2315">
          <cell r="A2315" t="str">
            <v>1000/1420       NP 18-46 POLIDAP</v>
          </cell>
          <cell r="J2315">
            <v>61238.55</v>
          </cell>
        </row>
        <row r="2316">
          <cell r="A2316" t="str">
            <v>1000/1420       NP 18-46 POLIDAP</v>
          </cell>
          <cell r="J2316">
            <v>16215.43</v>
          </cell>
        </row>
        <row r="2317">
          <cell r="A2317" t="str">
            <v>1000/1420       NP 18-46 POLIDAP</v>
          </cell>
          <cell r="J2317">
            <v>0</v>
          </cell>
        </row>
        <row r="2318">
          <cell r="A2318" t="str">
            <v>1000/1420       NP 18-46 POLIDAP</v>
          </cell>
          <cell r="J2318">
            <v>21663.15</v>
          </cell>
        </row>
        <row r="2319">
          <cell r="A2319" t="str">
            <v>1000/1420       NP 18-46 POLIDAP</v>
          </cell>
          <cell r="J2319">
            <v>1361.28</v>
          </cell>
        </row>
        <row r="2320">
          <cell r="A2320" t="str">
            <v>1000/1420       NP 18-46 POLIDAP</v>
          </cell>
          <cell r="J2320">
            <v>0</v>
          </cell>
        </row>
        <row r="2321">
          <cell r="A2321" t="str">
            <v>1000/1420       NP 18-46 POLIDAP</v>
          </cell>
          <cell r="J2321">
            <v>22055.08</v>
          </cell>
        </row>
        <row r="2322">
          <cell r="A2322" t="str">
            <v>1000/1420       NP 18-46 POLIDAP</v>
          </cell>
          <cell r="J2322">
            <v>0</v>
          </cell>
        </row>
        <row r="2323">
          <cell r="A2323" t="str">
            <v>1000/1420       NP 18-46 POLIDAP</v>
          </cell>
          <cell r="J2323">
            <v>7336.0799999999899</v>
          </cell>
        </row>
        <row r="2324">
          <cell r="A2324" t="str">
            <v>1000/1420       NP 18-46 POLIDAP</v>
          </cell>
          <cell r="J2324">
            <v>0</v>
          </cell>
        </row>
        <row r="2325">
          <cell r="A2325" t="str">
            <v>1000/1420       NP 18-46 POLIDAP</v>
          </cell>
          <cell r="J2325">
            <v>2752.5599999999899</v>
          </cell>
        </row>
        <row r="2326">
          <cell r="A2326" t="str">
            <v>1000/1420       NP 18-46 POLIDAP</v>
          </cell>
          <cell r="J2326">
            <v>2705.4</v>
          </cell>
        </row>
        <row r="2327">
          <cell r="A2327" t="str">
            <v>1000/1420       NP 18-46 POLIDAP</v>
          </cell>
          <cell r="J2327">
            <v>0</v>
          </cell>
        </row>
        <row r="2328">
          <cell r="A2328" t="str">
            <v>1000/1420       NP 18-46 POLIDAP</v>
          </cell>
          <cell r="J2328">
            <v>0</v>
          </cell>
        </row>
        <row r="2329">
          <cell r="A2329" t="str">
            <v>1000/1420       NP 18-46 POLIDAP</v>
          </cell>
          <cell r="J2329">
            <v>1098.18</v>
          </cell>
        </row>
        <row r="2330">
          <cell r="A2330" t="str">
            <v>1000/1420       NP 18-46 POLIDAP</v>
          </cell>
          <cell r="J2330">
            <v>3588</v>
          </cell>
        </row>
        <row r="2331">
          <cell r="A2331" t="str">
            <v>1000/1420       NP 18-46 POLIDAP</v>
          </cell>
          <cell r="J2331">
            <v>19232.400000000001</v>
          </cell>
        </row>
        <row r="2332">
          <cell r="A2332" t="str">
            <v>1000/1420       NP 18-46 POLIDAP</v>
          </cell>
          <cell r="J2332">
            <v>1779.1199999999899</v>
          </cell>
        </row>
        <row r="2333">
          <cell r="A2333" t="str">
            <v>1000/1420       NP 18-46 POLIDAP</v>
          </cell>
          <cell r="J2333">
            <v>14291.04</v>
          </cell>
        </row>
        <row r="2334">
          <cell r="A2334" t="str">
            <v>1000/1420       NP 18-46 POLIDAP</v>
          </cell>
          <cell r="J2334">
            <v>1590</v>
          </cell>
        </row>
        <row r="2335">
          <cell r="A2335" t="str">
            <v>1000/1420       NP 18-46 POLIDAP</v>
          </cell>
          <cell r="J2335">
            <v>13770.68</v>
          </cell>
        </row>
        <row r="2336">
          <cell r="A2336" t="str">
            <v>1000/1420       NP 18-46 POLIDAP</v>
          </cell>
          <cell r="J2336">
            <v>96064.25</v>
          </cell>
        </row>
        <row r="2337">
          <cell r="A2337" t="str">
            <v>1000/1420       NP 18-46 POLIDAP</v>
          </cell>
          <cell r="J2337">
            <v>2351.96</v>
          </cell>
        </row>
        <row r="2338">
          <cell r="A2338" t="str">
            <v>1000/1420       NP 18-46 POLIDAP</v>
          </cell>
          <cell r="J2338">
            <v>1747.3099999999899</v>
          </cell>
        </row>
        <row r="2339">
          <cell r="A2339" t="str">
            <v>1000/1420       NP 18-46 POLIDAP</v>
          </cell>
          <cell r="J2339">
            <v>8372.67</v>
          </cell>
        </row>
        <row r="2340">
          <cell r="A2340" t="str">
            <v>1000/1420       NP 18-46 POLIDAP</v>
          </cell>
          <cell r="J2340">
            <v>0</v>
          </cell>
        </row>
        <row r="2341">
          <cell r="A2341" t="str">
            <v>1000/1420       NP 18-46 POLIDAP</v>
          </cell>
          <cell r="J2341">
            <v>22620</v>
          </cell>
        </row>
        <row r="2342">
          <cell r="A2342" t="str">
            <v>1000/1420       NP 18-46 POLIDAP</v>
          </cell>
          <cell r="J2342">
            <v>3980.4</v>
          </cell>
        </row>
        <row r="2343">
          <cell r="A2343" t="str">
            <v>1000/1420       NP 18-46 POLIDAP</v>
          </cell>
          <cell r="J2343">
            <v>3137.76</v>
          </cell>
        </row>
        <row r="2344">
          <cell r="A2344" t="str">
            <v>1000/1420       NP 18-46 POLIDAP</v>
          </cell>
          <cell r="J2344">
            <v>6341.8599999999897</v>
          </cell>
        </row>
        <row r="2345">
          <cell r="A2345" t="str">
            <v>1000/1420       NP 18-46 POLIDAP</v>
          </cell>
          <cell r="J2345">
            <v>1166.8800000000001</v>
          </cell>
        </row>
        <row r="2346">
          <cell r="A2346" t="str">
            <v>1000/1420       NP 18-46 POLIDAP</v>
          </cell>
          <cell r="J2346">
            <v>4178.6400000000003</v>
          </cell>
        </row>
        <row r="2347">
          <cell r="A2347" t="str">
            <v>1000/1420       NP 18-46 POLIDAP</v>
          </cell>
          <cell r="J2347">
            <v>325.19999999999902</v>
          </cell>
        </row>
        <row r="2348">
          <cell r="A2348" t="str">
            <v>1000/1420       NP 18-46 POLIDAP</v>
          </cell>
          <cell r="J2348">
            <v>1779.1199999999899</v>
          </cell>
        </row>
        <row r="2349">
          <cell r="A2349" t="str">
            <v>1000/1420       NP 18-46 POLIDAP</v>
          </cell>
          <cell r="J2349">
            <v>1805.52</v>
          </cell>
        </row>
        <row r="2350">
          <cell r="A2350" t="str">
            <v>1000/1420       NP 18-46 POLIDAP</v>
          </cell>
          <cell r="J2350">
            <v>5693.93</v>
          </cell>
        </row>
        <row r="2351">
          <cell r="A2351" t="str">
            <v>1000/1420       NP 18-46 POLIDAP</v>
          </cell>
          <cell r="J2351">
            <v>1770.41</v>
          </cell>
        </row>
        <row r="2352">
          <cell r="A2352" t="str">
            <v>1000/1420       NP 18-46 POLIDAP</v>
          </cell>
          <cell r="J2352">
            <v>1072.46</v>
          </cell>
        </row>
        <row r="2353">
          <cell r="A2353" t="str">
            <v>1000/1420       NP 18-46 POLIDAP</v>
          </cell>
          <cell r="J2353">
            <v>0</v>
          </cell>
        </row>
        <row r="2354">
          <cell r="A2354" t="str">
            <v>1000/1420       NP 18-46 POLIDAP</v>
          </cell>
          <cell r="J2354">
            <v>0</v>
          </cell>
        </row>
        <row r="2355">
          <cell r="A2355" t="str">
            <v>1000/1420       NP 18-46 POLIDAP</v>
          </cell>
          <cell r="J2355">
            <v>1390.18</v>
          </cell>
        </row>
        <row r="2356">
          <cell r="A2356" t="str">
            <v>1000/1420       NP 18-46 POLIDAP</v>
          </cell>
          <cell r="J2356">
            <v>4064.51</v>
          </cell>
        </row>
        <row r="2357">
          <cell r="A2357" t="str">
            <v>1000/1420       NP 18-46 POLIDAP</v>
          </cell>
          <cell r="J2357">
            <v>0</v>
          </cell>
        </row>
        <row r="2358">
          <cell r="A2358" t="str">
            <v>1000/1420       NP 18-46 POLIDAP</v>
          </cell>
          <cell r="J2358">
            <v>2212.8000000000002</v>
          </cell>
        </row>
        <row r="2359">
          <cell r="A2359" t="str">
            <v>1000/1420       NP 18-46 POLIDAP</v>
          </cell>
          <cell r="J2359">
            <v>1265.5</v>
          </cell>
        </row>
        <row r="2360">
          <cell r="A2360" t="str">
            <v>1000/1420       NP 18-46 POLIDAP</v>
          </cell>
          <cell r="J2360">
            <v>1335.1199999999899</v>
          </cell>
        </row>
        <row r="2361">
          <cell r="A2361" t="str">
            <v>1000/1420       NP 18-46 POLIDAP</v>
          </cell>
          <cell r="J2361">
            <v>15192.629999999899</v>
          </cell>
        </row>
        <row r="2362">
          <cell r="A2362" t="str">
            <v>1000/1420       NP 18-46 POLIDAP</v>
          </cell>
          <cell r="J2362">
            <v>12442.6</v>
          </cell>
        </row>
        <row r="2363">
          <cell r="A2363" t="str">
            <v>1000/1420       NP 18-46 POLIDAP</v>
          </cell>
          <cell r="J2363">
            <v>0</v>
          </cell>
        </row>
        <row r="2364">
          <cell r="A2364" t="str">
            <v>1000/1420       NP 18-46 POLIDAP</v>
          </cell>
          <cell r="J2364">
            <v>6483.84</v>
          </cell>
        </row>
        <row r="2365">
          <cell r="A2365" t="str">
            <v>1000/1420       NP 18-46 POLIDAP</v>
          </cell>
          <cell r="J2365">
            <v>9402.3099999999904</v>
          </cell>
        </row>
        <row r="2366">
          <cell r="A2366" t="str">
            <v>1000/1420       NP 18-46 POLIDAP</v>
          </cell>
          <cell r="J2366">
            <v>13277.52</v>
          </cell>
        </row>
        <row r="2367">
          <cell r="A2367" t="str">
            <v>1000/1420       NP 18-46 POLIDAP</v>
          </cell>
          <cell r="J2367">
            <v>1419.1199999999899</v>
          </cell>
        </row>
        <row r="2368">
          <cell r="A2368" t="str">
            <v>1000/1420       NP 18-46 POLIDAP</v>
          </cell>
          <cell r="J2368">
            <v>856.79999999999905</v>
          </cell>
        </row>
        <row r="2369">
          <cell r="A2369" t="str">
            <v>1000/1420       NP 18-46 POLIDAP</v>
          </cell>
          <cell r="J2369">
            <v>2423.04</v>
          </cell>
        </row>
        <row r="2370">
          <cell r="A2370" t="str">
            <v>1000/1420       NP 18-46 POLIDAP</v>
          </cell>
          <cell r="J2370">
            <v>1684.5599999999899</v>
          </cell>
        </row>
        <row r="2371">
          <cell r="A2371" t="str">
            <v>1000/1420       NP 18-46 POLIDAP</v>
          </cell>
          <cell r="J2371">
            <v>38728.489999999903</v>
          </cell>
        </row>
        <row r="2372">
          <cell r="A2372" t="str">
            <v>1000/1420       NP 18-46 POLIDAP</v>
          </cell>
          <cell r="J2372">
            <v>0</v>
          </cell>
        </row>
        <row r="2373">
          <cell r="A2373" t="str">
            <v>1000/1420       NP 18-46 POLIDAP</v>
          </cell>
          <cell r="J2373">
            <v>4384.5799999999899</v>
          </cell>
        </row>
        <row r="2374">
          <cell r="A2374" t="str">
            <v>1000/1420       NP 18-46 POLIDAP</v>
          </cell>
          <cell r="J2374">
            <v>9946.3199999999906</v>
          </cell>
        </row>
        <row r="2375">
          <cell r="A2375" t="str">
            <v>1000/1420       NP 18-46 POLIDAP</v>
          </cell>
          <cell r="J2375">
            <v>1484.88</v>
          </cell>
        </row>
        <row r="2376">
          <cell r="A2376" t="str">
            <v>1000/1420       NP 18-46 POLIDAP</v>
          </cell>
          <cell r="J2376">
            <v>4214.18</v>
          </cell>
        </row>
        <row r="2377">
          <cell r="A2377" t="str">
            <v>1000/1420       NP 18-46 POLIDAP</v>
          </cell>
          <cell r="J2377">
            <v>4194.8599999999897</v>
          </cell>
        </row>
        <row r="2378">
          <cell r="A2378" t="str">
            <v>1000/1420       NP 18-46 POLIDAP</v>
          </cell>
          <cell r="J2378">
            <v>-133.19999999999899</v>
          </cell>
        </row>
        <row r="2379">
          <cell r="A2379" t="str">
            <v>1000/1420       NP 18-46 POLIDAP</v>
          </cell>
          <cell r="J2379">
            <v>0</v>
          </cell>
        </row>
        <row r="2380">
          <cell r="A2380" t="str">
            <v>1000/1420       NP 18-46 POLIDAP</v>
          </cell>
          <cell r="J2380">
            <v>1780.8</v>
          </cell>
        </row>
        <row r="2381">
          <cell r="A2381" t="str">
            <v>1000/1420       NP 18-46 POLIDAP</v>
          </cell>
          <cell r="J2381">
            <v>1456.8</v>
          </cell>
        </row>
        <row r="2382">
          <cell r="A2382" t="str">
            <v>1000/1420       NP 18-46 POLIDAP</v>
          </cell>
          <cell r="J2382">
            <v>1365.8399999999899</v>
          </cell>
        </row>
        <row r="2383">
          <cell r="A2383" t="str">
            <v>1000/1420       NP 18-46 POLIDAP</v>
          </cell>
          <cell r="J2383">
            <v>1810.49</v>
          </cell>
        </row>
        <row r="2384">
          <cell r="A2384" t="str">
            <v>1000/1420       NP 18-46 POLIDAP</v>
          </cell>
          <cell r="J2384">
            <v>0</v>
          </cell>
        </row>
        <row r="2385">
          <cell r="A2385" t="str">
            <v>1000/1420       NP 18-46 POLIDAP</v>
          </cell>
          <cell r="J2385">
            <v>10422.719999999899</v>
          </cell>
        </row>
        <row r="2386">
          <cell r="A2386" t="str">
            <v>1000/1420       NP 18-46 POLIDAP</v>
          </cell>
          <cell r="J2386">
            <v>0</v>
          </cell>
        </row>
        <row r="2387">
          <cell r="A2387" t="str">
            <v>1000/1420       NP 18-46 POLIDAP</v>
          </cell>
          <cell r="J2387">
            <v>2557.44</v>
          </cell>
        </row>
        <row r="2388">
          <cell r="A2388" t="str">
            <v>1000/1420       NP 18-46 POLIDAP</v>
          </cell>
          <cell r="J2388">
            <v>1392.96</v>
          </cell>
        </row>
        <row r="2389">
          <cell r="A2389" t="str">
            <v>1000/1420       NP 18-46 POLIDAP</v>
          </cell>
          <cell r="J2389">
            <v>0</v>
          </cell>
        </row>
        <row r="2390">
          <cell r="A2390" t="str">
            <v>1000/1420       NP 18-46 POLIDAP</v>
          </cell>
          <cell r="J2390">
            <v>1780.8</v>
          </cell>
        </row>
        <row r="2391">
          <cell r="A2391" t="str">
            <v>1000/1420       NP 18-46 POLIDAP</v>
          </cell>
          <cell r="J2391">
            <v>3012.52</v>
          </cell>
        </row>
        <row r="2392">
          <cell r="A2392" t="str">
            <v>1000/1420       NP 18-46 POLIDAP</v>
          </cell>
          <cell r="J2392">
            <v>8059.1999999999898</v>
          </cell>
        </row>
        <row r="2393">
          <cell r="A2393" t="str">
            <v>1000/1420       NP 18-46 POLIDAP</v>
          </cell>
          <cell r="J2393">
            <v>6947.68</v>
          </cell>
        </row>
        <row r="2394">
          <cell r="A2394" t="str">
            <v>1000/1420       NP 18-46 POLIDAP</v>
          </cell>
          <cell r="J2394">
            <v>12453.84</v>
          </cell>
        </row>
        <row r="2395">
          <cell r="A2395" t="str">
            <v>1000/1420       NP 18-46 POLIDAP</v>
          </cell>
          <cell r="J2395">
            <v>0</v>
          </cell>
        </row>
        <row r="2396">
          <cell r="A2396" t="str">
            <v>1000/1420       NP 18-46 POLIDAP</v>
          </cell>
          <cell r="J2396">
            <v>2280.36</v>
          </cell>
        </row>
        <row r="2397">
          <cell r="A2397" t="str">
            <v>1000/1420       NP 18-46 POLIDAP</v>
          </cell>
          <cell r="J2397">
            <v>2119.1999999999898</v>
          </cell>
        </row>
        <row r="2398">
          <cell r="A2398" t="str">
            <v>1000/1420       NP 18-46 POLIDAP</v>
          </cell>
          <cell r="J2398">
            <v>4365.1499999999896</v>
          </cell>
        </row>
        <row r="2399">
          <cell r="A2399" t="str">
            <v>1000/1420       NP 18-46 POLIDAP</v>
          </cell>
          <cell r="J2399">
            <v>0</v>
          </cell>
        </row>
        <row r="2400">
          <cell r="A2400" t="str">
            <v>1000/1420       NP 18-46 POLIDAP</v>
          </cell>
          <cell r="J2400">
            <v>1322.52</v>
          </cell>
        </row>
        <row r="2401">
          <cell r="A2401" t="str">
            <v>1000/1420       NP 18-46 POLIDAP</v>
          </cell>
          <cell r="J2401">
            <v>0</v>
          </cell>
        </row>
        <row r="2402">
          <cell r="A2402" t="str">
            <v>1000/1420       NP 18-46 POLIDAP</v>
          </cell>
          <cell r="J2402">
            <v>0</v>
          </cell>
        </row>
        <row r="2403">
          <cell r="A2403" t="str">
            <v>1000/1420       NP 18-46 POLIDAP</v>
          </cell>
          <cell r="J2403">
            <v>1248</v>
          </cell>
        </row>
        <row r="2404">
          <cell r="A2404" t="str">
            <v>1000/1420       NP 18-46 POLIDAP</v>
          </cell>
          <cell r="J2404">
            <v>0</v>
          </cell>
        </row>
        <row r="2405">
          <cell r="A2405" t="str">
            <v>1000/1420       NP 18-46 POLIDAP</v>
          </cell>
          <cell r="J2405">
            <v>4415.5200000000004</v>
          </cell>
        </row>
        <row r="2406">
          <cell r="A2406" t="str">
            <v>1000/1420       NP 18-46 POLIDAP</v>
          </cell>
          <cell r="J2406">
            <v>2325.36</v>
          </cell>
        </row>
        <row r="2407">
          <cell r="A2407" t="str">
            <v>1000/1420       NP 18-46 POLIDAP</v>
          </cell>
          <cell r="J2407">
            <v>0</v>
          </cell>
        </row>
        <row r="2408">
          <cell r="A2408" t="str">
            <v>1000/1420       NP 18-46 POLIDAP</v>
          </cell>
          <cell r="J2408">
            <v>4457.3199999999897</v>
          </cell>
        </row>
        <row r="2409">
          <cell r="A2409" t="str">
            <v>1000/1420       NP 18-46 POLIDAP</v>
          </cell>
          <cell r="J2409">
            <v>43573.04</v>
          </cell>
        </row>
        <row r="2410">
          <cell r="A2410" t="str">
            <v>1000/1420       NP 18-46 POLIDAP</v>
          </cell>
          <cell r="J2410">
            <v>0</v>
          </cell>
        </row>
        <row r="2411">
          <cell r="A2411" t="str">
            <v>1000/1420       NP 18-46 POLIDAP</v>
          </cell>
          <cell r="J2411">
            <v>1685.8099999999899</v>
          </cell>
        </row>
        <row r="2412">
          <cell r="A2412" t="str">
            <v>1000/1420       NP 18-46 POLIDAP</v>
          </cell>
          <cell r="J2412">
            <v>0</v>
          </cell>
        </row>
        <row r="2413">
          <cell r="A2413" t="str">
            <v>1000/1420       NP 18-46 POLIDAP</v>
          </cell>
          <cell r="J2413">
            <v>9203.52</v>
          </cell>
        </row>
        <row r="2414">
          <cell r="A2414" t="str">
            <v>1000/1420       NP 18-46 POLIDAP</v>
          </cell>
          <cell r="J2414">
            <v>0</v>
          </cell>
        </row>
        <row r="2415">
          <cell r="A2415" t="str">
            <v>1000/1420       NP 18-46 POLIDAP</v>
          </cell>
          <cell r="J2415">
            <v>1749.1199999999899</v>
          </cell>
        </row>
        <row r="2416">
          <cell r="A2416" t="str">
            <v>1000/1420       NP 18-46 POLIDAP</v>
          </cell>
          <cell r="J2416">
            <v>0</v>
          </cell>
        </row>
        <row r="2417">
          <cell r="A2417" t="str">
            <v>1000/1420       NP 18-46 POLIDAP</v>
          </cell>
          <cell r="J2417">
            <v>8241.92</v>
          </cell>
        </row>
        <row r="2418">
          <cell r="A2418" t="str">
            <v>1000/1420       NP 18-46 POLIDAP</v>
          </cell>
          <cell r="J2418">
            <v>0</v>
          </cell>
        </row>
        <row r="2419">
          <cell r="A2419" t="str">
            <v>1000/1420       NP 18-46 POLIDAP</v>
          </cell>
          <cell r="J2419">
            <v>2163.36</v>
          </cell>
        </row>
        <row r="2420">
          <cell r="A2420" t="str">
            <v>1000/1420       NP 18-46 POLIDAP</v>
          </cell>
          <cell r="J2420">
            <v>1886.64</v>
          </cell>
        </row>
        <row r="2421">
          <cell r="A2421" t="str">
            <v>1000/1420       NP 18-46 POLIDAP</v>
          </cell>
          <cell r="J2421">
            <v>1515.5999999999899</v>
          </cell>
        </row>
        <row r="2422">
          <cell r="A2422" t="str">
            <v>1000/1420       NP 18-46 POLIDAP</v>
          </cell>
          <cell r="J2422">
            <v>0</v>
          </cell>
        </row>
        <row r="2423">
          <cell r="A2423" t="str">
            <v>1000/1420       NP 18-46 POLIDAP</v>
          </cell>
          <cell r="J2423">
            <v>0</v>
          </cell>
        </row>
        <row r="2424">
          <cell r="A2424" t="str">
            <v>1000/1420       NP 18-46 POLIDAP</v>
          </cell>
          <cell r="J2424">
            <v>0</v>
          </cell>
        </row>
        <row r="2425">
          <cell r="A2425" t="str">
            <v>1000/1420       NP 18-46 POLIDAP</v>
          </cell>
          <cell r="J2425">
            <v>0</v>
          </cell>
        </row>
        <row r="2426">
          <cell r="A2426" t="str">
            <v>1000/1420       NP 18-46 POLIDAP</v>
          </cell>
          <cell r="J2426">
            <v>0</v>
          </cell>
        </row>
        <row r="2427">
          <cell r="A2427" t="str">
            <v>1000/1420       NP 18-46 POLIDAP</v>
          </cell>
          <cell r="J2427">
            <v>1261.4000000000001</v>
          </cell>
        </row>
        <row r="2428">
          <cell r="A2428" t="str">
            <v>1000/1420       NP 18-46 POLIDAP</v>
          </cell>
          <cell r="J2428">
            <v>2063.2199999999898</v>
          </cell>
        </row>
        <row r="2429">
          <cell r="A2429" t="str">
            <v>1000/1420       NP 18-46 POLIDAP</v>
          </cell>
          <cell r="J2429">
            <v>1833.8399999999899</v>
          </cell>
        </row>
        <row r="2430">
          <cell r="A2430" t="str">
            <v>1000/1420       NP 18-46 POLIDAP</v>
          </cell>
          <cell r="J2430">
            <v>1344.96</v>
          </cell>
        </row>
        <row r="2431">
          <cell r="A2431" t="str">
            <v>1000/1420       NP 18-46 POLIDAP</v>
          </cell>
          <cell r="J2431">
            <v>7068.3599999999897</v>
          </cell>
        </row>
        <row r="2432">
          <cell r="A2432" t="str">
            <v>1000/1420       NP 18-46 POLIDAP</v>
          </cell>
          <cell r="J2432">
            <v>4653.1999999999898</v>
          </cell>
        </row>
        <row r="2433">
          <cell r="A2433" t="str">
            <v>1000/1420       NP 18-46 POLIDAP</v>
          </cell>
          <cell r="J2433">
            <v>0</v>
          </cell>
        </row>
        <row r="2434">
          <cell r="A2434" t="str">
            <v>1000/1420       NP 18-46 POLIDAP</v>
          </cell>
          <cell r="J2434">
            <v>2388.4099999999899</v>
          </cell>
        </row>
        <row r="2435">
          <cell r="A2435" t="str">
            <v>1000/1420       NP 18-46 POLIDAP</v>
          </cell>
          <cell r="J2435">
            <v>0</v>
          </cell>
        </row>
        <row r="2436">
          <cell r="A2436" t="str">
            <v>1000/1420       NP 18-46 POLIDAP</v>
          </cell>
          <cell r="J2436">
            <v>1620.69</v>
          </cell>
        </row>
        <row r="2437">
          <cell r="A2437" t="str">
            <v>1000/1420       NP 18-46 POLIDAP</v>
          </cell>
          <cell r="J2437">
            <v>0</v>
          </cell>
        </row>
        <row r="2438">
          <cell r="A2438" t="str">
            <v>1000/1420       NP 18-46 POLIDAP</v>
          </cell>
          <cell r="J2438">
            <v>2163.36</v>
          </cell>
        </row>
        <row r="2439">
          <cell r="A2439" t="str">
            <v>1000/1420       NP 18-46 POLIDAP</v>
          </cell>
          <cell r="J2439">
            <v>1727.76</v>
          </cell>
        </row>
        <row r="2440">
          <cell r="A2440" t="str">
            <v>1000/1420       NP 18-46 POLIDAP</v>
          </cell>
          <cell r="J2440">
            <v>4238.3999999999896</v>
          </cell>
        </row>
        <row r="2441">
          <cell r="A2441" t="str">
            <v>1000/1420       NP 18-46 POLIDAP</v>
          </cell>
          <cell r="J2441">
            <v>0</v>
          </cell>
        </row>
        <row r="2442">
          <cell r="A2442" t="str">
            <v>1000/1420       NP 18-46 POLIDAP</v>
          </cell>
          <cell r="J2442">
            <v>1980.72</v>
          </cell>
        </row>
        <row r="2443">
          <cell r="A2443" t="str">
            <v>1000/1420       NP 18-46 POLIDAP</v>
          </cell>
          <cell r="J2443">
            <v>0</v>
          </cell>
        </row>
        <row r="2444">
          <cell r="A2444" t="str">
            <v>1000/1420       NP 18-46 POLIDAP</v>
          </cell>
          <cell r="J2444">
            <v>1153.68</v>
          </cell>
        </row>
        <row r="2445">
          <cell r="A2445" t="str">
            <v>1000/1420       NP 18-46 POLIDAP</v>
          </cell>
          <cell r="J2445">
            <v>0</v>
          </cell>
        </row>
        <row r="2446">
          <cell r="A2446" t="str">
            <v>1000/1420       NP 18-46 POLIDAP</v>
          </cell>
          <cell r="J2446">
            <v>3561.5999999999899</v>
          </cell>
        </row>
        <row r="2447">
          <cell r="A2447" t="str">
            <v>1000/1420       NP 18-46 POLIDAP</v>
          </cell>
          <cell r="J2447">
            <v>0</v>
          </cell>
        </row>
        <row r="2448">
          <cell r="A2448" t="str">
            <v>1000/1420       NP 18-46 POLIDAP</v>
          </cell>
          <cell r="J2448">
            <v>8744.8799999999901</v>
          </cell>
        </row>
        <row r="2449">
          <cell r="A2449" t="str">
            <v>1000/1420       NP 18-46 POLIDAP</v>
          </cell>
          <cell r="J2449">
            <v>7742.1599999999899</v>
          </cell>
        </row>
        <row r="2450">
          <cell r="A2450" t="str">
            <v>1000/1420       NP 18-46 POLIDAP</v>
          </cell>
          <cell r="J2450">
            <v>2325.36</v>
          </cell>
        </row>
        <row r="2451">
          <cell r="A2451" t="str">
            <v>1000/1420       NP 18-46 POLIDAP</v>
          </cell>
          <cell r="J2451">
            <v>2801.76</v>
          </cell>
        </row>
        <row r="2452">
          <cell r="A2452" t="str">
            <v>1000/1420       NP 18-46 POLIDAP</v>
          </cell>
          <cell r="J2452">
            <v>0</v>
          </cell>
        </row>
        <row r="2453">
          <cell r="A2453" t="str">
            <v>1000/1420       NP 18-46 POLIDAP</v>
          </cell>
          <cell r="J2453">
            <v>4653.3599999999897</v>
          </cell>
        </row>
        <row r="2454">
          <cell r="A2454" t="str">
            <v>1000/1420       NP 18-46 POLIDAP</v>
          </cell>
          <cell r="J2454">
            <v>0</v>
          </cell>
        </row>
        <row r="2455">
          <cell r="A2455" t="str">
            <v>1000/1420       NP 18-46 POLIDAP</v>
          </cell>
          <cell r="J2455">
            <v>0</v>
          </cell>
        </row>
        <row r="2456">
          <cell r="A2456" t="str">
            <v>1000/1420       NP 18-46 POLIDAP</v>
          </cell>
          <cell r="J2456">
            <v>14317.6</v>
          </cell>
        </row>
        <row r="2457">
          <cell r="A2457" t="str">
            <v>1000/1420       NP 18-46 POLIDAP</v>
          </cell>
          <cell r="J2457">
            <v>0</v>
          </cell>
        </row>
        <row r="2458">
          <cell r="A2458" t="str">
            <v>1000/1420       NP 18-46 POLIDAP</v>
          </cell>
          <cell r="J2458">
            <v>6358.0799999999899</v>
          </cell>
        </row>
        <row r="2459">
          <cell r="A2459" t="str">
            <v>1000/1420       NP 18-46 POLIDAP</v>
          </cell>
          <cell r="J2459">
            <v>5250.2799999999897</v>
          </cell>
        </row>
        <row r="2460">
          <cell r="A2460" t="str">
            <v>1000/1420       NP 18-46 POLIDAP</v>
          </cell>
          <cell r="J2460">
            <v>0</v>
          </cell>
        </row>
        <row r="2461">
          <cell r="A2461" t="str">
            <v>1000/1420       NP 18-46 POLIDAP</v>
          </cell>
          <cell r="J2461">
            <v>4524</v>
          </cell>
        </row>
        <row r="2462">
          <cell r="A2462" t="str">
            <v>1000/1420       NP 18-46 POLIDAP</v>
          </cell>
          <cell r="J2462">
            <v>0</v>
          </cell>
        </row>
        <row r="2463">
          <cell r="A2463" t="str">
            <v>1000/1420       NP 18-46 POLIDAP</v>
          </cell>
          <cell r="J2463">
            <v>50314.43</v>
          </cell>
        </row>
        <row r="2464">
          <cell r="A2464" t="str">
            <v>1000/1420       NP 18-46 POLIDAP</v>
          </cell>
          <cell r="J2464">
            <v>0</v>
          </cell>
        </row>
        <row r="2465">
          <cell r="A2465" t="str">
            <v>1000/1420       NP 18-46 POLIDAP</v>
          </cell>
          <cell r="J2465">
            <v>9680.6200000000008</v>
          </cell>
        </row>
        <row r="2466">
          <cell r="A2466" t="str">
            <v>1000/1420       NP 18-46 POLIDAP</v>
          </cell>
          <cell r="J2466">
            <v>0</v>
          </cell>
        </row>
        <row r="2467">
          <cell r="A2467" t="str">
            <v>1000/1420       NP 18-46 POLIDAP</v>
          </cell>
          <cell r="J2467">
            <v>0</v>
          </cell>
        </row>
        <row r="2468">
          <cell r="A2468" t="str">
            <v>1000/1420       NP 18-46 POLIDAP</v>
          </cell>
          <cell r="J2468">
            <v>20260.9199999999</v>
          </cell>
        </row>
        <row r="2469">
          <cell r="A2469" t="str">
            <v>1000/1420       NP 18-46 POLIDAP</v>
          </cell>
          <cell r="J2469">
            <v>0</v>
          </cell>
        </row>
        <row r="2470">
          <cell r="A2470" t="str">
            <v>1000/1420       NP 18-46 POLIDAP</v>
          </cell>
          <cell r="J2470">
            <v>2689.92</v>
          </cell>
        </row>
        <row r="2471">
          <cell r="A2471" t="str">
            <v>1000/1420       NP 18-46 POLIDAP</v>
          </cell>
          <cell r="J2471">
            <v>1344.96</v>
          </cell>
        </row>
        <row r="2472">
          <cell r="A2472" t="str">
            <v>1000/1420       NP 18-46 POLIDAP</v>
          </cell>
          <cell r="J2472">
            <v>0</v>
          </cell>
        </row>
        <row r="2473">
          <cell r="A2473" t="str">
            <v>1000/1420       NP 18-46 POLIDAP</v>
          </cell>
          <cell r="J2473">
            <v>4897.1999999999898</v>
          </cell>
        </row>
        <row r="2474">
          <cell r="A2474" t="str">
            <v>1000/1420       NP 18-46 POLIDAP</v>
          </cell>
          <cell r="J2474">
            <v>6745.92</v>
          </cell>
        </row>
        <row r="2475">
          <cell r="A2475" t="str">
            <v>1000/1420       NP 18-46 POLIDAP</v>
          </cell>
          <cell r="J2475">
            <v>0</v>
          </cell>
        </row>
        <row r="2476">
          <cell r="A2476" t="str">
            <v>1000/1420       NP 18-46 POLIDAP</v>
          </cell>
          <cell r="J2476">
            <v>0</v>
          </cell>
        </row>
        <row r="2477">
          <cell r="A2477" t="str">
            <v>1000/1420       NP 18-46 POLIDAP</v>
          </cell>
          <cell r="J2477">
            <v>0</v>
          </cell>
        </row>
        <row r="2478">
          <cell r="A2478" t="str">
            <v>1000/1420       NP 18-46 POLIDAP</v>
          </cell>
          <cell r="J2478">
            <v>68555.27</v>
          </cell>
        </row>
        <row r="2479">
          <cell r="A2479" t="str">
            <v>1000/1420       NP 18-46 POLIDAP</v>
          </cell>
          <cell r="J2479">
            <v>0</v>
          </cell>
        </row>
        <row r="2480">
          <cell r="A2480" t="str">
            <v>1000/1420       NP 18-46 POLIDAP</v>
          </cell>
          <cell r="J2480">
            <v>18691.13</v>
          </cell>
        </row>
        <row r="2481">
          <cell r="A2481" t="str">
            <v>1000/1420       NP 18-46 POLIDAP</v>
          </cell>
          <cell r="J2481">
            <v>7788.96</v>
          </cell>
        </row>
        <row r="2482">
          <cell r="A2482" t="str">
            <v>1000/1420       NP 18-46 POLIDAP</v>
          </cell>
          <cell r="J2482">
            <v>0</v>
          </cell>
        </row>
        <row r="2483">
          <cell r="A2483" t="str">
            <v>1000/1420       NP 18-46 POLIDAP</v>
          </cell>
          <cell r="J2483">
            <v>14941.02</v>
          </cell>
        </row>
        <row r="2484">
          <cell r="A2484" t="str">
            <v>1000/1420       NP 18-46 POLIDAP</v>
          </cell>
          <cell r="J2484">
            <v>14914.709999999901</v>
          </cell>
        </row>
        <row r="2485">
          <cell r="A2485" t="str">
            <v>1000/1420       NP 18-46 POLIDAP</v>
          </cell>
          <cell r="J2485">
            <v>2177.2800000000002</v>
          </cell>
        </row>
        <row r="2486">
          <cell r="A2486" t="str">
            <v>1000/1420       NP 18-46 POLIDAP</v>
          </cell>
          <cell r="J2486">
            <v>0</v>
          </cell>
        </row>
        <row r="2487">
          <cell r="A2487" t="str">
            <v>1000/1420       NP 18-46 POLIDAP</v>
          </cell>
          <cell r="J2487">
            <v>4185.3599999999897</v>
          </cell>
        </row>
        <row r="2488">
          <cell r="A2488" t="str">
            <v>1000/1420       NP 18-46 POLIDAP</v>
          </cell>
          <cell r="J2488">
            <v>0</v>
          </cell>
        </row>
        <row r="2489">
          <cell r="A2489" t="str">
            <v>1000/1420       NP 18-46 POLIDAP</v>
          </cell>
          <cell r="J2489">
            <v>4415.5200000000004</v>
          </cell>
        </row>
        <row r="2490">
          <cell r="A2490" t="str">
            <v>1000/1420       NP 18-46 POLIDAP</v>
          </cell>
          <cell r="J2490">
            <v>0</v>
          </cell>
        </row>
        <row r="2491">
          <cell r="A2491" t="str">
            <v>1000/1420       NP 18-46 POLIDAP</v>
          </cell>
          <cell r="J2491">
            <v>0</v>
          </cell>
        </row>
        <row r="2492">
          <cell r="A2492" t="str">
            <v>1000/1420       NP 18-46 POLIDAP</v>
          </cell>
          <cell r="J2492">
            <v>0</v>
          </cell>
        </row>
        <row r="2493">
          <cell r="A2493" t="str">
            <v>1000/1420       NP 18-46 POLIDAP</v>
          </cell>
          <cell r="J2493">
            <v>5645.3199999999897</v>
          </cell>
        </row>
        <row r="2494">
          <cell r="A2494" t="str">
            <v>1000/1420       NP 18-46 POLIDAP</v>
          </cell>
          <cell r="J2494">
            <v>0</v>
          </cell>
        </row>
        <row r="2495">
          <cell r="A2495" t="str">
            <v>1000/1420       NP 18-46 POLIDAP</v>
          </cell>
          <cell r="J2495">
            <v>56504.639999999898</v>
          </cell>
        </row>
        <row r="2496">
          <cell r="A2496" t="str">
            <v>1000/1420       NP 18-46 POLIDAP</v>
          </cell>
          <cell r="J2496">
            <v>23468.65</v>
          </cell>
        </row>
        <row r="2497">
          <cell r="A2497" t="str">
            <v>1000/1420       NP 18-46 POLIDAP</v>
          </cell>
          <cell r="J2497">
            <v>0</v>
          </cell>
        </row>
        <row r="2498">
          <cell r="A2498" t="str">
            <v>1000/1420       NP 18-46 POLIDAP</v>
          </cell>
          <cell r="J2498">
            <v>8831.0400000000009</v>
          </cell>
        </row>
        <row r="2499">
          <cell r="A2499" t="str">
            <v>1000/1420       NP 18-46 POLIDAP</v>
          </cell>
          <cell r="J2499">
            <v>135776.88</v>
          </cell>
        </row>
        <row r="2500">
          <cell r="A2500" t="str">
            <v>1000/1420       NP 18-46 POLIDAP</v>
          </cell>
          <cell r="J2500">
            <v>73175.600000000006</v>
          </cell>
        </row>
        <row r="2501">
          <cell r="A2501" t="str">
            <v>1000/1420       NP 18-46 POLIDAP</v>
          </cell>
          <cell r="J2501">
            <v>0</v>
          </cell>
        </row>
        <row r="2502">
          <cell r="A2502" t="str">
            <v>1000/1420       NP 18-46 POLIDAP</v>
          </cell>
          <cell r="J2502">
            <v>2514.5999999999899</v>
          </cell>
        </row>
        <row r="2503">
          <cell r="A2503" t="str">
            <v>1000/1420       NP 18-46 POLIDAP</v>
          </cell>
          <cell r="J2503">
            <v>5310.5799999999899</v>
          </cell>
        </row>
        <row r="2504">
          <cell r="A2504" t="str">
            <v>1000/1420       NP 18-46 POLIDAP</v>
          </cell>
          <cell r="J2504">
            <v>1344.96</v>
          </cell>
        </row>
        <row r="2505">
          <cell r="A2505" t="str">
            <v>1000/1420       NP 18-46 POLIDAP</v>
          </cell>
          <cell r="J2505">
            <v>49323.279999999897</v>
          </cell>
        </row>
        <row r="2506">
          <cell r="A2506" t="str">
            <v>1000/1420       NP 18-46 POLIDAP</v>
          </cell>
          <cell r="J2506">
            <v>83436.850000000006</v>
          </cell>
        </row>
        <row r="2507">
          <cell r="A2507" t="str">
            <v>1000/1420       NP 18-46 POLIDAP</v>
          </cell>
          <cell r="J2507">
            <v>1701.1199999999899</v>
          </cell>
        </row>
        <row r="2508">
          <cell r="A2508" t="str">
            <v>1000/1420       NP 18-46 POLIDAP</v>
          </cell>
          <cell r="J2508">
            <v>3179.04</v>
          </cell>
        </row>
        <row r="2509">
          <cell r="A2509" t="str">
            <v>1000/1420       NP 18-46 POLIDAP</v>
          </cell>
          <cell r="J2509">
            <v>0</v>
          </cell>
        </row>
        <row r="2510">
          <cell r="A2510" t="str">
            <v>1000/1420       NP 18-46 POLIDAP</v>
          </cell>
          <cell r="J2510">
            <v>0</v>
          </cell>
        </row>
        <row r="2511">
          <cell r="A2511" t="str">
            <v>1000/1420       NP 18-46 POLIDAP</v>
          </cell>
          <cell r="J2511">
            <v>1992.72</v>
          </cell>
        </row>
        <row r="2512">
          <cell r="A2512" t="str">
            <v>1000/1420       NP 18-46 POLIDAP</v>
          </cell>
          <cell r="J2512">
            <v>1589.52</v>
          </cell>
        </row>
        <row r="2513">
          <cell r="A2513" t="str">
            <v>1000/1420       NP 18-46 POLIDAP</v>
          </cell>
          <cell r="J2513">
            <v>3294.69</v>
          </cell>
        </row>
        <row r="2514">
          <cell r="A2514" t="str">
            <v>1000/1420       NP 18-46 POLIDAP</v>
          </cell>
          <cell r="J2514">
            <v>1194.6600000000001</v>
          </cell>
        </row>
        <row r="2515">
          <cell r="A2515" t="str">
            <v>1000/1420       NP 18-46 POLIDAP</v>
          </cell>
          <cell r="J2515">
            <v>0</v>
          </cell>
        </row>
        <row r="2516">
          <cell r="A2516" t="str">
            <v>1000/1420       NP 18-46 POLIDAP</v>
          </cell>
          <cell r="J2516">
            <v>0</v>
          </cell>
        </row>
        <row r="2517">
          <cell r="A2517" t="str">
            <v>1000/1420       NP 18-46 POLIDAP</v>
          </cell>
          <cell r="J2517">
            <v>0</v>
          </cell>
        </row>
        <row r="2518">
          <cell r="A2518" t="str">
            <v>1000/1420       NP 18-46 POLIDAP</v>
          </cell>
          <cell r="J2518">
            <v>0</v>
          </cell>
        </row>
        <row r="2519">
          <cell r="A2519" t="str">
            <v>1000/1420       NP 18-46 POLIDAP</v>
          </cell>
          <cell r="J2519">
            <v>0</v>
          </cell>
        </row>
        <row r="2520">
          <cell r="A2520" t="str">
            <v>1000/1420       NP 18-46 POLIDAP</v>
          </cell>
          <cell r="J2520">
            <v>894.72</v>
          </cell>
        </row>
        <row r="2521">
          <cell r="A2521" t="str">
            <v>1000/1420       NP 18-46 POLIDAP</v>
          </cell>
          <cell r="J2521">
            <v>1261.4000000000001</v>
          </cell>
        </row>
        <row r="2522">
          <cell r="A2522" t="str">
            <v>1000/1420       NP 18-46 POLIDAP</v>
          </cell>
          <cell r="J2522">
            <v>6976.0799999999899</v>
          </cell>
        </row>
        <row r="2523">
          <cell r="A2523" t="str">
            <v>1000/1420       NP 18-46 POLIDAP</v>
          </cell>
          <cell r="J2523">
            <v>0</v>
          </cell>
        </row>
        <row r="2524">
          <cell r="A2524" t="str">
            <v>1000/1420       NP 18-46 POLIDAP</v>
          </cell>
          <cell r="J2524">
            <v>6133.8699999999899</v>
          </cell>
        </row>
        <row r="2525">
          <cell r="A2525" t="str">
            <v>1000/1420       NP 18-46 POLIDAP</v>
          </cell>
          <cell r="J2525">
            <v>5530.56</v>
          </cell>
        </row>
        <row r="2526">
          <cell r="A2526" t="str">
            <v>1000/1420       NP 18-46 POLIDAP</v>
          </cell>
          <cell r="J2526">
            <v>16801.23</v>
          </cell>
        </row>
        <row r="2527">
          <cell r="A2527" t="str">
            <v>1000/1420       NP 18-46 POLIDAP</v>
          </cell>
          <cell r="J2527">
            <v>0</v>
          </cell>
        </row>
        <row r="2528">
          <cell r="A2528" t="str">
            <v>1000/1420       NP 18-46 POLIDAP</v>
          </cell>
          <cell r="J2528">
            <v>0</v>
          </cell>
        </row>
        <row r="2529">
          <cell r="A2529" t="str">
            <v>1000/1420       NP 18-46 POLIDAP</v>
          </cell>
          <cell r="J2529">
            <v>19848.7</v>
          </cell>
        </row>
        <row r="2530">
          <cell r="A2530" t="str">
            <v>1000/1420       NP 18-46 POLIDAP</v>
          </cell>
          <cell r="J2530">
            <v>0</v>
          </cell>
        </row>
        <row r="2531">
          <cell r="A2531" t="str">
            <v>1000/1420       NP 18-46 POLIDAP</v>
          </cell>
          <cell r="J2531">
            <v>3868.34</v>
          </cell>
        </row>
        <row r="2532">
          <cell r="A2532" t="str">
            <v>1000/1420       NP 18-46 POLIDAP</v>
          </cell>
          <cell r="J2532">
            <v>22200.43</v>
          </cell>
        </row>
        <row r="2533">
          <cell r="A2533" t="str">
            <v>1000/1420       NP 18-46 POLIDAP</v>
          </cell>
          <cell r="J2533">
            <v>0</v>
          </cell>
        </row>
        <row r="2534">
          <cell r="A2534" t="str">
            <v>1000/1420       NP 18-46 POLIDAP</v>
          </cell>
          <cell r="J2534">
            <v>1662.96</v>
          </cell>
        </row>
        <row r="2535">
          <cell r="A2535" t="str">
            <v>1000/1420       NP 18-46 POLIDAP</v>
          </cell>
          <cell r="J2535">
            <v>19588.32</v>
          </cell>
        </row>
        <row r="2536">
          <cell r="A2536" t="str">
            <v>1000/1420       NP 18-46 POLIDAP</v>
          </cell>
          <cell r="J2536">
            <v>0</v>
          </cell>
        </row>
        <row r="2537">
          <cell r="A2537" t="str">
            <v>1000/1420       NP 18-46 POLIDAP</v>
          </cell>
          <cell r="J2537">
            <v>1888.77</v>
          </cell>
        </row>
        <row r="2538">
          <cell r="A2538" t="str">
            <v>1000/1420       NP 18-46 POLIDAP</v>
          </cell>
          <cell r="J2538">
            <v>0</v>
          </cell>
        </row>
        <row r="2539">
          <cell r="A2539" t="str">
            <v>1000/1420       NP 18-46 POLIDAP</v>
          </cell>
          <cell r="J2539">
            <v>2033.76</v>
          </cell>
        </row>
        <row r="2540">
          <cell r="A2540" t="str">
            <v>1000/1420       NP 18-46 POLIDAP</v>
          </cell>
          <cell r="J2540">
            <v>8681.0499999999902</v>
          </cell>
        </row>
        <row r="2541">
          <cell r="A2541" t="str">
            <v>1000/1420       NP 18-46 POLIDAP</v>
          </cell>
          <cell r="J2541">
            <v>76843.009999999893</v>
          </cell>
        </row>
        <row r="2542">
          <cell r="A2542" t="str">
            <v>1000/1422       NPK 12-12-12-11</v>
          </cell>
          <cell r="J2542">
            <v>5707.92</v>
          </cell>
        </row>
        <row r="2543">
          <cell r="A2543" t="str">
            <v>1000/1422       NPK 12-12-12-11</v>
          </cell>
          <cell r="J2543">
            <v>1892.16</v>
          </cell>
        </row>
        <row r="2544">
          <cell r="A2544" t="str">
            <v>1000/1422       NPK 12-12-12-11</v>
          </cell>
          <cell r="J2544">
            <v>1883.64</v>
          </cell>
        </row>
        <row r="2545">
          <cell r="A2545" t="str">
            <v>1000/1422       NPK 12-12-12-11</v>
          </cell>
          <cell r="J2545">
            <v>1742.4</v>
          </cell>
        </row>
        <row r="2546">
          <cell r="A2546" t="str">
            <v>1000/1422       NPK 12-12-12-11</v>
          </cell>
          <cell r="J2546">
            <v>3631.6799999999898</v>
          </cell>
        </row>
        <row r="2547">
          <cell r="A2547" t="str">
            <v>1000/1422       NPK 12-12-12-11</v>
          </cell>
          <cell r="J2547">
            <v>0</v>
          </cell>
        </row>
        <row r="2548">
          <cell r="A2548" t="str">
            <v>1000/1422       NPK 12-12-12-11</v>
          </cell>
          <cell r="J2548">
            <v>10840.08</v>
          </cell>
        </row>
        <row r="2549">
          <cell r="A2549" t="str">
            <v>1000/1422       NPK 12-12-12-11</v>
          </cell>
          <cell r="J2549">
            <v>1379.76</v>
          </cell>
        </row>
        <row r="2550">
          <cell r="A2550" t="str">
            <v>1000/1422       NPK 12-12-12-11</v>
          </cell>
          <cell r="J2550">
            <v>1542.72</v>
          </cell>
        </row>
        <row r="2551">
          <cell r="A2551" t="str">
            <v>1000/1422       NPK 12-12-12-11</v>
          </cell>
          <cell r="J2551">
            <v>0</v>
          </cell>
        </row>
        <row r="2552">
          <cell r="A2552" t="str">
            <v>1000/1422       NPK 12-12-12-11</v>
          </cell>
          <cell r="J2552">
            <v>3274.5599999999899</v>
          </cell>
        </row>
        <row r="2553">
          <cell r="A2553" t="str">
            <v>1000/1422       NPK 12-12-12-11</v>
          </cell>
          <cell r="J2553">
            <v>965.75999999999897</v>
          </cell>
        </row>
        <row r="2554">
          <cell r="A2554" t="str">
            <v>1000/1422       NPK 12-12-12-11</v>
          </cell>
          <cell r="J2554">
            <v>1038.1199999999899</v>
          </cell>
        </row>
        <row r="2555">
          <cell r="A2555" t="str">
            <v>1000/1422       NPK 12-12-12-11</v>
          </cell>
          <cell r="J2555">
            <v>1999.3199999999899</v>
          </cell>
        </row>
        <row r="2556">
          <cell r="A2556" t="str">
            <v>1000/1422       NPK 12-12-12-11</v>
          </cell>
          <cell r="J2556">
            <v>1030.0799999999899</v>
          </cell>
        </row>
        <row r="2557">
          <cell r="A2557" t="str">
            <v>1000/1422       NPK 12-12-12-11</v>
          </cell>
          <cell r="J2557">
            <v>4550.72</v>
          </cell>
        </row>
        <row r="2558">
          <cell r="A2558" t="str">
            <v>1000/1422       NPK 12-12-12-11</v>
          </cell>
          <cell r="J2558">
            <v>1684.5599999999899</v>
          </cell>
        </row>
        <row r="2559">
          <cell r="A2559" t="str">
            <v>1000/1422       NPK 12-12-12-11</v>
          </cell>
          <cell r="J2559">
            <v>2076.2399999999898</v>
          </cell>
        </row>
        <row r="2560">
          <cell r="A2560" t="str">
            <v>1000/1422       NPK 12-12-12-11</v>
          </cell>
          <cell r="J2560">
            <v>1971.1199999999899</v>
          </cell>
        </row>
        <row r="2561">
          <cell r="A2561" t="str">
            <v>1000/1422       NPK 12-12-12-11</v>
          </cell>
          <cell r="J2561">
            <v>0</v>
          </cell>
        </row>
        <row r="2562">
          <cell r="A2562" t="str">
            <v>1000/1422       NPK 12-12-12-11</v>
          </cell>
          <cell r="J2562">
            <v>913.55999999999904</v>
          </cell>
        </row>
        <row r="2563">
          <cell r="A2563" t="str">
            <v>1000/1422       NPK 12-12-12-11</v>
          </cell>
          <cell r="J2563">
            <v>13900.94</v>
          </cell>
        </row>
        <row r="2564">
          <cell r="A2564" t="str">
            <v>1000/1422       NPK 12-12-12-11</v>
          </cell>
          <cell r="J2564">
            <v>1590</v>
          </cell>
        </row>
        <row r="2565">
          <cell r="A2565" t="str">
            <v>1000/1422       NPK 12-12-12-11</v>
          </cell>
          <cell r="J2565">
            <v>1685.8099999999899</v>
          </cell>
        </row>
        <row r="2566">
          <cell r="A2566" t="str">
            <v>1000/1422       NPK 12-12-12-11</v>
          </cell>
          <cell r="J2566">
            <v>1779.1199999999899</v>
          </cell>
        </row>
        <row r="2567">
          <cell r="A2567" t="str">
            <v>1000/1422       NPK 12-12-12-11</v>
          </cell>
          <cell r="J2567">
            <v>1852.8</v>
          </cell>
        </row>
        <row r="2568">
          <cell r="A2568" t="str">
            <v>1000/1422       NPK 12-12-12-11</v>
          </cell>
          <cell r="J2568">
            <v>3863.28</v>
          </cell>
        </row>
        <row r="2569">
          <cell r="A2569" t="str">
            <v>1000/1422       NPK 12-12-12-11</v>
          </cell>
          <cell r="J2569">
            <v>18621.959999999901</v>
          </cell>
        </row>
        <row r="2570">
          <cell r="A2570" t="str">
            <v>1000/1422       NPK 12-12-12-11</v>
          </cell>
          <cell r="J2570">
            <v>0</v>
          </cell>
        </row>
        <row r="2571">
          <cell r="A2571" t="str">
            <v>1000/1422       NPK 12-12-12-11</v>
          </cell>
          <cell r="J2571">
            <v>0</v>
          </cell>
        </row>
        <row r="2572">
          <cell r="A2572" t="str">
            <v>1000/1422       NPK 12-12-12-11</v>
          </cell>
          <cell r="J2572">
            <v>1931.52</v>
          </cell>
        </row>
        <row r="2573">
          <cell r="A2573" t="str">
            <v>1000/1422       NPK 12-12-12-11</v>
          </cell>
          <cell r="J2573">
            <v>0</v>
          </cell>
        </row>
        <row r="2574">
          <cell r="A2574" t="str">
            <v>1000/1422       NPK 12-12-12-11</v>
          </cell>
          <cell r="J2574">
            <v>0</v>
          </cell>
        </row>
        <row r="2575">
          <cell r="A2575" t="str">
            <v>1000/1422       NPK 12-12-12-11</v>
          </cell>
          <cell r="J2575">
            <v>4047.36</v>
          </cell>
        </row>
        <row r="2576">
          <cell r="A2576" t="str">
            <v>1000/1422       NPK 12-12-12-11</v>
          </cell>
          <cell r="J2576">
            <v>1590</v>
          </cell>
        </row>
        <row r="2577">
          <cell r="A2577" t="str">
            <v>1000/1422       NPK 12-12-12-11</v>
          </cell>
          <cell r="J2577">
            <v>1931.52</v>
          </cell>
        </row>
        <row r="2578">
          <cell r="A2578" t="str">
            <v>1000/1422       NPK 12-12-12-11</v>
          </cell>
          <cell r="J2578">
            <v>0</v>
          </cell>
        </row>
        <row r="2579">
          <cell r="A2579" t="str">
            <v>1000/1422       NPK 12-12-12-11</v>
          </cell>
          <cell r="J2579">
            <v>0</v>
          </cell>
        </row>
        <row r="2580">
          <cell r="A2580" t="str">
            <v>1000/1422       NPK 12-12-12-11</v>
          </cell>
          <cell r="J2580">
            <v>2076.2399999999898</v>
          </cell>
        </row>
        <row r="2581">
          <cell r="A2581" t="str">
            <v>1000/1422       NPK 12-12-12-11</v>
          </cell>
          <cell r="J2581">
            <v>0</v>
          </cell>
        </row>
        <row r="2582">
          <cell r="A2582" t="str">
            <v>1000/1422       NPK 12-12-12-11</v>
          </cell>
          <cell r="J2582">
            <v>3919.9699999999898</v>
          </cell>
        </row>
        <row r="2583">
          <cell r="A2583" t="str">
            <v>1000/1422       NPK 12-12-12-11</v>
          </cell>
          <cell r="J2583">
            <v>1815.8399999999899</v>
          </cell>
        </row>
        <row r="2584">
          <cell r="A2584" t="str">
            <v>1000/1422       NPK 12-12-12-11</v>
          </cell>
          <cell r="J2584">
            <v>1529.28</v>
          </cell>
        </row>
        <row r="2585">
          <cell r="A2585" t="str">
            <v>1000/1422       NPK 12-12-12-11</v>
          </cell>
          <cell r="J2585">
            <v>16649.34</v>
          </cell>
        </row>
        <row r="2586">
          <cell r="A2586" t="str">
            <v>1000/1422       NPK 12-12-12-11</v>
          </cell>
          <cell r="J2586">
            <v>0</v>
          </cell>
        </row>
        <row r="2587">
          <cell r="A2587" t="str">
            <v>1000/1422       NPK 12-12-12-11</v>
          </cell>
          <cell r="J2587">
            <v>0</v>
          </cell>
        </row>
        <row r="2588">
          <cell r="A2588" t="str">
            <v>1000/1422       NPK 12-12-12-11</v>
          </cell>
          <cell r="J2588">
            <v>0</v>
          </cell>
        </row>
        <row r="2589">
          <cell r="A2589" t="str">
            <v>1000/1422       NPK 12-12-12-11</v>
          </cell>
          <cell r="J2589">
            <v>0</v>
          </cell>
        </row>
        <row r="2590">
          <cell r="A2590" t="str">
            <v>1000/1422       NPK 12-12-12-11</v>
          </cell>
          <cell r="J2590">
            <v>0</v>
          </cell>
        </row>
        <row r="2591">
          <cell r="A2591" t="str">
            <v>1000/1422       NPK 12-12-12-11</v>
          </cell>
          <cell r="J2591">
            <v>0</v>
          </cell>
        </row>
        <row r="2592">
          <cell r="A2592" t="str">
            <v>1000/1422       NPK 12-12-12-11</v>
          </cell>
          <cell r="J2592">
            <v>0</v>
          </cell>
        </row>
        <row r="2593">
          <cell r="A2593" t="str">
            <v>1000/1424       POLIMAG 311</v>
          </cell>
          <cell r="J2593">
            <v>0</v>
          </cell>
        </row>
        <row r="2594">
          <cell r="A2594" t="str">
            <v>1000/1425       NPK 13-13-21</v>
          </cell>
          <cell r="J2594">
            <v>0</v>
          </cell>
        </row>
        <row r="2595">
          <cell r="A2595" t="str">
            <v>1000/1425       NPK 13-13-21</v>
          </cell>
          <cell r="J2595">
            <v>0</v>
          </cell>
        </row>
        <row r="2596">
          <cell r="A2596" t="str">
            <v>1000/1425       NPK 13-13-21</v>
          </cell>
          <cell r="J2596">
            <v>0</v>
          </cell>
        </row>
        <row r="2597">
          <cell r="A2597" t="str">
            <v>1000/1425       NPK 13-13-21</v>
          </cell>
          <cell r="J2597">
            <v>0</v>
          </cell>
        </row>
        <row r="2598">
          <cell r="A2598" t="str">
            <v>1000/1427       NPK 8-24-16</v>
          </cell>
          <cell r="J2598">
            <v>0</v>
          </cell>
        </row>
        <row r="2599">
          <cell r="A2599" t="str">
            <v>1000/1428       NPK 11-8-20</v>
          </cell>
          <cell r="J2599">
            <v>1892.16</v>
          </cell>
        </row>
        <row r="2600">
          <cell r="A2600" t="str">
            <v>1000/1428       NPK 11-8-20</v>
          </cell>
          <cell r="J2600">
            <v>0</v>
          </cell>
        </row>
        <row r="2601">
          <cell r="A2601" t="str">
            <v>1000/1428       NPK 11-8-20</v>
          </cell>
          <cell r="J2601">
            <v>0</v>
          </cell>
        </row>
        <row r="2602">
          <cell r="A2602" t="str">
            <v>1000/1428       NPK 11-8-20</v>
          </cell>
          <cell r="J2602">
            <v>1090.5599999999899</v>
          </cell>
        </row>
        <row r="2603">
          <cell r="A2603" t="str">
            <v>1000/1428       NPK 11-8-20</v>
          </cell>
          <cell r="J2603">
            <v>0</v>
          </cell>
        </row>
        <row r="2604">
          <cell r="A2604" t="str">
            <v>1000/1428       NPK 11-8-20</v>
          </cell>
          <cell r="J2604">
            <v>2005.92</v>
          </cell>
        </row>
        <row r="2605">
          <cell r="A2605" t="str">
            <v>1000/1428       NPK 11-8-20</v>
          </cell>
          <cell r="J2605">
            <v>2076.2399999999898</v>
          </cell>
        </row>
        <row r="2606">
          <cell r="A2606" t="str">
            <v>1000/1428       NPK 11-8-20</v>
          </cell>
          <cell r="J2606">
            <v>0</v>
          </cell>
        </row>
        <row r="2607">
          <cell r="A2607" t="str">
            <v>1000/1428       NPK 11-8-20</v>
          </cell>
          <cell r="J2607">
            <v>946.08</v>
          </cell>
        </row>
        <row r="2608">
          <cell r="A2608" t="str">
            <v>1000/1428       NPK 11-8-20</v>
          </cell>
          <cell r="J2608">
            <v>0</v>
          </cell>
        </row>
        <row r="2609">
          <cell r="A2609" t="str">
            <v>1000/1428       NPK 11-8-20</v>
          </cell>
          <cell r="J2609">
            <v>0</v>
          </cell>
        </row>
        <row r="2610">
          <cell r="A2610" t="str">
            <v>1000/1428       NPK 11-8-20</v>
          </cell>
          <cell r="J2610">
            <v>0</v>
          </cell>
        </row>
        <row r="2611">
          <cell r="A2611" t="str">
            <v>1000/1428       NPK 11-8-20</v>
          </cell>
          <cell r="J2611">
            <v>1935.8499999999899</v>
          </cell>
        </row>
        <row r="2612">
          <cell r="A2612" t="str">
            <v>1000/1428       NPK 11-8-20</v>
          </cell>
          <cell r="J2612">
            <v>1090.5599999999899</v>
          </cell>
        </row>
        <row r="2613">
          <cell r="A2613" t="str">
            <v>1000/1428       NPK 11-8-20</v>
          </cell>
          <cell r="J2613">
            <v>0</v>
          </cell>
        </row>
        <row r="2614">
          <cell r="A2614" t="str">
            <v>1000/1428       NPK 11-8-20</v>
          </cell>
          <cell r="J2614">
            <v>0</v>
          </cell>
        </row>
        <row r="2615">
          <cell r="A2615" t="str">
            <v>1000/1428       NPK 11-8-20</v>
          </cell>
          <cell r="J2615">
            <v>0</v>
          </cell>
        </row>
        <row r="2616">
          <cell r="A2616" t="str">
            <v>1000/1428       NPK 11-8-20</v>
          </cell>
          <cell r="J2616">
            <v>0</v>
          </cell>
        </row>
        <row r="2617">
          <cell r="A2617" t="str">
            <v>1000/1428       NPK 11-8-20</v>
          </cell>
          <cell r="J2617">
            <v>0</v>
          </cell>
        </row>
        <row r="2618">
          <cell r="A2618" t="str">
            <v>1000/1428       NPK 11-8-20</v>
          </cell>
          <cell r="J2618">
            <v>0</v>
          </cell>
        </row>
        <row r="2619">
          <cell r="A2619" t="str">
            <v>1000/1428       NPK 11-8-20</v>
          </cell>
          <cell r="J2619">
            <v>0</v>
          </cell>
        </row>
        <row r="2620">
          <cell r="A2620" t="str">
            <v>1000/1428       NPK 11-8-20</v>
          </cell>
          <cell r="J2620">
            <v>0</v>
          </cell>
        </row>
        <row r="2621">
          <cell r="A2621" t="str">
            <v>1000/1428       NPK 11-8-20</v>
          </cell>
          <cell r="J2621">
            <v>0</v>
          </cell>
        </row>
        <row r="2622">
          <cell r="A2622" t="str">
            <v>1000/1428       NPK 11-8-20</v>
          </cell>
          <cell r="J2622">
            <v>0</v>
          </cell>
        </row>
        <row r="2623">
          <cell r="A2623" t="str">
            <v>1000/1428       NPK 11-8-20</v>
          </cell>
          <cell r="J2623">
            <v>0</v>
          </cell>
        </row>
        <row r="2624">
          <cell r="A2624" t="str">
            <v>1000/1429       POLIMAG 405</v>
          </cell>
          <cell r="J2624">
            <v>0</v>
          </cell>
        </row>
        <row r="2625">
          <cell r="A2625" t="str">
            <v>1000/1429       POLIMAG 405</v>
          </cell>
          <cell r="J2625">
            <v>1030.0799999999899</v>
          </cell>
        </row>
        <row r="2626">
          <cell r="A2626" t="str">
            <v>1000/1429       POLIMAG 405</v>
          </cell>
          <cell r="J2626">
            <v>1637.28</v>
          </cell>
        </row>
        <row r="2627">
          <cell r="A2627" t="str">
            <v>1000/1429       POLIMAG 405</v>
          </cell>
          <cell r="J2627">
            <v>0</v>
          </cell>
        </row>
        <row r="2628">
          <cell r="A2628" t="str">
            <v>1000/1429       POLIMAG 405</v>
          </cell>
          <cell r="J2628">
            <v>1130.6400000000001</v>
          </cell>
        </row>
        <row r="2629">
          <cell r="A2629" t="str">
            <v>1000/1429       POLIMAG 405</v>
          </cell>
          <cell r="J2629">
            <v>688.55999999999904</v>
          </cell>
        </row>
        <row r="2630">
          <cell r="A2630" t="str">
            <v>1000/1429       POLIMAG 405</v>
          </cell>
          <cell r="J2630">
            <v>2501.7600000000002</v>
          </cell>
        </row>
        <row r="2631">
          <cell r="A2631" t="str">
            <v>1000/1429       POLIMAG 405</v>
          </cell>
          <cell r="J2631">
            <v>882.58</v>
          </cell>
        </row>
        <row r="2632">
          <cell r="A2632" t="str">
            <v>1000/1429       POLIMAG 405</v>
          </cell>
          <cell r="J2632">
            <v>1979.52</v>
          </cell>
        </row>
        <row r="2633">
          <cell r="A2633" t="str">
            <v>1000/1429       POLIMAG 405</v>
          </cell>
          <cell r="J2633">
            <v>1644.45</v>
          </cell>
        </row>
        <row r="2634">
          <cell r="A2634" t="str">
            <v>1000/1429       POLIMAG 405</v>
          </cell>
          <cell r="J2634">
            <v>7639.4399999999896</v>
          </cell>
        </row>
        <row r="2635">
          <cell r="A2635" t="str">
            <v>1000/1429       POLIMAG 405</v>
          </cell>
          <cell r="J2635">
            <v>0</v>
          </cell>
        </row>
        <row r="2636">
          <cell r="A2636" t="str">
            <v>1000/1429       POLIMAG 405</v>
          </cell>
          <cell r="J2636">
            <v>1518.96</v>
          </cell>
        </row>
        <row r="2637">
          <cell r="A2637" t="str">
            <v>1000/1429       POLIMAG 405</v>
          </cell>
          <cell r="J2637">
            <v>1871.76</v>
          </cell>
        </row>
        <row r="2638">
          <cell r="A2638" t="str">
            <v>1000/1429       POLIMAG 405</v>
          </cell>
          <cell r="J2638">
            <v>0</v>
          </cell>
        </row>
        <row r="2639">
          <cell r="A2639" t="str">
            <v>1000/1429       POLIMAG 405</v>
          </cell>
          <cell r="J2639">
            <v>0</v>
          </cell>
        </row>
        <row r="2640">
          <cell r="A2640" t="str">
            <v>1000/1429       POLIMAG 405</v>
          </cell>
          <cell r="J2640">
            <v>0</v>
          </cell>
        </row>
        <row r="2641">
          <cell r="A2641" t="str">
            <v>1000/1429       POLIMAG 405</v>
          </cell>
          <cell r="J2641">
            <v>11673.7</v>
          </cell>
        </row>
        <row r="2642">
          <cell r="A2642" t="str">
            <v>1000/1429       POLIMAG 405</v>
          </cell>
          <cell r="J2642">
            <v>0</v>
          </cell>
        </row>
        <row r="2643">
          <cell r="A2643" t="str">
            <v>1000/1429       POLIMAG 405</v>
          </cell>
          <cell r="J2643">
            <v>827.82</v>
          </cell>
        </row>
        <row r="2644">
          <cell r="A2644" t="str">
            <v>1000/1429       POLIMAG 405</v>
          </cell>
          <cell r="J2644">
            <v>0</v>
          </cell>
        </row>
        <row r="2645">
          <cell r="A2645" t="str">
            <v>1000/1429       POLIMAG 405</v>
          </cell>
          <cell r="J2645">
            <v>7314.2399999999898</v>
          </cell>
        </row>
        <row r="2646">
          <cell r="A2646" t="str">
            <v>1000/1429       POLIMAG 405</v>
          </cell>
          <cell r="J2646">
            <v>600.48</v>
          </cell>
        </row>
        <row r="2647">
          <cell r="A2647" t="str">
            <v>1000/1429       POLIMAG 405</v>
          </cell>
          <cell r="J2647">
            <v>0</v>
          </cell>
        </row>
        <row r="2648">
          <cell r="A2648" t="str">
            <v>1000/1429       POLIMAG 405</v>
          </cell>
          <cell r="J2648">
            <v>4154.7799999999897</v>
          </cell>
        </row>
        <row r="2649">
          <cell r="A2649" t="str">
            <v>1000/1429       POLIMAG 405</v>
          </cell>
          <cell r="J2649">
            <v>0</v>
          </cell>
        </row>
        <row r="2650">
          <cell r="A2650" t="str">
            <v>1000/1429       POLIMAG 405</v>
          </cell>
          <cell r="J2650">
            <v>1030.0799999999899</v>
          </cell>
        </row>
        <row r="2651">
          <cell r="A2651" t="str">
            <v>1000/1429       POLIMAG 405</v>
          </cell>
          <cell r="J2651">
            <v>0</v>
          </cell>
        </row>
        <row r="2652">
          <cell r="A2652" t="str">
            <v>1000/1429       POLIMAG 405</v>
          </cell>
          <cell r="J2652">
            <v>0</v>
          </cell>
        </row>
        <row r="2653">
          <cell r="A2653" t="str">
            <v>1000/1429       POLIMAG 405</v>
          </cell>
          <cell r="J2653">
            <v>0</v>
          </cell>
        </row>
        <row r="2654">
          <cell r="A2654" t="str">
            <v>1000/1429       POLIMAG 405</v>
          </cell>
          <cell r="J2654">
            <v>2076.2399999999898</v>
          </cell>
        </row>
        <row r="2655">
          <cell r="A2655" t="str">
            <v>1000/1429       POLIMAG 405</v>
          </cell>
          <cell r="J2655">
            <v>0</v>
          </cell>
        </row>
        <row r="2656">
          <cell r="A2656" t="str">
            <v>1000/1429       POLIMAG 405</v>
          </cell>
          <cell r="J2656">
            <v>6358.1999999999898</v>
          </cell>
        </row>
        <row r="2657">
          <cell r="A2657" t="str">
            <v>1000/1429       POLIMAG 405</v>
          </cell>
          <cell r="J2657">
            <v>0</v>
          </cell>
        </row>
        <row r="2658">
          <cell r="A2658" t="str">
            <v>1000/1429       POLIMAG 405</v>
          </cell>
          <cell r="J2658">
            <v>0</v>
          </cell>
        </row>
        <row r="2659">
          <cell r="A2659" t="str">
            <v>1000/1429       POLIMAG 405</v>
          </cell>
          <cell r="J2659">
            <v>1149.8199999999899</v>
          </cell>
        </row>
        <row r="2660">
          <cell r="A2660" t="str">
            <v>1000/1429       POLIMAG 405</v>
          </cell>
          <cell r="J2660">
            <v>0</v>
          </cell>
        </row>
        <row r="2661">
          <cell r="A2661" t="str">
            <v>1000/1429       POLIMAG 405</v>
          </cell>
          <cell r="J2661">
            <v>0</v>
          </cell>
        </row>
        <row r="2662">
          <cell r="A2662" t="str">
            <v>1000/1429       POLIMAG 405</v>
          </cell>
          <cell r="J2662">
            <v>0</v>
          </cell>
        </row>
        <row r="2663">
          <cell r="A2663" t="str">
            <v>1000/1429       POLIMAG 405</v>
          </cell>
          <cell r="J2663">
            <v>0</v>
          </cell>
        </row>
        <row r="2664">
          <cell r="A2664" t="str">
            <v>1000/1429       POLIMAG 405</v>
          </cell>
          <cell r="J2664">
            <v>0</v>
          </cell>
        </row>
        <row r="2665">
          <cell r="A2665" t="str">
            <v>1000/1429       POLIMAG 405</v>
          </cell>
          <cell r="J2665">
            <v>0</v>
          </cell>
        </row>
        <row r="2666">
          <cell r="A2666" t="str">
            <v>1000/1429       POLIMAG 405</v>
          </cell>
          <cell r="J2666">
            <v>0</v>
          </cell>
        </row>
        <row r="2667">
          <cell r="A2667" t="str">
            <v>1000/1429       POLIMAG 405</v>
          </cell>
          <cell r="J2667">
            <v>86397.839999999895</v>
          </cell>
        </row>
        <row r="2668">
          <cell r="A2668" t="str">
            <v>1000/1429       POLIMAG 405</v>
          </cell>
          <cell r="J2668">
            <v>1856.76</v>
          </cell>
        </row>
        <row r="2669">
          <cell r="A2669" t="str">
            <v>1000/1429       POLIMAG 405</v>
          </cell>
          <cell r="J2669">
            <v>0</v>
          </cell>
        </row>
        <row r="2670">
          <cell r="A2670" t="str">
            <v>1000/1429       POLIMAG 405</v>
          </cell>
          <cell r="J2670">
            <v>0</v>
          </cell>
        </row>
        <row r="2671">
          <cell r="A2671" t="str">
            <v>1000/1429       POLIMAG 405</v>
          </cell>
          <cell r="J2671">
            <v>0</v>
          </cell>
        </row>
        <row r="2672">
          <cell r="A2672" t="str">
            <v>1000/1429       POLIMAG 405</v>
          </cell>
          <cell r="J2672">
            <v>6929.7299999999896</v>
          </cell>
        </row>
        <row r="2673">
          <cell r="A2673" t="str">
            <v>1000/1429       POLIMAG 405</v>
          </cell>
          <cell r="J2673">
            <v>35204.160000000003</v>
          </cell>
        </row>
        <row r="2674">
          <cell r="A2674" t="str">
            <v>1000/1429       POLIMAG 405</v>
          </cell>
          <cell r="J2674">
            <v>780.48</v>
          </cell>
        </row>
        <row r="2675">
          <cell r="A2675" t="str">
            <v>1000/1429       POLIMAG 405</v>
          </cell>
          <cell r="J2675">
            <v>1253.52</v>
          </cell>
        </row>
        <row r="2676">
          <cell r="A2676" t="str">
            <v>1000/1429       POLIMAG 405</v>
          </cell>
          <cell r="J2676">
            <v>1779.1199999999899</v>
          </cell>
        </row>
        <row r="2677">
          <cell r="A2677" t="str">
            <v>1000/1429       POLIMAG 405</v>
          </cell>
          <cell r="J2677">
            <v>1229.76</v>
          </cell>
        </row>
        <row r="2678">
          <cell r="A2678" t="str">
            <v>1000/1429       POLIMAG 405</v>
          </cell>
          <cell r="J2678">
            <v>1970.88</v>
          </cell>
        </row>
        <row r="2679">
          <cell r="A2679" t="str">
            <v>1000/1429       POLIMAG 405</v>
          </cell>
          <cell r="J2679">
            <v>0</v>
          </cell>
        </row>
        <row r="2680">
          <cell r="A2680" t="str">
            <v>1000/1429       POLIMAG 405</v>
          </cell>
          <cell r="J2680">
            <v>0</v>
          </cell>
        </row>
        <row r="2681">
          <cell r="A2681" t="str">
            <v>1000/1429       POLIMAG 405</v>
          </cell>
          <cell r="J2681">
            <v>0</v>
          </cell>
        </row>
        <row r="2682">
          <cell r="A2682" t="str">
            <v>1000/1429       POLIMAG 405</v>
          </cell>
          <cell r="J2682">
            <v>0</v>
          </cell>
        </row>
        <row r="2683">
          <cell r="A2683" t="str">
            <v>1000/1429       POLIMAG 405</v>
          </cell>
          <cell r="J2683">
            <v>3476.23</v>
          </cell>
        </row>
        <row r="2684">
          <cell r="A2684" t="str">
            <v>1000/1429       POLIMAG 405</v>
          </cell>
          <cell r="J2684">
            <v>16498.2</v>
          </cell>
        </row>
        <row r="2685">
          <cell r="A2685" t="str">
            <v>1000/1429       POLIMAG 405</v>
          </cell>
          <cell r="J2685">
            <v>1892.16</v>
          </cell>
        </row>
        <row r="2686">
          <cell r="A2686" t="str">
            <v>1000/1429       POLIMAG 405</v>
          </cell>
          <cell r="J2686">
            <v>3274.5599999999899</v>
          </cell>
        </row>
        <row r="2687">
          <cell r="A2687" t="str">
            <v>1000/1429       POLIMAG 405</v>
          </cell>
          <cell r="J2687">
            <v>1300.8</v>
          </cell>
        </row>
        <row r="2688">
          <cell r="A2688" t="str">
            <v>1000/1429       POLIMAG 405</v>
          </cell>
          <cell r="J2688">
            <v>1484.88</v>
          </cell>
        </row>
        <row r="2689">
          <cell r="A2689" t="str">
            <v>1000/1429       POLIMAG 405</v>
          </cell>
          <cell r="J2689">
            <v>1931.52</v>
          </cell>
        </row>
        <row r="2690">
          <cell r="A2690" t="str">
            <v>1000/1429       POLIMAG 405</v>
          </cell>
          <cell r="J2690">
            <v>0</v>
          </cell>
        </row>
        <row r="2691">
          <cell r="A2691" t="str">
            <v>1000/1429       POLIMAG 405</v>
          </cell>
          <cell r="J2691">
            <v>0</v>
          </cell>
        </row>
        <row r="2692">
          <cell r="A2692" t="str">
            <v>1000/1429       POLIMAG 405</v>
          </cell>
          <cell r="J2692">
            <v>0</v>
          </cell>
        </row>
        <row r="2693">
          <cell r="A2693" t="str">
            <v>1000/1429       POLIMAG 405</v>
          </cell>
          <cell r="J2693">
            <v>0</v>
          </cell>
        </row>
        <row r="2694">
          <cell r="A2694" t="str">
            <v>1000/1429       POLIMAG 405</v>
          </cell>
          <cell r="J2694">
            <v>0</v>
          </cell>
        </row>
        <row r="2695">
          <cell r="A2695" t="str">
            <v>1000/1429       POLIMAG 405</v>
          </cell>
          <cell r="J2695">
            <v>0</v>
          </cell>
        </row>
        <row r="2696">
          <cell r="A2696" t="str">
            <v>1000/1429       POLIMAG 405</v>
          </cell>
          <cell r="J2696">
            <v>1300.8</v>
          </cell>
        </row>
        <row r="2697">
          <cell r="A2697" t="str">
            <v>1000/1429       POLIMAG 405</v>
          </cell>
          <cell r="J2697">
            <v>1038.1199999999899</v>
          </cell>
        </row>
        <row r="2698">
          <cell r="A2698" t="str">
            <v>1000/1429       POLIMAG 405</v>
          </cell>
          <cell r="J2698">
            <v>1030.0799999999899</v>
          </cell>
        </row>
        <row r="2699">
          <cell r="A2699" t="str">
            <v>1000/1429       POLIMAG 405</v>
          </cell>
          <cell r="J2699">
            <v>0</v>
          </cell>
        </row>
        <row r="2700">
          <cell r="A2700" t="str">
            <v>1000/1429       POLIMAG 405</v>
          </cell>
          <cell r="J2700">
            <v>3944.6599999999899</v>
          </cell>
        </row>
        <row r="2701">
          <cell r="A2701" t="str">
            <v>1000/1429       POLIMAG 405</v>
          </cell>
          <cell r="J2701">
            <v>0</v>
          </cell>
        </row>
        <row r="2702">
          <cell r="A2702" t="str">
            <v>1000/1429       POLIMAG 405</v>
          </cell>
          <cell r="J2702">
            <v>0</v>
          </cell>
        </row>
        <row r="2703">
          <cell r="A2703" t="str">
            <v>1000/1429       POLIMAG 405</v>
          </cell>
          <cell r="J2703">
            <v>4100.5600000000004</v>
          </cell>
        </row>
        <row r="2704">
          <cell r="A2704" t="str">
            <v>1000/1429       POLIMAG 405</v>
          </cell>
          <cell r="J2704">
            <v>0</v>
          </cell>
        </row>
        <row r="2705">
          <cell r="A2705" t="str">
            <v>1000/1429       POLIMAG 405</v>
          </cell>
          <cell r="J2705">
            <v>1200.96</v>
          </cell>
        </row>
        <row r="2706">
          <cell r="A2706" t="str">
            <v>1000/1429       POLIMAG 405</v>
          </cell>
          <cell r="J2706">
            <v>0</v>
          </cell>
        </row>
        <row r="2707">
          <cell r="A2707" t="str">
            <v>1000/1429       POLIMAG 405</v>
          </cell>
          <cell r="J2707">
            <v>0</v>
          </cell>
        </row>
        <row r="2708">
          <cell r="A2708" t="str">
            <v>1000/1429       POLIMAG 405</v>
          </cell>
          <cell r="J2708">
            <v>0</v>
          </cell>
        </row>
        <row r="2709">
          <cell r="A2709" t="str">
            <v>1000/1429       POLIMAG 405</v>
          </cell>
          <cell r="J2709">
            <v>0</v>
          </cell>
        </row>
        <row r="2710">
          <cell r="A2710" t="str">
            <v>1000/1429       POLIMAG 405</v>
          </cell>
          <cell r="J2710">
            <v>1082.6400000000001</v>
          </cell>
        </row>
        <row r="2711">
          <cell r="A2711" t="str">
            <v>1000/1429       POLIMAG 405</v>
          </cell>
          <cell r="J2711">
            <v>0</v>
          </cell>
        </row>
        <row r="2712">
          <cell r="A2712" t="str">
            <v>1000/1429       POLIMAG 405</v>
          </cell>
          <cell r="J2712">
            <v>0</v>
          </cell>
        </row>
        <row r="2713">
          <cell r="A2713" t="str">
            <v>1000/1429       POLIMAG 405</v>
          </cell>
          <cell r="J2713">
            <v>977.51999999999896</v>
          </cell>
        </row>
        <row r="2714">
          <cell r="A2714" t="str">
            <v>1000/1429       POLIMAG 405</v>
          </cell>
          <cell r="J2714">
            <v>1888.99</v>
          </cell>
        </row>
        <row r="2715">
          <cell r="A2715" t="str">
            <v>1000/1429       POLIMAG 405</v>
          </cell>
          <cell r="J2715">
            <v>0</v>
          </cell>
        </row>
        <row r="2716">
          <cell r="A2716" t="str">
            <v>1000/1429       POLIMAG 405</v>
          </cell>
          <cell r="J2716">
            <v>2275.36</v>
          </cell>
        </row>
        <row r="2717">
          <cell r="A2717" t="str">
            <v>1000/1429       POLIMAG 405</v>
          </cell>
          <cell r="J2717">
            <v>667.55999999999904</v>
          </cell>
        </row>
        <row r="2718">
          <cell r="A2718" t="str">
            <v>1000/1429       POLIMAG 405</v>
          </cell>
          <cell r="J2718">
            <v>0</v>
          </cell>
        </row>
        <row r="2719">
          <cell r="A2719" t="str">
            <v>1000/1429       POLIMAG 405</v>
          </cell>
          <cell r="J2719">
            <v>0</v>
          </cell>
        </row>
        <row r="2720">
          <cell r="A2720" t="str">
            <v>1000/1429       POLIMAG 405</v>
          </cell>
          <cell r="J2720">
            <v>1903.3199999999899</v>
          </cell>
        </row>
        <row r="2721">
          <cell r="A2721" t="str">
            <v>1000/1429       POLIMAG 405</v>
          </cell>
          <cell r="J2721">
            <v>0</v>
          </cell>
        </row>
        <row r="2722">
          <cell r="A2722" t="str">
            <v>1000/1429       POLIMAG 405</v>
          </cell>
          <cell r="J2722">
            <v>0</v>
          </cell>
        </row>
        <row r="2723">
          <cell r="A2723" t="str">
            <v>1000/1429       POLIMAG 405</v>
          </cell>
          <cell r="J2723">
            <v>2124.2399999999898</v>
          </cell>
        </row>
        <row r="2724">
          <cell r="A2724" t="str">
            <v>1000/1429       POLIMAG 405</v>
          </cell>
          <cell r="J2724">
            <v>1590</v>
          </cell>
        </row>
        <row r="2725">
          <cell r="A2725" t="str">
            <v>1000/1429       POLIMAG 405</v>
          </cell>
          <cell r="J2725">
            <v>1971.1199999999899</v>
          </cell>
        </row>
        <row r="2726">
          <cell r="A2726" t="str">
            <v>1000/1429       POLIMAG 405</v>
          </cell>
          <cell r="J2726">
            <v>0</v>
          </cell>
        </row>
        <row r="2727">
          <cell r="A2727" t="str">
            <v>1000/1429       POLIMAG 405</v>
          </cell>
          <cell r="J2727">
            <v>2094.48</v>
          </cell>
        </row>
        <row r="2728">
          <cell r="A2728" t="str">
            <v>1000/1429       POLIMAG 405</v>
          </cell>
          <cell r="J2728">
            <v>0</v>
          </cell>
        </row>
        <row r="2729">
          <cell r="A2729" t="str">
            <v>1000/1429       POLIMAG 405</v>
          </cell>
          <cell r="J2729">
            <v>0</v>
          </cell>
        </row>
        <row r="2730">
          <cell r="A2730" t="str">
            <v>1000/1429       POLIMAG 405</v>
          </cell>
          <cell r="J2730">
            <v>2401.92</v>
          </cell>
        </row>
        <row r="2731">
          <cell r="A2731" t="str">
            <v>1000/1429       POLIMAG 405</v>
          </cell>
          <cell r="J2731">
            <v>5224.3199999999897</v>
          </cell>
        </row>
        <row r="2732">
          <cell r="A2732" t="str">
            <v>1000/1429       POLIMAG 405</v>
          </cell>
          <cell r="J2732">
            <v>14154</v>
          </cell>
        </row>
        <row r="2733">
          <cell r="A2733" t="str">
            <v>1000/1429       POLIMAG 405</v>
          </cell>
          <cell r="J2733">
            <v>0</v>
          </cell>
        </row>
        <row r="2734">
          <cell r="A2734" t="str">
            <v>1000/1429       POLIMAG 405</v>
          </cell>
          <cell r="J2734">
            <v>1500.48</v>
          </cell>
        </row>
        <row r="2735">
          <cell r="A2735" t="str">
            <v>1000/1429       POLIMAG 405</v>
          </cell>
          <cell r="J2735">
            <v>0</v>
          </cell>
        </row>
        <row r="2736">
          <cell r="A2736" t="str">
            <v>1000/1429       POLIMAG 405</v>
          </cell>
          <cell r="J2736">
            <v>2034.25</v>
          </cell>
        </row>
        <row r="2737">
          <cell r="A2737" t="str">
            <v>1000/1429       POLIMAG 405</v>
          </cell>
          <cell r="J2737">
            <v>819.84</v>
          </cell>
        </row>
        <row r="2738">
          <cell r="A2738" t="str">
            <v>1000/1429       POLIMAG 405</v>
          </cell>
          <cell r="J2738">
            <v>2034.25</v>
          </cell>
        </row>
        <row r="2739">
          <cell r="A2739" t="str">
            <v>1000/1429       POLIMAG 405</v>
          </cell>
          <cell r="J2739">
            <v>0</v>
          </cell>
        </row>
        <row r="2740">
          <cell r="A2740" t="str">
            <v>1000/1429       POLIMAG 405</v>
          </cell>
          <cell r="J2740">
            <v>0</v>
          </cell>
        </row>
        <row r="2741">
          <cell r="A2741" t="str">
            <v>1000/1429       POLIMAG 405</v>
          </cell>
          <cell r="J2741">
            <v>0</v>
          </cell>
        </row>
        <row r="2742">
          <cell r="A2742" t="str">
            <v>1000/1429       POLIMAG 405</v>
          </cell>
          <cell r="J2742">
            <v>0</v>
          </cell>
        </row>
        <row r="2743">
          <cell r="A2743" t="str">
            <v>1000/1429       POLIMAG 405</v>
          </cell>
          <cell r="J2743">
            <v>0</v>
          </cell>
        </row>
        <row r="2744">
          <cell r="A2744" t="str">
            <v>1000/1429       POLIMAG 405</v>
          </cell>
          <cell r="J2744">
            <v>0</v>
          </cell>
        </row>
        <row r="2745">
          <cell r="A2745" t="str">
            <v>1000/1429       POLIMAG 405</v>
          </cell>
          <cell r="J2745">
            <v>0</v>
          </cell>
        </row>
        <row r="2746">
          <cell r="A2746" t="str">
            <v>1000/1429       POLIMAG 405</v>
          </cell>
          <cell r="J2746">
            <v>3369.1199999999899</v>
          </cell>
        </row>
        <row r="2747">
          <cell r="A2747" t="str">
            <v>1000/1429       POLIMAG 405</v>
          </cell>
          <cell r="J2747">
            <v>0</v>
          </cell>
        </row>
        <row r="2748">
          <cell r="A2748" t="str">
            <v>1000/1429       POLIMAG 405</v>
          </cell>
          <cell r="J2748">
            <v>0</v>
          </cell>
        </row>
        <row r="2749">
          <cell r="A2749" t="str">
            <v>1000/1429       POLIMAG 405</v>
          </cell>
          <cell r="J2749">
            <v>990.00999999999897</v>
          </cell>
        </row>
        <row r="2750">
          <cell r="A2750" t="str">
            <v>1000/1429       POLIMAG 405</v>
          </cell>
          <cell r="J2750">
            <v>0</v>
          </cell>
        </row>
        <row r="2751">
          <cell r="A2751" t="str">
            <v>1000/1429       POLIMAG 405</v>
          </cell>
          <cell r="J2751">
            <v>475.68</v>
          </cell>
        </row>
        <row r="2752">
          <cell r="A2752" t="str">
            <v>1000/1429       POLIMAG 405</v>
          </cell>
          <cell r="J2752">
            <v>0</v>
          </cell>
        </row>
        <row r="2753">
          <cell r="A2753" t="str">
            <v>1000/1429       POLIMAG 405</v>
          </cell>
          <cell r="J2753">
            <v>0</v>
          </cell>
        </row>
        <row r="2754">
          <cell r="A2754" t="str">
            <v>1000/1429       POLIMAG 405</v>
          </cell>
          <cell r="J2754">
            <v>688.55999999999904</v>
          </cell>
        </row>
        <row r="2755">
          <cell r="A2755" t="str">
            <v>1000/1429       POLIMAG 405</v>
          </cell>
          <cell r="J2755">
            <v>898.79999999999905</v>
          </cell>
        </row>
        <row r="2756">
          <cell r="A2756" t="str">
            <v>1000/1429       POLIMAG 405</v>
          </cell>
          <cell r="J2756">
            <v>1038.1199999999899</v>
          </cell>
        </row>
        <row r="2757">
          <cell r="A2757" t="str">
            <v>1000/1429       POLIMAG 405</v>
          </cell>
          <cell r="J2757">
            <v>0</v>
          </cell>
        </row>
        <row r="2758">
          <cell r="A2758" t="str">
            <v>1000/1429       POLIMAG 405</v>
          </cell>
          <cell r="J2758">
            <v>951.36</v>
          </cell>
        </row>
        <row r="2759">
          <cell r="A2759" t="str">
            <v>1000/1429       POLIMAG 405</v>
          </cell>
          <cell r="J2759">
            <v>0</v>
          </cell>
        </row>
        <row r="2760">
          <cell r="A2760" t="str">
            <v>1000/1429       POLIMAG 405</v>
          </cell>
          <cell r="J2760">
            <v>2312.6399999999899</v>
          </cell>
        </row>
        <row r="2761">
          <cell r="A2761" t="str">
            <v>1000/1429       POLIMAG 405</v>
          </cell>
          <cell r="J2761">
            <v>0</v>
          </cell>
        </row>
        <row r="2762">
          <cell r="A2762" t="str">
            <v>1000/1429       POLIMAG 405</v>
          </cell>
          <cell r="J2762">
            <v>3944.6399999999899</v>
          </cell>
        </row>
        <row r="2763">
          <cell r="A2763" t="str">
            <v>1000/1429       POLIMAG 405</v>
          </cell>
          <cell r="J2763">
            <v>0</v>
          </cell>
        </row>
        <row r="2764">
          <cell r="A2764" t="str">
            <v>1000/1429       POLIMAG 405</v>
          </cell>
          <cell r="J2764">
            <v>1940.16</v>
          </cell>
        </row>
        <row r="2765">
          <cell r="A2765" t="str">
            <v>1000/1429       POLIMAG 405</v>
          </cell>
          <cell r="J2765">
            <v>0</v>
          </cell>
        </row>
        <row r="2766">
          <cell r="A2766" t="str">
            <v>1000/1429       POLIMAG 405</v>
          </cell>
          <cell r="J2766">
            <v>0</v>
          </cell>
        </row>
        <row r="2767">
          <cell r="A2767" t="str">
            <v>1000/1429       POLIMAG 405</v>
          </cell>
          <cell r="J2767">
            <v>1335.1199999999899</v>
          </cell>
        </row>
        <row r="2768">
          <cell r="A2768" t="str">
            <v>1000/1429       POLIMAG 405</v>
          </cell>
          <cell r="J2768">
            <v>0</v>
          </cell>
        </row>
        <row r="2769">
          <cell r="A2769" t="str">
            <v>1000/1429       POLIMAG 405</v>
          </cell>
          <cell r="J2769">
            <v>0</v>
          </cell>
        </row>
        <row r="2770">
          <cell r="A2770" t="str">
            <v>1000/1429       POLIMAG 405</v>
          </cell>
          <cell r="J2770">
            <v>0</v>
          </cell>
        </row>
        <row r="2771">
          <cell r="A2771" t="str">
            <v>1000/1429       POLIMAG 405</v>
          </cell>
          <cell r="J2771">
            <v>4047.36</v>
          </cell>
        </row>
        <row r="2772">
          <cell r="A2772" t="str">
            <v>1000/1429       POLIMAG 405</v>
          </cell>
          <cell r="J2772">
            <v>0</v>
          </cell>
        </row>
        <row r="2773">
          <cell r="A2773" t="str">
            <v>1000/1429       POLIMAG 405</v>
          </cell>
          <cell r="J2773">
            <v>0</v>
          </cell>
        </row>
        <row r="2774">
          <cell r="A2774" t="str">
            <v>1000/1429       POLIMAG 405</v>
          </cell>
          <cell r="J2774">
            <v>7261.1999999999898</v>
          </cell>
        </row>
        <row r="2775">
          <cell r="A2775" t="str">
            <v>1000/1429       POLIMAG 405</v>
          </cell>
          <cell r="J2775">
            <v>0</v>
          </cell>
        </row>
        <row r="2776">
          <cell r="A2776" t="str">
            <v>1000/1429       POLIMAG 405</v>
          </cell>
          <cell r="J2776">
            <v>1300.8</v>
          </cell>
        </row>
        <row r="2777">
          <cell r="A2777" t="str">
            <v>1000/1429       POLIMAG 405</v>
          </cell>
          <cell r="J2777">
            <v>946.08</v>
          </cell>
        </row>
        <row r="2778">
          <cell r="A2778" t="str">
            <v>1000/1429       POLIMAG 405</v>
          </cell>
          <cell r="J2778">
            <v>1251.5599999999899</v>
          </cell>
        </row>
        <row r="2779">
          <cell r="A2779" t="str">
            <v>1000/1429       POLIMAG 405</v>
          </cell>
          <cell r="J2779">
            <v>0</v>
          </cell>
        </row>
        <row r="2780">
          <cell r="A2780" t="str">
            <v>1000/1429       POLIMAG 405</v>
          </cell>
          <cell r="J2780">
            <v>530</v>
          </cell>
        </row>
        <row r="2781">
          <cell r="A2781" t="str">
            <v>1000/1429       POLIMAG 405</v>
          </cell>
          <cell r="J2781">
            <v>0</v>
          </cell>
        </row>
        <row r="2782">
          <cell r="A2782" t="str">
            <v>1000/1429       POLIMAG 405</v>
          </cell>
          <cell r="J2782">
            <v>1341.43</v>
          </cell>
        </row>
        <row r="2783">
          <cell r="A2783" t="str">
            <v>1000/1429       POLIMAG 405</v>
          </cell>
          <cell r="J2783">
            <v>0</v>
          </cell>
        </row>
        <row r="2784">
          <cell r="A2784" t="str">
            <v>1000/1429       POLIMAG 405</v>
          </cell>
          <cell r="J2784">
            <v>8803.2000000000007</v>
          </cell>
        </row>
        <row r="2785">
          <cell r="A2785" t="str">
            <v>1000/1429       POLIMAG 405</v>
          </cell>
          <cell r="J2785">
            <v>0</v>
          </cell>
        </row>
        <row r="2786">
          <cell r="A2786" t="str">
            <v>1000/1429       POLIMAG 405</v>
          </cell>
          <cell r="J2786">
            <v>34977.419999999896</v>
          </cell>
        </row>
        <row r="2787">
          <cell r="A2787" t="str">
            <v>1000/1429       POLIMAG 405</v>
          </cell>
          <cell r="J2787">
            <v>4336.3199999999897</v>
          </cell>
        </row>
        <row r="2788">
          <cell r="A2788" t="str">
            <v>1000/1429       POLIMAG 405</v>
          </cell>
          <cell r="J2788">
            <v>0</v>
          </cell>
        </row>
        <row r="2789">
          <cell r="A2789" t="str">
            <v>1000/1429       POLIMAG 405</v>
          </cell>
          <cell r="J2789">
            <v>1200.96</v>
          </cell>
        </row>
        <row r="2790">
          <cell r="A2790" t="str">
            <v>1000/1429       POLIMAG 405</v>
          </cell>
          <cell r="J2790">
            <v>0</v>
          </cell>
        </row>
        <row r="2791">
          <cell r="A2791" t="str">
            <v>1000/1429       POLIMAG 405</v>
          </cell>
          <cell r="J2791">
            <v>1300.8</v>
          </cell>
        </row>
        <row r="2792">
          <cell r="A2792" t="str">
            <v>1000/1429       POLIMAG 405</v>
          </cell>
          <cell r="J2792">
            <v>5014.0799999999899</v>
          </cell>
        </row>
        <row r="2793">
          <cell r="A2793" t="str">
            <v>1000/1429       POLIMAG 405</v>
          </cell>
          <cell r="J2793">
            <v>2261.4</v>
          </cell>
        </row>
        <row r="2794">
          <cell r="A2794" t="str">
            <v>1000/1429       POLIMAG 405</v>
          </cell>
          <cell r="J2794">
            <v>0</v>
          </cell>
        </row>
        <row r="2795">
          <cell r="A2795" t="str">
            <v>1000/1429       POLIMAG 405</v>
          </cell>
          <cell r="J2795">
            <v>1517.0799999999899</v>
          </cell>
        </row>
        <row r="2796">
          <cell r="A2796" t="str">
            <v>1000/1429       POLIMAG 405</v>
          </cell>
          <cell r="J2796">
            <v>902.75999999999897</v>
          </cell>
        </row>
        <row r="2797">
          <cell r="A2797" t="str">
            <v>1000/1429       POLIMAG 405</v>
          </cell>
          <cell r="J2797">
            <v>0</v>
          </cell>
        </row>
        <row r="2798">
          <cell r="A2798" t="str">
            <v>1000/1429       POLIMAG 405</v>
          </cell>
          <cell r="J2798">
            <v>0</v>
          </cell>
        </row>
        <row r="2799">
          <cell r="A2799" t="str">
            <v>1000/1429       POLIMAG 405</v>
          </cell>
          <cell r="J2799">
            <v>0</v>
          </cell>
        </row>
        <row r="2800">
          <cell r="A2800" t="str">
            <v>1000/1429       POLIMAG 405</v>
          </cell>
          <cell r="J2800">
            <v>0</v>
          </cell>
        </row>
        <row r="2801">
          <cell r="A2801" t="str">
            <v>1000/1429       POLIMAG 405</v>
          </cell>
          <cell r="J2801">
            <v>0</v>
          </cell>
        </row>
        <row r="2802">
          <cell r="A2802" t="str">
            <v>1000/1429       POLIMAG 405</v>
          </cell>
          <cell r="J2802">
            <v>0</v>
          </cell>
        </row>
        <row r="2803">
          <cell r="A2803" t="str">
            <v>1000/1429       POLIMAG 405</v>
          </cell>
          <cell r="J2803">
            <v>0</v>
          </cell>
        </row>
        <row r="2804">
          <cell r="A2804" t="str">
            <v>1000/1429       POLIMAG 405</v>
          </cell>
          <cell r="J2804">
            <v>3697.13</v>
          </cell>
        </row>
        <row r="2805">
          <cell r="A2805" t="str">
            <v>1000/1429       POLIMAG 405</v>
          </cell>
          <cell r="J2805">
            <v>0</v>
          </cell>
        </row>
        <row r="2806">
          <cell r="A2806" t="str">
            <v>1000/1429       POLIMAG 405</v>
          </cell>
          <cell r="J2806">
            <v>0</v>
          </cell>
        </row>
        <row r="2807">
          <cell r="A2807" t="str">
            <v>1000/1429       POLIMAG 405</v>
          </cell>
          <cell r="J2807">
            <v>2119.1999999999898</v>
          </cell>
        </row>
        <row r="2808">
          <cell r="A2808" t="str">
            <v>1000/1429       POLIMAG 405</v>
          </cell>
          <cell r="J2808">
            <v>9343.69</v>
          </cell>
        </row>
        <row r="2809">
          <cell r="A2809" t="str">
            <v>1000/1429       POLIMAG 405</v>
          </cell>
          <cell r="J2809">
            <v>1419.1199999999899</v>
          </cell>
        </row>
        <row r="2810">
          <cell r="A2810" t="str">
            <v>1000/1429       POLIMAG 405</v>
          </cell>
          <cell r="J2810">
            <v>0</v>
          </cell>
        </row>
        <row r="2811">
          <cell r="A2811" t="str">
            <v>1000/1429       POLIMAG 405</v>
          </cell>
          <cell r="J2811">
            <v>1815.8399999999899</v>
          </cell>
        </row>
        <row r="2812">
          <cell r="A2812" t="str">
            <v>1000/1429       POLIMAG 405</v>
          </cell>
          <cell r="J2812">
            <v>0</v>
          </cell>
        </row>
        <row r="2813">
          <cell r="A2813" t="str">
            <v>1000/1429       POLIMAG 405</v>
          </cell>
          <cell r="J2813">
            <v>0</v>
          </cell>
        </row>
        <row r="2814">
          <cell r="A2814" t="str">
            <v>1000/1429       POLIMAG 405</v>
          </cell>
          <cell r="J2814">
            <v>0</v>
          </cell>
        </row>
        <row r="2815">
          <cell r="A2815" t="str">
            <v>1000/1429       POLIMAG 405</v>
          </cell>
          <cell r="J2815">
            <v>0</v>
          </cell>
        </row>
        <row r="2816">
          <cell r="A2816" t="str">
            <v>1000/1429       POLIMAG 405</v>
          </cell>
          <cell r="J2816">
            <v>4650.72</v>
          </cell>
        </row>
        <row r="2817">
          <cell r="A2817" t="str">
            <v>1000/1429       POLIMAG 405</v>
          </cell>
          <cell r="J2817">
            <v>0</v>
          </cell>
        </row>
        <row r="2818">
          <cell r="A2818" t="str">
            <v>1000/1429       POLIMAG 405</v>
          </cell>
          <cell r="J2818">
            <v>0</v>
          </cell>
        </row>
        <row r="2819">
          <cell r="A2819" t="str">
            <v>1000/1429       POLIMAG 405</v>
          </cell>
          <cell r="J2819">
            <v>0</v>
          </cell>
        </row>
        <row r="2820">
          <cell r="A2820" t="str">
            <v>1000/1429       POLIMAG 405</v>
          </cell>
          <cell r="J2820">
            <v>0</v>
          </cell>
        </row>
        <row r="2821">
          <cell r="A2821" t="str">
            <v>1000/1429       POLIMAG 405</v>
          </cell>
          <cell r="J2821">
            <v>1992.72</v>
          </cell>
        </row>
        <row r="2822">
          <cell r="A2822" t="str">
            <v>1000/1429       POLIMAG 405</v>
          </cell>
          <cell r="J2822">
            <v>0</v>
          </cell>
        </row>
        <row r="2823">
          <cell r="A2823" t="str">
            <v>1000/1429       POLIMAG 405</v>
          </cell>
          <cell r="J2823">
            <v>0</v>
          </cell>
        </row>
        <row r="2824">
          <cell r="A2824" t="str">
            <v>1000/1429       POLIMAG 405</v>
          </cell>
          <cell r="J2824">
            <v>2325.36</v>
          </cell>
        </row>
        <row r="2825">
          <cell r="A2825" t="str">
            <v>1000/1429       POLIMAG 405</v>
          </cell>
          <cell r="J2825">
            <v>0</v>
          </cell>
        </row>
        <row r="2826">
          <cell r="A2826" t="str">
            <v>1000/1429       POLIMAG 405</v>
          </cell>
          <cell r="J2826">
            <v>0</v>
          </cell>
        </row>
        <row r="2827">
          <cell r="A2827" t="str">
            <v>1000/1429       POLIMAG 405</v>
          </cell>
          <cell r="J2827">
            <v>2207.7600000000002</v>
          </cell>
        </row>
        <row r="2828">
          <cell r="A2828" t="str">
            <v>1000/1429       POLIMAG 405</v>
          </cell>
          <cell r="J2828">
            <v>1016.88</v>
          </cell>
        </row>
        <row r="2829">
          <cell r="A2829" t="str">
            <v>1000/1429       POLIMAG 405</v>
          </cell>
          <cell r="J2829">
            <v>1094.0799999999899</v>
          </cell>
        </row>
        <row r="2830">
          <cell r="A2830" t="str">
            <v>1000/1429       POLIMAG 405</v>
          </cell>
          <cell r="J2830">
            <v>57515.32</v>
          </cell>
        </row>
        <row r="2831">
          <cell r="A2831" t="str">
            <v>1000/1429       POLIMAG 405</v>
          </cell>
          <cell r="J2831">
            <v>0</v>
          </cell>
        </row>
        <row r="2832">
          <cell r="A2832" t="str">
            <v>1000/1429       POLIMAG 405</v>
          </cell>
          <cell r="J2832">
            <v>0</v>
          </cell>
        </row>
        <row r="2833">
          <cell r="A2833" t="str">
            <v>1000/1429       POLIMAG 405</v>
          </cell>
          <cell r="J2833">
            <v>1545.3599999999899</v>
          </cell>
        </row>
        <row r="2834">
          <cell r="A2834" t="str">
            <v>1000/1429       POLIMAG 405</v>
          </cell>
          <cell r="J2834">
            <v>0</v>
          </cell>
        </row>
        <row r="2835">
          <cell r="A2835" t="str">
            <v>1000/1429       POLIMAG 405</v>
          </cell>
          <cell r="J2835">
            <v>0</v>
          </cell>
        </row>
        <row r="2836">
          <cell r="A2836" t="str">
            <v>1000/1429       POLIMAG 405</v>
          </cell>
          <cell r="J2836">
            <v>0</v>
          </cell>
        </row>
        <row r="2837">
          <cell r="A2837" t="str">
            <v>1000/1429       POLIMAG 405</v>
          </cell>
          <cell r="J2837">
            <v>1992.72</v>
          </cell>
        </row>
        <row r="2838">
          <cell r="A2838" t="str">
            <v>1000/1429       POLIMAG 405</v>
          </cell>
          <cell r="J2838">
            <v>3234.48</v>
          </cell>
        </row>
        <row r="2839">
          <cell r="A2839" t="str">
            <v>1000/1429       POLIMAG 405</v>
          </cell>
          <cell r="J2839">
            <v>0</v>
          </cell>
        </row>
        <row r="2840">
          <cell r="A2840" t="str">
            <v>1000/1429       POLIMAG 405</v>
          </cell>
          <cell r="J2840">
            <v>0</v>
          </cell>
        </row>
        <row r="2841">
          <cell r="A2841" t="str">
            <v>1000/1429       POLIMAG 405</v>
          </cell>
          <cell r="J2841">
            <v>4388.5799999999899</v>
          </cell>
        </row>
        <row r="2842">
          <cell r="A2842" t="str">
            <v>1000/1429       POLIMAG 405</v>
          </cell>
          <cell r="J2842">
            <v>0</v>
          </cell>
        </row>
        <row r="2843">
          <cell r="A2843" t="str">
            <v>1000/1429       POLIMAG 405</v>
          </cell>
          <cell r="J2843">
            <v>0</v>
          </cell>
        </row>
        <row r="2844">
          <cell r="A2844" t="str">
            <v>1000/1429       POLIMAG 405</v>
          </cell>
          <cell r="J2844">
            <v>0</v>
          </cell>
        </row>
        <row r="2845">
          <cell r="A2845" t="str">
            <v>1000/1429       POLIMAG 405</v>
          </cell>
          <cell r="J2845">
            <v>5065.4399999999896</v>
          </cell>
        </row>
        <row r="2846">
          <cell r="A2846" t="str">
            <v>1000/1429       POLIMAG 405</v>
          </cell>
          <cell r="J2846">
            <v>3667.6799999999898</v>
          </cell>
        </row>
        <row r="2847">
          <cell r="A2847" t="str">
            <v>1000/1429       POLIMAG 405</v>
          </cell>
          <cell r="J2847">
            <v>0</v>
          </cell>
        </row>
        <row r="2848">
          <cell r="A2848" t="str">
            <v>1000/1429       POLIMAG 405</v>
          </cell>
          <cell r="J2848">
            <v>0</v>
          </cell>
        </row>
        <row r="2849">
          <cell r="A2849" t="str">
            <v>1000/1429       POLIMAG 405</v>
          </cell>
          <cell r="J2849">
            <v>0</v>
          </cell>
        </row>
        <row r="2850">
          <cell r="A2850" t="str">
            <v>1000/1429       POLIMAG 405</v>
          </cell>
          <cell r="J2850">
            <v>0</v>
          </cell>
        </row>
        <row r="2851">
          <cell r="A2851" t="str">
            <v>1000/1429       POLIMAG 405</v>
          </cell>
          <cell r="J2851">
            <v>0</v>
          </cell>
        </row>
        <row r="2852">
          <cell r="A2852" t="str">
            <v>1000/1429       POLIMAG 405</v>
          </cell>
          <cell r="J2852">
            <v>5609.76</v>
          </cell>
        </row>
        <row r="2853">
          <cell r="A2853" t="str">
            <v>1000/1429       POLIMAG 405</v>
          </cell>
          <cell r="J2853">
            <v>0</v>
          </cell>
        </row>
        <row r="2854">
          <cell r="A2854" t="str">
            <v>1000/1429       POLIMAG 405</v>
          </cell>
          <cell r="J2854">
            <v>0</v>
          </cell>
        </row>
        <row r="2855">
          <cell r="A2855" t="str">
            <v>1000/1429       POLIMAG 405</v>
          </cell>
          <cell r="J2855">
            <v>0</v>
          </cell>
        </row>
        <row r="2856">
          <cell r="A2856" t="str">
            <v>1000/1429       POLIMAG 405</v>
          </cell>
          <cell r="J2856">
            <v>0</v>
          </cell>
        </row>
        <row r="2857">
          <cell r="A2857" t="str">
            <v>1000/1429       POLIMAG 405</v>
          </cell>
          <cell r="J2857">
            <v>0</v>
          </cell>
        </row>
        <row r="2858">
          <cell r="A2858" t="str">
            <v>1000/1429       POLIMAG 405</v>
          </cell>
          <cell r="J2858">
            <v>0</v>
          </cell>
        </row>
        <row r="2859">
          <cell r="A2859" t="str">
            <v>1000/1429       POLIMAG 405</v>
          </cell>
          <cell r="J2859">
            <v>0</v>
          </cell>
        </row>
        <row r="2860">
          <cell r="A2860" t="str">
            <v>1000/1429       POLIMAG 405</v>
          </cell>
          <cell r="J2860">
            <v>2064.3200000000002</v>
          </cell>
        </row>
        <row r="2861">
          <cell r="A2861" t="str">
            <v>1000/1429       POLIMAG 405</v>
          </cell>
          <cell r="J2861">
            <v>0</v>
          </cell>
        </row>
        <row r="2862">
          <cell r="A2862" t="str">
            <v>1000/1429       POLIMAG 405</v>
          </cell>
          <cell r="J2862">
            <v>0</v>
          </cell>
        </row>
        <row r="2863">
          <cell r="A2863" t="str">
            <v>1000/1429       POLIMAG 405</v>
          </cell>
          <cell r="J2863">
            <v>0</v>
          </cell>
        </row>
        <row r="2864">
          <cell r="A2864" t="str">
            <v>1000/1429       POLIMAG 405</v>
          </cell>
          <cell r="J2864">
            <v>0</v>
          </cell>
        </row>
        <row r="2865">
          <cell r="A2865" t="str">
            <v>1000/1429       POLIMAG 405</v>
          </cell>
          <cell r="J2865">
            <v>3561.5999999999899</v>
          </cell>
        </row>
        <row r="2866">
          <cell r="A2866" t="str">
            <v>1000/1429       POLIMAG 405</v>
          </cell>
          <cell r="J2866">
            <v>1495.44</v>
          </cell>
        </row>
        <row r="2867">
          <cell r="A2867" t="str">
            <v>1000/1429       POLIMAG 405</v>
          </cell>
          <cell r="J2867">
            <v>0</v>
          </cell>
        </row>
        <row r="2868">
          <cell r="A2868" t="str">
            <v>1000/1429       POLIMAG 405</v>
          </cell>
          <cell r="J2868">
            <v>2163.36</v>
          </cell>
        </row>
        <row r="2869">
          <cell r="A2869" t="str">
            <v>1000/1429       POLIMAG 405</v>
          </cell>
          <cell r="J2869">
            <v>0</v>
          </cell>
        </row>
        <row r="2870">
          <cell r="A2870" t="str">
            <v>1000/1429       POLIMAG 405</v>
          </cell>
          <cell r="J2870">
            <v>4502.3199999999897</v>
          </cell>
        </row>
        <row r="2871">
          <cell r="A2871" t="str">
            <v>1000/1429       POLIMAG 405</v>
          </cell>
          <cell r="J2871">
            <v>0</v>
          </cell>
        </row>
        <row r="2872">
          <cell r="A2872" t="str">
            <v>1000/1429       POLIMAG 405</v>
          </cell>
          <cell r="J2872">
            <v>0</v>
          </cell>
        </row>
        <row r="2873">
          <cell r="A2873" t="str">
            <v>1000/1429       POLIMAG 405</v>
          </cell>
          <cell r="J2873">
            <v>0</v>
          </cell>
        </row>
        <row r="2874">
          <cell r="A2874" t="str">
            <v>1000/1429       POLIMAG 405</v>
          </cell>
          <cell r="J2874">
            <v>0</v>
          </cell>
        </row>
        <row r="2875">
          <cell r="A2875" t="str">
            <v>1000/1429       POLIMAG 405</v>
          </cell>
          <cell r="J2875">
            <v>0</v>
          </cell>
        </row>
        <row r="2876">
          <cell r="A2876" t="str">
            <v>1000/1429       POLIMAG 405</v>
          </cell>
          <cell r="J2876">
            <v>0</v>
          </cell>
        </row>
        <row r="2877">
          <cell r="A2877" t="str">
            <v>1000/1429       POLIMAG 405</v>
          </cell>
          <cell r="J2877">
            <v>25592.639999999901</v>
          </cell>
        </row>
        <row r="2878">
          <cell r="A2878" t="str">
            <v>1000/1429       POLIMAG 405</v>
          </cell>
          <cell r="J2878">
            <v>0</v>
          </cell>
        </row>
        <row r="2879">
          <cell r="A2879" t="str">
            <v>1000/1429       POLIMAG 405</v>
          </cell>
          <cell r="J2879">
            <v>0</v>
          </cell>
        </row>
        <row r="2880">
          <cell r="A2880" t="str">
            <v>1000/1429       POLIMAG 405</v>
          </cell>
          <cell r="J2880">
            <v>0</v>
          </cell>
        </row>
        <row r="2881">
          <cell r="A2881" t="str">
            <v>1000/1429       POLIMAG 405</v>
          </cell>
          <cell r="J2881">
            <v>0</v>
          </cell>
        </row>
        <row r="2882">
          <cell r="A2882" t="str">
            <v>1000/1429       POLIMAG 405</v>
          </cell>
          <cell r="J2882">
            <v>1992.72</v>
          </cell>
        </row>
        <row r="2883">
          <cell r="A2883" t="str">
            <v>1000/1429       POLIMAG 405</v>
          </cell>
          <cell r="J2883">
            <v>2908.94</v>
          </cell>
        </row>
        <row r="2884">
          <cell r="A2884" t="str">
            <v>1000/1429       POLIMAG 405</v>
          </cell>
          <cell r="J2884">
            <v>0</v>
          </cell>
        </row>
        <row r="2885">
          <cell r="A2885" t="str">
            <v>1000/1429       POLIMAG 405</v>
          </cell>
          <cell r="J2885">
            <v>0</v>
          </cell>
        </row>
        <row r="2886">
          <cell r="A2886" t="str">
            <v>1000/1429       POLIMAG 405</v>
          </cell>
          <cell r="J2886">
            <v>0</v>
          </cell>
        </row>
        <row r="2887">
          <cell r="A2887" t="str">
            <v>1000/1429       POLIMAG 405</v>
          </cell>
          <cell r="J2887">
            <v>0</v>
          </cell>
        </row>
        <row r="2888">
          <cell r="A2888" t="str">
            <v>1000/1429       POLIMAG 405</v>
          </cell>
          <cell r="J2888">
            <v>0</v>
          </cell>
        </row>
        <row r="2889">
          <cell r="A2889" t="str">
            <v>1000/1429       POLIMAG 405</v>
          </cell>
          <cell r="J2889">
            <v>1992.72</v>
          </cell>
        </row>
        <row r="2890">
          <cell r="A2890" t="str">
            <v>1000/1429       POLIMAG 405</v>
          </cell>
          <cell r="J2890">
            <v>0</v>
          </cell>
        </row>
        <row r="2891">
          <cell r="A2891" t="str">
            <v>1000/1429       POLIMAG 405</v>
          </cell>
          <cell r="J2891">
            <v>1662.96</v>
          </cell>
        </row>
        <row r="2892">
          <cell r="A2892" t="str">
            <v>1000/1429       POLIMAG 405</v>
          </cell>
          <cell r="J2892">
            <v>4282.5600000000004</v>
          </cell>
        </row>
        <row r="2893">
          <cell r="A2893" t="str">
            <v>1000/1429       POLIMAG 405</v>
          </cell>
          <cell r="J2893">
            <v>3985.44</v>
          </cell>
        </row>
        <row r="2894">
          <cell r="A2894" t="str">
            <v>1000/1429       POLIMAG 405</v>
          </cell>
          <cell r="J2894">
            <v>1777.3</v>
          </cell>
        </row>
        <row r="2895">
          <cell r="A2895" t="str">
            <v>1000/1429       POLIMAG 405</v>
          </cell>
          <cell r="J2895">
            <v>28299.5999999999</v>
          </cell>
        </row>
        <row r="2896">
          <cell r="A2896" t="str">
            <v>1000/1430       POLIMAG S 5101</v>
          </cell>
          <cell r="J2896">
            <v>0</v>
          </cell>
        </row>
        <row r="2897">
          <cell r="A2897" t="str">
            <v>1000/1430       POLIMAG S 5101</v>
          </cell>
          <cell r="J2897">
            <v>3188.96</v>
          </cell>
        </row>
        <row r="2898">
          <cell r="A2898" t="str">
            <v>1000/1430       POLIMAG S 5101</v>
          </cell>
          <cell r="J2898">
            <v>1030.0799999999899</v>
          </cell>
        </row>
        <row r="2899">
          <cell r="A2899" t="str">
            <v>1000/1430       POLIMAG S 5101</v>
          </cell>
          <cell r="J2899">
            <v>1892.16</v>
          </cell>
        </row>
        <row r="2900">
          <cell r="A2900" t="str">
            <v>1000/1430       POLIMAG S 5101</v>
          </cell>
          <cell r="J2900">
            <v>1511.04</v>
          </cell>
        </row>
        <row r="2901">
          <cell r="A2901" t="str">
            <v>1000/1430       POLIMAG S 5101</v>
          </cell>
          <cell r="J2901">
            <v>3757.92</v>
          </cell>
        </row>
        <row r="2902">
          <cell r="A2902" t="str">
            <v>1000/1430       POLIMAG S 5101</v>
          </cell>
          <cell r="J2902">
            <v>1082.6400000000001</v>
          </cell>
        </row>
        <row r="2903">
          <cell r="A2903" t="str">
            <v>1000/1430       POLIMAG S 5101</v>
          </cell>
          <cell r="J2903">
            <v>4856.6400000000003</v>
          </cell>
        </row>
        <row r="2904">
          <cell r="A2904" t="str">
            <v>1000/1430       POLIMAG S 5101</v>
          </cell>
          <cell r="J2904">
            <v>0</v>
          </cell>
        </row>
        <row r="2905">
          <cell r="A2905" t="str">
            <v>1000/1430       POLIMAG S 5101</v>
          </cell>
          <cell r="J2905">
            <v>3662.76</v>
          </cell>
        </row>
        <row r="2906">
          <cell r="A2906" t="str">
            <v>1000/1430       POLIMAG S 5101</v>
          </cell>
          <cell r="J2906">
            <v>1082.6400000000001</v>
          </cell>
        </row>
        <row r="2907">
          <cell r="A2907" t="str">
            <v>1000/1430       POLIMAG S 5101</v>
          </cell>
          <cell r="J2907">
            <v>1300.8</v>
          </cell>
        </row>
        <row r="2908">
          <cell r="A2908" t="str">
            <v>1000/1430       POLIMAG S 5101</v>
          </cell>
          <cell r="J2908">
            <v>10890.84</v>
          </cell>
        </row>
        <row r="2909">
          <cell r="A2909" t="str">
            <v>1000/1430       POLIMAG S 5101</v>
          </cell>
          <cell r="J2909">
            <v>2312.6399999999899</v>
          </cell>
        </row>
        <row r="2910">
          <cell r="A2910" t="str">
            <v>1000/1430       POLIMAG S 5101</v>
          </cell>
          <cell r="J2910">
            <v>0</v>
          </cell>
        </row>
        <row r="2911">
          <cell r="A2911" t="str">
            <v>1000/1430       POLIMAG S 5101</v>
          </cell>
          <cell r="J2911">
            <v>0</v>
          </cell>
        </row>
        <row r="2912">
          <cell r="A2912" t="str">
            <v>1000/1430       POLIMAG S 5101</v>
          </cell>
          <cell r="J2912">
            <v>1676.64</v>
          </cell>
        </row>
        <row r="2913">
          <cell r="A2913" t="str">
            <v>1000/1430       POLIMAG S 5101</v>
          </cell>
          <cell r="J2913">
            <v>0</v>
          </cell>
        </row>
        <row r="2914">
          <cell r="A2914" t="str">
            <v>1000/1430       POLIMAG S 5101</v>
          </cell>
          <cell r="J2914">
            <v>3192.96</v>
          </cell>
        </row>
        <row r="2915">
          <cell r="A2915" t="str">
            <v>1000/1430       POLIMAG S 5101</v>
          </cell>
          <cell r="J2915">
            <v>0</v>
          </cell>
        </row>
        <row r="2916">
          <cell r="A2916" t="str">
            <v>1000/1430       POLIMAG S 5101</v>
          </cell>
          <cell r="J2916">
            <v>6690.96</v>
          </cell>
        </row>
        <row r="2917">
          <cell r="A2917" t="str">
            <v>1000/1430       POLIMAG S 5101</v>
          </cell>
          <cell r="J2917">
            <v>5939.52</v>
          </cell>
        </row>
        <row r="2918">
          <cell r="A2918" t="str">
            <v>1000/1430       POLIMAG S 5101</v>
          </cell>
          <cell r="J2918">
            <v>1779.1199999999899</v>
          </cell>
        </row>
        <row r="2919">
          <cell r="A2919" t="str">
            <v>1000/1430       POLIMAG S 5101</v>
          </cell>
          <cell r="J2919">
            <v>0</v>
          </cell>
        </row>
        <row r="2920">
          <cell r="A2920" t="str">
            <v>1000/1430       POLIMAG S 5101</v>
          </cell>
          <cell r="J2920">
            <v>3855.1199999999899</v>
          </cell>
        </row>
        <row r="2921">
          <cell r="A2921" t="str">
            <v>1000/1430       POLIMAG S 5101</v>
          </cell>
          <cell r="J2921">
            <v>898.79999999999905</v>
          </cell>
        </row>
        <row r="2922">
          <cell r="A2922" t="str">
            <v>1000/1430       POLIMAG S 5101</v>
          </cell>
          <cell r="J2922">
            <v>2835</v>
          </cell>
        </row>
        <row r="2923">
          <cell r="A2923" t="str">
            <v>1000/1430       POLIMAG S 5101</v>
          </cell>
          <cell r="J2923">
            <v>0</v>
          </cell>
        </row>
        <row r="2924">
          <cell r="A2924" t="str">
            <v>1000/1430       POLIMAG S 5101</v>
          </cell>
          <cell r="J2924">
            <v>0</v>
          </cell>
        </row>
        <row r="2925">
          <cell r="A2925" t="str">
            <v>1000/1430       POLIMAG S 5101</v>
          </cell>
          <cell r="J2925">
            <v>1511.04</v>
          </cell>
        </row>
        <row r="2926">
          <cell r="A2926" t="str">
            <v>1000/1430       POLIMAG S 5101</v>
          </cell>
          <cell r="J2926">
            <v>0</v>
          </cell>
        </row>
        <row r="2927">
          <cell r="A2927" t="str">
            <v>1000/1430       POLIMAG S 5101</v>
          </cell>
          <cell r="J2927">
            <v>1878.96</v>
          </cell>
        </row>
        <row r="2928">
          <cell r="A2928" t="str">
            <v>1000/1430       POLIMAG S 5101</v>
          </cell>
          <cell r="J2928">
            <v>0</v>
          </cell>
        </row>
        <row r="2929">
          <cell r="A2929" t="str">
            <v>1000/1430       POLIMAG S 5101</v>
          </cell>
          <cell r="J2929">
            <v>0</v>
          </cell>
        </row>
        <row r="2930">
          <cell r="A2930" t="str">
            <v>1000/1430       POLIMAG S 5101</v>
          </cell>
          <cell r="J2930">
            <v>977.51999999999896</v>
          </cell>
        </row>
        <row r="2931">
          <cell r="A2931" t="str">
            <v>1000/1430       POLIMAG S 5101</v>
          </cell>
          <cell r="J2931">
            <v>0</v>
          </cell>
        </row>
        <row r="2932">
          <cell r="A2932" t="str">
            <v>1000/1430       POLIMAG S 5101</v>
          </cell>
          <cell r="J2932">
            <v>13616.969999999899</v>
          </cell>
        </row>
        <row r="2933">
          <cell r="A2933" t="str">
            <v>1000/1430       POLIMAG S 5101</v>
          </cell>
          <cell r="J2933">
            <v>0</v>
          </cell>
        </row>
        <row r="2934">
          <cell r="A2934" t="str">
            <v>1000/1430       POLIMAG S 5101</v>
          </cell>
          <cell r="J2934">
            <v>0</v>
          </cell>
        </row>
        <row r="2935">
          <cell r="A2935" t="str">
            <v>1000/1430       POLIMAG S 5101</v>
          </cell>
          <cell r="J2935">
            <v>0</v>
          </cell>
        </row>
        <row r="2936">
          <cell r="A2936" t="str">
            <v>1000/1430       POLIMAG S 5101</v>
          </cell>
          <cell r="J2936">
            <v>1419.1199999999899</v>
          </cell>
        </row>
        <row r="2937">
          <cell r="A2937" t="str">
            <v>1000/1430       POLIMAG S 5101</v>
          </cell>
          <cell r="J2937">
            <v>0</v>
          </cell>
        </row>
        <row r="2938">
          <cell r="A2938" t="str">
            <v>1000/1430       POLIMAG S 5101</v>
          </cell>
          <cell r="J2938">
            <v>0</v>
          </cell>
        </row>
        <row r="2939">
          <cell r="A2939" t="str">
            <v>1000/1430       POLIMAG S 5101</v>
          </cell>
          <cell r="J2939">
            <v>3815.1599999999899</v>
          </cell>
        </row>
        <row r="2940">
          <cell r="A2940" t="str">
            <v>1000/1430       POLIMAG S 5101</v>
          </cell>
          <cell r="J2940">
            <v>0</v>
          </cell>
        </row>
        <row r="2941">
          <cell r="A2941" t="str">
            <v>1000/1430       POLIMAG S 5101</v>
          </cell>
          <cell r="J2941">
            <v>0</v>
          </cell>
        </row>
        <row r="2942">
          <cell r="A2942" t="str">
            <v>1000/1430       POLIMAG S 5101</v>
          </cell>
          <cell r="J2942">
            <v>0</v>
          </cell>
        </row>
        <row r="2943">
          <cell r="A2943" t="str">
            <v>1000/1430       POLIMAG S 5101</v>
          </cell>
          <cell r="J2943">
            <v>3726.7199999999898</v>
          </cell>
        </row>
        <row r="2944">
          <cell r="A2944" t="str">
            <v>1000/1430       POLIMAG S 5101</v>
          </cell>
          <cell r="J2944">
            <v>946.08</v>
          </cell>
        </row>
        <row r="2945">
          <cell r="A2945" t="str">
            <v>1000/1430       POLIMAG S 5101</v>
          </cell>
          <cell r="J2945">
            <v>0</v>
          </cell>
        </row>
        <row r="2946">
          <cell r="A2946" t="str">
            <v>1000/1430       POLIMAG S 5101</v>
          </cell>
          <cell r="J2946">
            <v>1419.1199999999899</v>
          </cell>
        </row>
        <row r="2947">
          <cell r="A2947" t="str">
            <v>1000/1430       POLIMAG S 5101</v>
          </cell>
          <cell r="J2947">
            <v>5990.3199999999897</v>
          </cell>
        </row>
        <row r="2948">
          <cell r="A2948" t="str">
            <v>1000/1430       POLIMAG S 5101</v>
          </cell>
          <cell r="J2948">
            <v>0</v>
          </cell>
        </row>
        <row r="2949">
          <cell r="A2949" t="str">
            <v>1000/1430       POLIMAG S 5101</v>
          </cell>
          <cell r="J2949">
            <v>1345.53</v>
          </cell>
        </row>
        <row r="2950">
          <cell r="A2950" t="str">
            <v>1000/1430       POLIMAG S 5101</v>
          </cell>
          <cell r="J2950">
            <v>0</v>
          </cell>
        </row>
        <row r="2951">
          <cell r="A2951" t="str">
            <v>1000/1430       POLIMAG S 5101</v>
          </cell>
          <cell r="J2951">
            <v>2275.6199999999899</v>
          </cell>
        </row>
        <row r="2952">
          <cell r="A2952" t="str">
            <v>1000/1430       POLIMAG S 5101</v>
          </cell>
          <cell r="J2952">
            <v>7605.6</v>
          </cell>
        </row>
        <row r="2953">
          <cell r="A2953" t="str">
            <v>1000/1430       POLIMAG S 5101</v>
          </cell>
          <cell r="J2953">
            <v>0</v>
          </cell>
        </row>
        <row r="2954">
          <cell r="A2954" t="str">
            <v>1000/1430       POLIMAG S 5101</v>
          </cell>
          <cell r="J2954">
            <v>4038.2399999999898</v>
          </cell>
        </row>
        <row r="2955">
          <cell r="A2955" t="str">
            <v>1000/1430       POLIMAG S 5101</v>
          </cell>
          <cell r="J2955">
            <v>54279.5</v>
          </cell>
        </row>
        <row r="2956">
          <cell r="A2956" t="str">
            <v>1000/1430       POLIMAG S 5101</v>
          </cell>
          <cell r="J2956">
            <v>2462.4</v>
          </cell>
        </row>
        <row r="2957">
          <cell r="A2957" t="str">
            <v>1000/1430       POLIMAG S 5101</v>
          </cell>
          <cell r="J2957">
            <v>1200.96</v>
          </cell>
        </row>
        <row r="2958">
          <cell r="A2958" t="str">
            <v>1000/1430       POLIMAG S 5101</v>
          </cell>
          <cell r="J2958">
            <v>0</v>
          </cell>
        </row>
        <row r="2959">
          <cell r="A2959" t="str">
            <v>1000/1430       POLIMAG S 5101</v>
          </cell>
          <cell r="J2959">
            <v>0</v>
          </cell>
        </row>
        <row r="2960">
          <cell r="A2960" t="str">
            <v>1000/1430       POLIMAG S 5101</v>
          </cell>
          <cell r="J2960">
            <v>1971.1199999999899</v>
          </cell>
        </row>
        <row r="2961">
          <cell r="A2961" t="str">
            <v>1000/1430       POLIMAG S 5101</v>
          </cell>
          <cell r="J2961">
            <v>1419.1199999999899</v>
          </cell>
        </row>
        <row r="2962">
          <cell r="A2962" t="str">
            <v>1000/1430       POLIMAG S 5101</v>
          </cell>
          <cell r="J2962">
            <v>1805.52</v>
          </cell>
        </row>
        <row r="2963">
          <cell r="A2963" t="str">
            <v>1000/1430       POLIMAG S 5101</v>
          </cell>
          <cell r="J2963">
            <v>0</v>
          </cell>
        </row>
        <row r="2964">
          <cell r="A2964" t="str">
            <v>1000/1430       POLIMAG S 5101</v>
          </cell>
          <cell r="J2964">
            <v>3558.2399999999898</v>
          </cell>
        </row>
        <row r="2965">
          <cell r="A2965" t="str">
            <v>1000/1430       POLIMAG S 5101</v>
          </cell>
          <cell r="J2965">
            <v>0</v>
          </cell>
        </row>
        <row r="2966">
          <cell r="A2966" t="str">
            <v>1000/1430       POLIMAG S 5101</v>
          </cell>
          <cell r="J2966">
            <v>0</v>
          </cell>
        </row>
        <row r="2967">
          <cell r="A2967" t="str">
            <v>1000/1430       POLIMAG S 5101</v>
          </cell>
          <cell r="J2967">
            <v>0</v>
          </cell>
        </row>
        <row r="2968">
          <cell r="A2968" t="str">
            <v>1000/1430       POLIMAG S 5101</v>
          </cell>
          <cell r="J2968">
            <v>0</v>
          </cell>
        </row>
        <row r="2969">
          <cell r="A2969" t="str">
            <v>1000/1430       POLIMAG S 5101</v>
          </cell>
          <cell r="J2969">
            <v>1814.5899999999899</v>
          </cell>
        </row>
        <row r="2970">
          <cell r="A2970" t="str">
            <v>1000/1430       POLIMAG S 5101</v>
          </cell>
          <cell r="J2970">
            <v>0</v>
          </cell>
        </row>
        <row r="2971">
          <cell r="A2971" t="str">
            <v>1000/1430       POLIMAG S 5101</v>
          </cell>
          <cell r="J2971">
            <v>1082.6400000000001</v>
          </cell>
        </row>
        <row r="2972">
          <cell r="A2972" t="str">
            <v>1000/1430       POLIMAG S 5101</v>
          </cell>
          <cell r="J2972">
            <v>0</v>
          </cell>
        </row>
        <row r="2973">
          <cell r="A2973" t="str">
            <v>1000/1430       POLIMAG S 5101</v>
          </cell>
          <cell r="J2973">
            <v>1971.1199999999899</v>
          </cell>
        </row>
        <row r="2974">
          <cell r="A2974" t="str">
            <v>1000/1430       POLIMAG S 5101</v>
          </cell>
          <cell r="J2974">
            <v>24891.360000000001</v>
          </cell>
        </row>
        <row r="2975">
          <cell r="A2975" t="str">
            <v>1000/1430       POLIMAG S 5101</v>
          </cell>
          <cell r="J2975">
            <v>1419.1199999999899</v>
          </cell>
        </row>
        <row r="2976">
          <cell r="A2976" t="str">
            <v>1000/1430       POLIMAG S 5101</v>
          </cell>
          <cell r="J2976">
            <v>0</v>
          </cell>
        </row>
        <row r="2977">
          <cell r="A2977" t="str">
            <v>1000/1430       POLIMAG S 5101</v>
          </cell>
          <cell r="J2977">
            <v>6417.84</v>
          </cell>
        </row>
        <row r="2978">
          <cell r="A2978" t="str">
            <v>1000/1430       POLIMAG S 5101</v>
          </cell>
          <cell r="J2978">
            <v>0</v>
          </cell>
        </row>
        <row r="2979">
          <cell r="A2979" t="str">
            <v>1000/1430       POLIMAG S 5101</v>
          </cell>
          <cell r="J2979">
            <v>3624.5999999999899</v>
          </cell>
        </row>
        <row r="2980">
          <cell r="A2980" t="str">
            <v>1000/1430       POLIMAG S 5101</v>
          </cell>
          <cell r="J2980">
            <v>0</v>
          </cell>
        </row>
        <row r="2981">
          <cell r="A2981" t="str">
            <v>1000/1430       POLIMAG S 5101</v>
          </cell>
          <cell r="J2981">
            <v>0</v>
          </cell>
        </row>
        <row r="2982">
          <cell r="A2982" t="str">
            <v>1000/1430       POLIMAG S 5101</v>
          </cell>
          <cell r="J2982">
            <v>0</v>
          </cell>
        </row>
        <row r="2983">
          <cell r="A2983" t="str">
            <v>1000/1430       POLIMAG S 5101</v>
          </cell>
          <cell r="J2983">
            <v>0</v>
          </cell>
        </row>
        <row r="2984">
          <cell r="A2984" t="str">
            <v>1000/1430       POLIMAG S 5101</v>
          </cell>
          <cell r="J2984">
            <v>0</v>
          </cell>
        </row>
        <row r="2985">
          <cell r="A2985" t="str">
            <v>1000/1430       POLIMAG S 5101</v>
          </cell>
          <cell r="J2985">
            <v>0</v>
          </cell>
        </row>
        <row r="2986">
          <cell r="A2986" t="str">
            <v>1000/1430       POLIMAG S 5101</v>
          </cell>
          <cell r="J2986">
            <v>0</v>
          </cell>
        </row>
        <row r="2987">
          <cell r="A2987" t="str">
            <v>1000/1430       POLIMAG S 5101</v>
          </cell>
          <cell r="J2987">
            <v>0</v>
          </cell>
        </row>
        <row r="2988">
          <cell r="A2988" t="str">
            <v>1000/1430       POLIMAG S 5101</v>
          </cell>
          <cell r="J2988">
            <v>0</v>
          </cell>
        </row>
        <row r="2989">
          <cell r="A2989" t="str">
            <v>1000/1430       POLIMAG S 5101</v>
          </cell>
          <cell r="J2989">
            <v>0</v>
          </cell>
        </row>
        <row r="2990">
          <cell r="A2990" t="str">
            <v>1000/1430       POLIMAG S 5101</v>
          </cell>
          <cell r="J2990">
            <v>0</v>
          </cell>
        </row>
        <row r="2991">
          <cell r="A2991" t="str">
            <v>1000/1430       POLIMAG S 5101</v>
          </cell>
          <cell r="J2991">
            <v>0</v>
          </cell>
        </row>
        <row r="2992">
          <cell r="A2992" t="str">
            <v>1000/1430       POLIMAG S 5101</v>
          </cell>
          <cell r="J2992">
            <v>0</v>
          </cell>
        </row>
        <row r="2993">
          <cell r="A2993" t="str">
            <v>1000/1430       POLIMAG S 5101</v>
          </cell>
          <cell r="J2993">
            <v>0</v>
          </cell>
        </row>
        <row r="2994">
          <cell r="A2994" t="str">
            <v>1000/1430       POLIMAG S 5101</v>
          </cell>
          <cell r="J2994">
            <v>3558.2399999999898</v>
          </cell>
        </row>
        <row r="2995">
          <cell r="A2995" t="str">
            <v>1000/1430       POLIMAG S 5101</v>
          </cell>
          <cell r="J2995">
            <v>0</v>
          </cell>
        </row>
        <row r="2996">
          <cell r="A2996" t="str">
            <v>1000/1430       POLIMAG S 5101</v>
          </cell>
          <cell r="J2996">
            <v>1935.8499999999899</v>
          </cell>
        </row>
        <row r="2997">
          <cell r="A2997" t="str">
            <v>1000/1430       POLIMAG S 5101</v>
          </cell>
          <cell r="J2997">
            <v>0</v>
          </cell>
        </row>
        <row r="2998">
          <cell r="A2998" t="str">
            <v>1000/1430       POLIMAG S 5101</v>
          </cell>
          <cell r="J2998">
            <v>1419.1199999999899</v>
          </cell>
        </row>
        <row r="2999">
          <cell r="A2999" t="str">
            <v>1000/1430       POLIMAG S 5101</v>
          </cell>
          <cell r="J2999">
            <v>0</v>
          </cell>
        </row>
        <row r="3000">
          <cell r="A3000" t="str">
            <v>1000/1430       POLIMAG S 5101</v>
          </cell>
          <cell r="J3000">
            <v>0</v>
          </cell>
        </row>
        <row r="3001">
          <cell r="A3001" t="str">
            <v>1000/1430       POLIMAG S 5101</v>
          </cell>
          <cell r="J3001">
            <v>0</v>
          </cell>
        </row>
        <row r="3002">
          <cell r="A3002" t="str">
            <v>1000/1430       POLIMAG S 5101</v>
          </cell>
          <cell r="J3002">
            <v>0</v>
          </cell>
        </row>
        <row r="3003">
          <cell r="A3003" t="str">
            <v>1000/1430       POLIMAG S 5101</v>
          </cell>
          <cell r="J3003">
            <v>0</v>
          </cell>
        </row>
        <row r="3004">
          <cell r="A3004" t="str">
            <v>1000/1430       POLIMAG S 5101</v>
          </cell>
          <cell r="J3004">
            <v>1183.2</v>
          </cell>
        </row>
        <row r="3005">
          <cell r="A3005" t="str">
            <v>1000/1430       POLIMAG S 5101</v>
          </cell>
          <cell r="J3005">
            <v>0</v>
          </cell>
        </row>
        <row r="3006">
          <cell r="A3006" t="str">
            <v>1000/1430       POLIMAG S 5101</v>
          </cell>
          <cell r="J3006">
            <v>0</v>
          </cell>
        </row>
        <row r="3007">
          <cell r="A3007" t="str">
            <v>1000/1430       POLIMAG S 5101</v>
          </cell>
          <cell r="J3007">
            <v>1006.5599999999901</v>
          </cell>
        </row>
        <row r="3008">
          <cell r="A3008" t="str">
            <v>1000/1430       POLIMAG S 5101</v>
          </cell>
          <cell r="J3008">
            <v>0</v>
          </cell>
        </row>
        <row r="3009">
          <cell r="A3009" t="str">
            <v>1000/1430       POLIMAG S 5101</v>
          </cell>
          <cell r="J3009">
            <v>2163.36</v>
          </cell>
        </row>
        <row r="3010">
          <cell r="A3010" t="str">
            <v>1000/1430       POLIMAG S 5101</v>
          </cell>
          <cell r="J3010">
            <v>0</v>
          </cell>
        </row>
        <row r="3011">
          <cell r="A3011" t="str">
            <v>1000/1430       POLIMAG S 5101</v>
          </cell>
          <cell r="J3011">
            <v>0</v>
          </cell>
        </row>
        <row r="3012">
          <cell r="A3012" t="str">
            <v>1000/1430       POLIMAG S 5101</v>
          </cell>
          <cell r="J3012">
            <v>0</v>
          </cell>
        </row>
        <row r="3013">
          <cell r="A3013" t="str">
            <v>1000/1430       POLIMAG S 5101</v>
          </cell>
          <cell r="J3013">
            <v>3955.29</v>
          </cell>
        </row>
        <row r="3014">
          <cell r="A3014" t="str">
            <v>1000/1430       POLIMAG S 5101</v>
          </cell>
          <cell r="J3014">
            <v>0</v>
          </cell>
        </row>
        <row r="3015">
          <cell r="A3015" t="str">
            <v>1000/1430       POLIMAG S 5101</v>
          </cell>
          <cell r="J3015">
            <v>0</v>
          </cell>
        </row>
        <row r="3016">
          <cell r="A3016" t="str">
            <v>1000/1430       POLIMAG S 5101</v>
          </cell>
          <cell r="J3016">
            <v>0</v>
          </cell>
        </row>
        <row r="3017">
          <cell r="A3017" t="str">
            <v>1000/1430       POLIMAG S 5101</v>
          </cell>
          <cell r="J3017">
            <v>1752.72</v>
          </cell>
        </row>
        <row r="3018">
          <cell r="A3018" t="str">
            <v>1000/1430       POLIMAG S 5101</v>
          </cell>
          <cell r="J3018">
            <v>0</v>
          </cell>
        </row>
        <row r="3019">
          <cell r="A3019" t="str">
            <v>1000/1430       POLIMAG S 5101</v>
          </cell>
          <cell r="J3019">
            <v>3481.98</v>
          </cell>
        </row>
        <row r="3020">
          <cell r="A3020" t="str">
            <v>1000/1430       POLIMAG S 5101</v>
          </cell>
          <cell r="J3020">
            <v>0</v>
          </cell>
        </row>
        <row r="3021">
          <cell r="A3021" t="str">
            <v>1000/1430       POLIMAG S 5101</v>
          </cell>
          <cell r="J3021">
            <v>0</v>
          </cell>
        </row>
        <row r="3022">
          <cell r="A3022" t="str">
            <v>1000/1430       POLIMAG S 5101</v>
          </cell>
          <cell r="J3022">
            <v>1344.96</v>
          </cell>
        </row>
        <row r="3023">
          <cell r="A3023" t="str">
            <v>1000/1430       POLIMAG S 5101</v>
          </cell>
          <cell r="J3023">
            <v>0</v>
          </cell>
        </row>
        <row r="3024">
          <cell r="A3024" t="str">
            <v>1000/1430       POLIMAG S 5101</v>
          </cell>
          <cell r="J3024">
            <v>0</v>
          </cell>
        </row>
        <row r="3025">
          <cell r="A3025" t="str">
            <v>1000/1430       POLIMAG S 5101</v>
          </cell>
          <cell r="J3025">
            <v>1992.72</v>
          </cell>
        </row>
        <row r="3026">
          <cell r="A3026" t="str">
            <v>1000/1430       POLIMAG S 5101</v>
          </cell>
          <cell r="J3026">
            <v>0</v>
          </cell>
        </row>
        <row r="3027">
          <cell r="A3027" t="str">
            <v>1000/1430       POLIMAG S 5101</v>
          </cell>
          <cell r="J3027">
            <v>0</v>
          </cell>
        </row>
        <row r="3028">
          <cell r="A3028" t="str">
            <v>1000/1430       POLIMAG S 5101</v>
          </cell>
          <cell r="J3028">
            <v>3985.44</v>
          </cell>
        </row>
        <row r="3029">
          <cell r="A3029" t="str">
            <v>1000/1430       POLIMAG S 5101</v>
          </cell>
          <cell r="J3029">
            <v>0</v>
          </cell>
        </row>
        <row r="3030">
          <cell r="A3030" t="str">
            <v>1000/1430       POLIMAG S 5101</v>
          </cell>
          <cell r="J3030">
            <v>0</v>
          </cell>
        </row>
        <row r="3031">
          <cell r="A3031" t="str">
            <v>1000/1430       POLIMAG S 5101</v>
          </cell>
          <cell r="J3031">
            <v>0</v>
          </cell>
        </row>
        <row r="3032">
          <cell r="A3032" t="str">
            <v>1000/1430       POLIMAG S 5101</v>
          </cell>
          <cell r="J3032">
            <v>2671.1999999999898</v>
          </cell>
        </row>
        <row r="3033">
          <cell r="A3033" t="str">
            <v>1000/1430       POLIMAG S 5101</v>
          </cell>
          <cell r="J3033">
            <v>0</v>
          </cell>
        </row>
        <row r="3034">
          <cell r="A3034" t="str">
            <v>1000/1430       POLIMAG S 5101</v>
          </cell>
          <cell r="J3034">
            <v>0</v>
          </cell>
        </row>
        <row r="3035">
          <cell r="A3035" t="str">
            <v>1000/1430       POLIMAG S 5101</v>
          </cell>
          <cell r="J3035">
            <v>0</v>
          </cell>
        </row>
        <row r="3036">
          <cell r="A3036" t="str">
            <v>1000/1430       POLIMAG S 5101</v>
          </cell>
          <cell r="J3036">
            <v>2207.7600000000002</v>
          </cell>
        </row>
        <row r="3037">
          <cell r="A3037" t="str">
            <v>1000/1430       POLIMAG S 5101</v>
          </cell>
          <cell r="J3037">
            <v>0</v>
          </cell>
        </row>
        <row r="3038">
          <cell r="A3038" t="str">
            <v>1000/1430       POLIMAG S 5101</v>
          </cell>
          <cell r="J3038">
            <v>3325.92</v>
          </cell>
        </row>
        <row r="3039">
          <cell r="A3039" t="str">
            <v>1000/1430       POLIMAG S 5101</v>
          </cell>
          <cell r="J3039">
            <v>0</v>
          </cell>
        </row>
        <row r="3040">
          <cell r="A3040" t="str">
            <v>1000/1430       POLIMAG S 5101</v>
          </cell>
          <cell r="J3040">
            <v>1495.44</v>
          </cell>
        </row>
        <row r="3041">
          <cell r="A3041" t="str">
            <v>1000/1430       POLIMAG S 5101</v>
          </cell>
          <cell r="J3041">
            <v>0</v>
          </cell>
        </row>
        <row r="3042">
          <cell r="A3042" t="str">
            <v>1000/1430       POLIMAG S 5101</v>
          </cell>
          <cell r="J3042">
            <v>0</v>
          </cell>
        </row>
        <row r="3043">
          <cell r="A3043" t="str">
            <v>1000/1430       POLIMAG S 5101</v>
          </cell>
          <cell r="J3043">
            <v>0</v>
          </cell>
        </row>
        <row r="3044">
          <cell r="A3044" t="str">
            <v>1000/1430       POLIMAG S 5101</v>
          </cell>
          <cell r="J3044">
            <v>1242.24</v>
          </cell>
        </row>
        <row r="3045">
          <cell r="A3045" t="str">
            <v>1000/1430       POLIMAG S 5101</v>
          </cell>
          <cell r="J3045">
            <v>0</v>
          </cell>
        </row>
        <row r="3046">
          <cell r="A3046" t="str">
            <v>1000/1430       POLIMAG S 5101</v>
          </cell>
          <cell r="J3046">
            <v>1341.43</v>
          </cell>
        </row>
        <row r="3047">
          <cell r="A3047" t="str">
            <v>1000/1430       POLIMAG S 5101</v>
          </cell>
          <cell r="J3047">
            <v>5169.84</v>
          </cell>
        </row>
        <row r="3048">
          <cell r="A3048" t="str">
            <v>1000/1430       POLIMAG S 5101</v>
          </cell>
          <cell r="J3048">
            <v>0</v>
          </cell>
        </row>
        <row r="3049">
          <cell r="A3049" t="str">
            <v>1000/1430       POLIMAG S 5101</v>
          </cell>
          <cell r="J3049">
            <v>0</v>
          </cell>
        </row>
        <row r="3050">
          <cell r="A3050" t="str">
            <v>1000/1430       POLIMAG S 5101</v>
          </cell>
          <cell r="J3050">
            <v>0</v>
          </cell>
        </row>
        <row r="3051">
          <cell r="A3051" t="str">
            <v>1000/1430       POLIMAG S 5101</v>
          </cell>
          <cell r="J3051">
            <v>2207.7600000000002</v>
          </cell>
        </row>
        <row r="3052">
          <cell r="A3052" t="str">
            <v>1000/1430       POLIMAG S 5101</v>
          </cell>
          <cell r="J3052">
            <v>6193.1999999999898</v>
          </cell>
        </row>
        <row r="3053">
          <cell r="A3053" t="str">
            <v>1000/1430       POLIMAG S 5101</v>
          </cell>
          <cell r="J3053">
            <v>0</v>
          </cell>
        </row>
        <row r="3054">
          <cell r="A3054" t="str">
            <v>1000/1430       POLIMAG S 5101</v>
          </cell>
          <cell r="J3054">
            <v>0</v>
          </cell>
        </row>
        <row r="3055">
          <cell r="A3055" t="str">
            <v>1000/1430       POLIMAG S 5101</v>
          </cell>
          <cell r="J3055">
            <v>2207.7600000000002</v>
          </cell>
        </row>
        <row r="3056">
          <cell r="A3056" t="str">
            <v>1000/1430       POLIMAG S 5101</v>
          </cell>
          <cell r="J3056">
            <v>0</v>
          </cell>
        </row>
        <row r="3057">
          <cell r="A3057" t="str">
            <v>1000/1430       POLIMAG S 5101</v>
          </cell>
          <cell r="J3057">
            <v>0</v>
          </cell>
        </row>
        <row r="3058">
          <cell r="A3058" t="str">
            <v>1000/1430       POLIMAG S 5101</v>
          </cell>
          <cell r="J3058">
            <v>0</v>
          </cell>
        </row>
        <row r="3059">
          <cell r="A3059" t="str">
            <v>1000/1430       POLIMAG S 5101</v>
          </cell>
          <cell r="J3059">
            <v>0</v>
          </cell>
        </row>
        <row r="3060">
          <cell r="A3060" t="str">
            <v>1000/1430       POLIMAG S 5101</v>
          </cell>
          <cell r="J3060">
            <v>0</v>
          </cell>
        </row>
        <row r="3061">
          <cell r="A3061" t="str">
            <v>1000/1430       POLIMAG S 5101</v>
          </cell>
          <cell r="J3061">
            <v>0</v>
          </cell>
        </row>
        <row r="3062">
          <cell r="A3062" t="str">
            <v>1000/1430       POLIMAG S 5101</v>
          </cell>
          <cell r="J3062">
            <v>0</v>
          </cell>
        </row>
        <row r="3063">
          <cell r="A3063" t="str">
            <v>1000/1430       POLIMAG S 5101</v>
          </cell>
          <cell r="J3063">
            <v>1692.48</v>
          </cell>
        </row>
        <row r="3064">
          <cell r="A3064" t="str">
            <v>1000/1430       POLIMAG S 5101</v>
          </cell>
          <cell r="J3064">
            <v>1992.72</v>
          </cell>
        </row>
        <row r="3065">
          <cell r="A3065" t="str">
            <v>1000/1430       POLIMAG S 5101</v>
          </cell>
          <cell r="J3065">
            <v>0</v>
          </cell>
        </row>
        <row r="3066">
          <cell r="A3066" t="str">
            <v>1000/1430       POLIMAG S 5101</v>
          </cell>
          <cell r="J3066">
            <v>0</v>
          </cell>
        </row>
        <row r="3067">
          <cell r="A3067" t="str">
            <v>1000/1430       POLIMAG S 5101</v>
          </cell>
          <cell r="J3067">
            <v>918.24</v>
          </cell>
        </row>
        <row r="3068">
          <cell r="A3068" t="str">
            <v>1000/1430       POLIMAG S 5101</v>
          </cell>
          <cell r="J3068">
            <v>0</v>
          </cell>
        </row>
        <row r="3069">
          <cell r="A3069" t="str">
            <v>1000/1430       POLIMAG S 5101</v>
          </cell>
          <cell r="J3069">
            <v>0</v>
          </cell>
        </row>
        <row r="3070">
          <cell r="A3070" t="str">
            <v>1000/1430       POLIMAG S 5101</v>
          </cell>
          <cell r="J3070">
            <v>0</v>
          </cell>
        </row>
        <row r="3071">
          <cell r="A3071" t="str">
            <v>1000/1430       POLIMAG S 5101</v>
          </cell>
          <cell r="J3071">
            <v>0</v>
          </cell>
        </row>
        <row r="3072">
          <cell r="A3072" t="str">
            <v>1000/1430       POLIMAG S 5101</v>
          </cell>
          <cell r="J3072">
            <v>0</v>
          </cell>
        </row>
        <row r="3073">
          <cell r="A3073" t="str">
            <v>1000/1430       POLIMAG S 5101</v>
          </cell>
          <cell r="J3073">
            <v>0</v>
          </cell>
        </row>
        <row r="3074">
          <cell r="A3074" t="str">
            <v>1000/1430       POLIMAG S 5101</v>
          </cell>
          <cell r="J3074">
            <v>0</v>
          </cell>
        </row>
        <row r="3075">
          <cell r="A3075" t="str">
            <v>1000/1430       POLIMAG S 5101</v>
          </cell>
          <cell r="J3075">
            <v>0</v>
          </cell>
        </row>
        <row r="3076">
          <cell r="A3076" t="str">
            <v>1000/1430       POLIMAG S 5101</v>
          </cell>
          <cell r="J3076">
            <v>0</v>
          </cell>
        </row>
        <row r="3077">
          <cell r="A3077" t="str">
            <v>1000/1430       POLIMAG S 5101</v>
          </cell>
          <cell r="J3077">
            <v>0</v>
          </cell>
        </row>
        <row r="3078">
          <cell r="A3078" t="str">
            <v>1000/1430       POLIMAG S 5101</v>
          </cell>
          <cell r="J3078">
            <v>0</v>
          </cell>
        </row>
        <row r="3079">
          <cell r="A3079" t="str">
            <v>1000/1430       POLIMAG S 5101</v>
          </cell>
          <cell r="J3079">
            <v>0</v>
          </cell>
        </row>
        <row r="3080">
          <cell r="A3080" t="str">
            <v>1000/1430       POLIMAG S 5101</v>
          </cell>
          <cell r="J3080">
            <v>3773.28</v>
          </cell>
        </row>
        <row r="3081">
          <cell r="A3081" t="str">
            <v>1000/1430       POLIMAG S 5101</v>
          </cell>
          <cell r="J3081">
            <v>0</v>
          </cell>
        </row>
        <row r="3082">
          <cell r="A3082" t="str">
            <v>1000/1430       POLIMAG S 5101</v>
          </cell>
          <cell r="J3082">
            <v>0</v>
          </cell>
        </row>
        <row r="3083">
          <cell r="A3083" t="str">
            <v>1000/1430       POLIMAG S 5101</v>
          </cell>
          <cell r="J3083">
            <v>0</v>
          </cell>
        </row>
        <row r="3084">
          <cell r="A3084" t="str">
            <v>1000/1430       POLIMAG S 5101</v>
          </cell>
          <cell r="J3084">
            <v>0</v>
          </cell>
        </row>
        <row r="3085">
          <cell r="A3085" t="str">
            <v>1000/1430       POLIMAG S 5101</v>
          </cell>
          <cell r="J3085">
            <v>0</v>
          </cell>
        </row>
        <row r="3086">
          <cell r="A3086" t="str">
            <v>1000/1430       POLIMAG S 5101</v>
          </cell>
          <cell r="J3086">
            <v>0</v>
          </cell>
        </row>
        <row r="3087">
          <cell r="A3087" t="str">
            <v>1000/1430       POLIMAG S 5101</v>
          </cell>
          <cell r="J3087">
            <v>6651.84</v>
          </cell>
        </row>
        <row r="3088">
          <cell r="A3088" t="str">
            <v>1000/1430       POLIMAG S 5101</v>
          </cell>
          <cell r="J3088">
            <v>0</v>
          </cell>
        </row>
        <row r="3089">
          <cell r="A3089" t="str">
            <v>1000/1430       POLIMAG S 5101</v>
          </cell>
          <cell r="J3089">
            <v>0</v>
          </cell>
        </row>
        <row r="3090">
          <cell r="A3090" t="str">
            <v>1000/1430       POLIMAG S 5101</v>
          </cell>
          <cell r="J3090">
            <v>0</v>
          </cell>
        </row>
        <row r="3091">
          <cell r="A3091" t="str">
            <v>1000/1430       POLIMAG S 5101</v>
          </cell>
          <cell r="J3091">
            <v>0</v>
          </cell>
        </row>
        <row r="3092">
          <cell r="A3092" t="str">
            <v>1000/1430       POLIMAG S 5101</v>
          </cell>
          <cell r="J3092">
            <v>0</v>
          </cell>
        </row>
        <row r="3093">
          <cell r="A3093" t="str">
            <v>1000/1430       POLIMAG S 5101</v>
          </cell>
          <cell r="J3093">
            <v>0</v>
          </cell>
        </row>
        <row r="3094">
          <cell r="A3094" t="str">
            <v>1000/1430       POLIMAG S 5101</v>
          </cell>
          <cell r="J3094">
            <v>1103.8800000000001</v>
          </cell>
        </row>
        <row r="3095">
          <cell r="A3095" t="str">
            <v>1000/1430       POLIMAG S 5101</v>
          </cell>
          <cell r="J3095">
            <v>7116.96</v>
          </cell>
        </row>
        <row r="3096">
          <cell r="A3096" t="str">
            <v>1000/1430       POLIMAG S 5101</v>
          </cell>
          <cell r="J3096">
            <v>1344.96</v>
          </cell>
        </row>
        <row r="3097">
          <cell r="A3097" t="str">
            <v>1000/1430       POLIMAG S 5101</v>
          </cell>
          <cell r="J3097">
            <v>2033.76</v>
          </cell>
        </row>
        <row r="3098">
          <cell r="A3098" t="str">
            <v>1000/1430       POLIMAG S 5101</v>
          </cell>
          <cell r="J3098">
            <v>0</v>
          </cell>
        </row>
        <row r="3099">
          <cell r="A3099" t="str">
            <v>1000/1430       POLIMAG S 5101</v>
          </cell>
          <cell r="J3099">
            <v>0</v>
          </cell>
        </row>
        <row r="3100">
          <cell r="A3100" t="str">
            <v>1000/1430       POLIMAG S 5101</v>
          </cell>
          <cell r="J3100">
            <v>17672.88</v>
          </cell>
        </row>
        <row r="3101">
          <cell r="A3101" t="str">
            <v>1000/1430       POLIMAG S 5101</v>
          </cell>
          <cell r="J3101">
            <v>0</v>
          </cell>
        </row>
        <row r="3102">
          <cell r="A3102" t="str">
            <v>1000/1430       POLIMAG S 5101</v>
          </cell>
          <cell r="J3102">
            <v>0</v>
          </cell>
        </row>
        <row r="3103">
          <cell r="A3103" t="str">
            <v>1000/1430       POLIMAG S 5101</v>
          </cell>
          <cell r="J3103">
            <v>672.48</v>
          </cell>
        </row>
        <row r="3104">
          <cell r="A3104" t="str">
            <v>1000/1430       POLIMAG S 5101</v>
          </cell>
          <cell r="J3104">
            <v>3773.28</v>
          </cell>
        </row>
        <row r="3105">
          <cell r="A3105" t="str">
            <v>1000/1430       POLIMAG S 5101</v>
          </cell>
          <cell r="J3105">
            <v>0</v>
          </cell>
        </row>
        <row r="3106">
          <cell r="A3106" t="str">
            <v>1000/1430       POLIMAG S 5101</v>
          </cell>
          <cell r="J3106">
            <v>2040.72</v>
          </cell>
        </row>
        <row r="3107">
          <cell r="A3107" t="str">
            <v>1000/1430       POLIMAG S 5101</v>
          </cell>
          <cell r="J3107">
            <v>43392.72</v>
          </cell>
        </row>
        <row r="3108">
          <cell r="A3108" t="str">
            <v>1000/1430       POLIMAG S 5101</v>
          </cell>
          <cell r="J3108">
            <v>0</v>
          </cell>
        </row>
        <row r="3109">
          <cell r="A3109" t="str">
            <v>1000/1430       POLIMAG S 5101</v>
          </cell>
          <cell r="J3109">
            <v>0</v>
          </cell>
        </row>
        <row r="3110">
          <cell r="A3110" t="str">
            <v>1000/1431       NPK 8-11-24-3</v>
          </cell>
          <cell r="J3110">
            <v>0</v>
          </cell>
        </row>
        <row r="3111">
          <cell r="A3111" t="str">
            <v>1000/1431       NPK 8-11-24-3</v>
          </cell>
          <cell r="J3111">
            <v>0</v>
          </cell>
        </row>
        <row r="3112">
          <cell r="A3112" t="str">
            <v>1000/1431       NPK 8-11-24-3</v>
          </cell>
          <cell r="J3112">
            <v>0</v>
          </cell>
        </row>
        <row r="3113">
          <cell r="A3113" t="str">
            <v>1000/1431       NPK 8-11-24-3</v>
          </cell>
          <cell r="J3113">
            <v>0</v>
          </cell>
        </row>
        <row r="3114">
          <cell r="A3114" t="str">
            <v>1000/1431       NPK 8-11-24-3</v>
          </cell>
          <cell r="J3114">
            <v>0</v>
          </cell>
        </row>
        <row r="3115">
          <cell r="A3115" t="str">
            <v>1000/1431       NPK 8-11-24-3</v>
          </cell>
          <cell r="J3115">
            <v>0</v>
          </cell>
        </row>
        <row r="3116">
          <cell r="A3116" t="str">
            <v>1000/1431       NPK 8-11-24-3</v>
          </cell>
          <cell r="J3116">
            <v>0</v>
          </cell>
        </row>
        <row r="3117">
          <cell r="A3117" t="str">
            <v>1000/1431       NPK 8-11-24-3</v>
          </cell>
          <cell r="J3117">
            <v>0</v>
          </cell>
        </row>
        <row r="3118">
          <cell r="A3118" t="str">
            <v>1000/1431       NPK 8-11-24-3</v>
          </cell>
          <cell r="J3118">
            <v>0</v>
          </cell>
        </row>
        <row r="3119">
          <cell r="A3119" t="str">
            <v>1000/1431       NPK 8-11-24-3</v>
          </cell>
          <cell r="J3119">
            <v>0</v>
          </cell>
        </row>
        <row r="3120">
          <cell r="A3120" t="str">
            <v>1000/1431       NPK 8-11-24-3</v>
          </cell>
          <cell r="J3120">
            <v>0</v>
          </cell>
        </row>
        <row r="3121">
          <cell r="A3121" t="str">
            <v>1000/1431       NPK 8-11-24-3</v>
          </cell>
          <cell r="J3121">
            <v>0</v>
          </cell>
        </row>
        <row r="3122">
          <cell r="A3122" t="str">
            <v>1000/1431       NPK 8-11-24-3</v>
          </cell>
          <cell r="J3122">
            <v>393.6</v>
          </cell>
        </row>
        <row r="3123">
          <cell r="A3123" t="str">
            <v>1000/1431       NPK 8-11-24-3</v>
          </cell>
          <cell r="J3123">
            <v>0</v>
          </cell>
        </row>
        <row r="3124">
          <cell r="A3124" t="str">
            <v>1000/1431       NPK 8-11-24-3</v>
          </cell>
          <cell r="J3124">
            <v>0</v>
          </cell>
        </row>
        <row r="3125">
          <cell r="A3125" t="str">
            <v>1000/1431       NPK 8-11-24-3</v>
          </cell>
          <cell r="J3125">
            <v>0</v>
          </cell>
        </row>
        <row r="3126">
          <cell r="A3126" t="str">
            <v>1000/1431       NPK 8-11-24-3</v>
          </cell>
          <cell r="J3126">
            <v>0</v>
          </cell>
        </row>
        <row r="3127">
          <cell r="A3127" t="str">
            <v>1000/1431       NPK 8-11-24-3</v>
          </cell>
          <cell r="J3127">
            <v>0</v>
          </cell>
        </row>
        <row r="3128">
          <cell r="A3128" t="str">
            <v>1000/1431       NPK 8-11-24-3</v>
          </cell>
          <cell r="J3128">
            <v>0</v>
          </cell>
        </row>
        <row r="3129">
          <cell r="A3129" t="str">
            <v>1000/1431       NPK 8-11-24-3</v>
          </cell>
          <cell r="J3129">
            <v>0</v>
          </cell>
        </row>
        <row r="3130">
          <cell r="A3130" t="str">
            <v>1000/1431       NPK 8-11-24-3</v>
          </cell>
          <cell r="J3130">
            <v>0</v>
          </cell>
        </row>
        <row r="3131">
          <cell r="A3131" t="str">
            <v>1000/1431       NPK 8-11-24-3</v>
          </cell>
          <cell r="J3131">
            <v>0</v>
          </cell>
        </row>
        <row r="3132">
          <cell r="A3132" t="str">
            <v>1000/1431       NPK 8-11-24-3</v>
          </cell>
          <cell r="J3132">
            <v>0</v>
          </cell>
        </row>
        <row r="3133">
          <cell r="A3133" t="str">
            <v>1000/1431       NPK 8-11-24-3</v>
          </cell>
          <cell r="J3133">
            <v>0</v>
          </cell>
        </row>
        <row r="3134">
          <cell r="A3134" t="str">
            <v>1000/1431       NPK 8-11-24-3</v>
          </cell>
          <cell r="J3134">
            <v>0</v>
          </cell>
        </row>
        <row r="3135">
          <cell r="A3135" t="str">
            <v>1000/1431       NPK 8-11-24-3</v>
          </cell>
          <cell r="J3135">
            <v>0</v>
          </cell>
        </row>
        <row r="3136">
          <cell r="A3136" t="str">
            <v>1000/1434       NPK 10-15-21</v>
          </cell>
          <cell r="J3136">
            <v>0</v>
          </cell>
        </row>
        <row r="3137">
          <cell r="A3137" t="str">
            <v>1000/1434       NPK 10-15-21</v>
          </cell>
          <cell r="J3137">
            <v>0</v>
          </cell>
        </row>
        <row r="3138">
          <cell r="A3138" t="str">
            <v>1000/1434       NPK 10-15-21</v>
          </cell>
          <cell r="J3138">
            <v>0</v>
          </cell>
        </row>
        <row r="3139">
          <cell r="A3139" t="str">
            <v>1000/1442       NP 14-34</v>
          </cell>
          <cell r="J3139">
            <v>0</v>
          </cell>
        </row>
        <row r="3140">
          <cell r="A3140" t="str">
            <v>1000/1449       NPK 10-20-20</v>
          </cell>
          <cell r="J3140">
            <v>0</v>
          </cell>
        </row>
        <row r="3141">
          <cell r="A3141" t="str">
            <v>1000/1449       NPK 10-20-20</v>
          </cell>
          <cell r="J3141">
            <v>0</v>
          </cell>
        </row>
        <row r="3142">
          <cell r="A3142" t="str">
            <v>1000/1449       NPK 10-20-20</v>
          </cell>
          <cell r="J3142">
            <v>0</v>
          </cell>
        </row>
        <row r="3143">
          <cell r="A3143" t="str">
            <v>1000/1449       NPK 10-20-20</v>
          </cell>
          <cell r="J3143">
            <v>0</v>
          </cell>
        </row>
        <row r="3144">
          <cell r="A3144" t="str">
            <v>1000/1457       NPK 5-10-30Petroplon</v>
          </cell>
          <cell r="J3144">
            <v>0</v>
          </cell>
        </row>
        <row r="3145">
          <cell r="A3145" t="str">
            <v>1000/1457       NPK 5-10-30Petroplon</v>
          </cell>
          <cell r="J3145">
            <v>0</v>
          </cell>
        </row>
        <row r="3146">
          <cell r="A3146" t="str">
            <v>1000/1457       NPK 5-10-30Petroplon</v>
          </cell>
          <cell r="J3146">
            <v>0</v>
          </cell>
        </row>
        <row r="3147">
          <cell r="A3147" t="str">
            <v>1000/1457       NPK 5-10-30Petroplon</v>
          </cell>
          <cell r="J3147">
            <v>0</v>
          </cell>
        </row>
        <row r="3148">
          <cell r="A3148" t="str">
            <v>1000/1457       NPK 5-10-30Petroplon</v>
          </cell>
          <cell r="J3148">
            <v>1779.1199999999899</v>
          </cell>
        </row>
        <row r="3149">
          <cell r="A3149" t="str">
            <v>1000/1457       NPK 5-10-30Petroplon</v>
          </cell>
          <cell r="J3149">
            <v>0</v>
          </cell>
        </row>
        <row r="3150">
          <cell r="A3150" t="str">
            <v>1000/1457       NPK 5-10-30Petroplon</v>
          </cell>
          <cell r="J3150">
            <v>1335.1199999999899</v>
          </cell>
        </row>
        <row r="3151">
          <cell r="A3151" t="str">
            <v>1000/1457       NPK 5-10-30Petroplon</v>
          </cell>
          <cell r="J3151">
            <v>0</v>
          </cell>
        </row>
        <row r="3152">
          <cell r="A3152" t="str">
            <v>1000/1457       NPK 5-10-30Petroplon</v>
          </cell>
          <cell r="J3152">
            <v>0</v>
          </cell>
        </row>
        <row r="3153">
          <cell r="A3153" t="str">
            <v>1000/1457       NPK 5-10-30Petroplon</v>
          </cell>
          <cell r="J3153">
            <v>1361.14</v>
          </cell>
        </row>
        <row r="3154">
          <cell r="A3154" t="str">
            <v>1000/1457       NPK 5-10-30Petroplon</v>
          </cell>
          <cell r="J3154">
            <v>1200.96</v>
          </cell>
        </row>
        <row r="3155">
          <cell r="A3155" t="str">
            <v>1000/1457       NPK 5-10-30Petroplon</v>
          </cell>
          <cell r="J3155">
            <v>5105.76</v>
          </cell>
        </row>
        <row r="3156">
          <cell r="A3156" t="str">
            <v>1000/1457       NPK 5-10-30Petroplon</v>
          </cell>
          <cell r="J3156">
            <v>0</v>
          </cell>
        </row>
        <row r="3157">
          <cell r="A3157" t="str">
            <v>1000/1457       NPK 5-10-30Petroplon</v>
          </cell>
          <cell r="J3157">
            <v>19634.63</v>
          </cell>
        </row>
        <row r="3158">
          <cell r="A3158" t="str">
            <v>1000/1457       NPK 5-10-30Petroplon</v>
          </cell>
          <cell r="J3158">
            <v>3602.88</v>
          </cell>
        </row>
        <row r="3159">
          <cell r="A3159" t="str">
            <v>1000/1457       NPK 5-10-30Petroplon</v>
          </cell>
          <cell r="J3159">
            <v>1300.8</v>
          </cell>
        </row>
        <row r="3160">
          <cell r="A3160" t="str">
            <v>1000/1457       NPK 5-10-30Petroplon</v>
          </cell>
          <cell r="J3160">
            <v>1971.1199999999899</v>
          </cell>
        </row>
        <row r="3161">
          <cell r="A3161" t="str">
            <v>1000/1457       NPK 5-10-30Petroplon</v>
          </cell>
          <cell r="J3161">
            <v>3003.84</v>
          </cell>
        </row>
        <row r="3162">
          <cell r="A3162" t="str">
            <v>1000/1457       NPK 5-10-30Petroplon</v>
          </cell>
          <cell r="J3162">
            <v>1419.1199999999899</v>
          </cell>
        </row>
        <row r="3163">
          <cell r="A3163" t="str">
            <v>1000/1457       NPK 5-10-30Petroplon</v>
          </cell>
          <cell r="J3163">
            <v>1935.8499999999899</v>
          </cell>
        </row>
        <row r="3164">
          <cell r="A3164" t="str">
            <v>1000/1457       NPK 5-10-30Petroplon</v>
          </cell>
          <cell r="J3164">
            <v>0</v>
          </cell>
        </row>
        <row r="3165">
          <cell r="A3165" t="str">
            <v>1000/1457       NPK 5-10-30Petroplon</v>
          </cell>
          <cell r="J3165">
            <v>2212.8000000000002</v>
          </cell>
        </row>
        <row r="3166">
          <cell r="A3166" t="str">
            <v>1000/1457       NPK 5-10-30Petroplon</v>
          </cell>
          <cell r="J3166">
            <v>0</v>
          </cell>
        </row>
        <row r="3167">
          <cell r="A3167" t="str">
            <v>1000/1457       NPK 5-10-30Petroplon</v>
          </cell>
          <cell r="J3167">
            <v>0</v>
          </cell>
        </row>
        <row r="3168">
          <cell r="A3168" t="str">
            <v>1000/1457       NPK 5-10-30Petroplon</v>
          </cell>
          <cell r="J3168">
            <v>1637.28</v>
          </cell>
        </row>
        <row r="3169">
          <cell r="A3169" t="str">
            <v>1000/1457       NPK 5-10-30Petroplon</v>
          </cell>
          <cell r="J3169">
            <v>15570.24</v>
          </cell>
        </row>
        <row r="3170">
          <cell r="A3170" t="str">
            <v>1000/1457       NPK 5-10-30Petroplon</v>
          </cell>
          <cell r="J3170">
            <v>0</v>
          </cell>
        </row>
        <row r="3171">
          <cell r="A3171" t="str">
            <v>1000/1457       NPK 5-10-30Petroplon</v>
          </cell>
          <cell r="J3171">
            <v>0</v>
          </cell>
        </row>
        <row r="3172">
          <cell r="A3172" t="str">
            <v>1000/1457       NPK 5-10-30Petroplon</v>
          </cell>
          <cell r="J3172">
            <v>0</v>
          </cell>
        </row>
        <row r="3173">
          <cell r="A3173" t="str">
            <v>1000/1457       NPK 5-10-30Petroplon</v>
          </cell>
          <cell r="J3173">
            <v>0</v>
          </cell>
        </row>
        <row r="3174">
          <cell r="A3174" t="str">
            <v>1000/1457       NPK 5-10-30Petroplon</v>
          </cell>
          <cell r="J3174">
            <v>0</v>
          </cell>
        </row>
        <row r="3175">
          <cell r="A3175" t="str">
            <v>1000/1457       NPK 5-10-30Petroplon</v>
          </cell>
          <cell r="J3175">
            <v>1344.96</v>
          </cell>
        </row>
        <row r="3176">
          <cell r="A3176" t="str">
            <v>1000/1457       NPK 5-10-30Petroplon</v>
          </cell>
          <cell r="J3176">
            <v>1212.48</v>
          </cell>
        </row>
        <row r="3177">
          <cell r="A3177" t="str">
            <v>1000/1457       NPK 5-10-30Petroplon</v>
          </cell>
          <cell r="J3177">
            <v>0</v>
          </cell>
        </row>
        <row r="3178">
          <cell r="A3178" t="str">
            <v>1000/1457       NPK 5-10-30Petroplon</v>
          </cell>
          <cell r="J3178">
            <v>894.72</v>
          </cell>
        </row>
        <row r="3179">
          <cell r="A3179" t="str">
            <v>1000/1457       NPK 5-10-30Petroplon</v>
          </cell>
          <cell r="J3179">
            <v>0</v>
          </cell>
        </row>
        <row r="3180">
          <cell r="A3180" t="str">
            <v>1000/1457       NPK 5-10-30Petroplon</v>
          </cell>
          <cell r="J3180">
            <v>0</v>
          </cell>
        </row>
        <row r="3181">
          <cell r="A3181" t="str">
            <v>1000/1457       NPK 5-10-30Petroplon</v>
          </cell>
          <cell r="J3181">
            <v>1833.8399999999899</v>
          </cell>
        </row>
        <row r="3182">
          <cell r="A3182" t="str">
            <v>1000/1457       NPK 5-10-30Petroplon</v>
          </cell>
          <cell r="J3182">
            <v>894.72</v>
          </cell>
        </row>
        <row r="3183">
          <cell r="A3183" t="str">
            <v>1000/1457       NPK 5-10-30Petroplon</v>
          </cell>
          <cell r="J3183">
            <v>0</v>
          </cell>
        </row>
        <row r="3184">
          <cell r="A3184" t="str">
            <v>1000/1457       NPK 5-10-30Petroplon</v>
          </cell>
          <cell r="J3184">
            <v>0</v>
          </cell>
        </row>
        <row r="3185">
          <cell r="A3185" t="str">
            <v>1000/1457       NPK 5-10-30Petroplon</v>
          </cell>
          <cell r="J3185">
            <v>0</v>
          </cell>
        </row>
        <row r="3186">
          <cell r="A3186" t="str">
            <v>1000/1457       NPK 5-10-30Petroplon</v>
          </cell>
          <cell r="J3186">
            <v>0</v>
          </cell>
        </row>
        <row r="3187">
          <cell r="A3187" t="str">
            <v>1000/1457       NPK 5-10-30Petroplon</v>
          </cell>
          <cell r="J3187">
            <v>0</v>
          </cell>
        </row>
        <row r="3188">
          <cell r="A3188" t="str">
            <v>1000/1457       NPK 5-10-30Petroplon</v>
          </cell>
          <cell r="J3188">
            <v>0</v>
          </cell>
        </row>
        <row r="3189">
          <cell r="A3189" t="str">
            <v>1000/1457       NPK 5-10-30Petroplon</v>
          </cell>
          <cell r="J3189">
            <v>0</v>
          </cell>
        </row>
        <row r="3190">
          <cell r="A3190" t="str">
            <v>1000/1457       NPK 5-10-30Petroplon</v>
          </cell>
          <cell r="J3190">
            <v>0</v>
          </cell>
        </row>
        <row r="3191">
          <cell r="A3191" t="str">
            <v>1000/1457       NPK 5-10-30Petroplon</v>
          </cell>
          <cell r="J3191">
            <v>0</v>
          </cell>
        </row>
        <row r="3192">
          <cell r="A3192" t="str">
            <v>1000/1457       NPK 5-10-30Petroplon</v>
          </cell>
          <cell r="J3192">
            <v>0</v>
          </cell>
        </row>
        <row r="3193">
          <cell r="A3193" t="str">
            <v>1000/1457       NPK 5-10-30Petroplon</v>
          </cell>
          <cell r="J3193">
            <v>894.72</v>
          </cell>
        </row>
        <row r="3194">
          <cell r="A3194" t="str">
            <v>1000/1457       NPK 5-10-30Petroplon</v>
          </cell>
          <cell r="J3194">
            <v>0</v>
          </cell>
        </row>
        <row r="3195">
          <cell r="A3195" t="str">
            <v>1000/1457       NPK 5-10-30Petroplon</v>
          </cell>
          <cell r="J3195">
            <v>0</v>
          </cell>
        </row>
        <row r="3196">
          <cell r="A3196" t="str">
            <v>1000/1457       NPK 5-10-30Petroplon</v>
          </cell>
          <cell r="J3196">
            <v>0</v>
          </cell>
        </row>
        <row r="3197">
          <cell r="A3197" t="str">
            <v>1000/1457       NPK 5-10-30Petroplon</v>
          </cell>
          <cell r="J3197">
            <v>5250.72</v>
          </cell>
        </row>
        <row r="3198">
          <cell r="A3198" t="str">
            <v>1000/1461       NPK 14-23-14-(8)-0,3</v>
          </cell>
          <cell r="J3198">
            <v>0</v>
          </cell>
        </row>
        <row r="3199">
          <cell r="A3199" t="str">
            <v>1000/1462       NPK 13-15-15-(22)</v>
          </cell>
          <cell r="J3199">
            <v>0</v>
          </cell>
        </row>
        <row r="3200">
          <cell r="A3200" t="str">
            <v>1000/1490       Nawozy ogrodnicze</v>
          </cell>
          <cell r="J3200">
            <v>0</v>
          </cell>
        </row>
        <row r="3201">
          <cell r="A3201" t="str">
            <v>1000/1490       Nawozy ogrodnicze</v>
          </cell>
          <cell r="J3201">
            <v>0</v>
          </cell>
        </row>
        <row r="3202">
          <cell r="A3202" t="str">
            <v>1000/1490       Nawozy ogrodnicze</v>
          </cell>
          <cell r="J3202">
            <v>0</v>
          </cell>
        </row>
        <row r="3203">
          <cell r="A3203" t="str">
            <v>1000/1490       Nawozy ogrodnicze</v>
          </cell>
          <cell r="J3203">
            <v>0</v>
          </cell>
        </row>
        <row r="3204">
          <cell r="A3204" t="str">
            <v>1000/1490       Nawozy ogrodnicze</v>
          </cell>
          <cell r="J3204">
            <v>0</v>
          </cell>
        </row>
        <row r="3205">
          <cell r="A3205" t="str">
            <v>1000/1490       Nawozy ogrodnicze</v>
          </cell>
          <cell r="J3205">
            <v>0</v>
          </cell>
        </row>
        <row r="3206">
          <cell r="A3206" t="str">
            <v>1000/1490       Nawozy ogrodnicze</v>
          </cell>
          <cell r="J3206">
            <v>0</v>
          </cell>
        </row>
        <row r="3207">
          <cell r="A3207" t="str">
            <v>1000/1490       Nawozy ogrodnicze</v>
          </cell>
          <cell r="J3207">
            <v>0</v>
          </cell>
        </row>
        <row r="3208">
          <cell r="A3208" t="str">
            <v>1000/1490       Nawozy ogrodnicze</v>
          </cell>
          <cell r="J3208">
            <v>0</v>
          </cell>
        </row>
        <row r="3209">
          <cell r="A3209" t="str">
            <v>1000/1490       Nawozy ogrodnicze</v>
          </cell>
          <cell r="J3209">
            <v>0</v>
          </cell>
        </row>
        <row r="3210">
          <cell r="A3210" t="str">
            <v>1000/1490       Nawozy ogrodnicze</v>
          </cell>
          <cell r="J3210">
            <v>0</v>
          </cell>
        </row>
        <row r="3211">
          <cell r="A3211" t="str">
            <v>1000/1490       Nawozy ogrodnicze</v>
          </cell>
          <cell r="J3211">
            <v>0</v>
          </cell>
        </row>
        <row r="3212">
          <cell r="A3212" t="str">
            <v>1000/1490       Nawozy ogrodnicze</v>
          </cell>
          <cell r="J3212">
            <v>0</v>
          </cell>
        </row>
        <row r="3213">
          <cell r="A3213" t="str">
            <v>1000/1490       Nawozy ogrodnicze</v>
          </cell>
          <cell r="J3213">
            <v>0</v>
          </cell>
        </row>
        <row r="3214">
          <cell r="A3214" t="str">
            <v>1000/1490       Nawozy ogrodnicze</v>
          </cell>
          <cell r="J3214">
            <v>0</v>
          </cell>
        </row>
        <row r="3215">
          <cell r="A3215" t="str">
            <v>1000/1490       Nawozy ogrodnicze</v>
          </cell>
          <cell r="J3215">
            <v>0</v>
          </cell>
        </row>
        <row r="3216">
          <cell r="A3216" t="str">
            <v>1000/1490       Nawozy ogrodnicze</v>
          </cell>
          <cell r="J3216">
            <v>0</v>
          </cell>
        </row>
        <row r="3217">
          <cell r="A3217" t="str">
            <v>1000/1490       Nawozy ogrodnicze</v>
          </cell>
          <cell r="J3217">
            <v>0</v>
          </cell>
        </row>
        <row r="3218">
          <cell r="A3218" t="str">
            <v>1000/1490       Nawozy ogrodnicze</v>
          </cell>
          <cell r="J3218">
            <v>0</v>
          </cell>
        </row>
        <row r="3219">
          <cell r="A3219" t="str">
            <v>1000/1490       Nawozy ogrodnicze</v>
          </cell>
          <cell r="J3219">
            <v>0</v>
          </cell>
        </row>
        <row r="3220">
          <cell r="A3220" t="str">
            <v>1000/1490       Nawozy ogrodnicze</v>
          </cell>
          <cell r="J3220">
            <v>0</v>
          </cell>
        </row>
        <row r="3221">
          <cell r="A3221" t="str">
            <v>1000/1490       Nawozy ogrodnicze</v>
          </cell>
          <cell r="J3221">
            <v>0</v>
          </cell>
        </row>
        <row r="3222">
          <cell r="A3222" t="str">
            <v>1000/1490       Nawozy ogrodnicze</v>
          </cell>
          <cell r="J3222">
            <v>0</v>
          </cell>
        </row>
        <row r="3223">
          <cell r="A3223" t="str">
            <v>1000/1490       Nawozy ogrodnicze</v>
          </cell>
          <cell r="J3223">
            <v>0</v>
          </cell>
        </row>
        <row r="3224">
          <cell r="A3224" t="str">
            <v>1000/1490       Nawozy ogrodnicze</v>
          </cell>
          <cell r="J3224">
            <v>0</v>
          </cell>
        </row>
        <row r="3225">
          <cell r="A3225" t="str">
            <v>1000/1490       Nawozy ogrodnicze</v>
          </cell>
          <cell r="J3225">
            <v>0</v>
          </cell>
        </row>
        <row r="3226">
          <cell r="A3226" t="str">
            <v>1000/1490       Nawozy ogrodnicze</v>
          </cell>
          <cell r="J3226">
            <v>0</v>
          </cell>
        </row>
        <row r="3227">
          <cell r="A3227" t="str">
            <v>1000/1490       Nawozy ogrodnicze</v>
          </cell>
          <cell r="J3227">
            <v>0</v>
          </cell>
        </row>
        <row r="3228">
          <cell r="A3228" t="str">
            <v>1000/1490       Nawozy ogrodnicze</v>
          </cell>
          <cell r="J3228">
            <v>0</v>
          </cell>
        </row>
        <row r="3229">
          <cell r="A3229" t="str">
            <v>1000/1490       Nawozy ogrodnicze</v>
          </cell>
          <cell r="J3229">
            <v>0</v>
          </cell>
        </row>
        <row r="3230">
          <cell r="A3230" t="str">
            <v>1000/1490       Nawozy ogrodnicze</v>
          </cell>
          <cell r="J3230">
            <v>0</v>
          </cell>
        </row>
        <row r="3231">
          <cell r="A3231" t="str">
            <v>1000/1490       Nawozy ogrodnicze</v>
          </cell>
          <cell r="J3231">
            <v>0</v>
          </cell>
        </row>
        <row r="3232">
          <cell r="A3232" t="str">
            <v>1000/1490       Nawozy ogrodnicze</v>
          </cell>
          <cell r="J3232">
            <v>0</v>
          </cell>
        </row>
        <row r="3233">
          <cell r="A3233" t="str">
            <v>1000/1490       Nawozy ogrodnicze</v>
          </cell>
          <cell r="J3233">
            <v>0</v>
          </cell>
        </row>
        <row r="3234">
          <cell r="A3234" t="str">
            <v>1000/1490       Nawozy ogrodnicze</v>
          </cell>
          <cell r="J3234">
            <v>0</v>
          </cell>
        </row>
        <row r="3235">
          <cell r="A3235" t="str">
            <v>1000/1490       Nawozy ogrodnicze</v>
          </cell>
          <cell r="J3235">
            <v>0</v>
          </cell>
        </row>
        <row r="3236">
          <cell r="A3236" t="str">
            <v>1000/1490       Nawozy ogrodnicze</v>
          </cell>
          <cell r="J3236">
            <v>0</v>
          </cell>
        </row>
        <row r="3237">
          <cell r="A3237" t="str">
            <v>1000/1490       Nawozy ogrodnicze</v>
          </cell>
          <cell r="J3237">
            <v>0</v>
          </cell>
        </row>
        <row r="3238">
          <cell r="A3238" t="str">
            <v>1000/1490       Nawozy ogrodnicze</v>
          </cell>
          <cell r="J3238">
            <v>0</v>
          </cell>
        </row>
        <row r="3239">
          <cell r="A3239" t="str">
            <v>1000/1490       Nawozy ogrodnicze</v>
          </cell>
          <cell r="J3239">
            <v>0</v>
          </cell>
        </row>
        <row r="3240">
          <cell r="A3240" t="str">
            <v>1000/1490       Nawozy ogrodnicze</v>
          </cell>
          <cell r="J3240">
            <v>0</v>
          </cell>
        </row>
        <row r="3241">
          <cell r="A3241" t="str">
            <v>1000/1490       Nawozy ogrodnicze</v>
          </cell>
          <cell r="J3241">
            <v>0</v>
          </cell>
        </row>
        <row r="3242">
          <cell r="A3242" t="str">
            <v>1000/1490       Nawozy ogrodnicze</v>
          </cell>
          <cell r="J3242">
            <v>0</v>
          </cell>
        </row>
        <row r="3243">
          <cell r="A3243" t="str">
            <v>1000/1490       Nawozy ogrodnicze</v>
          </cell>
          <cell r="J3243">
            <v>0</v>
          </cell>
        </row>
        <row r="3244">
          <cell r="A3244" t="str">
            <v>1000/1490       Nawozy ogrodnicze</v>
          </cell>
          <cell r="J3244">
            <v>0</v>
          </cell>
        </row>
        <row r="3245">
          <cell r="A3245" t="str">
            <v>1000/1490       Nawozy ogrodnicze</v>
          </cell>
          <cell r="J3245">
            <v>0</v>
          </cell>
        </row>
        <row r="3246">
          <cell r="A3246" t="str">
            <v>1000/1490       Nawozy ogrodnicze</v>
          </cell>
          <cell r="J3246">
            <v>0</v>
          </cell>
        </row>
        <row r="3247">
          <cell r="A3247" t="str">
            <v>1000/1490       Nawozy ogrodnicze</v>
          </cell>
          <cell r="J3247">
            <v>0</v>
          </cell>
        </row>
        <row r="3248">
          <cell r="A3248" t="str">
            <v>1000/1490       Nawozy ogrodnicze</v>
          </cell>
          <cell r="J3248">
            <v>0</v>
          </cell>
        </row>
        <row r="3249">
          <cell r="A3249" t="str">
            <v>1000/1490       Nawozy ogrodnicze</v>
          </cell>
          <cell r="J3249">
            <v>0</v>
          </cell>
        </row>
        <row r="3250">
          <cell r="A3250" t="str">
            <v>1000/1490       Nawozy ogrodnicze</v>
          </cell>
          <cell r="J3250">
            <v>0</v>
          </cell>
        </row>
        <row r="3251">
          <cell r="A3251" t="str">
            <v>1000/1490       Nawozy ogrodnicze</v>
          </cell>
          <cell r="J3251">
            <v>0</v>
          </cell>
        </row>
        <row r="3252">
          <cell r="A3252" t="str">
            <v>1000/1490       Nawozy ogrodnicze</v>
          </cell>
          <cell r="J3252">
            <v>0</v>
          </cell>
        </row>
        <row r="3253">
          <cell r="A3253" t="str">
            <v>1000/1490       Nawozy ogrodnicze</v>
          </cell>
          <cell r="J3253">
            <v>0</v>
          </cell>
        </row>
        <row r="3254">
          <cell r="A3254" t="str">
            <v>1000/1490       Nawozy ogrodnicze</v>
          </cell>
          <cell r="J3254">
            <v>0</v>
          </cell>
        </row>
        <row r="3255">
          <cell r="A3255" t="str">
            <v>1000/1490       Nawozy ogrodnicze</v>
          </cell>
          <cell r="J3255">
            <v>0</v>
          </cell>
        </row>
        <row r="3256">
          <cell r="A3256" t="str">
            <v>1000/1490       Nawozy ogrodnicze</v>
          </cell>
          <cell r="J3256">
            <v>0</v>
          </cell>
        </row>
        <row r="3257">
          <cell r="A3257" t="str">
            <v>1000/1490       Nawozy ogrodnicze</v>
          </cell>
          <cell r="J3257">
            <v>0</v>
          </cell>
        </row>
        <row r="3258">
          <cell r="A3258" t="str">
            <v>1000/1490       Nawozy ogrodnicze</v>
          </cell>
          <cell r="J3258">
            <v>0</v>
          </cell>
        </row>
        <row r="3259">
          <cell r="A3259" t="str">
            <v>1000/1490       Nawozy ogrodnicze</v>
          </cell>
          <cell r="J3259">
            <v>0</v>
          </cell>
        </row>
        <row r="3260">
          <cell r="A3260" t="str">
            <v>1000/1490       Nawozy ogrodnicze</v>
          </cell>
          <cell r="J3260">
            <v>0</v>
          </cell>
        </row>
        <row r="3261">
          <cell r="A3261" t="str">
            <v>1000/1490       Nawozy ogrodnicze</v>
          </cell>
          <cell r="J3261">
            <v>0</v>
          </cell>
        </row>
        <row r="3262">
          <cell r="A3262" t="str">
            <v>1000/1490       Nawozy ogrodnicze</v>
          </cell>
          <cell r="J3262">
            <v>0</v>
          </cell>
        </row>
        <row r="3263">
          <cell r="A3263" t="str">
            <v>1000/1490       Nawozy ogrodnicze</v>
          </cell>
          <cell r="J3263">
            <v>0</v>
          </cell>
        </row>
        <row r="3264">
          <cell r="A3264" t="str">
            <v>1000/1490       Nawozy ogrodnicze</v>
          </cell>
          <cell r="J3264">
            <v>0</v>
          </cell>
        </row>
        <row r="3265">
          <cell r="A3265" t="str">
            <v>1000/1490       Nawozy ogrodnicze</v>
          </cell>
          <cell r="J3265">
            <v>0</v>
          </cell>
        </row>
        <row r="3266">
          <cell r="A3266" t="str">
            <v>1000/1490       Nawozy ogrodnicze</v>
          </cell>
          <cell r="J3266">
            <v>0</v>
          </cell>
        </row>
        <row r="3267">
          <cell r="A3267" t="str">
            <v>1000/1490       Nawozy ogrodnicze</v>
          </cell>
          <cell r="J3267">
            <v>0</v>
          </cell>
        </row>
        <row r="3268">
          <cell r="A3268" t="str">
            <v>1000/1490       Nawozy ogrodnicze</v>
          </cell>
          <cell r="J3268">
            <v>0</v>
          </cell>
        </row>
        <row r="3269">
          <cell r="A3269" t="str">
            <v>1000/1490       Nawozy ogrodnicze</v>
          </cell>
          <cell r="J3269">
            <v>0</v>
          </cell>
        </row>
        <row r="3270">
          <cell r="A3270" t="str">
            <v>1000/1490       Nawozy ogrodnicze</v>
          </cell>
          <cell r="J3270">
            <v>0</v>
          </cell>
        </row>
        <row r="3271">
          <cell r="A3271" t="str">
            <v>1000/1490       Nawozy ogrodnicze</v>
          </cell>
          <cell r="J3271">
            <v>0</v>
          </cell>
        </row>
        <row r="3272">
          <cell r="A3272" t="str">
            <v>1000/1490       Nawozy ogrodnicze</v>
          </cell>
          <cell r="J3272">
            <v>0</v>
          </cell>
        </row>
        <row r="3273">
          <cell r="A3273" t="str">
            <v>1000/1490       Nawozy ogrodnicze</v>
          </cell>
          <cell r="J3273">
            <v>0</v>
          </cell>
        </row>
        <row r="3274">
          <cell r="A3274" t="str">
            <v>1000/1490       Nawozy ogrodnicze</v>
          </cell>
          <cell r="J3274">
            <v>0</v>
          </cell>
        </row>
        <row r="3275">
          <cell r="A3275" t="str">
            <v>1000/1490       Nawozy ogrodnicze</v>
          </cell>
          <cell r="J3275">
            <v>0</v>
          </cell>
        </row>
        <row r="3276">
          <cell r="A3276" t="str">
            <v>1000/1490       Nawozy ogrodnicze</v>
          </cell>
          <cell r="J3276">
            <v>0</v>
          </cell>
        </row>
        <row r="3277">
          <cell r="A3277" t="str">
            <v>1000/1490       Nawozy ogrodnicze</v>
          </cell>
          <cell r="J3277">
            <v>0</v>
          </cell>
        </row>
        <row r="3278">
          <cell r="A3278" t="str">
            <v>1000/1490       Nawozy ogrodnicze</v>
          </cell>
          <cell r="J3278">
            <v>0</v>
          </cell>
        </row>
        <row r="3279">
          <cell r="A3279" t="str">
            <v>1000/1490       Nawozy ogrodnicze</v>
          </cell>
          <cell r="J3279">
            <v>0</v>
          </cell>
        </row>
        <row r="3280">
          <cell r="A3280" t="str">
            <v>1000/1492       Naw. ogr w pudełkach</v>
          </cell>
          <cell r="J3280">
            <v>0</v>
          </cell>
        </row>
        <row r="3281">
          <cell r="A3281" t="str">
            <v>1000/1492       Naw. ogr w pudełkach</v>
          </cell>
          <cell r="J3281">
            <v>0</v>
          </cell>
        </row>
        <row r="3282">
          <cell r="A3282" t="str">
            <v>1000/1492       Naw. ogr w pudełkach</v>
          </cell>
          <cell r="J3282">
            <v>0</v>
          </cell>
        </row>
        <row r="3283">
          <cell r="A3283" t="str">
            <v>1000/1492       Naw. ogr w pudełkach</v>
          </cell>
          <cell r="J3283">
            <v>0</v>
          </cell>
        </row>
        <row r="3284">
          <cell r="A3284" t="str">
            <v>1000/1492       Naw. ogr w pudełkach</v>
          </cell>
          <cell r="J3284">
            <v>0</v>
          </cell>
        </row>
        <row r="3285">
          <cell r="A3285" t="str">
            <v>1000/1492       Naw. ogr w pudełkach</v>
          </cell>
          <cell r="J3285">
            <v>0</v>
          </cell>
        </row>
        <row r="3286">
          <cell r="A3286" t="str">
            <v>1000/1492       Naw. ogr w pudełkach</v>
          </cell>
          <cell r="J3286">
            <v>0</v>
          </cell>
        </row>
        <row r="3287">
          <cell r="A3287" t="str">
            <v>1000/1492       Naw. ogr w pudełkach</v>
          </cell>
          <cell r="J3287">
            <v>0</v>
          </cell>
        </row>
        <row r="3288">
          <cell r="A3288" t="str">
            <v>1000/1492       Naw. ogr w pudełkach</v>
          </cell>
          <cell r="J3288">
            <v>0</v>
          </cell>
        </row>
        <row r="3289">
          <cell r="A3289" t="str">
            <v>1000/1492       Naw. ogr w pudełkach</v>
          </cell>
          <cell r="J3289">
            <v>0</v>
          </cell>
        </row>
        <row r="3290">
          <cell r="A3290" t="str">
            <v>1000/1492       Naw. ogr w pudełkach</v>
          </cell>
          <cell r="J3290">
            <v>0</v>
          </cell>
        </row>
        <row r="3291">
          <cell r="A3291" t="str">
            <v>1000/1600       Biel Tytanowa R-001</v>
          </cell>
          <cell r="J3291">
            <v>0</v>
          </cell>
        </row>
        <row r="3292">
          <cell r="A3292" t="str">
            <v>1000/1600       Biel Tytanowa R-001</v>
          </cell>
          <cell r="J3292">
            <v>1011.84</v>
          </cell>
        </row>
        <row r="3293">
          <cell r="A3293" t="str">
            <v>1000/1600       Biel Tytanowa R-001</v>
          </cell>
          <cell r="J3293">
            <v>3312.5</v>
          </cell>
        </row>
        <row r="3294">
          <cell r="A3294" t="str">
            <v>1000/1600       Biel Tytanowa R-001</v>
          </cell>
          <cell r="J3294">
            <v>4257.6000000000004</v>
          </cell>
        </row>
        <row r="3295">
          <cell r="A3295" t="str">
            <v>1000/1600       Biel Tytanowa R-001</v>
          </cell>
          <cell r="J3295">
            <v>7411.1999999999898</v>
          </cell>
        </row>
        <row r="3296">
          <cell r="A3296" t="str">
            <v>1000/1600       Biel Tytanowa R-001</v>
          </cell>
          <cell r="J3296">
            <v>0</v>
          </cell>
        </row>
        <row r="3297">
          <cell r="A3297" t="str">
            <v>1000/1600       Biel Tytanowa R-001</v>
          </cell>
          <cell r="J3297">
            <v>4430.3</v>
          </cell>
        </row>
        <row r="3298">
          <cell r="A3298" t="str">
            <v>1000/1600       Biel Tytanowa R-001</v>
          </cell>
          <cell r="J3298">
            <v>1300.8</v>
          </cell>
        </row>
        <row r="3299">
          <cell r="A3299" t="str">
            <v>1000/1600       Biel Tytanowa R-001</v>
          </cell>
          <cell r="J3299">
            <v>0</v>
          </cell>
        </row>
        <row r="3300">
          <cell r="A3300" t="str">
            <v>1000/1600       Biel Tytanowa R-001</v>
          </cell>
          <cell r="J3300">
            <v>1852.8</v>
          </cell>
        </row>
        <row r="3301">
          <cell r="A3301" t="str">
            <v>1000/1600       Biel Tytanowa R-001</v>
          </cell>
          <cell r="J3301">
            <v>0</v>
          </cell>
        </row>
        <row r="3302">
          <cell r="A3302" t="str">
            <v>1000/1600       Biel Tytanowa R-001</v>
          </cell>
          <cell r="J3302">
            <v>5057.1400000000003</v>
          </cell>
        </row>
        <row r="3303">
          <cell r="A3303" t="str">
            <v>1000/1600       Biel Tytanowa R-001</v>
          </cell>
          <cell r="J3303">
            <v>0</v>
          </cell>
        </row>
        <row r="3304">
          <cell r="A3304" t="str">
            <v>1000/1600       Biel Tytanowa R-001</v>
          </cell>
          <cell r="J3304">
            <v>0</v>
          </cell>
        </row>
        <row r="3305">
          <cell r="A3305" t="str">
            <v>1000/1600       Biel Tytanowa R-001</v>
          </cell>
          <cell r="J3305">
            <v>0</v>
          </cell>
        </row>
        <row r="3306">
          <cell r="A3306" t="str">
            <v>1000/1600       Biel Tytanowa R-001</v>
          </cell>
          <cell r="J3306">
            <v>0</v>
          </cell>
        </row>
        <row r="3307">
          <cell r="A3307" t="str">
            <v>1000/1600       Biel Tytanowa R-001</v>
          </cell>
          <cell r="J3307">
            <v>0</v>
          </cell>
        </row>
        <row r="3308">
          <cell r="A3308" t="str">
            <v>1000/1600       Biel Tytanowa R-001</v>
          </cell>
          <cell r="J3308">
            <v>0</v>
          </cell>
        </row>
        <row r="3309">
          <cell r="A3309" t="str">
            <v>1000/1600       Biel Tytanowa R-001</v>
          </cell>
          <cell r="J3309">
            <v>13142.719999999899</v>
          </cell>
        </row>
        <row r="3310">
          <cell r="A3310" t="str">
            <v>1000/1600       Biel Tytanowa R-001</v>
          </cell>
          <cell r="J3310">
            <v>0</v>
          </cell>
        </row>
        <row r="3311">
          <cell r="A3311" t="str">
            <v>1000/1600       Biel Tytanowa R-001</v>
          </cell>
          <cell r="J3311">
            <v>0</v>
          </cell>
        </row>
        <row r="3312">
          <cell r="A3312" t="str">
            <v>1000/1600       Biel Tytanowa R-001</v>
          </cell>
          <cell r="J3312">
            <v>0</v>
          </cell>
        </row>
        <row r="3313">
          <cell r="A3313" t="str">
            <v>1000/1600       Biel Tytanowa R-001</v>
          </cell>
          <cell r="J3313">
            <v>5545.1999999999898</v>
          </cell>
        </row>
        <row r="3314">
          <cell r="A3314" t="str">
            <v>1000/1600       Biel Tytanowa R-001</v>
          </cell>
          <cell r="J3314">
            <v>0</v>
          </cell>
        </row>
        <row r="3315">
          <cell r="A3315" t="str">
            <v>1000/1600       Biel Tytanowa R-001</v>
          </cell>
          <cell r="J3315">
            <v>0</v>
          </cell>
        </row>
        <row r="3316">
          <cell r="A3316" t="str">
            <v>1000/1600       Biel Tytanowa R-001</v>
          </cell>
          <cell r="J3316">
            <v>0</v>
          </cell>
        </row>
        <row r="3317">
          <cell r="A3317" t="str">
            <v>1000/1600       Biel Tytanowa R-001</v>
          </cell>
          <cell r="J3317">
            <v>2650</v>
          </cell>
        </row>
        <row r="3318">
          <cell r="A3318" t="str">
            <v>1000/1600       Biel Tytanowa R-001</v>
          </cell>
          <cell r="J3318">
            <v>5322</v>
          </cell>
        </row>
        <row r="3319">
          <cell r="A3319" t="str">
            <v>1000/1600       Biel Tytanowa R-001</v>
          </cell>
          <cell r="J3319">
            <v>0</v>
          </cell>
        </row>
        <row r="3320">
          <cell r="A3320" t="str">
            <v>1000/1600       Biel Tytanowa R-001</v>
          </cell>
          <cell r="J3320">
            <v>11116.799999999899</v>
          </cell>
        </row>
        <row r="3321">
          <cell r="A3321" t="str">
            <v>1000/1600       Biel Tytanowa R-001</v>
          </cell>
          <cell r="J3321">
            <v>0</v>
          </cell>
        </row>
        <row r="3322">
          <cell r="A3322" t="str">
            <v>1000/1600       Biel Tytanowa R-001</v>
          </cell>
          <cell r="J3322">
            <v>0</v>
          </cell>
        </row>
        <row r="3323">
          <cell r="A3323" t="str">
            <v>1000/1600       Biel Tytanowa R-001</v>
          </cell>
          <cell r="J3323">
            <v>4248.18</v>
          </cell>
        </row>
        <row r="3324">
          <cell r="A3324" t="str">
            <v>1000/1600       Biel Tytanowa R-001</v>
          </cell>
          <cell r="J3324">
            <v>1300.8</v>
          </cell>
        </row>
        <row r="3325">
          <cell r="A3325" t="str">
            <v>1000/1600       Biel Tytanowa R-001</v>
          </cell>
          <cell r="J3325">
            <v>0</v>
          </cell>
        </row>
        <row r="3326">
          <cell r="A3326" t="str">
            <v>1000/1600       Biel Tytanowa R-001</v>
          </cell>
          <cell r="J3326">
            <v>4062.5999999999899</v>
          </cell>
        </row>
        <row r="3327">
          <cell r="A3327" t="str">
            <v>1000/1600       Biel Tytanowa R-001</v>
          </cell>
          <cell r="J3327">
            <v>2352</v>
          </cell>
        </row>
        <row r="3328">
          <cell r="A3328" t="str">
            <v>1000/1600       Biel Tytanowa R-001</v>
          </cell>
          <cell r="J3328">
            <v>0</v>
          </cell>
        </row>
        <row r="3329">
          <cell r="A3329" t="str">
            <v>1000/1600       Biel Tytanowa R-001</v>
          </cell>
          <cell r="J3329">
            <v>0</v>
          </cell>
        </row>
        <row r="3330">
          <cell r="A3330" t="str">
            <v>1000/1600       Biel Tytanowa R-001</v>
          </cell>
          <cell r="J3330">
            <v>0</v>
          </cell>
        </row>
        <row r="3331">
          <cell r="A3331" t="str">
            <v>1000/1600       Biel Tytanowa R-001</v>
          </cell>
          <cell r="J3331">
            <v>0</v>
          </cell>
        </row>
        <row r="3332">
          <cell r="A3332" t="str">
            <v>1000/1600       Biel Tytanowa R-001</v>
          </cell>
          <cell r="J3332">
            <v>0</v>
          </cell>
        </row>
        <row r="3333">
          <cell r="A3333" t="str">
            <v>1000/1600       Biel Tytanowa R-001</v>
          </cell>
          <cell r="J3333">
            <v>0</v>
          </cell>
        </row>
        <row r="3334">
          <cell r="A3334" t="str">
            <v>1000/1600       Biel Tytanowa R-001</v>
          </cell>
          <cell r="J3334">
            <v>0</v>
          </cell>
        </row>
        <row r="3335">
          <cell r="A3335" t="str">
            <v>1000/1600       Biel Tytanowa R-001</v>
          </cell>
          <cell r="J3335">
            <v>0</v>
          </cell>
        </row>
        <row r="3336">
          <cell r="A3336" t="str">
            <v>1000/1600       Biel Tytanowa R-001</v>
          </cell>
          <cell r="J3336">
            <v>0</v>
          </cell>
        </row>
        <row r="3337">
          <cell r="A3337" t="str">
            <v>1000/1600       Biel Tytanowa R-001</v>
          </cell>
          <cell r="J3337">
            <v>8700</v>
          </cell>
        </row>
        <row r="3338">
          <cell r="A3338" t="str">
            <v>1000/1600       Biel Tytanowa R-001</v>
          </cell>
          <cell r="J3338">
            <v>709.67999999999904</v>
          </cell>
        </row>
        <row r="3339">
          <cell r="A3339" t="str">
            <v>1000/1600       Biel Tytanowa R-001</v>
          </cell>
          <cell r="J3339">
            <v>0</v>
          </cell>
        </row>
        <row r="3340">
          <cell r="A3340" t="str">
            <v>1000/1600       Biel Tytanowa R-001</v>
          </cell>
          <cell r="J3340">
            <v>0</v>
          </cell>
        </row>
        <row r="3341">
          <cell r="A3341" t="str">
            <v>1000/1600       Biel Tytanowa R-001</v>
          </cell>
          <cell r="J3341">
            <v>0</v>
          </cell>
        </row>
        <row r="3342">
          <cell r="A3342" t="str">
            <v>1000/1600       Biel Tytanowa R-001</v>
          </cell>
          <cell r="J3342">
            <v>0</v>
          </cell>
        </row>
        <row r="3343">
          <cell r="A3343" t="str">
            <v>1000/1600       Biel Tytanowa R-001</v>
          </cell>
          <cell r="J3343">
            <v>0</v>
          </cell>
        </row>
        <row r="3344">
          <cell r="A3344" t="str">
            <v>1000/1600       Biel Tytanowa R-001</v>
          </cell>
          <cell r="J3344">
            <v>7763.2799999999897</v>
          </cell>
        </row>
        <row r="3345">
          <cell r="A3345" t="str">
            <v>1000/1600       Biel Tytanowa R-001</v>
          </cell>
          <cell r="J3345">
            <v>0</v>
          </cell>
        </row>
        <row r="3346">
          <cell r="A3346" t="str">
            <v>1000/1600       Biel Tytanowa R-001</v>
          </cell>
          <cell r="J3346">
            <v>0</v>
          </cell>
        </row>
        <row r="3347">
          <cell r="A3347" t="str">
            <v>1000/1600       Biel Tytanowa R-001</v>
          </cell>
          <cell r="J3347">
            <v>0</v>
          </cell>
        </row>
        <row r="3348">
          <cell r="A3348" t="str">
            <v>1000/1600       Biel Tytanowa R-001</v>
          </cell>
          <cell r="J3348">
            <v>1011.84</v>
          </cell>
        </row>
        <row r="3349">
          <cell r="A3349" t="str">
            <v>1000/1600       Biel Tytanowa R-001</v>
          </cell>
          <cell r="J3349">
            <v>0</v>
          </cell>
        </row>
        <row r="3350">
          <cell r="A3350" t="str">
            <v>1000/1600       Biel Tytanowa R-001</v>
          </cell>
          <cell r="J3350">
            <v>6293.75</v>
          </cell>
        </row>
        <row r="3351">
          <cell r="A3351" t="str">
            <v>1000/1600       Biel Tytanowa R-001</v>
          </cell>
          <cell r="J3351">
            <v>4257.6000000000004</v>
          </cell>
        </row>
        <row r="3352">
          <cell r="A3352" t="str">
            <v>1000/1600       Biel Tytanowa R-001</v>
          </cell>
          <cell r="J3352">
            <v>0</v>
          </cell>
        </row>
        <row r="3353">
          <cell r="A3353" t="str">
            <v>1000/1600       Biel Tytanowa R-001</v>
          </cell>
          <cell r="J3353">
            <v>11116.799999999899</v>
          </cell>
        </row>
        <row r="3354">
          <cell r="A3354" t="str">
            <v>1000/1600       Biel Tytanowa R-001</v>
          </cell>
          <cell r="J3354">
            <v>0</v>
          </cell>
        </row>
        <row r="3355">
          <cell r="A3355" t="str">
            <v>1000/1600       Biel Tytanowa R-001</v>
          </cell>
          <cell r="J3355">
            <v>0</v>
          </cell>
        </row>
        <row r="3356">
          <cell r="A3356" t="str">
            <v>1000/1600       Biel Tytanowa R-001</v>
          </cell>
          <cell r="J3356">
            <v>0</v>
          </cell>
        </row>
        <row r="3357">
          <cell r="A3357" t="str">
            <v>1000/1600       Biel Tytanowa R-001</v>
          </cell>
          <cell r="J3357">
            <v>7357.14</v>
          </cell>
        </row>
        <row r="3358">
          <cell r="A3358" t="str">
            <v>1000/1600       Biel Tytanowa R-001</v>
          </cell>
          <cell r="J3358">
            <v>0</v>
          </cell>
        </row>
        <row r="3359">
          <cell r="A3359" t="str">
            <v>1000/1600       Biel Tytanowa R-001</v>
          </cell>
          <cell r="J3359">
            <v>1456.8</v>
          </cell>
        </row>
        <row r="3360">
          <cell r="A3360" t="str">
            <v>1000/1600       Biel Tytanowa R-001</v>
          </cell>
          <cell r="J3360">
            <v>4037.28</v>
          </cell>
        </row>
        <row r="3361">
          <cell r="A3361" t="str">
            <v>1000/1600       Biel Tytanowa R-001</v>
          </cell>
          <cell r="J3361">
            <v>5946.27</v>
          </cell>
        </row>
        <row r="3362">
          <cell r="A3362" t="str">
            <v>1000/1600       Biel Tytanowa R-001</v>
          </cell>
          <cell r="J3362">
            <v>0</v>
          </cell>
        </row>
        <row r="3363">
          <cell r="A3363" t="str">
            <v>1000/1600       Biel Tytanowa R-001</v>
          </cell>
          <cell r="J3363">
            <v>0</v>
          </cell>
        </row>
        <row r="3364">
          <cell r="A3364" t="str">
            <v>1000/1600       Biel Tytanowa R-001</v>
          </cell>
          <cell r="J3364">
            <v>0</v>
          </cell>
        </row>
        <row r="3365">
          <cell r="A3365" t="str">
            <v>1000/1600       Biel Tytanowa R-001</v>
          </cell>
          <cell r="J3365">
            <v>0</v>
          </cell>
        </row>
        <row r="3366">
          <cell r="A3366" t="str">
            <v>1000/1600       Biel Tytanowa R-001</v>
          </cell>
          <cell r="J3366">
            <v>0</v>
          </cell>
        </row>
        <row r="3367">
          <cell r="A3367" t="str">
            <v>1000/1600       Biel Tytanowa R-001</v>
          </cell>
          <cell r="J3367">
            <v>0</v>
          </cell>
        </row>
        <row r="3368">
          <cell r="A3368" t="str">
            <v>1000/1600       Biel Tytanowa R-001</v>
          </cell>
          <cell r="J3368">
            <v>17585.4399999999</v>
          </cell>
        </row>
        <row r="3369">
          <cell r="A3369" t="str">
            <v>1000/1600       Biel Tytanowa R-001</v>
          </cell>
          <cell r="J3369">
            <v>709.67999999999904</v>
          </cell>
        </row>
        <row r="3370">
          <cell r="A3370" t="str">
            <v>1000/1600       Biel Tytanowa R-001</v>
          </cell>
          <cell r="J3370">
            <v>0</v>
          </cell>
        </row>
        <row r="3371">
          <cell r="A3371" t="str">
            <v>1000/1600       Biel Tytanowa R-001</v>
          </cell>
          <cell r="J3371">
            <v>0</v>
          </cell>
        </row>
        <row r="3372">
          <cell r="A3372" t="str">
            <v>1000/1600       Biel Tytanowa R-001</v>
          </cell>
          <cell r="J3372">
            <v>0</v>
          </cell>
        </row>
        <row r="3373">
          <cell r="A3373" t="str">
            <v>1000/1600       Biel Tytanowa R-001</v>
          </cell>
          <cell r="J3373">
            <v>0</v>
          </cell>
        </row>
        <row r="3374">
          <cell r="A3374" t="str">
            <v>1000/1600       Biel Tytanowa R-001</v>
          </cell>
          <cell r="J3374">
            <v>0</v>
          </cell>
        </row>
        <row r="3375">
          <cell r="A3375" t="str">
            <v>1000/1600       Biel Tytanowa R-001</v>
          </cell>
          <cell r="J3375">
            <v>11397.58</v>
          </cell>
        </row>
        <row r="3376">
          <cell r="A3376" t="str">
            <v>1000/1600       Biel Tytanowa R-001</v>
          </cell>
          <cell r="J3376">
            <v>0</v>
          </cell>
        </row>
        <row r="3377">
          <cell r="A3377" t="str">
            <v>1000/1600       Biel Tytanowa R-001</v>
          </cell>
          <cell r="J3377">
            <v>0</v>
          </cell>
        </row>
        <row r="3378">
          <cell r="A3378" t="str">
            <v>1000/1600       Biel Tytanowa R-001</v>
          </cell>
          <cell r="J3378">
            <v>0</v>
          </cell>
        </row>
        <row r="3379">
          <cell r="A3379" t="str">
            <v>1000/1600       Biel Tytanowa R-001</v>
          </cell>
          <cell r="J3379">
            <v>5787.6</v>
          </cell>
        </row>
        <row r="3380">
          <cell r="A3380" t="str">
            <v>1000/1600       Biel Tytanowa R-001</v>
          </cell>
          <cell r="J3380">
            <v>0</v>
          </cell>
        </row>
        <row r="3381">
          <cell r="A3381" t="str">
            <v>1000/1600       Biel Tytanowa R-001</v>
          </cell>
          <cell r="J3381">
            <v>19972.2599999999</v>
          </cell>
        </row>
        <row r="3382">
          <cell r="A3382" t="str">
            <v>1000/1600       Biel Tytanowa R-001</v>
          </cell>
          <cell r="J3382">
            <v>0</v>
          </cell>
        </row>
        <row r="3383">
          <cell r="A3383" t="str">
            <v>1000/1600       Biel Tytanowa R-001</v>
          </cell>
          <cell r="J3383">
            <v>0</v>
          </cell>
        </row>
        <row r="3384">
          <cell r="A3384" t="str">
            <v>1000/1600       Biel Tytanowa R-001</v>
          </cell>
          <cell r="J3384">
            <v>0</v>
          </cell>
        </row>
        <row r="3385">
          <cell r="A3385" t="str">
            <v>1000/1600       Biel Tytanowa R-001</v>
          </cell>
          <cell r="J3385">
            <v>4678.0799999999899</v>
          </cell>
        </row>
        <row r="3386">
          <cell r="A3386" t="str">
            <v>1000/1600       Biel Tytanowa R-001</v>
          </cell>
          <cell r="J3386">
            <v>1456.8</v>
          </cell>
        </row>
        <row r="3387">
          <cell r="A3387" t="str">
            <v>1000/1600       Biel Tytanowa R-001</v>
          </cell>
          <cell r="J3387">
            <v>10489.44</v>
          </cell>
        </row>
        <row r="3388">
          <cell r="A3388" t="str">
            <v>1000/1600       Biel Tytanowa R-001</v>
          </cell>
          <cell r="J3388">
            <v>0</v>
          </cell>
        </row>
        <row r="3389">
          <cell r="A3389" t="str">
            <v>1000/1600       Biel Tytanowa R-001</v>
          </cell>
          <cell r="J3389">
            <v>4342.8699999999899</v>
          </cell>
        </row>
        <row r="3390">
          <cell r="A3390" t="str">
            <v>1000/1600       Biel Tytanowa R-001</v>
          </cell>
          <cell r="J3390">
            <v>0</v>
          </cell>
        </row>
        <row r="3391">
          <cell r="A3391" t="str">
            <v>1000/1600       Biel Tytanowa R-001</v>
          </cell>
          <cell r="J3391">
            <v>0</v>
          </cell>
        </row>
        <row r="3392">
          <cell r="A3392" t="str">
            <v>1000/1600       Biel Tytanowa R-001</v>
          </cell>
          <cell r="J3392">
            <v>0</v>
          </cell>
        </row>
        <row r="3393">
          <cell r="A3393" t="str">
            <v>1000/1600       Biel Tytanowa R-001</v>
          </cell>
          <cell r="J3393">
            <v>0</v>
          </cell>
        </row>
        <row r="3394">
          <cell r="A3394" t="str">
            <v>1000/1600       Biel Tytanowa R-001</v>
          </cell>
          <cell r="J3394">
            <v>0</v>
          </cell>
        </row>
        <row r="3395">
          <cell r="A3395" t="str">
            <v>1000/1600       Biel Tytanowa R-001</v>
          </cell>
          <cell r="J3395">
            <v>0</v>
          </cell>
        </row>
        <row r="3396">
          <cell r="A3396" t="str">
            <v>1000/1600       Biel Tytanowa R-001</v>
          </cell>
          <cell r="J3396">
            <v>18581.59</v>
          </cell>
        </row>
        <row r="3397">
          <cell r="A3397" t="str">
            <v>1000/1600       Biel Tytanowa R-001</v>
          </cell>
          <cell r="J3397">
            <v>1589.76</v>
          </cell>
        </row>
        <row r="3398">
          <cell r="A3398" t="str">
            <v>1000/1600       Biel Tytanowa R-001</v>
          </cell>
          <cell r="J3398">
            <v>0</v>
          </cell>
        </row>
        <row r="3399">
          <cell r="A3399" t="str">
            <v>1000/1600       Biel Tytanowa R-001</v>
          </cell>
          <cell r="J3399">
            <v>0</v>
          </cell>
        </row>
        <row r="3400">
          <cell r="A3400" t="str">
            <v>1000/1600       Biel Tytanowa R-001</v>
          </cell>
          <cell r="J3400">
            <v>0</v>
          </cell>
        </row>
        <row r="3401">
          <cell r="A3401" t="str">
            <v>1000/1600       Biel Tytanowa R-001</v>
          </cell>
          <cell r="J3401">
            <v>0</v>
          </cell>
        </row>
        <row r="3402">
          <cell r="A3402" t="str">
            <v>1000/1600       Biel Tytanowa R-001</v>
          </cell>
          <cell r="J3402">
            <v>0</v>
          </cell>
        </row>
        <row r="3403">
          <cell r="A3403" t="str">
            <v>1000/1600       Biel Tytanowa R-001</v>
          </cell>
          <cell r="J3403">
            <v>11180.16</v>
          </cell>
        </row>
        <row r="3404">
          <cell r="A3404" t="str">
            <v>1000/1600       Biel Tytanowa R-001</v>
          </cell>
          <cell r="J3404">
            <v>0</v>
          </cell>
        </row>
        <row r="3405">
          <cell r="A3405" t="str">
            <v>1000/1600       Biel Tytanowa R-001</v>
          </cell>
          <cell r="J3405">
            <v>0</v>
          </cell>
        </row>
        <row r="3406">
          <cell r="A3406" t="str">
            <v>1000/1600       Biel Tytanowa R-001</v>
          </cell>
          <cell r="J3406">
            <v>1133.28</v>
          </cell>
        </row>
        <row r="3407">
          <cell r="A3407" t="str">
            <v>1000/1600       Biel Tytanowa R-001</v>
          </cell>
          <cell r="J3407">
            <v>7865.1999999999898</v>
          </cell>
        </row>
        <row r="3408">
          <cell r="A3408" t="str">
            <v>1000/1600       Biel Tytanowa R-001</v>
          </cell>
          <cell r="J3408">
            <v>0</v>
          </cell>
        </row>
        <row r="3409">
          <cell r="A3409" t="str">
            <v>1000/1600       Biel Tytanowa R-001</v>
          </cell>
          <cell r="J3409">
            <v>8300.1599999999908</v>
          </cell>
        </row>
        <row r="3410">
          <cell r="A3410" t="str">
            <v>1000/1600       Biel Tytanowa R-001</v>
          </cell>
          <cell r="J3410">
            <v>0</v>
          </cell>
        </row>
        <row r="3411">
          <cell r="A3411" t="str">
            <v>1000/1600       Biel Tytanowa R-001</v>
          </cell>
          <cell r="J3411">
            <v>0</v>
          </cell>
        </row>
        <row r="3412">
          <cell r="A3412" t="str">
            <v>1000/1600       Biel Tytanowa R-001</v>
          </cell>
          <cell r="J3412">
            <v>7802.2799999999897</v>
          </cell>
        </row>
        <row r="3413">
          <cell r="A3413" t="str">
            <v>1000/1600       Biel Tytanowa R-001</v>
          </cell>
          <cell r="J3413">
            <v>1456.8</v>
          </cell>
        </row>
        <row r="3414">
          <cell r="A3414" t="str">
            <v>1000/1600       Biel Tytanowa R-001</v>
          </cell>
          <cell r="J3414">
            <v>0</v>
          </cell>
        </row>
        <row r="3415">
          <cell r="A3415" t="str">
            <v>1000/1600       Biel Tytanowa R-001</v>
          </cell>
          <cell r="J3415">
            <v>6269.2799999999897</v>
          </cell>
        </row>
        <row r="3416">
          <cell r="A3416" t="str">
            <v>1000/1600       Biel Tytanowa R-001</v>
          </cell>
          <cell r="J3416">
            <v>0</v>
          </cell>
        </row>
        <row r="3417">
          <cell r="A3417" t="str">
            <v>1000/1600       Biel Tytanowa R-001</v>
          </cell>
          <cell r="J3417">
            <v>4382.72</v>
          </cell>
        </row>
        <row r="3418">
          <cell r="A3418" t="str">
            <v>1000/1600       Biel Tytanowa R-001</v>
          </cell>
          <cell r="J3418">
            <v>0</v>
          </cell>
        </row>
        <row r="3419">
          <cell r="A3419" t="str">
            <v>1000/1600       Biel Tytanowa R-001</v>
          </cell>
          <cell r="J3419">
            <v>0</v>
          </cell>
        </row>
        <row r="3420">
          <cell r="A3420" t="str">
            <v>1000/1600       Biel Tytanowa R-001</v>
          </cell>
          <cell r="J3420">
            <v>0</v>
          </cell>
        </row>
        <row r="3421">
          <cell r="A3421" t="str">
            <v>1000/1600       Biel Tytanowa R-001</v>
          </cell>
          <cell r="J3421">
            <v>0</v>
          </cell>
        </row>
        <row r="3422">
          <cell r="A3422" t="str">
            <v>1000/1600       Biel Tytanowa R-001</v>
          </cell>
          <cell r="J3422">
            <v>0</v>
          </cell>
        </row>
        <row r="3423">
          <cell r="A3423" t="str">
            <v>1000/1600       Biel Tytanowa R-001</v>
          </cell>
          <cell r="J3423">
            <v>0</v>
          </cell>
        </row>
        <row r="3424">
          <cell r="A3424" t="str">
            <v>1000/1600       Biel Tytanowa R-001</v>
          </cell>
          <cell r="J3424">
            <v>23200</v>
          </cell>
        </row>
        <row r="3425">
          <cell r="A3425" t="str">
            <v>1000/1600       Biel Tytanowa R-001</v>
          </cell>
          <cell r="J3425">
            <v>0</v>
          </cell>
        </row>
        <row r="3426">
          <cell r="A3426" t="str">
            <v>1000/1600       Biel Tytanowa R-001</v>
          </cell>
          <cell r="J3426">
            <v>0</v>
          </cell>
        </row>
        <row r="3427">
          <cell r="A3427" t="str">
            <v>1000/1600       Biel Tytanowa R-001</v>
          </cell>
          <cell r="J3427">
            <v>19875.84</v>
          </cell>
        </row>
        <row r="3428">
          <cell r="A3428" t="str">
            <v>1000/1600       Biel Tytanowa R-001</v>
          </cell>
          <cell r="J3428">
            <v>0</v>
          </cell>
        </row>
        <row r="3429">
          <cell r="A3429" t="str">
            <v>1000/1600       Biel Tytanowa R-001</v>
          </cell>
          <cell r="J3429">
            <v>0</v>
          </cell>
        </row>
        <row r="3430">
          <cell r="A3430" t="str">
            <v>1000/1600       Biel Tytanowa R-001</v>
          </cell>
          <cell r="J3430">
            <v>0</v>
          </cell>
        </row>
        <row r="3431">
          <cell r="A3431" t="str">
            <v>1000/1601       Biel Tytanowa R-002</v>
          </cell>
          <cell r="J3431">
            <v>662.5</v>
          </cell>
        </row>
        <row r="3432">
          <cell r="A3432" t="str">
            <v>1000/1601       Biel Tytanowa R-002</v>
          </cell>
          <cell r="J3432">
            <v>0</v>
          </cell>
        </row>
        <row r="3433">
          <cell r="A3433" t="str">
            <v>1000/1601       Biel Tytanowa R-002</v>
          </cell>
          <cell r="J3433">
            <v>265</v>
          </cell>
        </row>
        <row r="3434">
          <cell r="A3434" t="str">
            <v>1000/1601       Biel Tytanowa R-002</v>
          </cell>
          <cell r="J3434">
            <v>0</v>
          </cell>
        </row>
        <row r="3435">
          <cell r="A3435" t="str">
            <v>1000/1601       Biel Tytanowa R-002</v>
          </cell>
          <cell r="J3435">
            <v>296.8</v>
          </cell>
        </row>
        <row r="3436">
          <cell r="A3436" t="str">
            <v>1000/1602       Biel Tytanowa R-210</v>
          </cell>
          <cell r="J3436">
            <v>0</v>
          </cell>
        </row>
        <row r="3437">
          <cell r="A3437" t="str">
            <v>1000/1602       Biel Tytanowa R-210</v>
          </cell>
          <cell r="J3437">
            <v>0</v>
          </cell>
        </row>
        <row r="3438">
          <cell r="A3438" t="str">
            <v>1000/1602       Biel Tytanowa R-210</v>
          </cell>
          <cell r="J3438">
            <v>0</v>
          </cell>
        </row>
        <row r="3439">
          <cell r="A3439" t="str">
            <v>1000/1602       Biel Tytanowa R-210</v>
          </cell>
          <cell r="J3439">
            <v>0</v>
          </cell>
        </row>
        <row r="3440">
          <cell r="A3440" t="str">
            <v>1000/1602       Biel Tytanowa R-210</v>
          </cell>
          <cell r="J3440">
            <v>0</v>
          </cell>
        </row>
        <row r="3441">
          <cell r="A3441" t="str">
            <v>1000/1602       Biel Tytanowa R-210</v>
          </cell>
          <cell r="J3441">
            <v>0</v>
          </cell>
        </row>
        <row r="3442">
          <cell r="A3442" t="str">
            <v>1000/1602       Biel Tytanowa R-210</v>
          </cell>
          <cell r="J3442">
            <v>350.94999999999902</v>
          </cell>
        </row>
        <row r="3443">
          <cell r="A3443" t="str">
            <v>1000/1602       Biel Tytanowa R-210</v>
          </cell>
          <cell r="J3443">
            <v>0</v>
          </cell>
        </row>
        <row r="3444">
          <cell r="A3444" t="str">
            <v>1000/1602       Biel Tytanowa R-210</v>
          </cell>
          <cell r="J3444">
            <v>264.92</v>
          </cell>
        </row>
        <row r="3445">
          <cell r="A3445" t="str">
            <v>1000/1602       Biel Tytanowa R-210</v>
          </cell>
          <cell r="J3445">
            <v>0</v>
          </cell>
        </row>
        <row r="3446">
          <cell r="A3446" t="str">
            <v>1000/1602       Biel Tytanowa R-210</v>
          </cell>
          <cell r="J3446">
            <v>0</v>
          </cell>
        </row>
        <row r="3447">
          <cell r="A3447" t="str">
            <v>1000/1602       Biel Tytanowa R-210</v>
          </cell>
          <cell r="J3447">
            <v>0</v>
          </cell>
        </row>
        <row r="3448">
          <cell r="A3448" t="str">
            <v>1000/1604       RD-05</v>
          </cell>
          <cell r="J3448">
            <v>0</v>
          </cell>
        </row>
        <row r="3449">
          <cell r="A3449" t="str">
            <v>1000/1604       RD-05</v>
          </cell>
          <cell r="J3449">
            <v>0</v>
          </cell>
        </row>
        <row r="3450">
          <cell r="A3450" t="str">
            <v>1000/1604       RD-05</v>
          </cell>
          <cell r="J3450">
            <v>0</v>
          </cell>
        </row>
        <row r="3451">
          <cell r="A3451" t="str">
            <v>1000/1604       RD-05</v>
          </cell>
          <cell r="J3451">
            <v>0</v>
          </cell>
        </row>
        <row r="3452">
          <cell r="A3452" t="str">
            <v>1000/1604       RD-05</v>
          </cell>
          <cell r="J3452">
            <v>0</v>
          </cell>
        </row>
        <row r="3453">
          <cell r="A3453" t="str">
            <v>1000/1604       RD-05</v>
          </cell>
          <cell r="J3453">
            <v>0</v>
          </cell>
        </row>
        <row r="3454">
          <cell r="A3454" t="str">
            <v>1000/1604       RD-05</v>
          </cell>
          <cell r="J3454">
            <v>0</v>
          </cell>
        </row>
        <row r="3455">
          <cell r="A3455" t="str">
            <v>1000/1604       RD-05</v>
          </cell>
          <cell r="J3455">
            <v>0</v>
          </cell>
        </row>
        <row r="3456">
          <cell r="A3456" t="str">
            <v>1000/1605       Biel Tytanowa RS</v>
          </cell>
          <cell r="J3456">
            <v>0</v>
          </cell>
        </row>
        <row r="3457">
          <cell r="A3457" t="str">
            <v>1000/1605       Biel Tytanowa RS</v>
          </cell>
          <cell r="J3457">
            <v>0</v>
          </cell>
        </row>
        <row r="3458">
          <cell r="A3458" t="str">
            <v>1000/1605       Biel Tytanowa RS</v>
          </cell>
          <cell r="J3458">
            <v>0</v>
          </cell>
        </row>
        <row r="3459">
          <cell r="A3459" t="str">
            <v>1000/1607       Biel Tytanowa R-310</v>
          </cell>
          <cell r="J3459">
            <v>0</v>
          </cell>
        </row>
        <row r="3460">
          <cell r="A3460" t="str">
            <v>1000/1607       Biel Tytanowa R-310</v>
          </cell>
          <cell r="J3460">
            <v>29419.200000000001</v>
          </cell>
        </row>
        <row r="3461">
          <cell r="A3461" t="str">
            <v>1000/1607       Biel Tytanowa R-310</v>
          </cell>
          <cell r="J3461">
            <v>30168.299999999901</v>
          </cell>
        </row>
        <row r="3462">
          <cell r="A3462" t="str">
            <v>1000/1607       Biel Tytanowa R-310</v>
          </cell>
          <cell r="J3462">
            <v>21541.68</v>
          </cell>
        </row>
        <row r="3463">
          <cell r="A3463" t="str">
            <v>1000/1607       Biel Tytanowa R-310</v>
          </cell>
          <cell r="J3463">
            <v>23799.360000000001</v>
          </cell>
        </row>
        <row r="3464">
          <cell r="A3464" t="str">
            <v>1000/1607       Biel Tytanowa R-310</v>
          </cell>
          <cell r="J3464">
            <v>9153.6</v>
          </cell>
        </row>
        <row r="3465">
          <cell r="A3465" t="str">
            <v>1000/1608       Biel Tytanowa R-211</v>
          </cell>
          <cell r="J3465">
            <v>0</v>
          </cell>
        </row>
        <row r="3466">
          <cell r="A3466" t="str">
            <v>1000/1608       Biel Tytanowa R-211</v>
          </cell>
          <cell r="J3466">
            <v>126.58</v>
          </cell>
        </row>
        <row r="3467">
          <cell r="A3467" t="str">
            <v>1000/1608       Biel Tytanowa R-211</v>
          </cell>
          <cell r="J3467">
            <v>253.16</v>
          </cell>
        </row>
        <row r="3468">
          <cell r="A3468" t="str">
            <v>1000/1608       Biel Tytanowa R-211</v>
          </cell>
          <cell r="J3468">
            <v>0</v>
          </cell>
        </row>
        <row r="3469">
          <cell r="A3469" t="str">
            <v>1000/1608       Biel Tytanowa R-211</v>
          </cell>
          <cell r="J3469">
            <v>379.74</v>
          </cell>
        </row>
        <row r="3470">
          <cell r="A3470" t="str">
            <v>1000/1608       Biel Tytanowa R-211</v>
          </cell>
          <cell r="J3470">
            <v>0</v>
          </cell>
        </row>
        <row r="3471">
          <cell r="A3471" t="str">
            <v>1000/1608       Biel Tytanowa R-211</v>
          </cell>
          <cell r="J3471">
            <v>0</v>
          </cell>
        </row>
        <row r="3472">
          <cell r="A3472" t="str">
            <v>1000/1608       Biel Tytanowa R-211</v>
          </cell>
          <cell r="J3472">
            <v>0</v>
          </cell>
        </row>
        <row r="3473">
          <cell r="A3473" t="str">
            <v>1000/1608       Biel Tytanowa R-211</v>
          </cell>
          <cell r="J3473">
            <v>379.74</v>
          </cell>
        </row>
        <row r="3474">
          <cell r="A3474" t="str">
            <v>1000/1608       Biel Tytanowa R-211</v>
          </cell>
          <cell r="J3474">
            <v>932.14999999999895</v>
          </cell>
        </row>
        <row r="3475">
          <cell r="A3475" t="str">
            <v>1000/1608       Biel Tytanowa R-211</v>
          </cell>
          <cell r="J3475">
            <v>0</v>
          </cell>
        </row>
        <row r="3476">
          <cell r="A3476" t="str">
            <v>1000/1608       Biel Tytanowa R-211</v>
          </cell>
          <cell r="J3476">
            <v>0</v>
          </cell>
        </row>
        <row r="3477">
          <cell r="A3477" t="str">
            <v>1000/1608       Biel Tytanowa R-211</v>
          </cell>
          <cell r="J3477">
            <v>0</v>
          </cell>
        </row>
        <row r="3478">
          <cell r="A3478" t="str">
            <v>1000/1608       Biel Tytanowa R-211</v>
          </cell>
          <cell r="J3478">
            <v>425.27999999999901</v>
          </cell>
        </row>
        <row r="3479">
          <cell r="A3479" t="str">
            <v>1000/1608       Biel Tytanowa R-211</v>
          </cell>
          <cell r="J3479">
            <v>425.27999999999901</v>
          </cell>
        </row>
        <row r="3480">
          <cell r="A3480" t="str">
            <v>1000/1608       Biel Tytanowa R-211</v>
          </cell>
          <cell r="J3480">
            <v>0</v>
          </cell>
        </row>
        <row r="3481">
          <cell r="A3481" t="str">
            <v>1000/1608       Biel Tytanowa R-211</v>
          </cell>
          <cell r="J3481">
            <v>0</v>
          </cell>
        </row>
        <row r="3482">
          <cell r="A3482" t="str">
            <v>1000/1608       Biel Tytanowa R-211</v>
          </cell>
          <cell r="J3482">
            <v>783</v>
          </cell>
        </row>
        <row r="3483">
          <cell r="A3483" t="str">
            <v>1000/1608       Biel Tytanowa R-211</v>
          </cell>
          <cell r="J3483">
            <v>588.39999999999895</v>
          </cell>
        </row>
        <row r="3484">
          <cell r="A3484" t="str">
            <v>1000/1608       Biel Tytanowa R-211</v>
          </cell>
          <cell r="J3484">
            <v>0</v>
          </cell>
        </row>
        <row r="3485">
          <cell r="A3485" t="str">
            <v>1000/1608       Biel Tytanowa R-211</v>
          </cell>
          <cell r="J3485">
            <v>0</v>
          </cell>
        </row>
        <row r="3486">
          <cell r="A3486" t="str">
            <v>1000/1609       Biel Tytanowa R-003</v>
          </cell>
          <cell r="J3486">
            <v>2385</v>
          </cell>
        </row>
        <row r="3487">
          <cell r="A3487" t="str">
            <v>1000/1609       Biel Tytanowa R-003</v>
          </cell>
          <cell r="J3487">
            <v>731.22</v>
          </cell>
        </row>
        <row r="3488">
          <cell r="A3488" t="str">
            <v>1000/1609       Biel Tytanowa R-003</v>
          </cell>
          <cell r="J3488">
            <v>0</v>
          </cell>
        </row>
        <row r="3489">
          <cell r="A3489" t="str">
            <v>1000/1609       Biel Tytanowa R-003</v>
          </cell>
          <cell r="J3489">
            <v>0</v>
          </cell>
        </row>
        <row r="3490">
          <cell r="A3490" t="str">
            <v>1000/1609       Biel Tytanowa R-003</v>
          </cell>
          <cell r="J3490">
            <v>0</v>
          </cell>
        </row>
        <row r="3491">
          <cell r="A3491" t="str">
            <v>1000/1609       Biel Tytanowa R-003</v>
          </cell>
          <cell r="J3491">
            <v>0</v>
          </cell>
        </row>
        <row r="3492">
          <cell r="A3492" t="str">
            <v>1000/1609       Biel Tytanowa R-003</v>
          </cell>
          <cell r="J3492">
            <v>2120</v>
          </cell>
        </row>
        <row r="3493">
          <cell r="A3493" t="str">
            <v>1000/1609       Biel Tytanowa R-003</v>
          </cell>
          <cell r="J3493">
            <v>1253.52</v>
          </cell>
        </row>
        <row r="3494">
          <cell r="A3494" t="str">
            <v>1000/1609       Biel Tytanowa R-003</v>
          </cell>
          <cell r="J3494">
            <v>0</v>
          </cell>
        </row>
        <row r="3495">
          <cell r="A3495" t="str">
            <v>1000/1609       Biel Tytanowa R-003</v>
          </cell>
          <cell r="J3495">
            <v>2981.25</v>
          </cell>
        </row>
        <row r="3496">
          <cell r="A3496" t="str">
            <v>1000/1609       Biel Tytanowa R-003</v>
          </cell>
          <cell r="J3496">
            <v>0</v>
          </cell>
        </row>
        <row r="3497">
          <cell r="A3497" t="str">
            <v>1000/1609       Biel Tytanowa R-003</v>
          </cell>
          <cell r="J3497">
            <v>887.90999999999894</v>
          </cell>
        </row>
        <row r="3498">
          <cell r="A3498" t="str">
            <v>1000/1609       Biel Tytanowa R-003</v>
          </cell>
          <cell r="J3498">
            <v>0</v>
          </cell>
        </row>
        <row r="3499">
          <cell r="A3499" t="str">
            <v>1000/1609       Biel Tytanowa R-003</v>
          </cell>
          <cell r="J3499">
            <v>3116.4</v>
          </cell>
        </row>
        <row r="3500">
          <cell r="A3500" t="str">
            <v>1000/1609       Biel Tytanowa R-003</v>
          </cell>
          <cell r="J3500">
            <v>778.13999999999896</v>
          </cell>
        </row>
        <row r="3501">
          <cell r="A3501" t="str">
            <v>1000/1609       Biel Tytanowa R-003</v>
          </cell>
          <cell r="J3501">
            <v>3025.65</v>
          </cell>
        </row>
        <row r="3502">
          <cell r="A3502" t="str">
            <v>1000/1609       Biel Tytanowa R-003</v>
          </cell>
          <cell r="J3502">
            <v>0</v>
          </cell>
        </row>
        <row r="3503">
          <cell r="A3503" t="str">
            <v>1000/1609       Biel Tytanowa R-003</v>
          </cell>
          <cell r="J3503">
            <v>0</v>
          </cell>
        </row>
        <row r="3504">
          <cell r="A3504" t="str">
            <v>1000/1609       Biel Tytanowa R-003</v>
          </cell>
          <cell r="J3504">
            <v>2522.8000000000002</v>
          </cell>
        </row>
        <row r="3505">
          <cell r="A3505" t="str">
            <v>1000/1609       Biel Tytanowa R-003</v>
          </cell>
          <cell r="J3505">
            <v>0</v>
          </cell>
        </row>
        <row r="3506">
          <cell r="A3506" t="str">
            <v>1000/1609       Biel Tytanowa R-003</v>
          </cell>
          <cell r="J3506">
            <v>3744</v>
          </cell>
        </row>
        <row r="3507">
          <cell r="A3507" t="str">
            <v>1000/1609       Biel Tytanowa R-003</v>
          </cell>
          <cell r="J3507">
            <v>0</v>
          </cell>
        </row>
        <row r="3508">
          <cell r="A3508" t="str">
            <v>1000/1609       Biel Tytanowa R-003</v>
          </cell>
          <cell r="J3508">
            <v>0</v>
          </cell>
        </row>
        <row r="3509">
          <cell r="A3509" t="str">
            <v>1000/1700       Mocznik</v>
          </cell>
          <cell r="J3509">
            <v>0</v>
          </cell>
        </row>
        <row r="3510">
          <cell r="A3510" t="str">
            <v>1000/1700       Mocznik</v>
          </cell>
          <cell r="J3510">
            <v>1981.44</v>
          </cell>
        </row>
        <row r="3511">
          <cell r="A3511" t="str">
            <v>1000/1700       Mocznik</v>
          </cell>
          <cell r="J3511">
            <v>3104.52</v>
          </cell>
        </row>
        <row r="3512">
          <cell r="A3512" t="str">
            <v>1000/1700       Mocznik</v>
          </cell>
          <cell r="J3512">
            <v>3085.44</v>
          </cell>
        </row>
        <row r="3513">
          <cell r="A3513" t="str">
            <v>1000/1700       Mocznik</v>
          </cell>
          <cell r="J3513">
            <v>2076.2399999999898</v>
          </cell>
        </row>
        <row r="3514">
          <cell r="A3514" t="str">
            <v>1000/1700       Mocznik</v>
          </cell>
          <cell r="J3514">
            <v>0</v>
          </cell>
        </row>
        <row r="3515">
          <cell r="A3515" t="str">
            <v>1000/1700       Mocznik</v>
          </cell>
          <cell r="J3515">
            <v>2969.76</v>
          </cell>
        </row>
        <row r="3516">
          <cell r="A3516" t="str">
            <v>1000/1700       Mocznik</v>
          </cell>
          <cell r="J3516">
            <v>0</v>
          </cell>
        </row>
        <row r="3517">
          <cell r="A3517" t="str">
            <v>1000/1700       Mocznik</v>
          </cell>
          <cell r="J3517">
            <v>65453.919999999896</v>
          </cell>
        </row>
        <row r="3518">
          <cell r="A3518" t="str">
            <v>1000/1700       Mocznik</v>
          </cell>
          <cell r="J3518">
            <v>1419.1199999999899</v>
          </cell>
        </row>
        <row r="3519">
          <cell r="A3519" t="str">
            <v>1000/1700       Mocznik</v>
          </cell>
          <cell r="J3519">
            <v>59679.26</v>
          </cell>
        </row>
        <row r="3520">
          <cell r="A3520" t="str">
            <v>1000/1700       Mocznik</v>
          </cell>
          <cell r="J3520">
            <v>0</v>
          </cell>
        </row>
        <row r="3521">
          <cell r="A3521" t="str">
            <v>1000/1700       Mocznik</v>
          </cell>
          <cell r="J3521">
            <v>0</v>
          </cell>
        </row>
        <row r="3522">
          <cell r="A3522" t="str">
            <v>1000/1700       Mocznik</v>
          </cell>
          <cell r="J3522">
            <v>16483.490000000002</v>
          </cell>
        </row>
        <row r="3523">
          <cell r="A3523" t="str">
            <v>1000/1700       Mocznik</v>
          </cell>
          <cell r="J3523">
            <v>0</v>
          </cell>
        </row>
        <row r="3524">
          <cell r="A3524" t="str">
            <v>1000/1700       Mocznik</v>
          </cell>
          <cell r="J3524">
            <v>7276.0799999999899</v>
          </cell>
        </row>
        <row r="3525">
          <cell r="A3525" t="str">
            <v>1000/1700       Mocznik</v>
          </cell>
          <cell r="J3525">
            <v>0</v>
          </cell>
        </row>
        <row r="3526">
          <cell r="A3526" t="str">
            <v>1000/1700       Mocznik</v>
          </cell>
          <cell r="J3526">
            <v>3920.88</v>
          </cell>
        </row>
        <row r="3527">
          <cell r="A3527" t="str">
            <v>1000/1700       Mocznik</v>
          </cell>
          <cell r="J3527">
            <v>4168.96</v>
          </cell>
        </row>
        <row r="3528">
          <cell r="A3528" t="str">
            <v>1000/1700       Mocznik</v>
          </cell>
          <cell r="J3528">
            <v>14461.68</v>
          </cell>
        </row>
        <row r="3529">
          <cell r="A3529" t="str">
            <v>1000/1700       Mocznik</v>
          </cell>
          <cell r="J3529">
            <v>0</v>
          </cell>
        </row>
        <row r="3530">
          <cell r="A3530" t="str">
            <v>1000/1700       Mocznik</v>
          </cell>
          <cell r="J3530">
            <v>0</v>
          </cell>
        </row>
        <row r="3531">
          <cell r="A3531" t="str">
            <v>1000/1700       Mocznik</v>
          </cell>
          <cell r="J3531">
            <v>2076.2399999999898</v>
          </cell>
        </row>
        <row r="3532">
          <cell r="A3532" t="str">
            <v>1000/1700       Mocznik</v>
          </cell>
          <cell r="J3532">
            <v>52830.419999999896</v>
          </cell>
        </row>
        <row r="3533">
          <cell r="A3533" t="str">
            <v>1000/1700       Mocznik</v>
          </cell>
          <cell r="J3533">
            <v>0</v>
          </cell>
        </row>
        <row r="3534">
          <cell r="A3534" t="str">
            <v>1000/1700       Mocznik</v>
          </cell>
          <cell r="J3534">
            <v>13407.84</v>
          </cell>
        </row>
        <row r="3535">
          <cell r="A3535" t="str">
            <v>1000/1700       Mocznik</v>
          </cell>
          <cell r="J3535">
            <v>2076.2399999999898</v>
          </cell>
        </row>
        <row r="3536">
          <cell r="A3536" t="str">
            <v>1000/1700       Mocznik</v>
          </cell>
          <cell r="J3536">
            <v>2856.7199999999898</v>
          </cell>
        </row>
        <row r="3537">
          <cell r="A3537" t="str">
            <v>1000/1700       Mocznik</v>
          </cell>
          <cell r="J3537">
            <v>0</v>
          </cell>
        </row>
        <row r="3538">
          <cell r="A3538" t="str">
            <v>1000/1700       Mocznik</v>
          </cell>
          <cell r="J3538">
            <v>12949.209999999901</v>
          </cell>
        </row>
        <row r="3539">
          <cell r="A3539" t="str">
            <v>1000/1700       Mocznik</v>
          </cell>
          <cell r="J3539">
            <v>0</v>
          </cell>
        </row>
        <row r="3540">
          <cell r="A3540" t="str">
            <v>1000/1700       Mocznik</v>
          </cell>
          <cell r="J3540">
            <v>9395.2800000000007</v>
          </cell>
        </row>
        <row r="3541">
          <cell r="A3541" t="str">
            <v>1000/1700       Mocznik</v>
          </cell>
          <cell r="J3541">
            <v>0</v>
          </cell>
        </row>
        <row r="3542">
          <cell r="A3542" t="str">
            <v>1000/1700       Mocznik</v>
          </cell>
          <cell r="J3542">
            <v>0</v>
          </cell>
        </row>
        <row r="3543">
          <cell r="A3543" t="str">
            <v>1000/1700       Mocznik</v>
          </cell>
          <cell r="J3543">
            <v>0</v>
          </cell>
        </row>
        <row r="3544">
          <cell r="A3544" t="str">
            <v>1000/1700       Mocznik</v>
          </cell>
          <cell r="J3544">
            <v>0</v>
          </cell>
        </row>
        <row r="3545">
          <cell r="A3545" t="str">
            <v>1000/1700       Mocznik</v>
          </cell>
          <cell r="J3545">
            <v>0</v>
          </cell>
        </row>
        <row r="3546">
          <cell r="A3546" t="str">
            <v>1000/1700       Mocznik</v>
          </cell>
          <cell r="J3546">
            <v>8199.84</v>
          </cell>
        </row>
        <row r="3547">
          <cell r="A3547" t="str">
            <v>1000/1700       Mocznik</v>
          </cell>
          <cell r="J3547">
            <v>2076.2399999999898</v>
          </cell>
        </row>
        <row r="3548">
          <cell r="A3548" t="str">
            <v>1000/1700       Mocznik</v>
          </cell>
          <cell r="J3548">
            <v>0</v>
          </cell>
        </row>
        <row r="3549">
          <cell r="A3549" t="str">
            <v>1000/1700       Mocznik</v>
          </cell>
          <cell r="J3549">
            <v>5032.92</v>
          </cell>
        </row>
        <row r="3550">
          <cell r="A3550" t="str">
            <v>1000/1700       Mocznik</v>
          </cell>
          <cell r="J3550">
            <v>17639.52</v>
          </cell>
        </row>
        <row r="3551">
          <cell r="A3551" t="str">
            <v>1000/1700       Mocznik</v>
          </cell>
          <cell r="J3551">
            <v>2317.92</v>
          </cell>
        </row>
        <row r="3552">
          <cell r="A3552" t="str">
            <v>1000/1700       Mocznik</v>
          </cell>
          <cell r="J3552">
            <v>10294.42</v>
          </cell>
        </row>
        <row r="3553">
          <cell r="A3553" t="str">
            <v>1000/1700       Mocznik</v>
          </cell>
          <cell r="J3553">
            <v>0</v>
          </cell>
        </row>
        <row r="3554">
          <cell r="A3554" t="str">
            <v>1000/1700       Mocznik</v>
          </cell>
          <cell r="J3554">
            <v>21597.5</v>
          </cell>
        </row>
        <row r="3555">
          <cell r="A3555" t="str">
            <v>1000/1700       Mocznik</v>
          </cell>
          <cell r="J3555">
            <v>17468.959999999901</v>
          </cell>
        </row>
        <row r="3556">
          <cell r="A3556" t="str">
            <v>1000/1700       Mocznik</v>
          </cell>
          <cell r="J3556">
            <v>872.39999999999895</v>
          </cell>
        </row>
        <row r="3557">
          <cell r="A3557" t="str">
            <v>1000/1700       Mocznik</v>
          </cell>
          <cell r="J3557">
            <v>0</v>
          </cell>
        </row>
        <row r="3558">
          <cell r="A3558" t="str">
            <v>1000/1700       Mocznik</v>
          </cell>
          <cell r="J3558">
            <v>3871.6999999999898</v>
          </cell>
        </row>
        <row r="3559">
          <cell r="A3559" t="str">
            <v>1000/1700       Mocznik</v>
          </cell>
          <cell r="J3559">
            <v>1684.5599999999899</v>
          </cell>
        </row>
        <row r="3560">
          <cell r="A3560" t="str">
            <v>1000/1700       Mocznik</v>
          </cell>
          <cell r="J3560">
            <v>0</v>
          </cell>
        </row>
        <row r="3561">
          <cell r="A3561" t="str">
            <v>1000/1700       Mocznik</v>
          </cell>
          <cell r="J3561">
            <v>1590</v>
          </cell>
        </row>
        <row r="3562">
          <cell r="A3562" t="str">
            <v>1000/1700       Mocznik</v>
          </cell>
          <cell r="J3562">
            <v>0</v>
          </cell>
        </row>
        <row r="3563">
          <cell r="A3563" t="str">
            <v>1000/1700       Mocznik</v>
          </cell>
          <cell r="J3563">
            <v>2798.6399999999899</v>
          </cell>
        </row>
        <row r="3564">
          <cell r="A3564" t="str">
            <v>1000/1700       Mocznik</v>
          </cell>
          <cell r="J3564">
            <v>0</v>
          </cell>
        </row>
        <row r="3565">
          <cell r="A3565" t="str">
            <v>1000/1700       Mocznik</v>
          </cell>
          <cell r="J3565">
            <v>0</v>
          </cell>
        </row>
        <row r="3566">
          <cell r="A3566" t="str">
            <v>1000/1700       Mocznik</v>
          </cell>
          <cell r="J3566">
            <v>0</v>
          </cell>
        </row>
        <row r="3567">
          <cell r="A3567" t="str">
            <v>1000/1700       Mocznik</v>
          </cell>
          <cell r="J3567">
            <v>0</v>
          </cell>
        </row>
        <row r="3568">
          <cell r="A3568" t="str">
            <v>1000/1700       Mocznik</v>
          </cell>
          <cell r="J3568">
            <v>0</v>
          </cell>
        </row>
        <row r="3569">
          <cell r="A3569" t="str">
            <v>1000/1700       Mocznik</v>
          </cell>
          <cell r="J3569">
            <v>1064.4000000000001</v>
          </cell>
        </row>
        <row r="3570">
          <cell r="A3570" t="str">
            <v>1000/1700       Mocznik</v>
          </cell>
          <cell r="J3570">
            <v>1090.5599999999899</v>
          </cell>
        </row>
        <row r="3571">
          <cell r="A3571" t="str">
            <v>1000/1700       Mocznik</v>
          </cell>
          <cell r="J3571">
            <v>0</v>
          </cell>
        </row>
        <row r="3572">
          <cell r="A3572" t="str">
            <v>1000/1700       Mocznik</v>
          </cell>
          <cell r="J3572">
            <v>3303.5999999999899</v>
          </cell>
        </row>
        <row r="3573">
          <cell r="A3573" t="str">
            <v>1000/1700       Mocznik</v>
          </cell>
          <cell r="J3573">
            <v>1304.17</v>
          </cell>
        </row>
        <row r="3574">
          <cell r="A3574" t="str">
            <v>1000/1700       Mocznik</v>
          </cell>
          <cell r="J3574">
            <v>1814.5899999999899</v>
          </cell>
        </row>
        <row r="3575">
          <cell r="A3575" t="str">
            <v>1000/1700       Mocznik</v>
          </cell>
          <cell r="J3575">
            <v>0</v>
          </cell>
        </row>
        <row r="3576">
          <cell r="A3576" t="str">
            <v>1000/1700       Mocznik</v>
          </cell>
          <cell r="J3576">
            <v>1200.96</v>
          </cell>
        </row>
        <row r="3577">
          <cell r="A3577" t="str">
            <v>1000/1700       Mocznik</v>
          </cell>
          <cell r="J3577">
            <v>0</v>
          </cell>
        </row>
        <row r="3578">
          <cell r="A3578" t="str">
            <v>1000/1700       Mocznik</v>
          </cell>
          <cell r="J3578">
            <v>17157.04</v>
          </cell>
        </row>
        <row r="3579">
          <cell r="A3579" t="str">
            <v>1000/1700       Mocznik</v>
          </cell>
          <cell r="J3579">
            <v>2620.0799999999899</v>
          </cell>
        </row>
        <row r="3580">
          <cell r="A3580" t="str">
            <v>1000/1700       Mocznik</v>
          </cell>
          <cell r="J3580">
            <v>3692.4</v>
          </cell>
        </row>
        <row r="3581">
          <cell r="A3581" t="str">
            <v>1000/1700       Mocznik</v>
          </cell>
          <cell r="J3581">
            <v>10072.08</v>
          </cell>
        </row>
        <row r="3582">
          <cell r="A3582" t="str">
            <v>1000/1700       Mocznik</v>
          </cell>
          <cell r="J3582">
            <v>8800.19</v>
          </cell>
        </row>
        <row r="3583">
          <cell r="A3583" t="str">
            <v>1000/1700       Mocznik</v>
          </cell>
          <cell r="J3583">
            <v>1892.16</v>
          </cell>
        </row>
        <row r="3584">
          <cell r="A3584" t="str">
            <v>1000/1700       Mocznik</v>
          </cell>
          <cell r="J3584">
            <v>-1779.1199999999899</v>
          </cell>
        </row>
        <row r="3585">
          <cell r="A3585" t="str">
            <v>1000/1700       Mocznik</v>
          </cell>
          <cell r="J3585">
            <v>4659.1199999999899</v>
          </cell>
        </row>
        <row r="3586">
          <cell r="A3586" t="str">
            <v>1000/1700       Mocznik</v>
          </cell>
          <cell r="J3586">
            <v>8187.8699999999899</v>
          </cell>
        </row>
        <row r="3587">
          <cell r="A3587" t="str">
            <v>1000/1700       Mocznik</v>
          </cell>
          <cell r="J3587">
            <v>688.55999999999904</v>
          </cell>
        </row>
        <row r="3588">
          <cell r="A3588" t="str">
            <v>1000/1700       Mocznik</v>
          </cell>
          <cell r="J3588">
            <v>1542.72</v>
          </cell>
        </row>
        <row r="3589">
          <cell r="A3589" t="str">
            <v>1000/1700       Mocznik</v>
          </cell>
          <cell r="J3589">
            <v>1200.96</v>
          </cell>
        </row>
        <row r="3590">
          <cell r="A3590" t="str">
            <v>1000/1700       Mocznik</v>
          </cell>
          <cell r="J3590">
            <v>5355.84</v>
          </cell>
        </row>
        <row r="3591">
          <cell r="A3591" t="str">
            <v>1000/1700       Mocznik</v>
          </cell>
          <cell r="J3591">
            <v>1431.0699999999899</v>
          </cell>
        </row>
        <row r="3592">
          <cell r="A3592" t="str">
            <v>1000/1700       Mocznik</v>
          </cell>
          <cell r="J3592">
            <v>2969.76</v>
          </cell>
        </row>
        <row r="3593">
          <cell r="A3593" t="str">
            <v>1000/1700       Mocznik</v>
          </cell>
          <cell r="J3593">
            <v>0</v>
          </cell>
        </row>
        <row r="3594">
          <cell r="A3594" t="str">
            <v>1000/1700       Mocznik</v>
          </cell>
          <cell r="J3594">
            <v>1030.0799999999899</v>
          </cell>
        </row>
        <row r="3595">
          <cell r="A3595" t="str">
            <v>1000/1700       Mocznik</v>
          </cell>
          <cell r="J3595">
            <v>108329.44</v>
          </cell>
        </row>
        <row r="3596">
          <cell r="A3596" t="str">
            <v>1000/1700       Mocznik</v>
          </cell>
          <cell r="J3596">
            <v>5724.4799999999896</v>
          </cell>
        </row>
        <row r="3597">
          <cell r="A3597" t="str">
            <v>1000/1700       Mocznik</v>
          </cell>
          <cell r="J3597">
            <v>28051.7599999999</v>
          </cell>
        </row>
        <row r="3598">
          <cell r="A3598" t="str">
            <v>1000/1700       Mocznik</v>
          </cell>
          <cell r="J3598">
            <v>0</v>
          </cell>
        </row>
        <row r="3599">
          <cell r="A3599" t="str">
            <v>1000/1700       Mocznik</v>
          </cell>
          <cell r="J3599">
            <v>0</v>
          </cell>
        </row>
        <row r="3600">
          <cell r="A3600" t="str">
            <v>1000/1700       Mocznik</v>
          </cell>
          <cell r="J3600">
            <v>36825.769999999902</v>
          </cell>
        </row>
        <row r="3601">
          <cell r="A3601" t="str">
            <v>1000/1700       Mocznik</v>
          </cell>
          <cell r="J3601">
            <v>5203.1999999999898</v>
          </cell>
        </row>
        <row r="3602">
          <cell r="A3602" t="str">
            <v>1000/1700       Mocznik</v>
          </cell>
          <cell r="J3602">
            <v>0</v>
          </cell>
        </row>
        <row r="3603">
          <cell r="A3603" t="str">
            <v>1000/1700       Mocznik</v>
          </cell>
          <cell r="J3603">
            <v>5591.64</v>
          </cell>
        </row>
        <row r="3604">
          <cell r="A3604" t="str">
            <v>1000/1700       Mocznik</v>
          </cell>
          <cell r="J3604">
            <v>0</v>
          </cell>
        </row>
        <row r="3605">
          <cell r="A3605" t="str">
            <v>1000/1700       Mocznik</v>
          </cell>
          <cell r="J3605">
            <v>5095.3199999999897</v>
          </cell>
        </row>
        <row r="3606">
          <cell r="A3606" t="str">
            <v>1000/1700       Mocznik</v>
          </cell>
          <cell r="J3606">
            <v>11082.719999999899</v>
          </cell>
        </row>
        <row r="3607">
          <cell r="A3607" t="str">
            <v>1000/1700       Mocznik</v>
          </cell>
          <cell r="J3607">
            <v>17286.240000000002</v>
          </cell>
        </row>
        <row r="3608">
          <cell r="A3608" t="str">
            <v>1000/1700       Mocznik</v>
          </cell>
          <cell r="J3608">
            <v>0</v>
          </cell>
        </row>
        <row r="3609">
          <cell r="A3609" t="str">
            <v>1000/1700       Mocznik</v>
          </cell>
          <cell r="J3609">
            <v>0</v>
          </cell>
        </row>
        <row r="3610">
          <cell r="A3610" t="str">
            <v>1000/1700       Mocznik</v>
          </cell>
          <cell r="J3610">
            <v>1710.72</v>
          </cell>
        </row>
        <row r="3611">
          <cell r="A3611" t="str">
            <v>1000/1700       Mocznik</v>
          </cell>
          <cell r="J3611">
            <v>94949.85</v>
          </cell>
        </row>
        <row r="3612">
          <cell r="A3612" t="str">
            <v>1000/1700       Mocznik</v>
          </cell>
          <cell r="J3612">
            <v>650.39999999999895</v>
          </cell>
        </row>
        <row r="3613">
          <cell r="A3613" t="str">
            <v>1000/1700       Mocznik</v>
          </cell>
          <cell r="J3613">
            <v>5101.68</v>
          </cell>
        </row>
        <row r="3614">
          <cell r="A3614" t="str">
            <v>1000/1700       Mocznik</v>
          </cell>
          <cell r="J3614">
            <v>4152.4799999999896</v>
          </cell>
        </row>
        <row r="3615">
          <cell r="A3615" t="str">
            <v>1000/1700       Mocznik</v>
          </cell>
          <cell r="J3615">
            <v>1892.16</v>
          </cell>
        </row>
        <row r="3616">
          <cell r="A3616" t="str">
            <v>1000/1700       Mocznik</v>
          </cell>
          <cell r="J3616">
            <v>0</v>
          </cell>
        </row>
        <row r="3617">
          <cell r="A3617" t="str">
            <v>1000/1700       Mocznik</v>
          </cell>
          <cell r="J3617">
            <v>24122.52</v>
          </cell>
        </row>
        <row r="3618">
          <cell r="A3618" t="str">
            <v>1000/1700       Mocznik</v>
          </cell>
          <cell r="J3618">
            <v>9634.3199999999906</v>
          </cell>
        </row>
        <row r="3619">
          <cell r="A3619" t="str">
            <v>1000/1700       Mocznik</v>
          </cell>
          <cell r="J3619">
            <v>1345.53</v>
          </cell>
        </row>
        <row r="3620">
          <cell r="A3620" t="str">
            <v>1000/1700       Mocznik</v>
          </cell>
          <cell r="J3620">
            <v>3681.1199999999899</v>
          </cell>
        </row>
        <row r="3621">
          <cell r="A3621" t="str">
            <v>1000/1700       Mocznik</v>
          </cell>
          <cell r="J3621">
            <v>0</v>
          </cell>
        </row>
        <row r="3622">
          <cell r="A3622" t="str">
            <v>1000/1700       Mocznik</v>
          </cell>
          <cell r="J3622">
            <v>0</v>
          </cell>
        </row>
        <row r="3623">
          <cell r="A3623" t="str">
            <v>1000/1700       Mocznik</v>
          </cell>
          <cell r="J3623">
            <v>3317.57</v>
          </cell>
        </row>
        <row r="3624">
          <cell r="A3624" t="str">
            <v>1000/1700       Mocznik</v>
          </cell>
          <cell r="J3624">
            <v>0</v>
          </cell>
        </row>
        <row r="3625">
          <cell r="A3625" t="str">
            <v>1000/1700       Mocznik</v>
          </cell>
          <cell r="J3625">
            <v>0</v>
          </cell>
        </row>
        <row r="3626">
          <cell r="A3626" t="str">
            <v>1000/1700       Mocznik</v>
          </cell>
          <cell r="J3626">
            <v>0</v>
          </cell>
        </row>
        <row r="3627">
          <cell r="A3627" t="str">
            <v>1000/1700       Mocznik</v>
          </cell>
          <cell r="J3627">
            <v>2076.2399999999898</v>
          </cell>
        </row>
        <row r="3628">
          <cell r="A3628" t="str">
            <v>1000/1700       Mocznik</v>
          </cell>
          <cell r="J3628">
            <v>3594.96</v>
          </cell>
        </row>
        <row r="3629">
          <cell r="A3629" t="str">
            <v>1000/1700       Mocznik</v>
          </cell>
          <cell r="J3629">
            <v>9066.95999999999</v>
          </cell>
        </row>
        <row r="3630">
          <cell r="A3630" t="str">
            <v>1000/1700       Mocznik</v>
          </cell>
          <cell r="J3630">
            <v>34829.040000000001</v>
          </cell>
        </row>
        <row r="3631">
          <cell r="A3631" t="str">
            <v>1000/1700       Mocznik</v>
          </cell>
          <cell r="J3631">
            <v>0</v>
          </cell>
        </row>
        <row r="3632">
          <cell r="A3632" t="str">
            <v>1000/1700       Mocznik</v>
          </cell>
          <cell r="J3632">
            <v>6254.76</v>
          </cell>
        </row>
        <row r="3633">
          <cell r="A3633" t="str">
            <v>1000/1700       Mocznik</v>
          </cell>
          <cell r="J3633">
            <v>0</v>
          </cell>
        </row>
        <row r="3634">
          <cell r="A3634" t="str">
            <v>1000/1700       Mocznik</v>
          </cell>
          <cell r="J3634">
            <v>18084.080000000002</v>
          </cell>
        </row>
        <row r="3635">
          <cell r="A3635" t="str">
            <v>1000/1700       Mocznik</v>
          </cell>
          <cell r="J3635">
            <v>37873.919999999896</v>
          </cell>
        </row>
        <row r="3636">
          <cell r="A3636" t="str">
            <v>1000/1700       Mocznik</v>
          </cell>
          <cell r="J3636">
            <v>0</v>
          </cell>
        </row>
        <row r="3637">
          <cell r="A3637" t="str">
            <v>1000/1700       Mocznik</v>
          </cell>
          <cell r="J3637">
            <v>2759.52</v>
          </cell>
        </row>
        <row r="3638">
          <cell r="A3638" t="str">
            <v>1000/1700       Mocznik</v>
          </cell>
          <cell r="J3638">
            <v>0</v>
          </cell>
        </row>
        <row r="3639">
          <cell r="A3639" t="str">
            <v>1000/1700       Mocznik</v>
          </cell>
          <cell r="J3639">
            <v>3710.6399999999899</v>
          </cell>
        </row>
        <row r="3640">
          <cell r="A3640" t="str">
            <v>1000/1700       Mocznik</v>
          </cell>
          <cell r="J3640">
            <v>7787.5799999999899</v>
          </cell>
        </row>
        <row r="3641">
          <cell r="A3641" t="str">
            <v>1000/1700       Mocznik</v>
          </cell>
          <cell r="J3641">
            <v>8002.3199999999897</v>
          </cell>
        </row>
        <row r="3642">
          <cell r="A3642" t="str">
            <v>1000/1700       Mocznik</v>
          </cell>
          <cell r="J3642">
            <v>0</v>
          </cell>
        </row>
        <row r="3643">
          <cell r="A3643" t="str">
            <v>1000/1700       Mocznik</v>
          </cell>
          <cell r="J3643">
            <v>3710.3299999999899</v>
          </cell>
        </row>
        <row r="3644">
          <cell r="A3644" t="str">
            <v>1000/1700       Mocznik</v>
          </cell>
          <cell r="J3644">
            <v>2553.52</v>
          </cell>
        </row>
        <row r="3645">
          <cell r="A3645" t="str">
            <v>1000/1700       Mocznik</v>
          </cell>
          <cell r="J3645">
            <v>1194.6600000000001</v>
          </cell>
        </row>
        <row r="3646">
          <cell r="A3646" t="str">
            <v>1000/1700       Mocznik</v>
          </cell>
          <cell r="J3646">
            <v>0</v>
          </cell>
        </row>
        <row r="3647">
          <cell r="A3647" t="str">
            <v>1000/1700       Mocznik</v>
          </cell>
          <cell r="J3647">
            <v>0</v>
          </cell>
        </row>
        <row r="3648">
          <cell r="A3648" t="str">
            <v>1000/1700       Mocznik</v>
          </cell>
          <cell r="J3648">
            <v>0</v>
          </cell>
        </row>
        <row r="3649">
          <cell r="A3649" t="str">
            <v>1000/1700       Mocznik</v>
          </cell>
          <cell r="J3649">
            <v>0</v>
          </cell>
        </row>
        <row r="3650">
          <cell r="A3650" t="str">
            <v>1000/1700       Mocznik</v>
          </cell>
          <cell r="J3650">
            <v>0</v>
          </cell>
        </row>
        <row r="3651">
          <cell r="A3651" t="str">
            <v>1000/1700       Mocznik</v>
          </cell>
          <cell r="J3651">
            <v>0</v>
          </cell>
        </row>
        <row r="3652">
          <cell r="A3652" t="str">
            <v>1000/1700       Mocznik</v>
          </cell>
          <cell r="J3652">
            <v>798.96</v>
          </cell>
        </row>
        <row r="3653">
          <cell r="A3653" t="str">
            <v>1000/1700       Mocznik</v>
          </cell>
          <cell r="J3653">
            <v>2181.1199999999899</v>
          </cell>
        </row>
        <row r="3654">
          <cell r="A3654" t="str">
            <v>1000/1700       Mocznik</v>
          </cell>
          <cell r="J3654">
            <v>0</v>
          </cell>
        </row>
        <row r="3655">
          <cell r="A3655" t="str">
            <v>1000/1700       Mocznik</v>
          </cell>
          <cell r="J3655">
            <v>2165.2800000000002</v>
          </cell>
        </row>
        <row r="3656">
          <cell r="A3656" t="str">
            <v>1000/1700       Mocznik</v>
          </cell>
          <cell r="J3656">
            <v>1174.8</v>
          </cell>
        </row>
        <row r="3657">
          <cell r="A3657" t="str">
            <v>1000/1700       Mocznik</v>
          </cell>
          <cell r="J3657">
            <v>0</v>
          </cell>
        </row>
        <row r="3658">
          <cell r="A3658" t="str">
            <v>1000/1700       Mocznik</v>
          </cell>
          <cell r="J3658">
            <v>4575.3599999999897</v>
          </cell>
        </row>
        <row r="3659">
          <cell r="A3659" t="str">
            <v>1000/1700       Mocznik</v>
          </cell>
          <cell r="J3659">
            <v>18928.34</v>
          </cell>
        </row>
        <row r="3660">
          <cell r="A3660" t="str">
            <v>1000/1700       Mocznik</v>
          </cell>
          <cell r="J3660">
            <v>0</v>
          </cell>
        </row>
        <row r="3661">
          <cell r="A3661" t="str">
            <v>1000/1700       Mocznik</v>
          </cell>
          <cell r="J3661">
            <v>4257.3599999999897</v>
          </cell>
        </row>
        <row r="3662">
          <cell r="A3662" t="str">
            <v>1000/1700       Mocznik</v>
          </cell>
          <cell r="J3662">
            <v>0</v>
          </cell>
        </row>
        <row r="3663">
          <cell r="A3663" t="str">
            <v>1000/1700       Mocznik</v>
          </cell>
          <cell r="J3663">
            <v>1118.52</v>
          </cell>
        </row>
        <row r="3664">
          <cell r="A3664" t="str">
            <v>1000/1700       Mocznik</v>
          </cell>
          <cell r="J3664">
            <v>9779.34</v>
          </cell>
        </row>
        <row r="3665">
          <cell r="A3665" t="str">
            <v>1000/1700       Mocznik</v>
          </cell>
          <cell r="J3665">
            <v>4538.6400000000003</v>
          </cell>
        </row>
        <row r="3666">
          <cell r="A3666" t="str">
            <v>1000/1700       Mocznik</v>
          </cell>
          <cell r="J3666">
            <v>3863.04</v>
          </cell>
        </row>
        <row r="3667">
          <cell r="A3667" t="str">
            <v>1000/1700       Mocznik</v>
          </cell>
          <cell r="J3667">
            <v>3558.2399999999898</v>
          </cell>
        </row>
        <row r="3668">
          <cell r="A3668" t="str">
            <v>1000/1700       Mocznik</v>
          </cell>
          <cell r="J3668">
            <v>0</v>
          </cell>
        </row>
        <row r="3669">
          <cell r="A3669" t="str">
            <v>1000/1700       Mocznik</v>
          </cell>
          <cell r="J3669">
            <v>0</v>
          </cell>
        </row>
        <row r="3670">
          <cell r="A3670" t="str">
            <v>1000/1700       Mocznik</v>
          </cell>
          <cell r="J3670">
            <v>0</v>
          </cell>
        </row>
        <row r="3671">
          <cell r="A3671" t="str">
            <v>1000/1700       Mocznik</v>
          </cell>
          <cell r="J3671">
            <v>3123.9499999999898</v>
          </cell>
        </row>
        <row r="3672">
          <cell r="A3672" t="str">
            <v>1000/1700       Mocznik</v>
          </cell>
          <cell r="J3672">
            <v>6551.2799999999897</v>
          </cell>
        </row>
        <row r="3673">
          <cell r="A3673" t="str">
            <v>1000/1700       Mocznik</v>
          </cell>
          <cell r="J3673">
            <v>0</v>
          </cell>
        </row>
        <row r="3674">
          <cell r="A3674" t="str">
            <v>1000/1700       Mocznik</v>
          </cell>
          <cell r="J3674">
            <v>688.55999999999904</v>
          </cell>
        </row>
        <row r="3675">
          <cell r="A3675" t="str">
            <v>1000/1700       Mocznik</v>
          </cell>
          <cell r="J3675">
            <v>6498.1099999999897</v>
          </cell>
        </row>
        <row r="3676">
          <cell r="A3676" t="str">
            <v>1000/1700       Mocznik</v>
          </cell>
          <cell r="J3676">
            <v>1253.52</v>
          </cell>
        </row>
        <row r="3677">
          <cell r="A3677" t="str">
            <v>1000/1700       Mocznik</v>
          </cell>
          <cell r="J3677">
            <v>2894.1599999999899</v>
          </cell>
        </row>
        <row r="3678">
          <cell r="A3678" t="str">
            <v>1000/1700       Mocznik</v>
          </cell>
          <cell r="J3678">
            <v>5863.1999999999898</v>
          </cell>
        </row>
        <row r="3679">
          <cell r="A3679" t="str">
            <v>1000/1700       Mocznik</v>
          </cell>
          <cell r="J3679">
            <v>1931.52</v>
          </cell>
        </row>
        <row r="3680">
          <cell r="A3680" t="str">
            <v>1000/1700       Mocznik</v>
          </cell>
          <cell r="J3680">
            <v>0</v>
          </cell>
        </row>
        <row r="3681">
          <cell r="A3681" t="str">
            <v>1000/1700       Mocznik</v>
          </cell>
          <cell r="J3681">
            <v>1379.76</v>
          </cell>
        </row>
        <row r="3682">
          <cell r="A3682" t="str">
            <v>1000/1700       Mocznik</v>
          </cell>
          <cell r="J3682">
            <v>0</v>
          </cell>
        </row>
        <row r="3683">
          <cell r="A3683" t="str">
            <v>1000/1700       Mocznik</v>
          </cell>
          <cell r="J3683">
            <v>2060.1599999999899</v>
          </cell>
        </row>
        <row r="3684">
          <cell r="A3684" t="str">
            <v>1000/1700       Mocznik</v>
          </cell>
          <cell r="J3684">
            <v>6328.14</v>
          </cell>
        </row>
        <row r="3685">
          <cell r="A3685" t="str">
            <v>1000/1700       Mocznik</v>
          </cell>
          <cell r="J3685">
            <v>128217.02</v>
          </cell>
        </row>
        <row r="3686">
          <cell r="A3686" t="str">
            <v>1000/1700       Mocznik</v>
          </cell>
          <cell r="J3686">
            <v>1419.1199999999899</v>
          </cell>
        </row>
        <row r="3687">
          <cell r="A3687" t="str">
            <v>1000/1700       Mocznik</v>
          </cell>
          <cell r="J3687">
            <v>56151.41</v>
          </cell>
        </row>
        <row r="3688">
          <cell r="A3688" t="str">
            <v>1000/1700       Mocznik</v>
          </cell>
          <cell r="J3688">
            <v>0</v>
          </cell>
        </row>
        <row r="3689">
          <cell r="A3689" t="str">
            <v>1000/1700       Mocznik</v>
          </cell>
          <cell r="J3689">
            <v>3746.88</v>
          </cell>
        </row>
        <row r="3690">
          <cell r="A3690" t="str">
            <v>1000/1700       Mocznik</v>
          </cell>
          <cell r="J3690">
            <v>0</v>
          </cell>
        </row>
        <row r="3691">
          <cell r="A3691" t="str">
            <v>1000/1700       Mocznik</v>
          </cell>
          <cell r="J3691">
            <v>38168.47</v>
          </cell>
        </row>
        <row r="3692">
          <cell r="A3692" t="str">
            <v>1000/1700       Mocznik</v>
          </cell>
          <cell r="J3692">
            <v>2754.2399999999898</v>
          </cell>
        </row>
        <row r="3693">
          <cell r="A3693" t="str">
            <v>1000/1700       Mocznik</v>
          </cell>
          <cell r="J3693">
            <v>8476.6200000000008</v>
          </cell>
        </row>
        <row r="3694">
          <cell r="A3694" t="str">
            <v>1000/1700       Mocznik</v>
          </cell>
          <cell r="J3694">
            <v>17315.04</v>
          </cell>
        </row>
        <row r="3695">
          <cell r="A3695" t="str">
            <v>1000/1700       Mocznik</v>
          </cell>
          <cell r="J3695">
            <v>4580.3999999999896</v>
          </cell>
        </row>
        <row r="3696">
          <cell r="A3696" t="str">
            <v>1000/1700       Mocznik</v>
          </cell>
          <cell r="J3696">
            <v>10195.57</v>
          </cell>
        </row>
        <row r="3697">
          <cell r="A3697" t="str">
            <v>1000/1700       Mocznik</v>
          </cell>
          <cell r="J3697">
            <v>8849.9799999999905</v>
          </cell>
        </row>
        <row r="3698">
          <cell r="A3698" t="str">
            <v>1000/1700       Mocznik</v>
          </cell>
          <cell r="J3698">
            <v>19595.369999999901</v>
          </cell>
        </row>
        <row r="3699">
          <cell r="A3699" t="str">
            <v>1000/1700       Mocznik</v>
          </cell>
          <cell r="J3699">
            <v>0</v>
          </cell>
        </row>
        <row r="3700">
          <cell r="A3700" t="str">
            <v>1000/1700       Mocznik</v>
          </cell>
          <cell r="J3700">
            <v>0</v>
          </cell>
        </row>
        <row r="3701">
          <cell r="A3701" t="str">
            <v>1000/1700       Mocznik</v>
          </cell>
          <cell r="J3701">
            <v>4152.4799999999896</v>
          </cell>
        </row>
        <row r="3702">
          <cell r="A3702" t="str">
            <v>1000/1700       Mocznik</v>
          </cell>
          <cell r="J3702">
            <v>5600.1599999999899</v>
          </cell>
        </row>
        <row r="3703">
          <cell r="A3703" t="str">
            <v>1000/1700       Mocznik</v>
          </cell>
          <cell r="J3703">
            <v>4178.88</v>
          </cell>
        </row>
        <row r="3704">
          <cell r="A3704" t="str">
            <v>1000/1700       Mocznik</v>
          </cell>
          <cell r="J3704">
            <v>63416.389999999898</v>
          </cell>
        </row>
        <row r="3705">
          <cell r="A3705" t="str">
            <v>1000/1700       Mocznik</v>
          </cell>
          <cell r="J3705">
            <v>1484.88</v>
          </cell>
        </row>
        <row r="3706">
          <cell r="A3706" t="str">
            <v>1000/1700       Mocznik</v>
          </cell>
          <cell r="J3706">
            <v>3179.04</v>
          </cell>
        </row>
        <row r="3707">
          <cell r="A3707" t="str">
            <v>1000/1700       Mocznik</v>
          </cell>
          <cell r="J3707">
            <v>3550.5599999999899</v>
          </cell>
        </row>
        <row r="3708">
          <cell r="A3708" t="str">
            <v>1000/1700       Mocznik</v>
          </cell>
          <cell r="J3708">
            <v>1886.64</v>
          </cell>
        </row>
        <row r="3709">
          <cell r="A3709" t="str">
            <v>1000/1700       Mocznik</v>
          </cell>
          <cell r="J3709">
            <v>0</v>
          </cell>
        </row>
        <row r="3710">
          <cell r="A3710" t="str">
            <v>1000/1700       Mocznik</v>
          </cell>
          <cell r="J3710">
            <v>19864.299999999901</v>
          </cell>
        </row>
        <row r="3711">
          <cell r="A3711" t="str">
            <v>1000/1700       Mocznik</v>
          </cell>
          <cell r="J3711">
            <v>15939.5</v>
          </cell>
        </row>
        <row r="3712">
          <cell r="A3712" t="str">
            <v>1000/1700       Mocznik</v>
          </cell>
          <cell r="J3712">
            <v>1349.63</v>
          </cell>
        </row>
        <row r="3713">
          <cell r="A3713" t="str">
            <v>1000/1700       Mocznik</v>
          </cell>
          <cell r="J3713">
            <v>5927.71</v>
          </cell>
        </row>
        <row r="3714">
          <cell r="A3714" t="str">
            <v>1000/1700       Mocznik</v>
          </cell>
          <cell r="J3714">
            <v>0</v>
          </cell>
        </row>
        <row r="3715">
          <cell r="A3715" t="str">
            <v>1000/1700       Mocznik</v>
          </cell>
          <cell r="J3715">
            <v>0</v>
          </cell>
        </row>
        <row r="3716">
          <cell r="A3716" t="str">
            <v>1000/1700       Mocznik</v>
          </cell>
          <cell r="J3716">
            <v>1094.0799999999899</v>
          </cell>
        </row>
        <row r="3717">
          <cell r="A3717" t="str">
            <v>1000/1700       Mocznik</v>
          </cell>
          <cell r="J3717">
            <v>0</v>
          </cell>
        </row>
        <row r="3718">
          <cell r="A3718" t="str">
            <v>1000/1700       Mocznik</v>
          </cell>
          <cell r="J3718">
            <v>1166.8800000000001</v>
          </cell>
        </row>
        <row r="3719">
          <cell r="A3719" t="str">
            <v>1000/1700       Mocznik</v>
          </cell>
          <cell r="J3719">
            <v>0</v>
          </cell>
        </row>
        <row r="3720">
          <cell r="A3720" t="str">
            <v>1000/1700       Mocznik</v>
          </cell>
          <cell r="J3720">
            <v>838.32</v>
          </cell>
        </row>
        <row r="3721">
          <cell r="A3721" t="str">
            <v>1000/1700       Mocznik</v>
          </cell>
          <cell r="J3721">
            <v>18629.04</v>
          </cell>
        </row>
        <row r="3722">
          <cell r="A3722" t="str">
            <v>1000/1700       Mocznik</v>
          </cell>
          <cell r="J3722">
            <v>1779.1199999999899</v>
          </cell>
        </row>
        <row r="3723">
          <cell r="A3723" t="str">
            <v>1000/1700       Mocznik</v>
          </cell>
          <cell r="J3723">
            <v>7602</v>
          </cell>
        </row>
        <row r="3724">
          <cell r="A3724" t="str">
            <v>1000/1700       Mocznik</v>
          </cell>
          <cell r="J3724">
            <v>3180</v>
          </cell>
        </row>
        <row r="3725">
          <cell r="A3725" t="str">
            <v>1000/1700       Mocznik</v>
          </cell>
          <cell r="J3725">
            <v>9858</v>
          </cell>
        </row>
        <row r="3726">
          <cell r="A3726" t="str">
            <v>1000/1700       Mocznik</v>
          </cell>
          <cell r="J3726">
            <v>31624.66</v>
          </cell>
        </row>
        <row r="3727">
          <cell r="A3727" t="str">
            <v>1000/1700       Mocznik</v>
          </cell>
          <cell r="J3727">
            <v>4835.5200000000004</v>
          </cell>
        </row>
        <row r="3728">
          <cell r="A3728" t="str">
            <v>1000/1700       Mocznik</v>
          </cell>
          <cell r="J3728">
            <v>1685.8099999999899</v>
          </cell>
        </row>
        <row r="3729">
          <cell r="A3729" t="str">
            <v>1000/1700       Mocznik</v>
          </cell>
          <cell r="J3729">
            <v>0</v>
          </cell>
        </row>
        <row r="3730">
          <cell r="A3730" t="str">
            <v>1000/1700       Mocznik</v>
          </cell>
          <cell r="J3730">
            <v>15106.65</v>
          </cell>
        </row>
        <row r="3731">
          <cell r="A3731" t="str">
            <v>1000/1700       Mocznik</v>
          </cell>
          <cell r="J3731">
            <v>1300.8</v>
          </cell>
        </row>
        <row r="3732">
          <cell r="A3732" t="str">
            <v>1000/1700       Mocznik</v>
          </cell>
          <cell r="J3732">
            <v>0</v>
          </cell>
        </row>
        <row r="3733">
          <cell r="A3733" t="str">
            <v>1000/1700       Mocznik</v>
          </cell>
          <cell r="J3733">
            <v>39101.199999999903</v>
          </cell>
        </row>
        <row r="3734">
          <cell r="A3734" t="str">
            <v>1000/1700       Mocznik</v>
          </cell>
          <cell r="J3734">
            <v>26493.959999999901</v>
          </cell>
        </row>
        <row r="3735">
          <cell r="A3735" t="str">
            <v>1000/1700       Mocznik</v>
          </cell>
          <cell r="J3735">
            <v>856.32</v>
          </cell>
        </row>
        <row r="3736">
          <cell r="A3736" t="str">
            <v>1000/1700       Mocznik</v>
          </cell>
          <cell r="J3736">
            <v>1300.8</v>
          </cell>
        </row>
        <row r="3737">
          <cell r="A3737" t="str">
            <v>1000/1700       Mocznik</v>
          </cell>
          <cell r="J3737">
            <v>4712.34</v>
          </cell>
        </row>
        <row r="3738">
          <cell r="A3738" t="str">
            <v>1000/1700       Mocznik</v>
          </cell>
          <cell r="J3738">
            <v>0</v>
          </cell>
        </row>
        <row r="3739">
          <cell r="A3739" t="str">
            <v>1000/1700       Mocznik</v>
          </cell>
          <cell r="J3739">
            <v>5550.96</v>
          </cell>
        </row>
        <row r="3740">
          <cell r="A3740" t="str">
            <v>1000/1700       Mocznik</v>
          </cell>
          <cell r="J3740">
            <v>3288.3</v>
          </cell>
        </row>
        <row r="3741">
          <cell r="A3741" t="str">
            <v>1000/1700       Mocznik</v>
          </cell>
          <cell r="J3741">
            <v>8070.5799999999899</v>
          </cell>
        </row>
        <row r="3742">
          <cell r="A3742" t="str">
            <v>1000/1700       Mocznik</v>
          </cell>
          <cell r="J3742">
            <v>0</v>
          </cell>
        </row>
        <row r="3743">
          <cell r="A3743" t="str">
            <v>1000/1700       Mocznik</v>
          </cell>
          <cell r="J3743">
            <v>1742.4</v>
          </cell>
        </row>
        <row r="3744">
          <cell r="A3744" t="str">
            <v>1000/1700       Mocznik</v>
          </cell>
          <cell r="J3744">
            <v>3928.25</v>
          </cell>
        </row>
        <row r="3745">
          <cell r="A3745" t="str">
            <v>1000/1700       Mocznik</v>
          </cell>
          <cell r="J3745">
            <v>2185.7399999999898</v>
          </cell>
        </row>
        <row r="3746">
          <cell r="A3746" t="str">
            <v>1000/1700       Mocznik</v>
          </cell>
          <cell r="J3746">
            <v>1779.1199999999899</v>
          </cell>
        </row>
        <row r="3747">
          <cell r="A3747" t="str">
            <v>1000/1700       Mocznik</v>
          </cell>
          <cell r="J3747">
            <v>0</v>
          </cell>
        </row>
        <row r="3748">
          <cell r="A3748" t="str">
            <v>1000/1700       Mocznik</v>
          </cell>
          <cell r="J3748">
            <v>0</v>
          </cell>
        </row>
        <row r="3749">
          <cell r="A3749" t="str">
            <v>1000/1700       Mocznik</v>
          </cell>
          <cell r="J3749">
            <v>2413.44</v>
          </cell>
        </row>
        <row r="3750">
          <cell r="A3750" t="str">
            <v>1000/1700       Mocznik</v>
          </cell>
          <cell r="J3750">
            <v>0</v>
          </cell>
        </row>
        <row r="3751">
          <cell r="A3751" t="str">
            <v>1000/1700       Mocznik</v>
          </cell>
          <cell r="J3751">
            <v>1496.78</v>
          </cell>
        </row>
        <row r="3752">
          <cell r="A3752" t="str">
            <v>1000/1700       Mocznik</v>
          </cell>
          <cell r="J3752">
            <v>4328.1599999999899</v>
          </cell>
        </row>
        <row r="3753">
          <cell r="A3753" t="str">
            <v>1000/1700       Mocznik</v>
          </cell>
          <cell r="J3753">
            <v>0</v>
          </cell>
        </row>
        <row r="3754">
          <cell r="A3754" t="str">
            <v>1000/1700       Mocznik</v>
          </cell>
          <cell r="J3754">
            <v>0</v>
          </cell>
        </row>
        <row r="3755">
          <cell r="A3755" t="str">
            <v>1000/1700       Mocznik</v>
          </cell>
          <cell r="J3755">
            <v>3784.1999999999898</v>
          </cell>
        </row>
        <row r="3756">
          <cell r="A3756" t="str">
            <v>1000/1700       Mocznik</v>
          </cell>
          <cell r="J3756">
            <v>0</v>
          </cell>
        </row>
        <row r="3757">
          <cell r="A3757" t="str">
            <v>1000/1700       Mocznik</v>
          </cell>
          <cell r="J3757">
            <v>5311.06</v>
          </cell>
        </row>
        <row r="3758">
          <cell r="A3758" t="str">
            <v>1000/1700       Mocznik</v>
          </cell>
          <cell r="J3758">
            <v>2349.5999999999899</v>
          </cell>
        </row>
        <row r="3759">
          <cell r="A3759" t="str">
            <v>1000/1700       Mocznik</v>
          </cell>
          <cell r="J3759">
            <v>3274.5599999999899</v>
          </cell>
        </row>
        <row r="3760">
          <cell r="A3760" t="str">
            <v>1000/1700       Mocznik</v>
          </cell>
          <cell r="J3760">
            <v>0</v>
          </cell>
        </row>
        <row r="3761">
          <cell r="A3761" t="str">
            <v>1000/1700       Mocznik</v>
          </cell>
          <cell r="J3761">
            <v>7688.63</v>
          </cell>
        </row>
        <row r="3762">
          <cell r="A3762" t="str">
            <v>1000/1700       Mocznik</v>
          </cell>
          <cell r="J3762">
            <v>0</v>
          </cell>
        </row>
        <row r="3763">
          <cell r="A3763" t="str">
            <v>1000/1700       Mocznik</v>
          </cell>
          <cell r="J3763">
            <v>38662.04</v>
          </cell>
        </row>
        <row r="3764">
          <cell r="A3764" t="str">
            <v>1000/1700       Mocznik</v>
          </cell>
          <cell r="J3764">
            <v>0</v>
          </cell>
        </row>
        <row r="3765">
          <cell r="A3765" t="str">
            <v>1000/1700       Mocznik</v>
          </cell>
          <cell r="J3765">
            <v>8248.7999999999902</v>
          </cell>
        </row>
        <row r="3766">
          <cell r="A3766" t="str">
            <v>1000/1700       Mocznik</v>
          </cell>
          <cell r="J3766">
            <v>0</v>
          </cell>
        </row>
        <row r="3767">
          <cell r="A3767" t="str">
            <v>1000/1700       Mocznik</v>
          </cell>
          <cell r="J3767">
            <v>0</v>
          </cell>
        </row>
        <row r="3768">
          <cell r="A3768" t="str">
            <v>1000/1700       Mocznik</v>
          </cell>
          <cell r="J3768">
            <v>29465.06</v>
          </cell>
        </row>
        <row r="3769">
          <cell r="A3769" t="str">
            <v>1000/1700       Mocznik</v>
          </cell>
          <cell r="J3769">
            <v>3037.92</v>
          </cell>
        </row>
        <row r="3770">
          <cell r="A3770" t="str">
            <v>1000/1700       Mocznik</v>
          </cell>
          <cell r="J3770">
            <v>924.40999999999894</v>
          </cell>
        </row>
        <row r="3771">
          <cell r="A3771" t="str">
            <v>1000/1700       Mocznik</v>
          </cell>
          <cell r="J3771">
            <v>3963.84</v>
          </cell>
        </row>
        <row r="3772">
          <cell r="A3772" t="str">
            <v>1000/1700       Mocznik</v>
          </cell>
          <cell r="J3772">
            <v>1109.04</v>
          </cell>
        </row>
        <row r="3773">
          <cell r="A3773" t="str">
            <v>1000/1700       Mocznik</v>
          </cell>
          <cell r="J3773">
            <v>0</v>
          </cell>
        </row>
        <row r="3774">
          <cell r="A3774" t="str">
            <v>1000/1700       Mocznik</v>
          </cell>
          <cell r="J3774">
            <v>73.239999999999895</v>
          </cell>
        </row>
        <row r="3775">
          <cell r="A3775" t="str">
            <v>1000/1700       Mocznik</v>
          </cell>
          <cell r="J3775">
            <v>2395.92</v>
          </cell>
        </row>
        <row r="3776">
          <cell r="A3776" t="str">
            <v>1000/1700       Mocznik</v>
          </cell>
          <cell r="J3776">
            <v>7143.5799999999899</v>
          </cell>
        </row>
        <row r="3777">
          <cell r="A3777" t="str">
            <v>1000/1700       Mocznik</v>
          </cell>
          <cell r="J3777">
            <v>3902.88</v>
          </cell>
        </row>
        <row r="3778">
          <cell r="A3778" t="str">
            <v>1000/1700       Mocznik</v>
          </cell>
          <cell r="J3778">
            <v>1006.5599999999901</v>
          </cell>
        </row>
        <row r="3779">
          <cell r="A3779" t="str">
            <v>1000/1700       Mocznik</v>
          </cell>
          <cell r="J3779">
            <v>2325.36</v>
          </cell>
        </row>
        <row r="3780">
          <cell r="A3780" t="str">
            <v>1000/1700       Mocznik</v>
          </cell>
          <cell r="J3780">
            <v>2163.36</v>
          </cell>
        </row>
        <row r="3781">
          <cell r="A3781" t="str">
            <v>1000/1700       Mocznik</v>
          </cell>
          <cell r="J3781">
            <v>3460.5</v>
          </cell>
        </row>
        <row r="3782">
          <cell r="A3782" t="str">
            <v>1000/1700       Mocznik</v>
          </cell>
          <cell r="J3782">
            <v>0</v>
          </cell>
        </row>
        <row r="3783">
          <cell r="A3783" t="str">
            <v>1000/1700       Mocznik</v>
          </cell>
          <cell r="J3783">
            <v>1456.8</v>
          </cell>
        </row>
        <row r="3784">
          <cell r="A3784" t="str">
            <v>1000/1700       Mocznik</v>
          </cell>
          <cell r="J3784">
            <v>140368.72</v>
          </cell>
        </row>
        <row r="3785">
          <cell r="A3785" t="str">
            <v>1000/1700       Mocznik</v>
          </cell>
          <cell r="J3785">
            <v>1589.52</v>
          </cell>
        </row>
        <row r="3786">
          <cell r="A3786" t="str">
            <v>1000/1700       Mocznik</v>
          </cell>
          <cell r="J3786">
            <v>24121.08</v>
          </cell>
        </row>
        <row r="3787">
          <cell r="A3787" t="str">
            <v>1000/1700       Mocznik</v>
          </cell>
          <cell r="J3787">
            <v>0</v>
          </cell>
        </row>
        <row r="3788">
          <cell r="A3788" t="str">
            <v>1000/1700       Mocznik</v>
          </cell>
          <cell r="J3788">
            <v>1344.96</v>
          </cell>
        </row>
        <row r="3789">
          <cell r="A3789" t="str">
            <v>1000/1700       Mocznik</v>
          </cell>
          <cell r="J3789">
            <v>0</v>
          </cell>
        </row>
        <row r="3790">
          <cell r="A3790" t="str">
            <v>1000/1700       Mocznik</v>
          </cell>
          <cell r="J3790">
            <v>23698</v>
          </cell>
        </row>
        <row r="3791">
          <cell r="A3791" t="str">
            <v>1000/1700       Mocznik</v>
          </cell>
          <cell r="J3791">
            <v>4258.5600000000004</v>
          </cell>
        </row>
        <row r="3792">
          <cell r="A3792" t="str">
            <v>1000/1700       Mocznik</v>
          </cell>
          <cell r="J3792">
            <v>2648.88</v>
          </cell>
        </row>
        <row r="3793">
          <cell r="A3793" t="str">
            <v>1000/1700       Mocznik</v>
          </cell>
          <cell r="J3793">
            <v>4115.5200000000004</v>
          </cell>
        </row>
        <row r="3794">
          <cell r="A3794" t="str">
            <v>1000/1700       Mocznik</v>
          </cell>
          <cell r="J3794">
            <v>1344.96</v>
          </cell>
        </row>
        <row r="3795">
          <cell r="A3795" t="str">
            <v>1000/1700       Mocznik</v>
          </cell>
          <cell r="J3795">
            <v>3942.27</v>
          </cell>
        </row>
        <row r="3796">
          <cell r="A3796" t="str">
            <v>1000/1700       Mocznik</v>
          </cell>
          <cell r="J3796">
            <v>1833.8399999999899</v>
          </cell>
        </row>
        <row r="3797">
          <cell r="A3797" t="str">
            <v>1000/1700       Mocznik</v>
          </cell>
          <cell r="J3797">
            <v>5854.04</v>
          </cell>
        </row>
        <row r="3798">
          <cell r="A3798" t="str">
            <v>1000/1700       Mocznik</v>
          </cell>
          <cell r="J3798">
            <v>0</v>
          </cell>
        </row>
        <row r="3799">
          <cell r="A3799" t="str">
            <v>1000/1700       Mocznik</v>
          </cell>
          <cell r="J3799">
            <v>0</v>
          </cell>
        </row>
        <row r="3800">
          <cell r="A3800" t="str">
            <v>1000/1700       Mocznik</v>
          </cell>
          <cell r="J3800">
            <v>2063.2800000000002</v>
          </cell>
        </row>
        <row r="3801">
          <cell r="A3801" t="str">
            <v>1000/1700       Mocznik</v>
          </cell>
          <cell r="J3801">
            <v>69847.69</v>
          </cell>
        </row>
        <row r="3802">
          <cell r="A3802" t="str">
            <v>1000/1700       Mocznik</v>
          </cell>
          <cell r="J3802">
            <v>1662.96</v>
          </cell>
        </row>
        <row r="3803">
          <cell r="A3803" t="str">
            <v>1000/1700       Mocznik</v>
          </cell>
          <cell r="J3803">
            <v>0</v>
          </cell>
        </row>
        <row r="3804">
          <cell r="A3804" t="str">
            <v>1000/1700       Mocznik</v>
          </cell>
          <cell r="J3804">
            <v>0</v>
          </cell>
        </row>
        <row r="3805">
          <cell r="A3805" t="str">
            <v>1000/1700       Mocznik</v>
          </cell>
          <cell r="J3805">
            <v>2280.36</v>
          </cell>
        </row>
        <row r="3806">
          <cell r="A3806" t="str">
            <v>1000/1700       Mocznik</v>
          </cell>
          <cell r="J3806">
            <v>3773.28</v>
          </cell>
        </row>
        <row r="3807">
          <cell r="A3807" t="str">
            <v>1000/1700       Mocznik</v>
          </cell>
          <cell r="J3807">
            <v>0</v>
          </cell>
        </row>
        <row r="3808">
          <cell r="A3808" t="str">
            <v>1000/1700       Mocznik</v>
          </cell>
          <cell r="J3808">
            <v>32080.77</v>
          </cell>
        </row>
        <row r="3809">
          <cell r="A3809" t="str">
            <v>1000/1700       Mocznik</v>
          </cell>
          <cell r="J3809">
            <v>14637.28</v>
          </cell>
        </row>
        <row r="3810">
          <cell r="A3810" t="str">
            <v>1000/1700       Mocznik</v>
          </cell>
          <cell r="J3810">
            <v>0</v>
          </cell>
        </row>
        <row r="3811">
          <cell r="A3811" t="str">
            <v>1000/1700       Mocznik</v>
          </cell>
          <cell r="J3811">
            <v>0</v>
          </cell>
        </row>
        <row r="3812">
          <cell r="A3812" t="str">
            <v>1000/1700       Mocznik</v>
          </cell>
          <cell r="J3812">
            <v>0</v>
          </cell>
        </row>
        <row r="3813">
          <cell r="A3813" t="str">
            <v>1000/1700       Mocznik</v>
          </cell>
          <cell r="J3813">
            <v>2022.5899999999899</v>
          </cell>
        </row>
        <row r="3814">
          <cell r="A3814" t="str">
            <v>1000/1700       Mocznik</v>
          </cell>
          <cell r="J3814">
            <v>0</v>
          </cell>
        </row>
        <row r="3815">
          <cell r="A3815" t="str">
            <v>1000/1700       Mocznik</v>
          </cell>
          <cell r="J3815">
            <v>0</v>
          </cell>
        </row>
        <row r="3816">
          <cell r="A3816" t="str">
            <v>1000/1700       Mocznik</v>
          </cell>
          <cell r="J3816">
            <v>0</v>
          </cell>
        </row>
        <row r="3817">
          <cell r="A3817" t="str">
            <v>1000/1700       Mocznik</v>
          </cell>
          <cell r="J3817">
            <v>4650.72</v>
          </cell>
        </row>
        <row r="3818">
          <cell r="A3818" t="str">
            <v>1000/1700       Mocznik</v>
          </cell>
          <cell r="J3818">
            <v>1992.72</v>
          </cell>
        </row>
        <row r="3819">
          <cell r="A3819" t="str">
            <v>1000/1700       Mocznik</v>
          </cell>
          <cell r="J3819">
            <v>1286.1600000000001</v>
          </cell>
        </row>
        <row r="3820">
          <cell r="A3820" t="str">
            <v>1000/1700       Mocznik</v>
          </cell>
          <cell r="J3820">
            <v>1780.8</v>
          </cell>
        </row>
        <row r="3821">
          <cell r="A3821" t="str">
            <v>1000/1700       Mocznik</v>
          </cell>
          <cell r="J3821">
            <v>9665.6399999999903</v>
          </cell>
        </row>
        <row r="3822">
          <cell r="A3822" t="str">
            <v>1000/1700       Mocznik</v>
          </cell>
          <cell r="J3822">
            <v>33322.22</v>
          </cell>
        </row>
        <row r="3823">
          <cell r="A3823" t="str">
            <v>1000/1700       Mocznik</v>
          </cell>
          <cell r="J3823">
            <v>5029.92</v>
          </cell>
        </row>
        <row r="3824">
          <cell r="A3824" t="str">
            <v>1000/1700       Mocznik</v>
          </cell>
          <cell r="J3824">
            <v>0</v>
          </cell>
        </row>
        <row r="3825">
          <cell r="A3825" t="str">
            <v>1000/1700       Mocznik</v>
          </cell>
          <cell r="J3825">
            <v>3192.51</v>
          </cell>
        </row>
        <row r="3826">
          <cell r="A3826" t="str">
            <v>1000/1700       Mocznik</v>
          </cell>
          <cell r="J3826">
            <v>0</v>
          </cell>
        </row>
        <row r="3827">
          <cell r="A3827" t="str">
            <v>1000/1700       Mocznik</v>
          </cell>
          <cell r="J3827">
            <v>12205.08</v>
          </cell>
        </row>
        <row r="3828">
          <cell r="A3828" t="str">
            <v>1000/1700       Mocznik</v>
          </cell>
          <cell r="J3828">
            <v>37561.18</v>
          </cell>
        </row>
        <row r="3829">
          <cell r="A3829" t="str">
            <v>1000/1700       Mocznik</v>
          </cell>
          <cell r="J3829">
            <v>0</v>
          </cell>
        </row>
        <row r="3830">
          <cell r="A3830" t="str">
            <v>1000/1700       Mocznik</v>
          </cell>
          <cell r="J3830">
            <v>1545.3599999999899</v>
          </cell>
        </row>
        <row r="3831">
          <cell r="A3831" t="str">
            <v>1000/1700       Mocznik</v>
          </cell>
          <cell r="J3831">
            <v>0</v>
          </cell>
        </row>
        <row r="3832">
          <cell r="A3832" t="str">
            <v>1000/1700       Mocznik</v>
          </cell>
          <cell r="J3832">
            <v>4024.5999999999899</v>
          </cell>
        </row>
        <row r="3833">
          <cell r="A3833" t="str">
            <v>1000/1700       Mocznik</v>
          </cell>
          <cell r="J3833">
            <v>1780.8</v>
          </cell>
        </row>
        <row r="3834">
          <cell r="A3834" t="str">
            <v>1000/1700       Mocznik</v>
          </cell>
          <cell r="J3834">
            <v>3356.78</v>
          </cell>
        </row>
        <row r="3835">
          <cell r="A3835" t="str">
            <v>1000/1700       Mocznik</v>
          </cell>
          <cell r="J3835">
            <v>0</v>
          </cell>
        </row>
        <row r="3836">
          <cell r="A3836" t="str">
            <v>1000/1700       Mocznik</v>
          </cell>
          <cell r="J3836">
            <v>0</v>
          </cell>
        </row>
        <row r="3837">
          <cell r="A3837" t="str">
            <v>1000/1700       Mocznik</v>
          </cell>
          <cell r="J3837">
            <v>0</v>
          </cell>
        </row>
        <row r="3838">
          <cell r="A3838" t="str">
            <v>1000/1700       Mocznik</v>
          </cell>
          <cell r="J3838">
            <v>0</v>
          </cell>
        </row>
        <row r="3839">
          <cell r="A3839" t="str">
            <v>1000/1700       Mocznik</v>
          </cell>
          <cell r="J3839">
            <v>0</v>
          </cell>
        </row>
        <row r="3840">
          <cell r="A3840" t="str">
            <v>1000/1700       Mocznik</v>
          </cell>
          <cell r="J3840">
            <v>0</v>
          </cell>
        </row>
        <row r="3841">
          <cell r="A3841" t="str">
            <v>1000/1700       Mocznik</v>
          </cell>
          <cell r="J3841">
            <v>1261.4000000000001</v>
          </cell>
        </row>
        <row r="3842">
          <cell r="A3842" t="str">
            <v>1000/1700       Mocznik</v>
          </cell>
          <cell r="J3842">
            <v>0</v>
          </cell>
        </row>
        <row r="3843">
          <cell r="A3843" t="str">
            <v>1000/1700       Mocznik</v>
          </cell>
          <cell r="J3843">
            <v>1374.72</v>
          </cell>
        </row>
        <row r="3844">
          <cell r="A3844" t="str">
            <v>1000/1700       Mocznik</v>
          </cell>
          <cell r="J3844">
            <v>1315.68</v>
          </cell>
        </row>
        <row r="3845">
          <cell r="A3845" t="str">
            <v>1000/1700       Mocznik</v>
          </cell>
          <cell r="J3845">
            <v>1814.5899999999899</v>
          </cell>
        </row>
        <row r="3846">
          <cell r="A3846" t="str">
            <v>1000/1700       Mocznik</v>
          </cell>
          <cell r="J3846">
            <v>0</v>
          </cell>
        </row>
        <row r="3847">
          <cell r="A3847" t="str">
            <v>1000/1700       Mocznik</v>
          </cell>
          <cell r="J3847">
            <v>1456.8</v>
          </cell>
        </row>
        <row r="3848">
          <cell r="A3848" t="str">
            <v>1000/1700       Mocznik</v>
          </cell>
          <cell r="J3848">
            <v>35088.47</v>
          </cell>
        </row>
        <row r="3849">
          <cell r="A3849" t="str">
            <v>1000/1700       Mocznik</v>
          </cell>
          <cell r="J3849">
            <v>0</v>
          </cell>
        </row>
        <row r="3850">
          <cell r="A3850" t="str">
            <v>1000/1700       Mocznik</v>
          </cell>
          <cell r="J3850">
            <v>1035.8399999999899</v>
          </cell>
        </row>
        <row r="3851">
          <cell r="A3851" t="str">
            <v>1000/1700       Mocznik</v>
          </cell>
          <cell r="J3851">
            <v>1124.4000000000001</v>
          </cell>
        </row>
        <row r="3852">
          <cell r="A3852" t="str">
            <v>1000/1700       Mocznik</v>
          </cell>
          <cell r="J3852">
            <v>13832.959999999901</v>
          </cell>
        </row>
        <row r="3853">
          <cell r="A3853" t="str">
            <v>1000/1700       Mocznik</v>
          </cell>
          <cell r="J3853">
            <v>3325.92</v>
          </cell>
        </row>
        <row r="3854">
          <cell r="A3854" t="str">
            <v>1000/1700       Mocznik</v>
          </cell>
          <cell r="J3854">
            <v>2163.36</v>
          </cell>
        </row>
        <row r="3855">
          <cell r="A3855" t="str">
            <v>1000/1700       Mocznik</v>
          </cell>
          <cell r="J3855">
            <v>924.40999999999894</v>
          </cell>
        </row>
        <row r="3856">
          <cell r="A3856" t="str">
            <v>1000/1700       Mocznik</v>
          </cell>
          <cell r="J3856">
            <v>1992.72</v>
          </cell>
        </row>
        <row r="3857">
          <cell r="A3857" t="str">
            <v>1000/1700       Mocznik</v>
          </cell>
          <cell r="J3857">
            <v>1365.8399999999899</v>
          </cell>
        </row>
        <row r="3858">
          <cell r="A3858" t="str">
            <v>1000/1700       Mocznik</v>
          </cell>
          <cell r="J3858">
            <v>0</v>
          </cell>
        </row>
        <row r="3859">
          <cell r="A3859" t="str">
            <v>1000/1700       Mocznik</v>
          </cell>
          <cell r="J3859">
            <v>0</v>
          </cell>
        </row>
        <row r="3860">
          <cell r="A3860" t="str">
            <v>1000/1700       Mocznik</v>
          </cell>
          <cell r="J3860">
            <v>0</v>
          </cell>
        </row>
        <row r="3861">
          <cell r="A3861" t="str">
            <v>1000/1700       Mocznik</v>
          </cell>
          <cell r="J3861">
            <v>-73.239999999999895</v>
          </cell>
        </row>
        <row r="3862">
          <cell r="A3862" t="str">
            <v>1000/1700       Mocznik</v>
          </cell>
          <cell r="J3862">
            <v>7250.64</v>
          </cell>
        </row>
        <row r="3863">
          <cell r="A3863" t="str">
            <v>1000/1700       Mocznik</v>
          </cell>
          <cell r="J3863">
            <v>0</v>
          </cell>
        </row>
        <row r="3864">
          <cell r="A3864" t="str">
            <v>1000/1700       Mocznik</v>
          </cell>
          <cell r="J3864">
            <v>1780.8</v>
          </cell>
        </row>
        <row r="3865">
          <cell r="A3865" t="str">
            <v>1000/1700       Mocznik</v>
          </cell>
          <cell r="J3865">
            <v>4650.72</v>
          </cell>
        </row>
        <row r="3866">
          <cell r="A3866" t="str">
            <v>1000/1700       Mocznik</v>
          </cell>
          <cell r="J3866">
            <v>0</v>
          </cell>
        </row>
        <row r="3867">
          <cell r="A3867" t="str">
            <v>1000/1700       Mocznik</v>
          </cell>
          <cell r="J3867">
            <v>0</v>
          </cell>
        </row>
        <row r="3868">
          <cell r="A3868" t="str">
            <v>1000/1700       Mocznik</v>
          </cell>
          <cell r="J3868">
            <v>0</v>
          </cell>
        </row>
        <row r="3869">
          <cell r="A3869" t="str">
            <v>1000/1700       Mocznik</v>
          </cell>
          <cell r="J3869">
            <v>2337.2800000000002</v>
          </cell>
        </row>
        <row r="3870">
          <cell r="A3870" t="str">
            <v>1000/1700       Mocznik</v>
          </cell>
          <cell r="J3870">
            <v>0</v>
          </cell>
        </row>
        <row r="3871">
          <cell r="A3871" t="str">
            <v>1000/1700       Mocznik</v>
          </cell>
          <cell r="J3871">
            <v>1344.96</v>
          </cell>
        </row>
        <row r="3872">
          <cell r="A3872" t="str">
            <v>1000/1700       Mocznik</v>
          </cell>
          <cell r="J3872">
            <v>445.19999999999902</v>
          </cell>
        </row>
        <row r="3873">
          <cell r="A3873" t="str">
            <v>1000/1700       Mocznik</v>
          </cell>
          <cell r="J3873">
            <v>2862.04</v>
          </cell>
        </row>
        <row r="3874">
          <cell r="A3874" t="str">
            <v>1000/1700       Mocznik</v>
          </cell>
          <cell r="J3874">
            <v>0</v>
          </cell>
        </row>
        <row r="3875">
          <cell r="A3875" t="str">
            <v>1000/1700       Mocznik</v>
          </cell>
          <cell r="J3875">
            <v>0</v>
          </cell>
        </row>
        <row r="3876">
          <cell r="A3876" t="str">
            <v>1000/1700       Mocznik</v>
          </cell>
          <cell r="J3876">
            <v>0</v>
          </cell>
        </row>
        <row r="3877">
          <cell r="A3877" t="str">
            <v>1000/1700       Mocznik</v>
          </cell>
          <cell r="J3877">
            <v>4014.48</v>
          </cell>
        </row>
        <row r="3878">
          <cell r="A3878" t="str">
            <v>1000/1700       Mocznik</v>
          </cell>
          <cell r="J3878">
            <v>5530.3199999999897</v>
          </cell>
        </row>
        <row r="3879">
          <cell r="A3879" t="str">
            <v>1000/1700       Mocznik</v>
          </cell>
          <cell r="J3879">
            <v>0</v>
          </cell>
        </row>
        <row r="3880">
          <cell r="A3880" t="str">
            <v>1000/1700       Mocznik</v>
          </cell>
          <cell r="J3880">
            <v>1495.44</v>
          </cell>
        </row>
        <row r="3881">
          <cell r="A3881" t="str">
            <v>1000/1700       Mocznik</v>
          </cell>
          <cell r="J3881">
            <v>1833.8399999999899</v>
          </cell>
        </row>
        <row r="3882">
          <cell r="A3882" t="str">
            <v>1000/1700       Mocznik</v>
          </cell>
          <cell r="J3882">
            <v>1345.53</v>
          </cell>
        </row>
        <row r="3883">
          <cell r="A3883" t="str">
            <v>1000/1700       Mocznik</v>
          </cell>
          <cell r="J3883">
            <v>0</v>
          </cell>
        </row>
        <row r="3884">
          <cell r="A3884" t="str">
            <v>1000/1700       Mocznik</v>
          </cell>
          <cell r="J3884">
            <v>0</v>
          </cell>
        </row>
        <row r="3885">
          <cell r="A3885" t="str">
            <v>1000/1700       Mocznik</v>
          </cell>
          <cell r="J3885">
            <v>0</v>
          </cell>
        </row>
        <row r="3886">
          <cell r="A3886" t="str">
            <v>1000/1700       Mocznik</v>
          </cell>
          <cell r="J3886">
            <v>0</v>
          </cell>
        </row>
        <row r="3887">
          <cell r="A3887" t="str">
            <v>1000/1700       Mocznik</v>
          </cell>
          <cell r="J3887">
            <v>0</v>
          </cell>
        </row>
        <row r="3888">
          <cell r="A3888" t="str">
            <v>1000/1700       Mocznik</v>
          </cell>
          <cell r="J3888">
            <v>0</v>
          </cell>
        </row>
        <row r="3889">
          <cell r="A3889" t="str">
            <v>1000/1700       Mocznik</v>
          </cell>
          <cell r="J3889">
            <v>2207.7600000000002</v>
          </cell>
        </row>
        <row r="3890">
          <cell r="A3890" t="str">
            <v>1000/1700       Mocznik</v>
          </cell>
          <cell r="J3890">
            <v>2781.5999999999899</v>
          </cell>
        </row>
        <row r="3891">
          <cell r="A3891" t="str">
            <v>1000/1700       Mocznik</v>
          </cell>
          <cell r="J3891">
            <v>1780.8</v>
          </cell>
        </row>
        <row r="3892">
          <cell r="A3892" t="str">
            <v>1000/1700       Mocznik</v>
          </cell>
          <cell r="J3892">
            <v>0</v>
          </cell>
        </row>
        <row r="3893">
          <cell r="A3893" t="str">
            <v>1000/1700       Mocznik</v>
          </cell>
          <cell r="J3893">
            <v>137468.70000000001</v>
          </cell>
        </row>
        <row r="3894">
          <cell r="A3894" t="str">
            <v>1000/1700       Mocznik</v>
          </cell>
          <cell r="J3894">
            <v>0</v>
          </cell>
        </row>
        <row r="3895">
          <cell r="A3895" t="str">
            <v>1000/1700       Mocznik</v>
          </cell>
          <cell r="J3895">
            <v>2448.7199999999898</v>
          </cell>
        </row>
        <row r="3896">
          <cell r="A3896" t="str">
            <v>1000/1700       Mocznik</v>
          </cell>
          <cell r="J3896">
            <v>2557.44</v>
          </cell>
        </row>
        <row r="3897">
          <cell r="A3897" t="str">
            <v>1000/1700       Mocznik</v>
          </cell>
          <cell r="J3897">
            <v>0</v>
          </cell>
        </row>
        <row r="3898">
          <cell r="A3898" t="str">
            <v>1000/1700       Mocznik</v>
          </cell>
          <cell r="J3898">
            <v>2424.96</v>
          </cell>
        </row>
        <row r="3899">
          <cell r="A3899" t="str">
            <v>1000/1700       Mocznik</v>
          </cell>
          <cell r="J3899">
            <v>0</v>
          </cell>
        </row>
        <row r="3900">
          <cell r="A3900" t="str">
            <v>1000/1700       Mocznik</v>
          </cell>
          <cell r="J3900">
            <v>0</v>
          </cell>
        </row>
        <row r="3901">
          <cell r="A3901" t="str">
            <v>1000/1700       Mocznik</v>
          </cell>
          <cell r="J3901">
            <v>0</v>
          </cell>
        </row>
        <row r="3902">
          <cell r="A3902" t="str">
            <v>1000/1700       Mocznik</v>
          </cell>
          <cell r="J3902">
            <v>3063.1599999999899</v>
          </cell>
        </row>
        <row r="3903">
          <cell r="A3903" t="str">
            <v>1000/1700       Mocznik</v>
          </cell>
          <cell r="J3903">
            <v>0</v>
          </cell>
        </row>
        <row r="3904">
          <cell r="A3904" t="str">
            <v>1000/1700       Mocznik</v>
          </cell>
          <cell r="J3904">
            <v>0</v>
          </cell>
        </row>
        <row r="3905">
          <cell r="A3905" t="str">
            <v>1000/1700       Mocznik</v>
          </cell>
          <cell r="J3905">
            <v>0</v>
          </cell>
        </row>
        <row r="3906">
          <cell r="A3906" t="str">
            <v>1000/1700       Mocznik</v>
          </cell>
          <cell r="J3906">
            <v>0</v>
          </cell>
        </row>
        <row r="3907">
          <cell r="A3907" t="str">
            <v>1000/1700       Mocznik</v>
          </cell>
          <cell r="J3907">
            <v>0</v>
          </cell>
        </row>
        <row r="3908">
          <cell r="A3908" t="str">
            <v>1000/1700       Mocznik</v>
          </cell>
          <cell r="J3908">
            <v>0</v>
          </cell>
        </row>
        <row r="3909">
          <cell r="A3909" t="str">
            <v>1000/1700       Mocznik</v>
          </cell>
          <cell r="J3909">
            <v>0</v>
          </cell>
        </row>
        <row r="3910">
          <cell r="A3910" t="str">
            <v>1000/1700       Mocznik</v>
          </cell>
          <cell r="J3910">
            <v>0</v>
          </cell>
        </row>
        <row r="3911">
          <cell r="A3911" t="str">
            <v>1000/1700       Mocznik</v>
          </cell>
          <cell r="J3911">
            <v>5118.2399999999898</v>
          </cell>
        </row>
        <row r="3912">
          <cell r="A3912" t="str">
            <v>1000/1700       Mocznik</v>
          </cell>
          <cell r="J3912">
            <v>0</v>
          </cell>
        </row>
        <row r="3913">
          <cell r="A3913" t="str">
            <v>1000/1700       Mocznik</v>
          </cell>
          <cell r="J3913">
            <v>0</v>
          </cell>
        </row>
        <row r="3914">
          <cell r="A3914" t="str">
            <v>1000/1700       Mocznik</v>
          </cell>
          <cell r="J3914">
            <v>0</v>
          </cell>
        </row>
        <row r="3915">
          <cell r="A3915" t="str">
            <v>1000/1700       Mocznik</v>
          </cell>
          <cell r="J3915">
            <v>0</v>
          </cell>
        </row>
        <row r="3916">
          <cell r="A3916" t="str">
            <v>1000/1700       Mocznik</v>
          </cell>
          <cell r="J3916">
            <v>58223.44</v>
          </cell>
        </row>
        <row r="3917">
          <cell r="A3917" t="str">
            <v>1000/1700       Mocznik</v>
          </cell>
          <cell r="J3917">
            <v>0</v>
          </cell>
        </row>
        <row r="3918">
          <cell r="A3918" t="str">
            <v>1000/1800       Fluorokrzemian sodu</v>
          </cell>
          <cell r="J3918">
            <v>0</v>
          </cell>
        </row>
        <row r="3919">
          <cell r="A3919" t="str">
            <v>1000/1800       Fluorokrzemian sodu</v>
          </cell>
          <cell r="J3919">
            <v>0</v>
          </cell>
        </row>
        <row r="3920">
          <cell r="A3920" t="str">
            <v>1000/1800       Fluorokrzemian sodu</v>
          </cell>
          <cell r="J3920">
            <v>0</v>
          </cell>
        </row>
        <row r="3921">
          <cell r="A3921" t="str">
            <v>1000/1800       Fluorokrzemian sodu</v>
          </cell>
          <cell r="J3921">
            <v>0</v>
          </cell>
        </row>
        <row r="3922">
          <cell r="A3922" t="str">
            <v>1000/1800       Fluorokrzemian sodu</v>
          </cell>
          <cell r="J3922">
            <v>0</v>
          </cell>
        </row>
        <row r="3923">
          <cell r="A3923" t="str">
            <v>1000/1800       Fluorokrzemian sodu</v>
          </cell>
          <cell r="J3923">
            <v>0</v>
          </cell>
        </row>
        <row r="3924">
          <cell r="A3924" t="str">
            <v>1000/1800       Fluorokrzemian sodu</v>
          </cell>
          <cell r="J3924">
            <v>0</v>
          </cell>
        </row>
        <row r="3925">
          <cell r="A3925" t="str">
            <v>1000/1800       Fluorokrzemian sodu</v>
          </cell>
          <cell r="J3925">
            <v>0</v>
          </cell>
        </row>
        <row r="3926">
          <cell r="A3926" t="str">
            <v>1000/1800       Fluorokrzemian sodu</v>
          </cell>
          <cell r="J3926">
            <v>0</v>
          </cell>
        </row>
        <row r="3927">
          <cell r="A3927" t="str">
            <v>1000/1800       Fluorokrzemian sodu</v>
          </cell>
          <cell r="J3927">
            <v>0</v>
          </cell>
        </row>
        <row r="3928">
          <cell r="A3928" t="str">
            <v>1000/1800       Fluorokrzemian sodu</v>
          </cell>
          <cell r="J3928">
            <v>0</v>
          </cell>
        </row>
        <row r="3929">
          <cell r="A3929" t="str">
            <v>1000/1800       Fluorokrzemian sodu</v>
          </cell>
          <cell r="J3929">
            <v>0</v>
          </cell>
        </row>
        <row r="3930">
          <cell r="A3930" t="str">
            <v>1000/1800       Fluorokrzemian sodu</v>
          </cell>
          <cell r="J3930">
            <v>0</v>
          </cell>
        </row>
        <row r="3931">
          <cell r="A3931" t="str">
            <v>1000/1800       Fluorokrzemian sodu</v>
          </cell>
          <cell r="J3931">
            <v>0</v>
          </cell>
        </row>
        <row r="3932">
          <cell r="A3932" t="str">
            <v>1000/1800       Fluorokrzemian sodu</v>
          </cell>
          <cell r="J3932">
            <v>0</v>
          </cell>
        </row>
        <row r="3933">
          <cell r="A3933" t="str">
            <v>1000/1800       Fluorokrzemian sodu</v>
          </cell>
          <cell r="J3933">
            <v>0</v>
          </cell>
        </row>
        <row r="3934">
          <cell r="A3934" t="str">
            <v>1000/1801       Siarczan żelaza susz</v>
          </cell>
          <cell r="J3934">
            <v>0</v>
          </cell>
        </row>
        <row r="3935">
          <cell r="A3935" t="str">
            <v>1000/1801       Siarczan żelaza susz</v>
          </cell>
          <cell r="J3935">
            <v>0</v>
          </cell>
        </row>
        <row r="3936">
          <cell r="A3936" t="str">
            <v>1000/1801       Siarczan żelaza susz</v>
          </cell>
          <cell r="J3936">
            <v>0</v>
          </cell>
        </row>
        <row r="3937">
          <cell r="A3937" t="str">
            <v>1000/1801       Siarczan żelaza susz</v>
          </cell>
          <cell r="J3937">
            <v>0</v>
          </cell>
        </row>
        <row r="3938">
          <cell r="A3938" t="str">
            <v>1000/1801       Siarczan żelaza susz</v>
          </cell>
          <cell r="J3938">
            <v>0</v>
          </cell>
        </row>
        <row r="3939">
          <cell r="A3939" t="str">
            <v>1000/1801       Siarczan żelaza susz</v>
          </cell>
          <cell r="J3939">
            <v>0</v>
          </cell>
        </row>
        <row r="3940">
          <cell r="A3940" t="str">
            <v>1000/1801       Siarczan żelaza susz</v>
          </cell>
          <cell r="J3940">
            <v>0</v>
          </cell>
        </row>
        <row r="3941">
          <cell r="A3941" t="str">
            <v>1000/1801       Siarczan żelaza susz</v>
          </cell>
          <cell r="J3941">
            <v>0</v>
          </cell>
        </row>
        <row r="3942">
          <cell r="A3942" t="str">
            <v>1000/1801       Siarczan żelaza susz</v>
          </cell>
          <cell r="J3942">
            <v>0</v>
          </cell>
        </row>
        <row r="3943">
          <cell r="A3943" t="str">
            <v>1000/1801       Siarczan żelaza susz</v>
          </cell>
          <cell r="J3943">
            <v>0</v>
          </cell>
        </row>
        <row r="3944">
          <cell r="A3944" t="str">
            <v>1000/1801       Siarczan żelaza susz</v>
          </cell>
          <cell r="J3944">
            <v>0</v>
          </cell>
        </row>
        <row r="3945">
          <cell r="A3945" t="str">
            <v>1000/1801       Siarczan żelaza susz</v>
          </cell>
          <cell r="J3945">
            <v>0</v>
          </cell>
        </row>
        <row r="3946">
          <cell r="A3946" t="str">
            <v>1000/1801       Siarczan żelaza susz</v>
          </cell>
          <cell r="J3946">
            <v>0</v>
          </cell>
        </row>
        <row r="3947">
          <cell r="A3947" t="str">
            <v>1000/1801       Siarczan żelaza susz</v>
          </cell>
          <cell r="J3947">
            <v>0</v>
          </cell>
        </row>
        <row r="3948">
          <cell r="A3948" t="str">
            <v>1000/1801       Siarczan żelaza susz</v>
          </cell>
          <cell r="J3948">
            <v>0</v>
          </cell>
        </row>
        <row r="3949">
          <cell r="A3949" t="str">
            <v>1000/1801       Siarczan żelaza susz</v>
          </cell>
          <cell r="J3949">
            <v>0</v>
          </cell>
        </row>
        <row r="3950">
          <cell r="A3950" t="str">
            <v>1000/1801       Siarczan żelaza susz</v>
          </cell>
          <cell r="J3950">
            <v>0</v>
          </cell>
        </row>
        <row r="3951">
          <cell r="A3951" t="str">
            <v>1000/1801       Siarczan żelaza susz</v>
          </cell>
          <cell r="J3951">
            <v>0</v>
          </cell>
        </row>
        <row r="3952">
          <cell r="A3952" t="str">
            <v>1000/1801       Siarczan żelaza susz</v>
          </cell>
          <cell r="J3952">
            <v>0</v>
          </cell>
        </row>
        <row r="3953">
          <cell r="A3953" t="str">
            <v>1000/1801       Siarczan żelaza susz</v>
          </cell>
          <cell r="J3953">
            <v>0</v>
          </cell>
        </row>
        <row r="3954">
          <cell r="A3954" t="str">
            <v>1000/1801       Siarczan żelaza susz</v>
          </cell>
          <cell r="J3954">
            <v>0</v>
          </cell>
        </row>
        <row r="3955">
          <cell r="A3955" t="str">
            <v>1000/1801       Siarczan żelaza susz</v>
          </cell>
          <cell r="J3955">
            <v>0</v>
          </cell>
        </row>
        <row r="3956">
          <cell r="A3956" t="str">
            <v>1000/1801       Siarczan żelaza susz</v>
          </cell>
          <cell r="J3956">
            <v>0</v>
          </cell>
        </row>
        <row r="3957">
          <cell r="A3957" t="str">
            <v>1000/1801       Siarczan żelaza susz</v>
          </cell>
          <cell r="J3957">
            <v>0</v>
          </cell>
        </row>
        <row r="3958">
          <cell r="A3958" t="str">
            <v>1000/1801       Siarczan żelaza susz</v>
          </cell>
          <cell r="J3958">
            <v>0</v>
          </cell>
        </row>
        <row r="3959">
          <cell r="A3959" t="str">
            <v>1000/1801       Siarczan żelaza susz</v>
          </cell>
          <cell r="J3959">
            <v>0</v>
          </cell>
        </row>
        <row r="3960">
          <cell r="A3960" t="str">
            <v>1000/1801       Siarczan żelaza susz</v>
          </cell>
          <cell r="J3960">
            <v>0</v>
          </cell>
        </row>
        <row r="3961">
          <cell r="A3961" t="str">
            <v>1000/1801       Siarczan żelaza susz</v>
          </cell>
          <cell r="J3961">
            <v>0</v>
          </cell>
        </row>
        <row r="3962">
          <cell r="A3962" t="str">
            <v>1000/1801       Siarczan żelaza susz</v>
          </cell>
          <cell r="J3962">
            <v>0</v>
          </cell>
        </row>
        <row r="3963">
          <cell r="A3963" t="str">
            <v>1000/1801       Siarczan żelaza susz</v>
          </cell>
          <cell r="J3963">
            <v>0</v>
          </cell>
        </row>
        <row r="3964">
          <cell r="A3964" t="str">
            <v>1000/1801       Siarczan żelaza susz</v>
          </cell>
          <cell r="J3964">
            <v>0</v>
          </cell>
        </row>
        <row r="3965">
          <cell r="A3965" t="str">
            <v>1000/1801       Siarczan żelaza susz</v>
          </cell>
          <cell r="J3965">
            <v>0</v>
          </cell>
        </row>
        <row r="3966">
          <cell r="A3966" t="str">
            <v>1000/1801       Siarczan żelaza susz</v>
          </cell>
          <cell r="J3966">
            <v>0</v>
          </cell>
        </row>
        <row r="3967">
          <cell r="A3967" t="str">
            <v>1000/1801       Siarczan żelaza susz</v>
          </cell>
          <cell r="J3967">
            <v>0</v>
          </cell>
        </row>
        <row r="3968">
          <cell r="A3968" t="str">
            <v>1000/9100       Sprzedaż worków</v>
          </cell>
          <cell r="J3968">
            <v>0</v>
          </cell>
        </row>
        <row r="3969">
          <cell r="A3969" t="str">
            <v>1000/9100       Sprzedaż worków</v>
          </cell>
          <cell r="J3969">
            <v>2539.8699999999899</v>
          </cell>
        </row>
        <row r="3970">
          <cell r="A3970" t="str">
            <v>1000/9100       Sprzedaż worków</v>
          </cell>
          <cell r="J3970">
            <v>0</v>
          </cell>
        </row>
        <row r="3971">
          <cell r="A3971" t="str">
            <v>1000/9100       Sprzedaż worków</v>
          </cell>
          <cell r="J3971">
            <v>0</v>
          </cell>
        </row>
        <row r="3972">
          <cell r="A3972" t="str">
            <v>1000/9100       Sprzedaż worków</v>
          </cell>
          <cell r="J3972">
            <v>2131.5100000000002</v>
          </cell>
        </row>
        <row r="3973">
          <cell r="A3973" t="str">
            <v>1000/9100       Sprzedaż worków</v>
          </cell>
          <cell r="J3973">
            <v>0</v>
          </cell>
        </row>
        <row r="3974">
          <cell r="A3974" t="str">
            <v>1000/9100       Sprzedaż worków</v>
          </cell>
          <cell r="J3974">
            <v>0</v>
          </cell>
        </row>
        <row r="3975">
          <cell r="A3975" t="str">
            <v>1000/9100       Sprzedaż worków</v>
          </cell>
          <cell r="J3975">
            <v>0</v>
          </cell>
        </row>
        <row r="3976">
          <cell r="A3976" t="str">
            <v>1000/9100       Sprzedaż worków</v>
          </cell>
          <cell r="J3976">
            <v>2174.2399999999898</v>
          </cell>
        </row>
        <row r="3977">
          <cell r="A3977" t="str">
            <v>1000/9100       Sprzedaż worków</v>
          </cell>
          <cell r="J3977">
            <v>1029.8399999999899</v>
          </cell>
        </row>
        <row r="3978">
          <cell r="A3978" t="str">
            <v>1000/9100       Sprzedaż worków</v>
          </cell>
          <cell r="J3978">
            <v>0</v>
          </cell>
        </row>
        <row r="3979">
          <cell r="A3979" t="str">
            <v>1000/9100       Sprzedaż worków</v>
          </cell>
          <cell r="J3979">
            <v>1029.8399999999899</v>
          </cell>
        </row>
        <row r="3980">
          <cell r="A3980" t="str">
            <v>1000/9100       Sprzedaż worków</v>
          </cell>
          <cell r="J3980">
            <v>0</v>
          </cell>
        </row>
        <row r="3981">
          <cell r="A3981" t="str">
            <v>1000/9202       Pozostał.koszty P002</v>
          </cell>
          <cell r="J3981">
            <v>218357.97</v>
          </cell>
        </row>
        <row r="3982">
          <cell r="A3982" t="str">
            <v>1000/9203       Pozostał.koszty P003</v>
          </cell>
          <cell r="J3982">
            <v>5883.7399999999898</v>
          </cell>
        </row>
        <row r="3983">
          <cell r="A3983" t="str">
            <v>1000/9204       Pozostał.koszty P004</v>
          </cell>
          <cell r="J3983">
            <v>1036097.39</v>
          </cell>
        </row>
        <row r="3984">
          <cell r="A3984" t="str">
            <v>1000/9999       Fikcyjne CZ</v>
          </cell>
          <cell r="J3984">
            <v>0</v>
          </cell>
        </row>
        <row r="3985">
          <cell r="A3985" t="str">
            <v>1000/9999       Fikcyjne CZ</v>
          </cell>
          <cell r="J3985">
            <v>0</v>
          </cell>
        </row>
        <row r="3986">
          <cell r="A3986" t="str">
            <v>1000/9999       Fikcyjne CZ</v>
          </cell>
          <cell r="J3986">
            <v>0</v>
          </cell>
        </row>
        <row r="3987">
          <cell r="A3987" t="str">
            <v>1000/9999       Fikcyjne CZ</v>
          </cell>
          <cell r="J3987">
            <v>0</v>
          </cell>
        </row>
        <row r="3988">
          <cell r="A3988" t="str">
            <v>1000/9999       Fikcyjne CZ</v>
          </cell>
          <cell r="J3988">
            <v>0</v>
          </cell>
        </row>
        <row r="3989">
          <cell r="A3989" t="str">
            <v>1000/9999       Fikcyjne CZ</v>
          </cell>
          <cell r="J3989">
            <v>0</v>
          </cell>
        </row>
        <row r="3990">
          <cell r="A3990" t="str">
            <v>1000/9999       Fikcyjne CZ</v>
          </cell>
          <cell r="J3990">
            <v>0</v>
          </cell>
        </row>
        <row r="3991">
          <cell r="A3991" t="str">
            <v>1000/9999       Fikcyjne CZ</v>
          </cell>
          <cell r="J3991">
            <v>0</v>
          </cell>
        </row>
        <row r="3992">
          <cell r="A3992" t="str">
            <v>1000/9999       Fikcyjne CZ</v>
          </cell>
          <cell r="J3992">
            <v>0</v>
          </cell>
        </row>
        <row r="3993">
          <cell r="A3993" t="str">
            <v>1000/9999       Fikcyjne CZ</v>
          </cell>
          <cell r="J3993">
            <v>0</v>
          </cell>
        </row>
        <row r="3994">
          <cell r="A3994" t="str">
            <v>1000/9999       Fikcyjne CZ</v>
          </cell>
          <cell r="J3994">
            <v>0</v>
          </cell>
        </row>
        <row r="3995">
          <cell r="A3995" t="str">
            <v>1000/9999       Fikcyjne CZ</v>
          </cell>
          <cell r="J3995">
            <v>0</v>
          </cell>
        </row>
        <row r="3996">
          <cell r="A3996" t="str">
            <v>1000/9999       Fikcyjne CZ</v>
          </cell>
          <cell r="J3996">
            <v>0</v>
          </cell>
        </row>
        <row r="3997">
          <cell r="A3997" t="str">
            <v>1000/9999       Fikcyjne CZ</v>
          </cell>
          <cell r="J3997">
            <v>0</v>
          </cell>
        </row>
        <row r="3998">
          <cell r="A3998" t="str">
            <v>1000/9999       Fikcyjne CZ</v>
          </cell>
          <cell r="J3998">
            <v>0</v>
          </cell>
        </row>
        <row r="3999">
          <cell r="A3999" t="str">
            <v>1000/9999       Fikcyjne CZ</v>
          </cell>
          <cell r="J3999">
            <v>0</v>
          </cell>
        </row>
        <row r="4000">
          <cell r="A4000" t="str">
            <v>1000/9999       Fikcyjne CZ</v>
          </cell>
          <cell r="J4000">
            <v>0</v>
          </cell>
        </row>
        <row r="4001">
          <cell r="A4001" t="str">
            <v>1000/9999       Fikcyjne CZ</v>
          </cell>
          <cell r="J4001">
            <v>0</v>
          </cell>
        </row>
        <row r="4002">
          <cell r="A4002" t="str">
            <v>1000/9999       Fikcyjne CZ</v>
          </cell>
          <cell r="J4002">
            <v>0</v>
          </cell>
        </row>
        <row r="4003">
          <cell r="A4003" t="str">
            <v>1000/9999       Fikcyjne CZ</v>
          </cell>
          <cell r="J4003">
            <v>0</v>
          </cell>
        </row>
        <row r="4004">
          <cell r="A4004" t="str">
            <v>1000/9999       Fikcyjne CZ</v>
          </cell>
          <cell r="J4004">
            <v>0</v>
          </cell>
        </row>
        <row r="4005">
          <cell r="A4005" t="str">
            <v>1000/9999       Fikcyjne CZ</v>
          </cell>
          <cell r="J4005">
            <v>0</v>
          </cell>
        </row>
        <row r="4006">
          <cell r="A4006" t="str">
            <v>1000/9999       Fikcyjne CZ</v>
          </cell>
          <cell r="J4006">
            <v>0</v>
          </cell>
        </row>
        <row r="4007">
          <cell r="A4007" t="str">
            <v>1000/9999       Fikcyjne CZ</v>
          </cell>
          <cell r="J4007">
            <v>0</v>
          </cell>
        </row>
        <row r="4008">
          <cell r="A4008" t="str">
            <v>1000/9999       Fikcyjne CZ</v>
          </cell>
          <cell r="J4008">
            <v>0</v>
          </cell>
        </row>
        <row r="4009">
          <cell r="A4009" t="str">
            <v>1000/9999       Fikcyjne CZ</v>
          </cell>
          <cell r="J4009">
            <v>0</v>
          </cell>
        </row>
        <row r="4010">
          <cell r="A4010" t="str">
            <v>1000/9999       Fikcyjne CZ</v>
          </cell>
          <cell r="J4010">
            <v>0</v>
          </cell>
        </row>
        <row r="4011">
          <cell r="A4011" t="str">
            <v>1000/9999       Fikcyjne CZ</v>
          </cell>
          <cell r="J4011">
            <v>-838.32</v>
          </cell>
        </row>
        <row r="4012">
          <cell r="A4012" t="str">
            <v>1000/9999       Fikcyjne CZ</v>
          </cell>
          <cell r="J4012">
            <v>-1779.1199999999899</v>
          </cell>
        </row>
        <row r="4013">
          <cell r="A4013" t="str">
            <v>1000/9999       Fikcyjne CZ</v>
          </cell>
          <cell r="J401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Ilości sprzedaży Police"/>
      <sheetName val="Ceny Police"/>
      <sheetName val="CD - Ilości sprzedaż"/>
      <sheetName val="CD - Ceny "/>
      <sheetName val="CD - dostawy"/>
      <sheetName val="Ilości_ceny"/>
      <sheetName val="sprzedaż_suma"/>
      <sheetName val="Przychody waluta"/>
      <sheetName val="Kursy walut"/>
      <sheetName val="Przychody PLN"/>
      <sheetName val="Ilości"/>
      <sheetName val="Przychody indeksy"/>
      <sheetName val="Ceny_Srednie_PLN"/>
      <sheetName val="Ceny średnie waluta"/>
      <sheetName val="Ilości i ceny eksport"/>
      <sheetName val="asortyment"/>
      <sheetName val="Wysyłki do CD"/>
      <sheetName val="przyjęcia w CD"/>
      <sheetName val="Ilości_sprzedaży_Police"/>
      <sheetName val="Ceny_Police"/>
      <sheetName val="CD_-_Ilości_sprzedaż"/>
      <sheetName val="CD_-_Ceny_"/>
      <sheetName val="CD_-_dostawy"/>
      <sheetName val="Przychody_waluta"/>
      <sheetName val="Kursy_walut"/>
      <sheetName val="Przychody_PLN"/>
      <sheetName val="Przychody_indeksy"/>
      <sheetName val="Ceny_średnie_waluta"/>
      <sheetName val="Ilości_i_ceny_eksport"/>
      <sheetName val="Wysyłki_do_CD"/>
      <sheetName val="przyjęcia_w_CD"/>
      <sheetName val="Ilości_sprzedaży_Police1"/>
      <sheetName val="Ceny_Police1"/>
      <sheetName val="CD_-_Ilości_sprzedaż1"/>
      <sheetName val="CD_-_Ceny_1"/>
      <sheetName val="CD_-_dostawy1"/>
      <sheetName val="Przychody_waluta1"/>
      <sheetName val="Kursy_walut1"/>
      <sheetName val="Przychody_PLN1"/>
      <sheetName val="Przychody_indeksy1"/>
      <sheetName val="Ceny_średnie_waluta1"/>
      <sheetName val="Ilości_i_ceny_eksport1"/>
      <sheetName val="Wysyłki_do_CD1"/>
      <sheetName val="przyjęcia_w_C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67">
          <cell r="A67" t="str">
            <v>P-4002</v>
          </cell>
          <cell r="C67" t="str">
            <v>POLIDAP</v>
          </cell>
          <cell r="D67" t="str">
            <v>t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8000</v>
          </cell>
          <cell r="N67">
            <v>4000</v>
          </cell>
          <cell r="O67">
            <v>4000</v>
          </cell>
          <cell r="P67">
            <v>4000</v>
          </cell>
        </row>
        <row r="68">
          <cell r="A68" t="str">
            <v>P-4145</v>
          </cell>
          <cell r="C68" t="str">
            <v>POLIDAP LIGHT</v>
          </cell>
          <cell r="D68" t="str">
            <v>t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P-4148</v>
          </cell>
          <cell r="C69" t="str">
            <v>NPK 10-20-20</v>
          </cell>
          <cell r="D69" t="str">
            <v>t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22008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P-4144</v>
          </cell>
          <cell r="C70" t="str">
            <v>NPK 10-20-10</v>
          </cell>
          <cell r="D70" t="str">
            <v>t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P-4273</v>
          </cell>
          <cell r="C71" t="str">
            <v>NPK10-30-10</v>
          </cell>
          <cell r="D71" t="str">
            <v>t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P-4230</v>
          </cell>
          <cell r="C72" t="str">
            <v>NPK 12-24-12</v>
          </cell>
          <cell r="D72" t="str">
            <v>t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P-4234</v>
          </cell>
          <cell r="C73" t="str">
            <v>NPK 11-15-15</v>
          </cell>
          <cell r="D73" t="str">
            <v>t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P-4271</v>
          </cell>
          <cell r="C74" t="str">
            <v>POLIFOSKA 21</v>
          </cell>
          <cell r="D74" t="str">
            <v>t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P-4255</v>
          </cell>
          <cell r="C75" t="str">
            <v xml:space="preserve">NPK(S) 12-20-18-5 </v>
          </cell>
          <cell r="D75" t="str">
            <v>t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22000</v>
          </cell>
          <cell r="P75">
            <v>0</v>
          </cell>
        </row>
        <row r="76">
          <cell r="A76" t="str">
            <v>P-4222</v>
          </cell>
          <cell r="C76" t="str">
            <v>POLIFOSKA 13</v>
          </cell>
          <cell r="D76" t="str">
            <v>t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2000</v>
          </cell>
        </row>
        <row r="77">
          <cell r="A77" t="str">
            <v>P-4240</v>
          </cell>
          <cell r="C77" t="str">
            <v>NPK 8-24-16</v>
          </cell>
          <cell r="D77" t="str">
            <v>t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P-4273</v>
          </cell>
          <cell r="C78" t="str">
            <v>NPK 10-30-10</v>
          </cell>
          <cell r="D78" t="str">
            <v>t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P-4248</v>
          </cell>
          <cell r="C79" t="str">
            <v>NPK 12-12-17</v>
          </cell>
          <cell r="D79" t="str">
            <v>t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3000</v>
          </cell>
          <cell r="P79">
            <v>3000</v>
          </cell>
        </row>
        <row r="80">
          <cell r="A80" t="str">
            <v>P-4255</v>
          </cell>
          <cell r="C80" t="str">
            <v xml:space="preserve">NPK(S) 12-20-18-5 </v>
          </cell>
          <cell r="D80" t="str">
            <v>t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22000</v>
          </cell>
          <cell r="P80">
            <v>0</v>
          </cell>
        </row>
        <row r="81">
          <cell r="A81" t="str">
            <v>P-4226</v>
          </cell>
          <cell r="C81" t="str">
            <v>rezerwa</v>
          </cell>
          <cell r="D81" t="str">
            <v>t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3000</v>
          </cell>
          <cell r="O81">
            <v>0</v>
          </cell>
          <cell r="P81">
            <v>2000</v>
          </cell>
        </row>
        <row r="82">
          <cell r="A82">
            <v>0</v>
          </cell>
          <cell r="C82" t="str">
            <v>rezerwa</v>
          </cell>
          <cell r="D82" t="str">
            <v>t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A83">
            <v>0</v>
          </cell>
          <cell r="C83" t="str">
            <v>rezerwa</v>
          </cell>
          <cell r="D83" t="str">
            <v>t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>
            <v>0</v>
          </cell>
          <cell r="C84" t="str">
            <v>rezerwa</v>
          </cell>
          <cell r="D84" t="str">
            <v>t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>
            <v>0</v>
          </cell>
          <cell r="C85" t="str">
            <v>rezerwa</v>
          </cell>
          <cell r="D85" t="str">
            <v>t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>
            <v>0</v>
          </cell>
          <cell r="C86" t="str">
            <v>rezerwa</v>
          </cell>
          <cell r="D86" t="str">
            <v>t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A87">
            <v>0</v>
          </cell>
          <cell r="C87" t="str">
            <v>rezerwa</v>
          </cell>
          <cell r="D87" t="str">
            <v>t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>
            <v>0</v>
          </cell>
          <cell r="C88" t="str">
            <v>rezerwa</v>
          </cell>
          <cell r="D88" t="str">
            <v>t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P-4115</v>
          </cell>
          <cell r="B89">
            <v>0</v>
          </cell>
          <cell r="C89" t="str">
            <v>POLIFOSKA 5</v>
          </cell>
          <cell r="D89" t="str">
            <v>t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3000</v>
          </cell>
          <cell r="O89">
            <v>0</v>
          </cell>
          <cell r="P89">
            <v>3000</v>
          </cell>
        </row>
        <row r="90">
          <cell r="A90" t="str">
            <v>P-4111</v>
          </cell>
          <cell r="B90">
            <v>0</v>
          </cell>
          <cell r="C90" t="str">
            <v>POLIFOSKA 6</v>
          </cell>
          <cell r="D90" t="str">
            <v>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2000</v>
          </cell>
          <cell r="N90">
            <v>3000</v>
          </cell>
          <cell r="O90">
            <v>1500</v>
          </cell>
          <cell r="P90">
            <v>4000</v>
          </cell>
        </row>
        <row r="91">
          <cell r="A91" t="str">
            <v>P-4112</v>
          </cell>
          <cell r="B91">
            <v>0</v>
          </cell>
          <cell r="C91" t="str">
            <v>POLIFOSKA 8</v>
          </cell>
          <cell r="D91" t="str">
            <v>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3000</v>
          </cell>
          <cell r="N91">
            <v>5000</v>
          </cell>
          <cell r="O91">
            <v>1500</v>
          </cell>
          <cell r="P91">
            <v>4000</v>
          </cell>
        </row>
        <row r="92">
          <cell r="A92" t="str">
            <v>P-4113</v>
          </cell>
          <cell r="B92">
            <v>0</v>
          </cell>
          <cell r="C92" t="str">
            <v>POLIFOSKA M</v>
          </cell>
          <cell r="D92" t="str">
            <v>t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2000</v>
          </cell>
        </row>
        <row r="93">
          <cell r="A93" t="str">
            <v>P-4221</v>
          </cell>
          <cell r="B93">
            <v>0</v>
          </cell>
          <cell r="C93" t="str">
            <v>POLIFOSKA 12</v>
          </cell>
          <cell r="D93" t="str">
            <v>t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3000</v>
          </cell>
          <cell r="O93">
            <v>0</v>
          </cell>
          <cell r="P93">
            <v>2000</v>
          </cell>
        </row>
        <row r="94">
          <cell r="A94" t="str">
            <v>P-4226</v>
          </cell>
          <cell r="B94">
            <v>0</v>
          </cell>
          <cell r="C94" t="str">
            <v>POLIMAG 311</v>
          </cell>
          <cell r="D94" t="str">
            <v>t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3000</v>
          </cell>
          <cell r="O94">
            <v>0</v>
          </cell>
          <cell r="P94">
            <v>2000</v>
          </cell>
        </row>
        <row r="95">
          <cell r="A95" t="str">
            <v>P-4232</v>
          </cell>
          <cell r="B95">
            <v>0</v>
          </cell>
          <cell r="C95" t="str">
            <v>NPK 10-15-21</v>
          </cell>
          <cell r="D95" t="str">
            <v>t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8000</v>
          </cell>
          <cell r="O95">
            <v>0</v>
          </cell>
          <cell r="P95">
            <v>0</v>
          </cell>
        </row>
        <row r="96">
          <cell r="A96" t="str">
            <v>P-4225</v>
          </cell>
          <cell r="B96">
            <v>0</v>
          </cell>
          <cell r="C96" t="str">
            <v>NPK 11-8-20-2</v>
          </cell>
          <cell r="D96" t="str">
            <v>t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P-4117</v>
          </cell>
          <cell r="B97">
            <v>0</v>
          </cell>
          <cell r="C97" t="str">
            <v>Polifoska 4</v>
          </cell>
          <cell r="D97" t="str">
            <v>t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A98">
            <v>0</v>
          </cell>
          <cell r="B98">
            <v>0</v>
          </cell>
          <cell r="C98" t="str">
            <v>rezerwa</v>
          </cell>
          <cell r="D98" t="str">
            <v>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A99">
            <v>0</v>
          </cell>
          <cell r="B99">
            <v>0</v>
          </cell>
          <cell r="C99" t="str">
            <v>rezerwa</v>
          </cell>
          <cell r="D99" t="str">
            <v>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>
            <v>0</v>
          </cell>
          <cell r="B100">
            <v>0</v>
          </cell>
          <cell r="C100" t="str">
            <v>rezerwa</v>
          </cell>
          <cell r="D100" t="str">
            <v>t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P-7012</v>
          </cell>
          <cell r="B101">
            <v>0</v>
          </cell>
          <cell r="C101" t="str">
            <v>KWAS SIARKOWY</v>
          </cell>
          <cell r="D101" t="str">
            <v>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2800</v>
          </cell>
          <cell r="N101">
            <v>2800</v>
          </cell>
          <cell r="O101">
            <v>2800</v>
          </cell>
          <cell r="P101">
            <v>2800</v>
          </cell>
        </row>
        <row r="102">
          <cell r="A102" t="str">
            <v>W-6031</v>
          </cell>
          <cell r="B102">
            <v>0</v>
          </cell>
          <cell r="C102" t="str">
            <v>KWAS FOSFOROWY</v>
          </cell>
          <cell r="D102" t="str">
            <v>t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W-6041</v>
          </cell>
          <cell r="B103">
            <v>0</v>
          </cell>
          <cell r="C103" t="str">
            <v>KWAS FLUOROKRZEMOWY</v>
          </cell>
          <cell r="D103" t="str">
            <v>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300</v>
          </cell>
          <cell r="N103">
            <v>300</v>
          </cell>
          <cell r="O103">
            <v>300</v>
          </cell>
          <cell r="P103">
            <v>300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Ilości"/>
      <sheetName val="Przychody PLN..."/>
      <sheetName val="ceny, ilości, wartości"/>
      <sheetName val="Przychody_PLN___"/>
      <sheetName val="ceny,_ilości,_wartości"/>
    </sheetNames>
    <sheetDataSet>
      <sheetData sheetId="0" refreshError="1"/>
      <sheetData sheetId="1" refreshError="1"/>
      <sheetData sheetId="2">
        <row r="17">
          <cell r="B17">
            <v>12</v>
          </cell>
          <cell r="C17" t="str">
            <v>POLIFOSKA 21</v>
          </cell>
          <cell r="D17">
            <v>2637</v>
          </cell>
          <cell r="E17">
            <v>2389.7300000000005</v>
          </cell>
          <cell r="F17">
            <v>906.23056503602595</v>
          </cell>
          <cell r="H17">
            <v>4725</v>
          </cell>
          <cell r="I17">
            <v>4343.47</v>
          </cell>
          <cell r="J17">
            <v>919.25291005291012</v>
          </cell>
        </row>
        <row r="18">
          <cell r="B18">
            <v>14</v>
          </cell>
          <cell r="C18" t="str">
            <v>KWAS SIARKOWY</v>
          </cell>
          <cell r="D18">
            <v>300</v>
          </cell>
          <cell r="E18">
            <v>84</v>
          </cell>
          <cell r="F18">
            <v>280</v>
          </cell>
          <cell r="H18">
            <v>300</v>
          </cell>
          <cell r="I18">
            <v>84</v>
          </cell>
          <cell r="J18">
            <v>280</v>
          </cell>
        </row>
        <row r="19">
          <cell r="B19" t="str">
            <v>Ib</v>
          </cell>
          <cell r="C19" t="str">
            <v>- eksport</v>
          </cell>
          <cell r="D19">
            <v>46611</v>
          </cell>
          <cell r="E19">
            <v>67190.464340000006</v>
          </cell>
          <cell r="F19">
            <v>1441.5151861148656</v>
          </cell>
          <cell r="H19">
            <v>45289</v>
          </cell>
          <cell r="I19">
            <v>69862.258949999989</v>
          </cell>
          <cell r="J19">
            <v>1542.5878016736954</v>
          </cell>
        </row>
        <row r="20">
          <cell r="B20">
            <v>1</v>
          </cell>
          <cell r="C20" t="str">
            <v>POLIDAP</v>
          </cell>
          <cell r="D20">
            <v>6000</v>
          </cell>
          <cell r="E20">
            <v>11923.8</v>
          </cell>
          <cell r="F20">
            <v>1987.3</v>
          </cell>
          <cell r="H20">
            <v>6000</v>
          </cell>
          <cell r="I20">
            <v>11923.8</v>
          </cell>
          <cell r="J20">
            <v>1987.3</v>
          </cell>
        </row>
        <row r="21">
          <cell r="B21">
            <v>4</v>
          </cell>
          <cell r="C21" t="str">
            <v>POLIFOSKA 5</v>
          </cell>
          <cell r="D21">
            <v>2000</v>
          </cell>
          <cell r="E21">
            <v>3082.5000000000005</v>
          </cell>
          <cell r="F21">
            <v>1541.2500000000002</v>
          </cell>
          <cell r="H21">
            <v>1000</v>
          </cell>
          <cell r="I21">
            <v>1533.75</v>
          </cell>
          <cell r="J21">
            <v>1533.75</v>
          </cell>
        </row>
        <row r="22">
          <cell r="B22">
            <v>5</v>
          </cell>
          <cell r="C22" t="str">
            <v>POLIFOSKA 6</v>
          </cell>
          <cell r="D22">
            <v>2000</v>
          </cell>
          <cell r="E22">
            <v>3452.4000000000005</v>
          </cell>
          <cell r="F22">
            <v>1726.2000000000003</v>
          </cell>
          <cell r="H22">
            <v>1000</v>
          </cell>
          <cell r="I22">
            <v>1717.8</v>
          </cell>
          <cell r="J22">
            <v>1717.8</v>
          </cell>
        </row>
        <row r="23">
          <cell r="B23">
            <v>6</v>
          </cell>
          <cell r="C23" t="str">
            <v>POLIFOSKA 8</v>
          </cell>
          <cell r="D23">
            <v>2000</v>
          </cell>
          <cell r="E23">
            <v>3592.1400000000003</v>
          </cell>
          <cell r="F23">
            <v>1796.0700000000002</v>
          </cell>
          <cell r="H23">
            <v>3000</v>
          </cell>
          <cell r="I23">
            <v>5349.72</v>
          </cell>
          <cell r="J23">
            <v>1783.2400000000002</v>
          </cell>
        </row>
        <row r="24">
          <cell r="B24">
            <v>7</v>
          </cell>
          <cell r="C24" t="str">
            <v>POLIFOSKA M</v>
          </cell>
          <cell r="D24">
            <v>1000</v>
          </cell>
          <cell r="E24">
            <v>1459.05</v>
          </cell>
          <cell r="F24">
            <v>1459.05</v>
          </cell>
          <cell r="H24">
            <v>1954</v>
          </cell>
          <cell r="I24">
            <v>2837.1102999999998</v>
          </cell>
          <cell r="J24">
            <v>1451.9499999999998</v>
          </cell>
        </row>
        <row r="25">
          <cell r="B25">
            <v>8</v>
          </cell>
          <cell r="C25" t="str">
            <v>POLIFOSKA 12</v>
          </cell>
          <cell r="D25">
            <v>3000</v>
          </cell>
          <cell r="E25">
            <v>3785.3100000000004</v>
          </cell>
          <cell r="F25">
            <v>1261.77</v>
          </cell>
          <cell r="H25">
            <v>1000</v>
          </cell>
          <cell r="I25">
            <v>1255.6300000000001</v>
          </cell>
          <cell r="J25">
            <v>1255.6300000000001</v>
          </cell>
        </row>
        <row r="26">
          <cell r="B26">
            <v>9</v>
          </cell>
          <cell r="C26" t="str">
            <v>POLIMAG 311</v>
          </cell>
          <cell r="D26">
            <v>2000</v>
          </cell>
          <cell r="E26">
            <v>2466</v>
          </cell>
          <cell r="F26">
            <v>1233</v>
          </cell>
          <cell r="H26">
            <v>2000</v>
          </cell>
          <cell r="I26">
            <v>2454</v>
          </cell>
          <cell r="J26">
            <v>1227</v>
          </cell>
        </row>
        <row r="27">
          <cell r="B27">
            <v>10</v>
          </cell>
          <cell r="C27" t="str">
            <v>POLIFOSKA 13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B28">
            <v>11</v>
          </cell>
          <cell r="C28" t="str">
            <v>NPK 10-15-21</v>
          </cell>
          <cell r="D28">
            <v>2614</v>
          </cell>
          <cell r="E28">
            <v>3985.8533400000001</v>
          </cell>
          <cell r="F28">
            <v>1524.81</v>
          </cell>
          <cell r="H28">
            <v>4035</v>
          </cell>
          <cell r="I28">
            <v>6122.6686499999996</v>
          </cell>
          <cell r="J28">
            <v>1517.3899999999999</v>
          </cell>
        </row>
        <row r="29">
          <cell r="B29">
            <v>12</v>
          </cell>
          <cell r="C29" t="str">
            <v>POLIDAP LIGHT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13</v>
          </cell>
          <cell r="C30" t="str">
            <v>NPK 10-20-20</v>
          </cell>
          <cell r="E30">
            <v>0</v>
          </cell>
          <cell r="F30">
            <v>0</v>
          </cell>
          <cell r="H30">
            <v>22000</v>
          </cell>
          <cell r="I30">
            <v>36005.199999999997</v>
          </cell>
          <cell r="J30">
            <v>1636.6</v>
          </cell>
        </row>
        <row r="31">
          <cell r="B31">
            <v>14</v>
          </cell>
          <cell r="C31" t="str">
            <v>NPK 10-20-10</v>
          </cell>
          <cell r="D31">
            <v>20000</v>
          </cell>
          <cell r="E31">
            <v>28724</v>
          </cell>
          <cell r="F31">
            <v>1436.1999999999998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19</v>
          </cell>
          <cell r="C32" t="str">
            <v>NPK 12-12-17</v>
          </cell>
          <cell r="D32">
            <v>2697</v>
          </cell>
          <cell r="E32">
            <v>4053.5909999999999</v>
          </cell>
          <cell r="F32">
            <v>1503</v>
          </cell>
          <cell r="H32">
            <v>0</v>
          </cell>
          <cell r="I32">
            <v>0</v>
          </cell>
          <cell r="J32">
            <v>0</v>
          </cell>
        </row>
        <row r="34">
          <cell r="B34">
            <v>31</v>
          </cell>
          <cell r="C34" t="str">
            <v>KWAS SIARKOWY</v>
          </cell>
          <cell r="D34">
            <v>3000</v>
          </cell>
          <cell r="E34">
            <v>641.16</v>
          </cell>
          <cell r="F34">
            <v>213.72</v>
          </cell>
          <cell r="H34">
            <v>3000</v>
          </cell>
          <cell r="I34">
            <v>638.04</v>
          </cell>
          <cell r="J34">
            <v>212.67999999999998</v>
          </cell>
        </row>
        <row r="35">
          <cell r="B35">
            <v>32</v>
          </cell>
          <cell r="C35" t="str">
            <v>KWAS FOSFOROWY</v>
          </cell>
          <cell r="D35">
            <v>0</v>
          </cell>
          <cell r="E35">
            <v>0</v>
          </cell>
          <cell r="F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33</v>
          </cell>
          <cell r="C36" t="str">
            <v>KWAS FLUOROKRZEMOWY</v>
          </cell>
          <cell r="D36">
            <v>300</v>
          </cell>
          <cell r="E36">
            <v>24.660000000000004</v>
          </cell>
          <cell r="F36">
            <v>82.2</v>
          </cell>
          <cell r="H36">
            <v>300</v>
          </cell>
          <cell r="I36">
            <v>24.54</v>
          </cell>
          <cell r="J36">
            <v>81.8</v>
          </cell>
        </row>
      </sheetData>
      <sheetData sheetId="3"/>
      <sheetData sheetId="4">
        <row r="17">
          <cell r="B17">
            <v>12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Formuły"/>
      <sheetName val="PA"/>
      <sheetName val="PB"/>
      <sheetName val="KF"/>
      <sheetName val="KF_sur"/>
      <sheetName val="FN_sur"/>
      <sheetName val="NP"/>
      <sheetName val="NPK1"/>
      <sheetName val="NPK2"/>
      <sheetName val="MAP"/>
      <sheetName val="EW"/>
      <sheetName val="Woda"/>
      <sheetName val="PS"/>
      <sheetName val="TOS"/>
      <sheetName val="EC"/>
      <sheetName val="FeSO4"/>
      <sheetName val="Wydruk testowy"/>
      <sheetName val="WYDRUK - Nawozy"/>
      <sheetName val="WYDRUK - PWF-PWS-PWA-TWO"/>
      <sheetName val="WYDRUK - Biel"/>
      <sheetName val="Wydruk_testowy"/>
      <sheetName val="WYDRUK_-_Nawozy"/>
      <sheetName val="WYDRUK_-_PWF-PWS-PWA-TWO"/>
      <sheetName val="WYDRUK_-_Biel"/>
      <sheetName val="Wydruk_testowy1"/>
      <sheetName val="WYDRUK_-_Nawozy1"/>
      <sheetName val="WYDRUK_-_PWF-PWS-PWA-TWO1"/>
      <sheetName val="WYDRUK_-_Biel1"/>
    </sheetNames>
    <sheetDataSet>
      <sheetData sheetId="0"/>
      <sheetData sheetId="1"/>
      <sheetData sheetId="2"/>
      <sheetData sheetId="3"/>
      <sheetData sheetId="4">
        <row r="3">
          <cell r="B3" t="str">
            <v>APATYT</v>
          </cell>
          <cell r="F3" t="str">
            <v>TUNEZJA</v>
          </cell>
          <cell r="N3" t="str">
            <v>MAROKO</v>
          </cell>
          <cell r="V3" t="str">
            <v>TOGO</v>
          </cell>
          <cell r="AD3" t="str">
            <v>SYRIA</v>
          </cell>
          <cell r="AL3" t="str">
            <v>JORDAN</v>
          </cell>
          <cell r="AT3" t="str">
            <v>Egipt</v>
          </cell>
          <cell r="BB3" t="str">
            <v>Razem Fosforyty</v>
          </cell>
          <cell r="BJ3" t="str">
            <v>FLOK</v>
          </cell>
          <cell r="BM3" t="str">
            <v>SBO</v>
          </cell>
          <cell r="BP3" t="str">
            <v>NaOH</v>
          </cell>
        </row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  <cell r="T6">
            <v>20</v>
          </cell>
          <cell r="U6">
            <v>21</v>
          </cell>
          <cell r="V6">
            <v>22</v>
          </cell>
          <cell r="W6">
            <v>23</v>
          </cell>
          <cell r="X6">
            <v>24</v>
          </cell>
          <cell r="Y6">
            <v>25</v>
          </cell>
          <cell r="Z6">
            <v>26</v>
          </cell>
          <cell r="AA6">
            <v>27</v>
          </cell>
          <cell r="AB6">
            <v>28</v>
          </cell>
          <cell r="AC6">
            <v>29</v>
          </cell>
          <cell r="AD6">
            <v>30</v>
          </cell>
          <cell r="AE6">
            <v>31</v>
          </cell>
          <cell r="AF6">
            <v>32</v>
          </cell>
          <cell r="AG6">
            <v>33</v>
          </cell>
          <cell r="AH6">
            <v>34</v>
          </cell>
          <cell r="AI6">
            <v>35</v>
          </cell>
          <cell r="AJ6">
            <v>36</v>
          </cell>
          <cell r="AK6">
            <v>37</v>
          </cell>
          <cell r="AL6">
            <v>38</v>
          </cell>
          <cell r="AM6">
            <v>39</v>
          </cell>
          <cell r="AN6">
            <v>40</v>
          </cell>
          <cell r="AO6">
            <v>41</v>
          </cell>
          <cell r="AP6">
            <v>42</v>
          </cell>
          <cell r="AQ6">
            <v>43</v>
          </cell>
          <cell r="AR6">
            <v>44</v>
          </cell>
          <cell r="AS6">
            <v>45</v>
          </cell>
          <cell r="AT6">
            <v>46</v>
          </cell>
          <cell r="AU6">
            <v>47</v>
          </cell>
          <cell r="AV6">
            <v>48</v>
          </cell>
          <cell r="AW6">
            <v>49</v>
          </cell>
          <cell r="AX6">
            <v>50</v>
          </cell>
          <cell r="AY6">
            <v>51</v>
          </cell>
          <cell r="AZ6">
            <v>52</v>
          </cell>
          <cell r="BA6">
            <v>53</v>
          </cell>
          <cell r="BB6">
            <v>54</v>
          </cell>
          <cell r="BC6">
            <v>55</v>
          </cell>
          <cell r="BD6">
            <v>56</v>
          </cell>
          <cell r="BE6">
            <v>57</v>
          </cell>
          <cell r="BF6">
            <v>58</v>
          </cell>
          <cell r="BG6">
            <v>59</v>
          </cell>
          <cell r="BH6">
            <v>60</v>
          </cell>
          <cell r="BI6">
            <v>61</v>
          </cell>
          <cell r="BJ6">
            <v>62</v>
          </cell>
          <cell r="BK6">
            <v>63</v>
          </cell>
          <cell r="BL6">
            <v>64</v>
          </cell>
          <cell r="BM6">
            <v>65</v>
          </cell>
          <cell r="BN6">
            <v>66</v>
          </cell>
          <cell r="BO6">
            <v>67</v>
          </cell>
          <cell r="BP6">
            <v>68</v>
          </cell>
          <cell r="BQ6">
            <v>69</v>
          </cell>
          <cell r="BR6">
            <v>70</v>
          </cell>
        </row>
        <row r="7">
          <cell r="A7">
            <v>39083</v>
          </cell>
          <cell r="E7">
            <v>3430</v>
          </cell>
          <cell r="J7">
            <v>1929.7719999999997</v>
          </cell>
          <cell r="K7">
            <v>56</v>
          </cell>
          <cell r="M7">
            <v>5350</v>
          </cell>
          <cell r="Q7">
            <v>1112.432</v>
          </cell>
          <cell r="U7">
            <v>23960</v>
          </cell>
          <cell r="AE7">
            <v>543.84</v>
          </cell>
          <cell r="AF7">
            <v>553.41899999999998</v>
          </cell>
          <cell r="AK7">
            <v>16885</v>
          </cell>
          <cell r="AS7">
            <v>27610</v>
          </cell>
          <cell r="BB7">
            <v>0</v>
          </cell>
          <cell r="BC7">
            <v>543.84</v>
          </cell>
          <cell r="BD7">
            <v>553.41899999999998</v>
          </cell>
          <cell r="BE7">
            <v>1112.432</v>
          </cell>
          <cell r="BF7">
            <v>1929.7719999999997</v>
          </cell>
          <cell r="BG7">
            <v>56</v>
          </cell>
          <cell r="BH7">
            <v>0</v>
          </cell>
          <cell r="BI7">
            <v>73805</v>
          </cell>
          <cell r="BK7">
            <v>0.125</v>
          </cell>
          <cell r="BL7">
            <v>2.3250000000000002</v>
          </cell>
          <cell r="BN7">
            <v>0.6</v>
          </cell>
          <cell r="BO7">
            <v>68.3</v>
          </cell>
          <cell r="BR7">
            <v>22</v>
          </cell>
        </row>
        <row r="8">
          <cell r="A8">
            <v>39084</v>
          </cell>
          <cell r="D8">
            <v>104.02</v>
          </cell>
          <cell r="E8">
            <v>3326</v>
          </cell>
          <cell r="J8">
            <v>1820.0437999999997</v>
          </cell>
          <cell r="K8">
            <v>191</v>
          </cell>
          <cell r="M8">
            <v>3350</v>
          </cell>
          <cell r="Q8">
            <v>709.82799999999997</v>
          </cell>
          <cell r="U8">
            <v>23260</v>
          </cell>
          <cell r="AE8">
            <v>538.69000000000005</v>
          </cell>
          <cell r="AF8">
            <v>537.66</v>
          </cell>
          <cell r="AK8">
            <v>23785</v>
          </cell>
          <cell r="AS8">
            <v>27610</v>
          </cell>
          <cell r="BB8">
            <v>0</v>
          </cell>
          <cell r="BC8">
            <v>538.69000000000005</v>
          </cell>
          <cell r="BD8">
            <v>537.66</v>
          </cell>
          <cell r="BE8">
            <v>709.82799999999997</v>
          </cell>
          <cell r="BF8">
            <v>1820.0437999999997</v>
          </cell>
          <cell r="BG8">
            <v>191</v>
          </cell>
          <cell r="BH8">
            <v>0</v>
          </cell>
          <cell r="BI8">
            <v>78005</v>
          </cell>
          <cell r="BK8">
            <v>0.27500000000000002</v>
          </cell>
          <cell r="BL8">
            <v>2.2000000000000002</v>
          </cell>
          <cell r="BN8">
            <v>1.1000000000000001</v>
          </cell>
          <cell r="BO8">
            <v>67.2</v>
          </cell>
          <cell r="BR8">
            <v>22</v>
          </cell>
        </row>
        <row r="9">
          <cell r="A9">
            <v>39085</v>
          </cell>
          <cell r="D9">
            <v>317.66000000000003</v>
          </cell>
          <cell r="E9">
            <v>3008</v>
          </cell>
          <cell r="J9">
            <v>1225.6659999999999</v>
          </cell>
          <cell r="K9">
            <v>55</v>
          </cell>
          <cell r="M9">
            <v>2150</v>
          </cell>
          <cell r="Q9">
            <v>1558.2080000000001</v>
          </cell>
          <cell r="U9">
            <v>21660</v>
          </cell>
          <cell r="AE9">
            <v>517.05999999999995</v>
          </cell>
          <cell r="AF9">
            <v>531</v>
          </cell>
          <cell r="AK9">
            <v>28035</v>
          </cell>
          <cell r="AS9">
            <v>27610</v>
          </cell>
          <cell r="BB9">
            <v>0</v>
          </cell>
          <cell r="BC9">
            <v>517.05999999999995</v>
          </cell>
          <cell r="BD9">
            <v>531</v>
          </cell>
          <cell r="BE9">
            <v>1558.2080000000001</v>
          </cell>
          <cell r="BF9">
            <v>1225.6659999999999</v>
          </cell>
          <cell r="BG9">
            <v>55</v>
          </cell>
          <cell r="BH9">
            <v>0</v>
          </cell>
          <cell r="BI9">
            <v>79455</v>
          </cell>
          <cell r="BK9">
            <v>0.2</v>
          </cell>
          <cell r="BL9">
            <v>2</v>
          </cell>
          <cell r="BN9">
            <v>0.5</v>
          </cell>
          <cell r="BO9">
            <v>62.3</v>
          </cell>
          <cell r="BR9">
            <v>22</v>
          </cell>
        </row>
        <row r="10">
          <cell r="A10">
            <v>39086</v>
          </cell>
          <cell r="D10">
            <v>159.36000000000001</v>
          </cell>
          <cell r="E10">
            <v>2829</v>
          </cell>
          <cell r="J10">
            <v>1041.1139999999998</v>
          </cell>
          <cell r="K10">
            <v>91</v>
          </cell>
          <cell r="L10">
            <v>211.58</v>
          </cell>
          <cell r="M10">
            <v>838</v>
          </cell>
          <cell r="Q10">
            <v>1578.288</v>
          </cell>
          <cell r="U10">
            <v>20060</v>
          </cell>
          <cell r="AD10">
            <v>15231</v>
          </cell>
          <cell r="AE10">
            <v>529.41999999999996</v>
          </cell>
          <cell r="AF10">
            <v>544.87</v>
          </cell>
          <cell r="AK10">
            <v>27685</v>
          </cell>
          <cell r="AS10">
            <v>27610</v>
          </cell>
          <cell r="BB10">
            <v>15231</v>
          </cell>
          <cell r="BC10">
            <v>529.41999999999996</v>
          </cell>
          <cell r="BD10">
            <v>544.87</v>
          </cell>
          <cell r="BE10">
            <v>1578.288</v>
          </cell>
          <cell r="BF10">
            <v>1041.1139999999998</v>
          </cell>
          <cell r="BG10">
            <v>91</v>
          </cell>
          <cell r="BH10">
            <v>211.58</v>
          </cell>
          <cell r="BI10">
            <v>76193</v>
          </cell>
          <cell r="BK10">
            <v>0.2</v>
          </cell>
          <cell r="BL10">
            <v>1.8</v>
          </cell>
          <cell r="BN10">
            <v>0.8</v>
          </cell>
          <cell r="BO10">
            <v>61.5</v>
          </cell>
          <cell r="BR10">
            <v>22</v>
          </cell>
        </row>
        <row r="11">
          <cell r="A11">
            <v>39087</v>
          </cell>
          <cell r="D11">
            <v>25.75</v>
          </cell>
          <cell r="E11">
            <v>2803</v>
          </cell>
          <cell r="J11">
            <v>1897.6759999999997</v>
          </cell>
          <cell r="K11">
            <v>146</v>
          </cell>
          <cell r="L11">
            <v>254.92</v>
          </cell>
          <cell r="M11">
            <v>4795</v>
          </cell>
          <cell r="Q11">
            <v>1093.356</v>
          </cell>
          <cell r="U11">
            <v>21900</v>
          </cell>
          <cell r="AE11">
            <v>544.87</v>
          </cell>
          <cell r="AF11">
            <v>548.99</v>
          </cell>
          <cell r="AK11">
            <v>26580</v>
          </cell>
          <cell r="AS11">
            <v>27610</v>
          </cell>
          <cell r="BB11">
            <v>0</v>
          </cell>
          <cell r="BC11">
            <v>544.87</v>
          </cell>
          <cell r="BD11">
            <v>548.99</v>
          </cell>
          <cell r="BE11">
            <v>1093.356</v>
          </cell>
          <cell r="BF11">
            <v>1897.6759999999997</v>
          </cell>
          <cell r="BG11">
            <v>146</v>
          </cell>
          <cell r="BH11">
            <v>254.92</v>
          </cell>
          <cell r="BI11">
            <v>80885</v>
          </cell>
          <cell r="BK11">
            <v>0.17499999999999999</v>
          </cell>
          <cell r="BL11">
            <v>1.6</v>
          </cell>
          <cell r="BN11">
            <v>1</v>
          </cell>
          <cell r="BO11">
            <v>61</v>
          </cell>
          <cell r="BR11">
            <v>22</v>
          </cell>
        </row>
        <row r="12">
          <cell r="A12">
            <v>39088</v>
          </cell>
          <cell r="E12">
            <v>2803</v>
          </cell>
          <cell r="J12">
            <v>1775.31</v>
          </cell>
          <cell r="K12">
            <v>123</v>
          </cell>
          <cell r="M12">
            <v>5795</v>
          </cell>
          <cell r="Q12">
            <v>1336.3240000000001</v>
          </cell>
          <cell r="U12">
            <v>20500</v>
          </cell>
          <cell r="AE12">
            <v>506.76</v>
          </cell>
          <cell r="AF12">
            <v>526.33000000000004</v>
          </cell>
          <cell r="AK12">
            <v>25585</v>
          </cell>
          <cell r="AS12">
            <v>27610</v>
          </cell>
          <cell r="BB12">
            <v>0</v>
          </cell>
          <cell r="BC12">
            <v>506.76</v>
          </cell>
          <cell r="BD12">
            <v>526.33000000000004</v>
          </cell>
          <cell r="BE12">
            <v>1336.3240000000001</v>
          </cell>
          <cell r="BF12">
            <v>1775.31</v>
          </cell>
          <cell r="BG12">
            <v>123</v>
          </cell>
          <cell r="BH12">
            <v>0</v>
          </cell>
          <cell r="BI12">
            <v>79490</v>
          </cell>
          <cell r="BK12">
            <v>0.2</v>
          </cell>
          <cell r="BL12">
            <v>1.4</v>
          </cell>
          <cell r="BN12">
            <v>1</v>
          </cell>
          <cell r="BO12">
            <v>60</v>
          </cell>
          <cell r="BR12">
            <v>22</v>
          </cell>
        </row>
        <row r="13">
          <cell r="A13">
            <v>39089</v>
          </cell>
          <cell r="E13">
            <v>2803</v>
          </cell>
          <cell r="J13">
            <v>1795.37</v>
          </cell>
          <cell r="K13">
            <v>132</v>
          </cell>
          <cell r="M13">
            <v>12395</v>
          </cell>
          <cell r="Q13">
            <v>1575.2760000000001</v>
          </cell>
          <cell r="U13">
            <v>18900</v>
          </cell>
          <cell r="AE13">
            <v>369.77</v>
          </cell>
          <cell r="AF13">
            <v>385.22</v>
          </cell>
          <cell r="AK13">
            <v>24785</v>
          </cell>
          <cell r="AS13">
            <v>27610</v>
          </cell>
          <cell r="BB13">
            <v>0</v>
          </cell>
          <cell r="BC13">
            <v>369.77</v>
          </cell>
          <cell r="BD13">
            <v>385.22</v>
          </cell>
          <cell r="BE13">
            <v>1575.2760000000001</v>
          </cell>
          <cell r="BF13">
            <v>1795.37</v>
          </cell>
          <cell r="BG13">
            <v>132</v>
          </cell>
          <cell r="BH13">
            <v>0</v>
          </cell>
          <cell r="BI13">
            <v>83690</v>
          </cell>
          <cell r="BK13">
            <v>0.2</v>
          </cell>
          <cell r="BL13">
            <v>1.2</v>
          </cell>
          <cell r="BN13">
            <v>1</v>
          </cell>
          <cell r="BO13">
            <v>59</v>
          </cell>
          <cell r="BR13">
            <v>22</v>
          </cell>
        </row>
        <row r="14">
          <cell r="A14">
            <v>39090</v>
          </cell>
          <cell r="D14">
            <v>398.5</v>
          </cell>
          <cell r="E14">
            <v>2405</v>
          </cell>
          <cell r="J14">
            <v>1779.3219999999999</v>
          </cell>
          <cell r="K14">
            <v>0</v>
          </cell>
          <cell r="L14">
            <v>186.9</v>
          </cell>
          <cell r="M14">
            <v>18197</v>
          </cell>
          <cell r="Q14">
            <v>1137.5319999999999</v>
          </cell>
          <cell r="U14">
            <v>17700</v>
          </cell>
          <cell r="AE14">
            <v>404.79</v>
          </cell>
          <cell r="AF14">
            <v>323.42</v>
          </cell>
          <cell r="AK14">
            <v>24485</v>
          </cell>
          <cell r="AS14">
            <v>27610</v>
          </cell>
          <cell r="BB14">
            <v>0</v>
          </cell>
          <cell r="BC14">
            <v>404.79</v>
          </cell>
          <cell r="BD14">
            <v>323.42</v>
          </cell>
          <cell r="BE14">
            <v>1137.5319999999999</v>
          </cell>
          <cell r="BF14">
            <v>1779.3219999999999</v>
          </cell>
          <cell r="BG14">
            <v>0</v>
          </cell>
          <cell r="BH14">
            <v>186.9</v>
          </cell>
          <cell r="BI14">
            <v>87992</v>
          </cell>
          <cell r="BK14">
            <v>0.13700000000000001</v>
          </cell>
          <cell r="BL14">
            <v>0.98</v>
          </cell>
          <cell r="BN14">
            <v>0.22</v>
          </cell>
          <cell r="BO14">
            <v>59</v>
          </cell>
          <cell r="BR14">
            <v>22</v>
          </cell>
        </row>
        <row r="15">
          <cell r="A15">
            <v>39091</v>
          </cell>
          <cell r="D15">
            <v>80.38</v>
          </cell>
          <cell r="E15">
            <v>2324</v>
          </cell>
          <cell r="F15">
            <v>24395</v>
          </cell>
          <cell r="J15">
            <v>1697.0759999999998</v>
          </cell>
          <cell r="K15">
            <v>0</v>
          </cell>
          <cell r="L15">
            <v>286.60000000000002</v>
          </cell>
          <cell r="M15">
            <v>21210</v>
          </cell>
          <cell r="Q15">
            <v>835.32799999999997</v>
          </cell>
          <cell r="U15">
            <v>16900</v>
          </cell>
          <cell r="AE15">
            <v>532.51</v>
          </cell>
          <cell r="AF15">
            <v>543.84</v>
          </cell>
          <cell r="AK15">
            <v>23935</v>
          </cell>
          <cell r="AS15">
            <v>27610</v>
          </cell>
          <cell r="BB15">
            <v>24395</v>
          </cell>
          <cell r="BC15">
            <v>532.51</v>
          </cell>
          <cell r="BD15">
            <v>543.84</v>
          </cell>
          <cell r="BE15">
            <v>835.32799999999997</v>
          </cell>
          <cell r="BF15">
            <v>1697.0759999999998</v>
          </cell>
          <cell r="BG15">
            <v>0</v>
          </cell>
          <cell r="BH15">
            <v>286.60000000000002</v>
          </cell>
          <cell r="BI15">
            <v>89655</v>
          </cell>
          <cell r="BK15">
            <v>0.126</v>
          </cell>
          <cell r="BL15">
            <v>3.1749999999999998</v>
          </cell>
          <cell r="BN15">
            <v>0.4</v>
          </cell>
          <cell r="BO15">
            <v>58.6</v>
          </cell>
          <cell r="BR15">
            <v>22</v>
          </cell>
        </row>
        <row r="16">
          <cell r="A16">
            <v>39092</v>
          </cell>
          <cell r="E16">
            <v>2324</v>
          </cell>
          <cell r="J16">
            <v>1203.5999999999999</v>
          </cell>
          <cell r="K16">
            <v>0</v>
          </cell>
          <cell r="L16">
            <v>212.54</v>
          </cell>
          <cell r="M16">
            <v>19797</v>
          </cell>
          <cell r="Q16">
            <v>1556.2</v>
          </cell>
          <cell r="U16">
            <v>15350</v>
          </cell>
          <cell r="AE16">
            <v>525.29999999999995</v>
          </cell>
          <cell r="AF16">
            <v>550.02</v>
          </cell>
          <cell r="AK16">
            <v>22295</v>
          </cell>
          <cell r="AS16">
            <v>27610</v>
          </cell>
          <cell r="BB16">
            <v>0</v>
          </cell>
          <cell r="BC16">
            <v>525.29999999999995</v>
          </cell>
          <cell r="BD16">
            <v>550.02</v>
          </cell>
          <cell r="BE16">
            <v>1556.2</v>
          </cell>
          <cell r="BF16">
            <v>1203.5999999999999</v>
          </cell>
          <cell r="BG16">
            <v>0</v>
          </cell>
          <cell r="BH16">
            <v>212.54</v>
          </cell>
          <cell r="BI16">
            <v>85052</v>
          </cell>
          <cell r="BK16">
            <v>0.16</v>
          </cell>
          <cell r="BL16">
            <v>3.0150000000000001</v>
          </cell>
          <cell r="BN16">
            <v>0.7</v>
          </cell>
          <cell r="BO16">
            <v>57.9</v>
          </cell>
          <cell r="BR16">
            <v>22</v>
          </cell>
        </row>
        <row r="17">
          <cell r="A17">
            <v>39093</v>
          </cell>
          <cell r="D17">
            <v>27.02</v>
          </cell>
          <cell r="E17">
            <v>2297</v>
          </cell>
          <cell r="J17">
            <v>814.43599999999992</v>
          </cell>
          <cell r="K17">
            <v>0</v>
          </cell>
          <cell r="L17">
            <v>317.10000000000002</v>
          </cell>
          <cell r="M17">
            <v>18680</v>
          </cell>
          <cell r="Q17">
            <v>1532.104</v>
          </cell>
          <cell r="U17">
            <v>13850</v>
          </cell>
          <cell r="AE17">
            <v>529.41999999999996</v>
          </cell>
          <cell r="AF17">
            <v>538.69000000000005</v>
          </cell>
          <cell r="AK17">
            <v>21935</v>
          </cell>
          <cell r="AS17">
            <v>27610</v>
          </cell>
          <cell r="BB17">
            <v>0</v>
          </cell>
          <cell r="BC17">
            <v>529.41999999999996</v>
          </cell>
          <cell r="BD17">
            <v>538.69000000000005</v>
          </cell>
          <cell r="BE17">
            <v>1532.104</v>
          </cell>
          <cell r="BF17">
            <v>814.43599999999992</v>
          </cell>
          <cell r="BG17">
            <v>0</v>
          </cell>
          <cell r="BH17">
            <v>317.10000000000002</v>
          </cell>
          <cell r="BI17">
            <v>82075</v>
          </cell>
          <cell r="BK17">
            <v>0.15</v>
          </cell>
          <cell r="BL17">
            <v>2.8650000000000002</v>
          </cell>
          <cell r="BN17">
            <v>0.8</v>
          </cell>
          <cell r="BO17">
            <v>57.1</v>
          </cell>
          <cell r="BR17">
            <v>22</v>
          </cell>
        </row>
        <row r="18">
          <cell r="A18">
            <v>39094</v>
          </cell>
          <cell r="D18">
            <v>25.98</v>
          </cell>
          <cell r="E18">
            <v>2245</v>
          </cell>
          <cell r="J18">
            <v>1506.5059999999999</v>
          </cell>
          <cell r="K18">
            <v>28</v>
          </cell>
          <cell r="L18">
            <v>118.12</v>
          </cell>
          <cell r="M18">
            <v>17180</v>
          </cell>
          <cell r="Q18">
            <v>1520.056</v>
          </cell>
          <cell r="U18">
            <v>12300</v>
          </cell>
          <cell r="AE18">
            <v>540.75</v>
          </cell>
          <cell r="AF18">
            <v>519.12</v>
          </cell>
          <cell r="AK18">
            <v>20885</v>
          </cell>
          <cell r="AS18">
            <v>27610</v>
          </cell>
          <cell r="BB18">
            <v>0</v>
          </cell>
          <cell r="BC18">
            <v>540.75</v>
          </cell>
          <cell r="BD18">
            <v>519.12</v>
          </cell>
          <cell r="BE18">
            <v>1520.056</v>
          </cell>
          <cell r="BF18">
            <v>1506.5059999999999</v>
          </cell>
          <cell r="BG18">
            <v>28</v>
          </cell>
          <cell r="BH18">
            <v>118.12</v>
          </cell>
          <cell r="BI18">
            <v>77975</v>
          </cell>
          <cell r="BK18">
            <v>0.25</v>
          </cell>
          <cell r="BL18">
            <v>2.7149999999999999</v>
          </cell>
          <cell r="BN18">
            <v>0.5</v>
          </cell>
          <cell r="BO18">
            <v>56.6</v>
          </cell>
          <cell r="BR18">
            <v>22</v>
          </cell>
        </row>
        <row r="19">
          <cell r="A19">
            <v>39095</v>
          </cell>
          <cell r="E19">
            <v>2245</v>
          </cell>
          <cell r="J19">
            <v>1633.8869999999997</v>
          </cell>
          <cell r="K19">
            <v>109</v>
          </cell>
          <cell r="M19">
            <v>15430</v>
          </cell>
          <cell r="Q19">
            <v>1528.088</v>
          </cell>
          <cell r="U19">
            <v>10750</v>
          </cell>
          <cell r="AE19">
            <v>372.6746</v>
          </cell>
          <cell r="AF19">
            <v>537.66</v>
          </cell>
          <cell r="AK19">
            <v>19835</v>
          </cell>
          <cell r="AS19">
            <v>27610</v>
          </cell>
          <cell r="BB19">
            <v>0</v>
          </cell>
          <cell r="BC19">
            <v>372.6746</v>
          </cell>
          <cell r="BD19">
            <v>537.66</v>
          </cell>
          <cell r="BE19">
            <v>1528.088</v>
          </cell>
          <cell r="BF19">
            <v>1633.8869999999997</v>
          </cell>
          <cell r="BG19">
            <v>109</v>
          </cell>
          <cell r="BH19">
            <v>0</v>
          </cell>
          <cell r="BI19">
            <v>73625</v>
          </cell>
          <cell r="BK19">
            <v>0.25</v>
          </cell>
          <cell r="BL19">
            <v>2.4900000000000002</v>
          </cell>
          <cell r="BN19">
            <v>0.8</v>
          </cell>
          <cell r="BO19">
            <v>55.8</v>
          </cell>
          <cell r="BR19">
            <v>22</v>
          </cell>
        </row>
        <row r="20">
          <cell r="A20">
            <v>39096</v>
          </cell>
          <cell r="E20">
            <v>2245</v>
          </cell>
          <cell r="J20">
            <v>1727.1659999999997</v>
          </cell>
          <cell r="K20">
            <v>0</v>
          </cell>
          <cell r="M20">
            <v>13720</v>
          </cell>
          <cell r="Q20">
            <v>1555.1959999999999</v>
          </cell>
          <cell r="U20">
            <v>9200</v>
          </cell>
          <cell r="AF20">
            <v>543.84</v>
          </cell>
          <cell r="AK20">
            <v>18735</v>
          </cell>
          <cell r="AS20">
            <v>27610</v>
          </cell>
          <cell r="BB20">
            <v>0</v>
          </cell>
          <cell r="BC20">
            <v>0</v>
          </cell>
          <cell r="BD20">
            <v>543.84</v>
          </cell>
          <cell r="BE20">
            <v>1555.1959999999999</v>
          </cell>
          <cell r="BF20">
            <v>1727.1659999999997</v>
          </cell>
          <cell r="BG20">
            <v>0</v>
          </cell>
          <cell r="BH20">
            <v>0</v>
          </cell>
          <cell r="BI20">
            <v>69265</v>
          </cell>
          <cell r="BK20">
            <v>0.2</v>
          </cell>
          <cell r="BL20">
            <v>2.29</v>
          </cell>
          <cell r="BN20">
            <v>0.4</v>
          </cell>
          <cell r="BO20">
            <v>55.4</v>
          </cell>
          <cell r="BR20">
            <v>22</v>
          </cell>
        </row>
        <row r="21">
          <cell r="A21">
            <v>39097</v>
          </cell>
          <cell r="D21">
            <v>399.62</v>
          </cell>
          <cell r="E21">
            <v>1845</v>
          </cell>
          <cell r="J21">
            <v>1679.0219999999997</v>
          </cell>
          <cell r="K21">
            <v>69</v>
          </cell>
          <cell r="L21">
            <v>376.76</v>
          </cell>
          <cell r="M21">
            <v>11370</v>
          </cell>
          <cell r="Q21">
            <v>1035.124</v>
          </cell>
          <cell r="U21">
            <v>8200</v>
          </cell>
          <cell r="AF21">
            <v>401.08199999999999</v>
          </cell>
          <cell r="AK21">
            <v>16000</v>
          </cell>
          <cell r="AS21">
            <v>27610</v>
          </cell>
          <cell r="BB21">
            <v>0</v>
          </cell>
          <cell r="BC21">
            <v>0</v>
          </cell>
          <cell r="BD21">
            <v>401.08199999999999</v>
          </cell>
          <cell r="BE21">
            <v>1035.124</v>
          </cell>
          <cell r="BF21">
            <v>1679.0219999999997</v>
          </cell>
          <cell r="BG21">
            <v>69</v>
          </cell>
          <cell r="BH21">
            <v>376.76</v>
          </cell>
          <cell r="BI21">
            <v>63180</v>
          </cell>
          <cell r="BK21">
            <v>0.13750000000000001</v>
          </cell>
          <cell r="BL21">
            <v>2.16</v>
          </cell>
          <cell r="BN21">
            <v>0.3</v>
          </cell>
          <cell r="BO21">
            <v>51.1</v>
          </cell>
          <cell r="BR21">
            <v>22</v>
          </cell>
        </row>
        <row r="22">
          <cell r="A22">
            <v>39098</v>
          </cell>
          <cell r="D22">
            <v>83.4</v>
          </cell>
          <cell r="E22">
            <v>1762</v>
          </cell>
          <cell r="J22">
            <v>1603.7969999999998</v>
          </cell>
          <cell r="K22">
            <v>101</v>
          </cell>
          <cell r="L22">
            <v>308.66000000000003</v>
          </cell>
          <cell r="M22">
            <v>9364</v>
          </cell>
          <cell r="Q22">
            <v>341.36</v>
          </cell>
          <cell r="U22">
            <v>7900</v>
          </cell>
          <cell r="AK22">
            <v>16000</v>
          </cell>
          <cell r="AM22">
            <v>266.06</v>
          </cell>
          <cell r="AN22">
            <v>265.05599999999998</v>
          </cell>
          <cell r="AS22">
            <v>27010</v>
          </cell>
          <cell r="BB22">
            <v>0</v>
          </cell>
          <cell r="BC22">
            <v>266.06</v>
          </cell>
          <cell r="BD22">
            <v>265.05599999999998</v>
          </cell>
          <cell r="BE22">
            <v>341.36</v>
          </cell>
          <cell r="BF22">
            <v>1603.7969999999998</v>
          </cell>
          <cell r="BG22">
            <v>101</v>
          </cell>
          <cell r="BH22">
            <v>308.66000000000003</v>
          </cell>
          <cell r="BI22">
            <v>60274</v>
          </cell>
          <cell r="BK22">
            <v>0.125</v>
          </cell>
          <cell r="BL22">
            <v>2.0350000000000001</v>
          </cell>
          <cell r="BN22">
            <v>0.5</v>
          </cell>
          <cell r="BO22">
            <v>50.6</v>
          </cell>
          <cell r="BR22">
            <v>22</v>
          </cell>
        </row>
        <row r="23">
          <cell r="A23">
            <v>39099</v>
          </cell>
          <cell r="D23">
            <v>75.62</v>
          </cell>
          <cell r="E23">
            <v>1686</v>
          </cell>
          <cell r="J23">
            <v>1048.135</v>
          </cell>
          <cell r="K23">
            <v>71</v>
          </cell>
          <cell r="L23">
            <v>571.44000000000005</v>
          </cell>
          <cell r="M23">
            <v>7695</v>
          </cell>
          <cell r="Q23">
            <v>1492.9480000000001</v>
          </cell>
          <cell r="U23">
            <v>6400</v>
          </cell>
          <cell r="AK23">
            <v>16000</v>
          </cell>
          <cell r="AM23">
            <v>500.99599999999998</v>
          </cell>
          <cell r="AN23">
            <v>496.98</v>
          </cell>
          <cell r="AS23">
            <v>26010</v>
          </cell>
          <cell r="BB23">
            <v>0</v>
          </cell>
          <cell r="BC23">
            <v>500.99599999999998</v>
          </cell>
          <cell r="BD23">
            <v>496.98</v>
          </cell>
          <cell r="BE23">
            <v>1492.9480000000001</v>
          </cell>
          <cell r="BF23">
            <v>1048.135</v>
          </cell>
          <cell r="BG23">
            <v>71</v>
          </cell>
          <cell r="BH23">
            <v>571.44000000000005</v>
          </cell>
          <cell r="BI23">
            <v>56105</v>
          </cell>
          <cell r="BK23">
            <v>0.13500000000000001</v>
          </cell>
          <cell r="BL23">
            <v>1.9</v>
          </cell>
          <cell r="BN23">
            <v>0.5</v>
          </cell>
          <cell r="BO23">
            <v>50.1</v>
          </cell>
          <cell r="BR23">
            <v>22</v>
          </cell>
        </row>
        <row r="24">
          <cell r="A24">
            <v>39100</v>
          </cell>
          <cell r="D24">
            <v>209.66</v>
          </cell>
          <cell r="E24">
            <v>1475</v>
          </cell>
          <cell r="J24">
            <v>1003</v>
          </cell>
          <cell r="K24">
            <v>64.2</v>
          </cell>
          <cell r="L24">
            <v>469.72</v>
          </cell>
          <cell r="M24">
            <v>6163</v>
          </cell>
          <cell r="Q24">
            <v>1438.732</v>
          </cell>
          <cell r="U24">
            <v>4950</v>
          </cell>
          <cell r="AF24">
            <v>56.65</v>
          </cell>
          <cell r="AK24">
            <v>16965</v>
          </cell>
          <cell r="AM24">
            <v>437.74400000000003</v>
          </cell>
          <cell r="AN24">
            <v>392.56400000000002</v>
          </cell>
          <cell r="AS24">
            <v>25210</v>
          </cell>
          <cell r="BB24">
            <v>0</v>
          </cell>
          <cell r="BC24">
            <v>437.74400000000003</v>
          </cell>
          <cell r="BD24">
            <v>449.214</v>
          </cell>
          <cell r="BE24">
            <v>1438.732</v>
          </cell>
          <cell r="BF24">
            <v>1003</v>
          </cell>
          <cell r="BG24">
            <v>64.2</v>
          </cell>
          <cell r="BH24">
            <v>469.72</v>
          </cell>
          <cell r="BI24">
            <v>53288</v>
          </cell>
          <cell r="BK24">
            <v>0.15</v>
          </cell>
          <cell r="BL24">
            <v>1.75</v>
          </cell>
          <cell r="BN24">
            <v>0.5</v>
          </cell>
          <cell r="BO24">
            <v>49.6</v>
          </cell>
          <cell r="BR24">
            <v>22</v>
          </cell>
        </row>
        <row r="25">
          <cell r="A25">
            <v>39101</v>
          </cell>
          <cell r="D25">
            <v>104.82</v>
          </cell>
          <cell r="E25">
            <v>1345</v>
          </cell>
          <cell r="J25">
            <v>1733.1839999999997</v>
          </cell>
          <cell r="K25">
            <v>89</v>
          </cell>
          <cell r="L25">
            <v>384</v>
          </cell>
          <cell r="M25">
            <v>3928</v>
          </cell>
          <cell r="Q25">
            <v>1533.1079999999999</v>
          </cell>
          <cell r="U25">
            <v>3450</v>
          </cell>
          <cell r="AE25">
            <v>525.29999999999995</v>
          </cell>
          <cell r="AF25">
            <v>534.57000000000005</v>
          </cell>
          <cell r="AK25">
            <v>20915</v>
          </cell>
          <cell r="AS25">
            <v>25210</v>
          </cell>
          <cell r="BB25">
            <v>0</v>
          </cell>
          <cell r="BC25">
            <v>525.29999999999995</v>
          </cell>
          <cell r="BD25">
            <v>534.57000000000005</v>
          </cell>
          <cell r="BE25">
            <v>1533.1079999999999</v>
          </cell>
          <cell r="BF25">
            <v>1733.1839999999997</v>
          </cell>
          <cell r="BG25">
            <v>89</v>
          </cell>
          <cell r="BH25">
            <v>384</v>
          </cell>
          <cell r="BI25">
            <v>53503</v>
          </cell>
          <cell r="BK25">
            <v>0.16500000000000001</v>
          </cell>
          <cell r="BL25">
            <v>1.6</v>
          </cell>
          <cell r="BN25">
            <v>0.3</v>
          </cell>
          <cell r="BO25">
            <v>49.3</v>
          </cell>
          <cell r="BR25">
            <v>22</v>
          </cell>
        </row>
        <row r="26">
          <cell r="A26">
            <v>39102</v>
          </cell>
          <cell r="E26">
            <v>1345</v>
          </cell>
          <cell r="J26">
            <v>1783.3339999999998</v>
          </cell>
          <cell r="K26">
            <v>100</v>
          </cell>
          <cell r="M26">
            <v>2028</v>
          </cell>
          <cell r="Q26">
            <v>1535.116</v>
          </cell>
          <cell r="U26">
            <v>1900</v>
          </cell>
          <cell r="AE26">
            <v>533.54</v>
          </cell>
          <cell r="AF26">
            <v>542.80999999999995</v>
          </cell>
          <cell r="AK26">
            <v>28365</v>
          </cell>
          <cell r="AS26">
            <v>25210</v>
          </cell>
          <cell r="BB26">
            <v>0</v>
          </cell>
          <cell r="BC26">
            <v>533.54</v>
          </cell>
          <cell r="BD26">
            <v>542.80999999999995</v>
          </cell>
          <cell r="BE26">
            <v>1535.116</v>
          </cell>
          <cell r="BF26">
            <v>1783.3339999999998</v>
          </cell>
          <cell r="BG26">
            <v>100</v>
          </cell>
          <cell r="BH26">
            <v>0</v>
          </cell>
          <cell r="BI26">
            <v>57503</v>
          </cell>
          <cell r="BK26">
            <v>0.17</v>
          </cell>
          <cell r="BL26">
            <v>1.43</v>
          </cell>
          <cell r="BN26">
            <v>0.3</v>
          </cell>
          <cell r="BO26">
            <v>49</v>
          </cell>
          <cell r="BR26">
            <v>22</v>
          </cell>
        </row>
        <row r="27">
          <cell r="A27">
            <v>39103</v>
          </cell>
          <cell r="E27">
            <v>1345</v>
          </cell>
          <cell r="J27">
            <v>1792.3609999999999</v>
          </cell>
          <cell r="K27">
            <v>82</v>
          </cell>
          <cell r="M27">
            <v>1000</v>
          </cell>
          <cell r="Q27">
            <v>1536.12</v>
          </cell>
          <cell r="U27">
            <v>800</v>
          </cell>
          <cell r="AE27">
            <v>535.6</v>
          </cell>
          <cell r="AF27">
            <v>543.84</v>
          </cell>
          <cell r="AK27">
            <v>31415</v>
          </cell>
          <cell r="AS27">
            <v>25210</v>
          </cell>
          <cell r="BB27">
            <v>0</v>
          </cell>
          <cell r="BC27">
            <v>535.6</v>
          </cell>
          <cell r="BD27">
            <v>543.84</v>
          </cell>
          <cell r="BE27">
            <v>1536.12</v>
          </cell>
          <cell r="BF27">
            <v>1792.3609999999999</v>
          </cell>
          <cell r="BG27">
            <v>82</v>
          </cell>
          <cell r="BH27">
            <v>0</v>
          </cell>
          <cell r="BI27">
            <v>58425</v>
          </cell>
          <cell r="BK27">
            <v>0.17</v>
          </cell>
          <cell r="BL27">
            <v>1.26</v>
          </cell>
          <cell r="BN27">
            <v>0.3</v>
          </cell>
          <cell r="BO27">
            <v>48.7</v>
          </cell>
          <cell r="BR27">
            <v>22</v>
          </cell>
        </row>
        <row r="28">
          <cell r="A28">
            <v>39104</v>
          </cell>
          <cell r="D28">
            <v>104.08</v>
          </cell>
          <cell r="E28">
            <v>1214</v>
          </cell>
          <cell r="J28">
            <v>1403.1969999999999</v>
          </cell>
          <cell r="K28">
            <v>100</v>
          </cell>
          <cell r="M28">
            <v>1000</v>
          </cell>
          <cell r="U28">
            <v>2585</v>
          </cell>
          <cell r="AD28">
            <v>19065</v>
          </cell>
          <cell r="AE28">
            <v>215.27</v>
          </cell>
          <cell r="AF28">
            <v>216.3</v>
          </cell>
          <cell r="AK28">
            <v>31375</v>
          </cell>
          <cell r="AM28">
            <v>206.82400000000001</v>
          </cell>
          <cell r="AN28">
            <v>201.804</v>
          </cell>
          <cell r="AP28">
            <v>60.24</v>
          </cell>
          <cell r="AS28">
            <v>24750</v>
          </cell>
          <cell r="BB28">
            <v>19065</v>
          </cell>
          <cell r="BC28">
            <v>422.09400000000005</v>
          </cell>
          <cell r="BD28">
            <v>418.10400000000004</v>
          </cell>
          <cell r="BE28">
            <v>0</v>
          </cell>
          <cell r="BF28">
            <v>1463.4369999999999</v>
          </cell>
          <cell r="BG28">
            <v>100</v>
          </cell>
          <cell r="BH28">
            <v>0</v>
          </cell>
          <cell r="BI28">
            <v>59710</v>
          </cell>
          <cell r="BK28">
            <v>0.13700000000000001</v>
          </cell>
          <cell r="BL28">
            <v>1</v>
          </cell>
          <cell r="BN28">
            <v>0.7</v>
          </cell>
          <cell r="BO28">
            <v>48.5</v>
          </cell>
          <cell r="BR28">
            <v>22</v>
          </cell>
        </row>
        <row r="29">
          <cell r="A29">
            <v>39105</v>
          </cell>
          <cell r="D29">
            <v>55.44</v>
          </cell>
          <cell r="E29">
            <v>1158</v>
          </cell>
          <cell r="K29">
            <v>79</v>
          </cell>
          <cell r="M29">
            <v>600</v>
          </cell>
          <cell r="Q29">
            <v>1840</v>
          </cell>
          <cell r="U29">
            <v>10137</v>
          </cell>
          <cell r="AK29">
            <v>31375</v>
          </cell>
          <cell r="AM29">
            <v>371.48</v>
          </cell>
          <cell r="AN29">
            <v>360.43599999999998</v>
          </cell>
          <cell r="AP29">
            <v>1555.1959999999999</v>
          </cell>
          <cell r="AS29">
            <v>22450</v>
          </cell>
          <cell r="BB29">
            <v>0</v>
          </cell>
          <cell r="BC29">
            <v>371.48</v>
          </cell>
          <cell r="BD29">
            <v>360.43599999999998</v>
          </cell>
          <cell r="BE29">
            <v>1840</v>
          </cell>
          <cell r="BF29">
            <v>1555.1959999999999</v>
          </cell>
          <cell r="BG29">
            <v>79</v>
          </cell>
          <cell r="BH29">
            <v>0</v>
          </cell>
          <cell r="BI29">
            <v>64562</v>
          </cell>
          <cell r="BK29">
            <v>0.13</v>
          </cell>
          <cell r="BL29">
            <v>0.87</v>
          </cell>
          <cell r="BN29">
            <v>0.6</v>
          </cell>
          <cell r="BO29">
            <v>47.9</v>
          </cell>
          <cell r="BR29">
            <v>22</v>
          </cell>
        </row>
        <row r="30">
          <cell r="A30">
            <v>39106</v>
          </cell>
          <cell r="E30">
            <v>1158</v>
          </cell>
          <cell r="K30">
            <v>75.2</v>
          </cell>
          <cell r="M30">
            <v>500</v>
          </cell>
          <cell r="Q30">
            <v>1568.248</v>
          </cell>
          <cell r="U30">
            <v>14587</v>
          </cell>
          <cell r="AK30">
            <v>31375</v>
          </cell>
          <cell r="AM30">
            <v>559.22799999999995</v>
          </cell>
          <cell r="AP30">
            <v>296.18</v>
          </cell>
          <cell r="AS30">
            <v>21600</v>
          </cell>
          <cell r="BB30">
            <v>0</v>
          </cell>
          <cell r="BC30">
            <v>559.22799999999995</v>
          </cell>
          <cell r="BD30">
            <v>0</v>
          </cell>
          <cell r="BE30">
            <v>1568.248</v>
          </cell>
          <cell r="BF30">
            <v>296.18</v>
          </cell>
          <cell r="BG30">
            <v>75.2</v>
          </cell>
          <cell r="BH30">
            <v>0</v>
          </cell>
          <cell r="BI30">
            <v>68062</v>
          </cell>
          <cell r="BJ30">
            <v>1</v>
          </cell>
          <cell r="BK30">
            <v>0.14499999999999999</v>
          </cell>
          <cell r="BL30">
            <v>1.72</v>
          </cell>
          <cell r="BN30">
            <v>0.8</v>
          </cell>
          <cell r="BO30">
            <v>47</v>
          </cell>
          <cell r="BR30">
            <v>22</v>
          </cell>
        </row>
        <row r="31">
          <cell r="A31">
            <v>39107</v>
          </cell>
          <cell r="E31">
            <v>1158</v>
          </cell>
          <cell r="K31">
            <v>8</v>
          </cell>
          <cell r="M31">
            <v>500</v>
          </cell>
          <cell r="Q31">
            <v>1550.1759999999999</v>
          </cell>
          <cell r="U31">
            <v>17987</v>
          </cell>
          <cell r="AK31">
            <v>31375</v>
          </cell>
          <cell r="AM31">
            <v>536.13599999999997</v>
          </cell>
          <cell r="AN31">
            <v>526.096</v>
          </cell>
          <cell r="AP31">
            <v>690.75199999999995</v>
          </cell>
          <cell r="AS31">
            <v>19850</v>
          </cell>
          <cell r="BB31">
            <v>0</v>
          </cell>
          <cell r="BC31">
            <v>536.13599999999997</v>
          </cell>
          <cell r="BD31">
            <v>526.096</v>
          </cell>
          <cell r="BE31">
            <v>1550.1759999999999</v>
          </cell>
          <cell r="BF31">
            <v>690.75199999999995</v>
          </cell>
          <cell r="BG31">
            <v>8</v>
          </cell>
          <cell r="BH31">
            <v>0</v>
          </cell>
          <cell r="BI31">
            <v>69712</v>
          </cell>
          <cell r="BK31">
            <v>0.16500000000000001</v>
          </cell>
          <cell r="BL31">
            <v>1.56</v>
          </cell>
          <cell r="BN31">
            <v>0.36</v>
          </cell>
          <cell r="BO31">
            <v>46.7</v>
          </cell>
          <cell r="BR31">
            <v>22</v>
          </cell>
        </row>
        <row r="32">
          <cell r="A32">
            <v>39108</v>
          </cell>
          <cell r="E32">
            <v>1158</v>
          </cell>
          <cell r="K32">
            <v>79</v>
          </cell>
          <cell r="M32">
            <v>3750</v>
          </cell>
          <cell r="N32">
            <v>21785</v>
          </cell>
          <cell r="Q32">
            <v>1365.44</v>
          </cell>
          <cell r="U32">
            <v>16680</v>
          </cell>
          <cell r="AK32">
            <v>31375</v>
          </cell>
          <cell r="AM32">
            <v>470.87599999999998</v>
          </cell>
          <cell r="AN32">
            <v>476.9</v>
          </cell>
          <cell r="AP32">
            <v>1574.2719999999999</v>
          </cell>
          <cell r="AS32">
            <v>17300</v>
          </cell>
          <cell r="BB32">
            <v>21785</v>
          </cell>
          <cell r="BC32">
            <v>470.87599999999998</v>
          </cell>
          <cell r="BD32">
            <v>476.9</v>
          </cell>
          <cell r="BE32">
            <v>1365.44</v>
          </cell>
          <cell r="BF32">
            <v>1574.2719999999999</v>
          </cell>
          <cell r="BG32">
            <v>79</v>
          </cell>
          <cell r="BH32">
            <v>0</v>
          </cell>
          <cell r="BI32">
            <v>69105</v>
          </cell>
          <cell r="BK32">
            <v>0.16</v>
          </cell>
          <cell r="BL32">
            <v>1.4</v>
          </cell>
          <cell r="BN32">
            <v>0.5</v>
          </cell>
          <cell r="BO32">
            <v>45.2</v>
          </cell>
          <cell r="BR32">
            <v>22</v>
          </cell>
        </row>
        <row r="33">
          <cell r="A33">
            <v>39109</v>
          </cell>
          <cell r="E33">
            <v>1158</v>
          </cell>
          <cell r="K33">
            <v>95</v>
          </cell>
          <cell r="M33">
            <v>12650</v>
          </cell>
          <cell r="Q33">
            <v>1537.124</v>
          </cell>
          <cell r="U33">
            <v>15130</v>
          </cell>
          <cell r="AK33">
            <v>31375</v>
          </cell>
          <cell r="AM33">
            <v>532.12</v>
          </cell>
          <cell r="AN33">
            <v>493.96800000000002</v>
          </cell>
          <cell r="AP33">
            <v>1776.076</v>
          </cell>
          <cell r="AS33">
            <v>14500</v>
          </cell>
          <cell r="BB33">
            <v>0</v>
          </cell>
          <cell r="BC33">
            <v>532.12</v>
          </cell>
          <cell r="BD33">
            <v>493.96800000000002</v>
          </cell>
          <cell r="BE33">
            <v>1537.124</v>
          </cell>
          <cell r="BF33">
            <v>1776.076</v>
          </cell>
          <cell r="BG33">
            <v>95</v>
          </cell>
          <cell r="BH33">
            <v>0</v>
          </cell>
          <cell r="BI33">
            <v>73655</v>
          </cell>
          <cell r="BK33">
            <v>0.18</v>
          </cell>
          <cell r="BL33">
            <v>1.22</v>
          </cell>
          <cell r="BN33">
            <v>0.4</v>
          </cell>
          <cell r="BO33">
            <v>45</v>
          </cell>
          <cell r="BR33">
            <v>22</v>
          </cell>
        </row>
        <row r="34">
          <cell r="A34">
            <v>39110</v>
          </cell>
          <cell r="E34">
            <v>1158</v>
          </cell>
          <cell r="K34">
            <v>162</v>
          </cell>
          <cell r="M34">
            <v>21000</v>
          </cell>
          <cell r="Q34">
            <v>1563.2280000000001</v>
          </cell>
          <cell r="U34">
            <v>13580</v>
          </cell>
          <cell r="AK34">
            <v>31375</v>
          </cell>
          <cell r="AM34">
            <v>520.072</v>
          </cell>
          <cell r="AN34">
            <v>524.08799999999997</v>
          </cell>
          <cell r="AP34">
            <v>1792.14</v>
          </cell>
          <cell r="AS34">
            <v>11560</v>
          </cell>
          <cell r="BB34">
            <v>0</v>
          </cell>
          <cell r="BC34">
            <v>520.072</v>
          </cell>
          <cell r="BD34">
            <v>524.08799999999997</v>
          </cell>
          <cell r="BE34">
            <v>1563.2280000000001</v>
          </cell>
          <cell r="BF34">
            <v>1792.14</v>
          </cell>
          <cell r="BG34">
            <v>162</v>
          </cell>
          <cell r="BH34">
            <v>0</v>
          </cell>
          <cell r="BI34">
            <v>77515</v>
          </cell>
          <cell r="BK34">
            <v>0.16</v>
          </cell>
          <cell r="BL34">
            <v>1.06</v>
          </cell>
          <cell r="BN34">
            <v>0.5</v>
          </cell>
          <cell r="BO34">
            <v>45</v>
          </cell>
          <cell r="BR34">
            <v>22</v>
          </cell>
        </row>
        <row r="35">
          <cell r="A35">
            <v>39111</v>
          </cell>
          <cell r="E35">
            <v>1158</v>
          </cell>
          <cell r="F35">
            <v>22350</v>
          </cell>
          <cell r="K35">
            <v>65</v>
          </cell>
          <cell r="M35">
            <v>26170</v>
          </cell>
          <cell r="Q35">
            <v>1117.452</v>
          </cell>
          <cell r="U35">
            <v>12480</v>
          </cell>
          <cell r="AK35">
            <v>31375</v>
          </cell>
          <cell r="AM35">
            <v>527.1</v>
          </cell>
          <cell r="AN35">
            <v>534.12800000000004</v>
          </cell>
          <cell r="AP35">
            <v>1842.34</v>
          </cell>
          <cell r="AS35">
            <v>8700</v>
          </cell>
          <cell r="BB35">
            <v>22350</v>
          </cell>
          <cell r="BC35">
            <v>527.1</v>
          </cell>
          <cell r="BD35">
            <v>534.12800000000004</v>
          </cell>
          <cell r="BE35">
            <v>1117.452</v>
          </cell>
          <cell r="BF35">
            <v>1842.34</v>
          </cell>
          <cell r="BG35">
            <v>65</v>
          </cell>
          <cell r="BH35">
            <v>0</v>
          </cell>
          <cell r="BI35">
            <v>78725</v>
          </cell>
          <cell r="BK35">
            <v>0.1</v>
          </cell>
          <cell r="BL35">
            <v>0.9</v>
          </cell>
          <cell r="BN35">
            <v>0.5</v>
          </cell>
          <cell r="BO35">
            <v>43.1</v>
          </cell>
          <cell r="BR35">
            <v>22</v>
          </cell>
        </row>
        <row r="36">
          <cell r="A36">
            <v>39112</v>
          </cell>
          <cell r="E36">
            <v>1158</v>
          </cell>
          <cell r="K36">
            <v>95</v>
          </cell>
          <cell r="M36">
            <v>35075</v>
          </cell>
          <cell r="Q36">
            <v>645.572</v>
          </cell>
          <cell r="U36">
            <v>11830</v>
          </cell>
          <cell r="AK36">
            <v>31375</v>
          </cell>
          <cell r="AM36">
            <v>362.44400000000002</v>
          </cell>
          <cell r="AN36">
            <v>361.44</v>
          </cell>
          <cell r="AP36">
            <v>1803.184</v>
          </cell>
          <cell r="AS36">
            <v>6150</v>
          </cell>
          <cell r="BB36">
            <v>0</v>
          </cell>
          <cell r="BC36">
            <v>362.44400000000002</v>
          </cell>
          <cell r="BD36">
            <v>361.44</v>
          </cell>
          <cell r="BE36">
            <v>645.572</v>
          </cell>
          <cell r="BF36">
            <v>1803.184</v>
          </cell>
          <cell r="BG36">
            <v>95</v>
          </cell>
          <cell r="BH36">
            <v>0</v>
          </cell>
          <cell r="BI36">
            <v>84430</v>
          </cell>
          <cell r="BK36">
            <v>0.2</v>
          </cell>
          <cell r="BL36">
            <v>0.7</v>
          </cell>
          <cell r="BN36">
            <v>0.3</v>
          </cell>
          <cell r="BO36">
            <v>42.8</v>
          </cell>
          <cell r="BR36">
            <v>22</v>
          </cell>
        </row>
        <row r="37">
          <cell r="A37">
            <v>39113</v>
          </cell>
          <cell r="E37">
            <v>1158</v>
          </cell>
          <cell r="F37">
            <v>-1158.07</v>
          </cell>
          <cell r="K37">
            <v>123.6</v>
          </cell>
          <cell r="L37">
            <v>-0.34</v>
          </cell>
          <cell r="M37">
            <v>41475</v>
          </cell>
          <cell r="N37">
            <v>-641.23099999999999</v>
          </cell>
          <cell r="Q37">
            <v>1529.252</v>
          </cell>
          <cell r="U37">
            <v>10230</v>
          </cell>
          <cell r="AD37">
            <v>-798.43100000000004</v>
          </cell>
          <cell r="AE37">
            <v>-200</v>
          </cell>
          <cell r="AF37">
            <v>-192.441</v>
          </cell>
          <cell r="AK37">
            <v>31375</v>
          </cell>
          <cell r="AM37">
            <v>280.35595599999999</v>
          </cell>
          <cell r="AN37">
            <v>281.33385200000004</v>
          </cell>
          <cell r="AP37">
            <v>1179.470192</v>
          </cell>
          <cell r="AS37">
            <v>4300</v>
          </cell>
          <cell r="BB37">
            <v>-2597.732</v>
          </cell>
          <cell r="BC37">
            <v>80.355955999999992</v>
          </cell>
          <cell r="BD37">
            <v>88.892852000000033</v>
          </cell>
          <cell r="BE37">
            <v>1529.252</v>
          </cell>
          <cell r="BF37">
            <v>1179.470192</v>
          </cell>
          <cell r="BG37">
            <v>123.6</v>
          </cell>
          <cell r="BH37">
            <v>-0.34</v>
          </cell>
          <cell r="BI37">
            <v>87380</v>
          </cell>
          <cell r="BJ37">
            <v>5</v>
          </cell>
          <cell r="BK37">
            <v>4.7500000000000001E-2</v>
          </cell>
          <cell r="BL37">
            <v>5.5250000000000004</v>
          </cell>
          <cell r="BN37">
            <v>2.7120000000000002</v>
          </cell>
          <cell r="BO37">
            <v>42.3</v>
          </cell>
          <cell r="BR37">
            <v>22</v>
          </cell>
        </row>
        <row r="38">
          <cell r="A38">
            <v>39114</v>
          </cell>
          <cell r="E38">
            <v>1158</v>
          </cell>
          <cell r="F38">
            <v>21725</v>
          </cell>
          <cell r="K38">
            <v>197.1</v>
          </cell>
          <cell r="M38">
            <v>43975</v>
          </cell>
          <cell r="Q38">
            <v>1544.152</v>
          </cell>
          <cell r="U38">
            <v>8670</v>
          </cell>
          <cell r="AI38">
            <v>189.52</v>
          </cell>
          <cell r="AK38">
            <v>31200</v>
          </cell>
          <cell r="AM38">
            <v>495.976</v>
          </cell>
          <cell r="AN38">
            <v>508.024</v>
          </cell>
          <cell r="AP38">
            <v>927.69600000000003</v>
          </cell>
          <cell r="AS38">
            <v>2300</v>
          </cell>
          <cell r="BB38">
            <v>21725</v>
          </cell>
          <cell r="BC38">
            <v>495.976</v>
          </cell>
          <cell r="BD38">
            <v>508.024</v>
          </cell>
          <cell r="BE38">
            <v>1544.152</v>
          </cell>
          <cell r="BF38">
            <v>927.69600000000003</v>
          </cell>
          <cell r="BG38">
            <v>386.62</v>
          </cell>
          <cell r="BH38">
            <v>0</v>
          </cell>
          <cell r="BI38">
            <v>86145</v>
          </cell>
          <cell r="BK38">
            <v>0.15</v>
          </cell>
          <cell r="BL38">
            <v>5.375</v>
          </cell>
          <cell r="BN38">
            <v>1</v>
          </cell>
          <cell r="BO38">
            <v>41.3</v>
          </cell>
          <cell r="BR38">
            <v>22</v>
          </cell>
        </row>
        <row r="39">
          <cell r="A39">
            <v>39115</v>
          </cell>
          <cell r="E39">
            <v>1158</v>
          </cell>
          <cell r="K39">
            <v>31</v>
          </cell>
          <cell r="M39">
            <v>43975</v>
          </cell>
          <cell r="Q39">
            <v>1561.5211999999999</v>
          </cell>
          <cell r="U39">
            <v>7090</v>
          </cell>
          <cell r="AI39">
            <v>31.620999999999999</v>
          </cell>
          <cell r="AK39">
            <v>31170</v>
          </cell>
          <cell r="AM39">
            <v>526</v>
          </cell>
          <cell r="AN39">
            <v>528.10400000000004</v>
          </cell>
          <cell r="AS39">
            <v>745</v>
          </cell>
          <cell r="BB39">
            <v>0</v>
          </cell>
          <cell r="BC39">
            <v>526</v>
          </cell>
          <cell r="BD39">
            <v>528.10400000000004</v>
          </cell>
          <cell r="BE39">
            <v>1561.5211999999999</v>
          </cell>
          <cell r="BF39">
            <v>0</v>
          </cell>
          <cell r="BG39">
            <v>62.620999999999995</v>
          </cell>
          <cell r="BH39">
            <v>0</v>
          </cell>
          <cell r="BI39">
            <v>82980</v>
          </cell>
          <cell r="BK39">
            <v>0.375</v>
          </cell>
          <cell r="BL39">
            <v>5</v>
          </cell>
          <cell r="BN39">
            <v>0.3</v>
          </cell>
          <cell r="BO39">
            <v>41</v>
          </cell>
          <cell r="BR39">
            <v>22</v>
          </cell>
        </row>
        <row r="40">
          <cell r="A40">
            <v>39116</v>
          </cell>
          <cell r="E40">
            <v>1158</v>
          </cell>
          <cell r="K40">
            <v>0</v>
          </cell>
          <cell r="M40">
            <v>43975</v>
          </cell>
          <cell r="Q40">
            <v>1572.4648</v>
          </cell>
          <cell r="U40">
            <v>8160</v>
          </cell>
          <cell r="AK40">
            <v>31170</v>
          </cell>
          <cell r="AS40">
            <v>220</v>
          </cell>
          <cell r="BB40">
            <v>0</v>
          </cell>
          <cell r="BC40">
            <v>0</v>
          </cell>
          <cell r="BD40">
            <v>0</v>
          </cell>
          <cell r="BE40">
            <v>1572.4648</v>
          </cell>
          <cell r="BF40">
            <v>0</v>
          </cell>
          <cell r="BG40">
            <v>0</v>
          </cell>
          <cell r="BH40">
            <v>0</v>
          </cell>
          <cell r="BI40">
            <v>83525</v>
          </cell>
          <cell r="BK40">
            <v>0.2</v>
          </cell>
          <cell r="BL40">
            <v>4.8</v>
          </cell>
          <cell r="BN40">
            <v>0.05</v>
          </cell>
          <cell r="BO40">
            <v>40.5</v>
          </cell>
          <cell r="BR40">
            <v>22</v>
          </cell>
        </row>
        <row r="41">
          <cell r="A41">
            <v>39117</v>
          </cell>
          <cell r="E41">
            <v>1158</v>
          </cell>
          <cell r="J41">
            <v>1169.4979999999998</v>
          </cell>
          <cell r="K41">
            <v>0</v>
          </cell>
          <cell r="M41">
            <v>42800</v>
          </cell>
          <cell r="O41">
            <v>359.83359999999999</v>
          </cell>
          <cell r="Q41">
            <v>1534.1120000000001</v>
          </cell>
          <cell r="U41">
            <v>13200</v>
          </cell>
          <cell r="AK41">
            <v>31170</v>
          </cell>
          <cell r="AS41">
            <v>0</v>
          </cell>
          <cell r="BB41">
            <v>0</v>
          </cell>
          <cell r="BC41">
            <v>359.83359999999999</v>
          </cell>
          <cell r="BD41">
            <v>0</v>
          </cell>
          <cell r="BE41">
            <v>1534.1120000000001</v>
          </cell>
          <cell r="BF41">
            <v>1169.4979999999998</v>
          </cell>
          <cell r="BG41">
            <v>0</v>
          </cell>
          <cell r="BH41">
            <v>0</v>
          </cell>
          <cell r="BI41">
            <v>87170</v>
          </cell>
          <cell r="BK41">
            <v>0.2</v>
          </cell>
          <cell r="BL41">
            <v>4.5999999999999996</v>
          </cell>
          <cell r="BN41">
            <v>0.5</v>
          </cell>
          <cell r="BO41">
            <v>40</v>
          </cell>
          <cell r="BR41">
            <v>22</v>
          </cell>
        </row>
        <row r="42">
          <cell r="A42">
            <v>39118</v>
          </cell>
          <cell r="E42">
            <v>1158</v>
          </cell>
          <cell r="J42">
            <v>1412.2239999999999</v>
          </cell>
          <cell r="K42">
            <v>0</v>
          </cell>
          <cell r="M42">
            <v>41370</v>
          </cell>
          <cell r="N42">
            <v>10652</v>
          </cell>
          <cell r="O42">
            <v>511.036</v>
          </cell>
          <cell r="P42">
            <v>362.44400000000002</v>
          </cell>
          <cell r="Q42">
            <v>449.79200000000003</v>
          </cell>
          <cell r="U42">
            <v>12883</v>
          </cell>
          <cell r="AK42">
            <v>31125</v>
          </cell>
          <cell r="AS42">
            <v>20</v>
          </cell>
          <cell r="BB42">
            <v>10652</v>
          </cell>
          <cell r="BC42">
            <v>511.036</v>
          </cell>
          <cell r="BD42">
            <v>362.44400000000002</v>
          </cell>
          <cell r="BE42">
            <v>449.79200000000003</v>
          </cell>
          <cell r="BF42">
            <v>1412.2239999999999</v>
          </cell>
          <cell r="BG42">
            <v>0</v>
          </cell>
          <cell r="BH42">
            <v>0</v>
          </cell>
          <cell r="BI42">
            <v>85398</v>
          </cell>
          <cell r="BK42">
            <v>0.1</v>
          </cell>
          <cell r="BL42">
            <v>4.5</v>
          </cell>
          <cell r="BN42">
            <v>0.2</v>
          </cell>
          <cell r="BO42">
            <v>38.799999999999997</v>
          </cell>
          <cell r="BR42">
            <v>22</v>
          </cell>
        </row>
        <row r="43">
          <cell r="A43">
            <v>39119</v>
          </cell>
          <cell r="E43">
            <v>1158</v>
          </cell>
          <cell r="J43">
            <v>1573.7069999999999</v>
          </cell>
          <cell r="K43">
            <v>0</v>
          </cell>
          <cell r="M43">
            <v>39770</v>
          </cell>
          <cell r="O43">
            <v>505.012</v>
          </cell>
          <cell r="P43">
            <v>513.04399999999998</v>
          </cell>
          <cell r="U43">
            <v>11820</v>
          </cell>
          <cell r="AK43">
            <v>31125</v>
          </cell>
          <cell r="AS43">
            <v>20</v>
          </cell>
          <cell r="BB43">
            <v>0</v>
          </cell>
          <cell r="BC43">
            <v>505.012</v>
          </cell>
          <cell r="BD43">
            <v>513.04399999999998</v>
          </cell>
          <cell r="BE43">
            <v>0</v>
          </cell>
          <cell r="BF43">
            <v>1573.7069999999999</v>
          </cell>
          <cell r="BG43">
            <v>0</v>
          </cell>
          <cell r="BH43">
            <v>0</v>
          </cell>
          <cell r="BI43">
            <v>82735</v>
          </cell>
          <cell r="BK43">
            <v>7.4999999999999997E-2</v>
          </cell>
          <cell r="BL43">
            <v>4.8</v>
          </cell>
          <cell r="BM43">
            <v>33.4</v>
          </cell>
          <cell r="BN43">
            <v>0.3</v>
          </cell>
          <cell r="BO43">
            <v>73.7</v>
          </cell>
          <cell r="BR43">
            <v>22</v>
          </cell>
        </row>
        <row r="44">
          <cell r="A44">
            <v>39120</v>
          </cell>
          <cell r="E44">
            <v>1158</v>
          </cell>
          <cell r="J44">
            <v>1651.9409999999998</v>
          </cell>
          <cell r="K44">
            <v>0</v>
          </cell>
          <cell r="M44">
            <v>38120</v>
          </cell>
          <cell r="O44">
            <v>506.01600000000002</v>
          </cell>
          <cell r="P44">
            <v>474.892</v>
          </cell>
          <cell r="U44">
            <v>10880</v>
          </cell>
          <cell r="AK44">
            <v>31250</v>
          </cell>
          <cell r="AS44">
            <v>20</v>
          </cell>
          <cell r="BB44">
            <v>0</v>
          </cell>
          <cell r="BC44">
            <v>506.01600000000002</v>
          </cell>
          <cell r="BD44">
            <v>474.892</v>
          </cell>
          <cell r="BE44">
            <v>0</v>
          </cell>
          <cell r="BF44">
            <v>1651.9409999999998</v>
          </cell>
          <cell r="BG44">
            <v>0</v>
          </cell>
          <cell r="BH44">
            <v>0</v>
          </cell>
          <cell r="BI44">
            <v>80270</v>
          </cell>
          <cell r="BK44">
            <v>7.4999999999999997E-2</v>
          </cell>
          <cell r="BL44">
            <v>4.7249999999999996</v>
          </cell>
          <cell r="BN44">
            <v>0.3</v>
          </cell>
          <cell r="BO44">
            <v>73.400000000000006</v>
          </cell>
          <cell r="BR44">
            <v>22</v>
          </cell>
        </row>
        <row r="45">
          <cell r="A45">
            <v>39121</v>
          </cell>
          <cell r="E45">
            <v>1158</v>
          </cell>
          <cell r="J45">
            <v>1648.9319999999998</v>
          </cell>
          <cell r="K45">
            <v>0</v>
          </cell>
          <cell r="M45">
            <v>36470</v>
          </cell>
          <cell r="O45">
            <v>340.35599999999999</v>
          </cell>
          <cell r="P45">
            <v>463.84800000000001</v>
          </cell>
          <cell r="Q45">
            <v>921</v>
          </cell>
          <cell r="U45">
            <v>9130</v>
          </cell>
          <cell r="AK45">
            <v>31125</v>
          </cell>
          <cell r="AS45">
            <v>20</v>
          </cell>
          <cell r="BB45">
            <v>0</v>
          </cell>
          <cell r="BC45">
            <v>340.35599999999999</v>
          </cell>
          <cell r="BD45">
            <v>463.84800000000001</v>
          </cell>
          <cell r="BE45">
            <v>921</v>
          </cell>
          <cell r="BF45">
            <v>1648.9319999999998</v>
          </cell>
          <cell r="BG45">
            <v>0</v>
          </cell>
          <cell r="BH45">
            <v>0</v>
          </cell>
          <cell r="BI45">
            <v>76745</v>
          </cell>
          <cell r="BK45">
            <v>0.17</v>
          </cell>
          <cell r="BL45">
            <v>4.5999999999999996</v>
          </cell>
          <cell r="BO45">
            <v>73.400000000000006</v>
          </cell>
          <cell r="BR45">
            <v>22</v>
          </cell>
        </row>
        <row r="46">
          <cell r="A46">
            <v>39122</v>
          </cell>
          <cell r="E46">
            <v>1158</v>
          </cell>
          <cell r="J46">
            <v>1651</v>
          </cell>
          <cell r="K46">
            <v>103</v>
          </cell>
          <cell r="M46">
            <v>34700</v>
          </cell>
          <cell r="P46">
            <v>468</v>
          </cell>
          <cell r="Q46">
            <v>1545</v>
          </cell>
          <cell r="U46">
            <v>6880</v>
          </cell>
          <cell r="AK46">
            <v>31250</v>
          </cell>
          <cell r="AS46">
            <v>20</v>
          </cell>
          <cell r="BB46">
            <v>0</v>
          </cell>
          <cell r="BC46">
            <v>0</v>
          </cell>
          <cell r="BD46">
            <v>468</v>
          </cell>
          <cell r="BE46">
            <v>1545</v>
          </cell>
          <cell r="BF46">
            <v>1651</v>
          </cell>
          <cell r="BG46">
            <v>103</v>
          </cell>
          <cell r="BH46">
            <v>0</v>
          </cell>
          <cell r="BI46">
            <v>72850</v>
          </cell>
          <cell r="BK46">
            <v>0.2</v>
          </cell>
          <cell r="BL46">
            <v>4.4400000000000004</v>
          </cell>
          <cell r="BN46">
            <v>0.4</v>
          </cell>
          <cell r="BO46">
            <v>72.400000000000006</v>
          </cell>
          <cell r="BR46">
            <v>22</v>
          </cell>
        </row>
        <row r="47">
          <cell r="A47">
            <v>39123</v>
          </cell>
          <cell r="E47">
            <v>1158</v>
          </cell>
          <cell r="J47">
            <v>1620</v>
          </cell>
          <cell r="K47">
            <v>57</v>
          </cell>
          <cell r="M47">
            <v>33070</v>
          </cell>
          <cell r="P47">
            <v>493</v>
          </cell>
          <cell r="Q47">
            <v>1537</v>
          </cell>
          <cell r="U47">
            <v>4300</v>
          </cell>
          <cell r="AK47">
            <v>31250</v>
          </cell>
          <cell r="AS47">
            <v>20</v>
          </cell>
          <cell r="BB47">
            <v>0</v>
          </cell>
          <cell r="BC47">
            <v>0</v>
          </cell>
          <cell r="BD47">
            <v>493</v>
          </cell>
          <cell r="BE47">
            <v>1537</v>
          </cell>
          <cell r="BF47">
            <v>1620</v>
          </cell>
          <cell r="BG47">
            <v>57</v>
          </cell>
          <cell r="BH47">
            <v>0</v>
          </cell>
          <cell r="BI47">
            <v>68640</v>
          </cell>
          <cell r="BK47">
            <v>0.2</v>
          </cell>
          <cell r="BL47">
            <v>4.1849999999999996</v>
          </cell>
          <cell r="BN47">
            <v>0.7</v>
          </cell>
          <cell r="BO47">
            <v>71</v>
          </cell>
          <cell r="BR47">
            <v>22</v>
          </cell>
        </row>
        <row r="48">
          <cell r="A48">
            <v>39124</v>
          </cell>
          <cell r="E48">
            <v>1158</v>
          </cell>
          <cell r="J48">
            <v>1577</v>
          </cell>
          <cell r="K48">
            <v>0</v>
          </cell>
          <cell r="M48">
            <v>31470</v>
          </cell>
          <cell r="P48">
            <v>489</v>
          </cell>
          <cell r="Q48">
            <v>1527</v>
          </cell>
          <cell r="U48">
            <v>1780</v>
          </cell>
          <cell r="AK48">
            <v>31250</v>
          </cell>
          <cell r="AS48">
            <v>20</v>
          </cell>
          <cell r="BB48">
            <v>0</v>
          </cell>
          <cell r="BC48">
            <v>0</v>
          </cell>
          <cell r="BD48">
            <v>489</v>
          </cell>
          <cell r="BE48">
            <v>1527</v>
          </cell>
          <cell r="BF48">
            <v>1577</v>
          </cell>
          <cell r="BG48">
            <v>0</v>
          </cell>
          <cell r="BH48">
            <v>0</v>
          </cell>
          <cell r="BI48">
            <v>64520</v>
          </cell>
          <cell r="BK48">
            <v>0.2</v>
          </cell>
          <cell r="BL48">
            <v>3.9849999999999999</v>
          </cell>
          <cell r="BN48">
            <v>0.6</v>
          </cell>
          <cell r="BO48">
            <v>71.099999999999994</v>
          </cell>
          <cell r="BR48">
            <v>22</v>
          </cell>
        </row>
        <row r="49">
          <cell r="A49">
            <v>39125</v>
          </cell>
          <cell r="E49">
            <v>1158</v>
          </cell>
          <cell r="J49">
            <v>1649</v>
          </cell>
          <cell r="K49">
            <v>10</v>
          </cell>
          <cell r="M49">
            <v>29770</v>
          </cell>
          <cell r="O49">
            <v>168</v>
          </cell>
          <cell r="P49">
            <v>176</v>
          </cell>
          <cell r="Q49">
            <v>1564</v>
          </cell>
          <cell r="U49">
            <v>20</v>
          </cell>
          <cell r="AE49">
            <v>233</v>
          </cell>
          <cell r="AF49">
            <v>228</v>
          </cell>
          <cell r="AK49">
            <v>30670</v>
          </cell>
          <cell r="AS49">
            <v>20</v>
          </cell>
          <cell r="BB49">
            <v>0</v>
          </cell>
          <cell r="BC49">
            <v>401</v>
          </cell>
          <cell r="BD49">
            <v>404</v>
          </cell>
          <cell r="BE49">
            <v>1564</v>
          </cell>
          <cell r="BF49">
            <v>1649</v>
          </cell>
          <cell r="BG49">
            <v>10</v>
          </cell>
          <cell r="BH49">
            <v>0</v>
          </cell>
          <cell r="BI49">
            <v>60480</v>
          </cell>
          <cell r="BK49">
            <v>0.16500000000000001</v>
          </cell>
          <cell r="BL49">
            <v>3.82</v>
          </cell>
          <cell r="BN49">
            <v>0.4</v>
          </cell>
          <cell r="BO49">
            <v>70.7</v>
          </cell>
          <cell r="BR49">
            <v>22</v>
          </cell>
        </row>
        <row r="50">
          <cell r="A50">
            <v>39126</v>
          </cell>
          <cell r="E50">
            <v>1158</v>
          </cell>
          <cell r="J50">
            <v>1641</v>
          </cell>
          <cell r="K50">
            <v>104</v>
          </cell>
          <cell r="M50">
            <v>28000</v>
          </cell>
          <cell r="Q50">
            <v>82</v>
          </cell>
          <cell r="U50">
            <v>60</v>
          </cell>
          <cell r="AE50">
            <v>489</v>
          </cell>
          <cell r="AF50">
            <v>347</v>
          </cell>
          <cell r="AG50">
            <v>574</v>
          </cell>
          <cell r="AK50">
            <v>31670</v>
          </cell>
          <cell r="AS50">
            <v>50</v>
          </cell>
          <cell r="BB50">
            <v>0</v>
          </cell>
          <cell r="BC50">
            <v>489</v>
          </cell>
          <cell r="BD50">
            <v>347</v>
          </cell>
          <cell r="BE50">
            <v>656</v>
          </cell>
          <cell r="BF50">
            <v>1641</v>
          </cell>
          <cell r="BG50">
            <v>104</v>
          </cell>
          <cell r="BH50">
            <v>0</v>
          </cell>
          <cell r="BI50">
            <v>59780</v>
          </cell>
          <cell r="BJ50">
            <v>1</v>
          </cell>
          <cell r="BK50">
            <v>0.11</v>
          </cell>
          <cell r="BL50">
            <v>4.6500000000000004</v>
          </cell>
          <cell r="BN50">
            <v>0.5</v>
          </cell>
          <cell r="BO50">
            <v>70.2</v>
          </cell>
          <cell r="BR50">
            <v>22</v>
          </cell>
        </row>
        <row r="51">
          <cell r="A51">
            <v>39127</v>
          </cell>
          <cell r="E51">
            <v>1158</v>
          </cell>
          <cell r="J51">
            <v>1228</v>
          </cell>
          <cell r="K51">
            <v>76</v>
          </cell>
          <cell r="M51">
            <v>26670</v>
          </cell>
          <cell r="U51">
            <v>60</v>
          </cell>
          <cell r="AE51">
            <v>378</v>
          </cell>
          <cell r="AF51">
            <v>260</v>
          </cell>
          <cell r="AG51">
            <v>1470</v>
          </cell>
          <cell r="AK51">
            <v>33570</v>
          </cell>
          <cell r="AS51">
            <v>50</v>
          </cell>
          <cell r="BB51">
            <v>0</v>
          </cell>
          <cell r="BC51">
            <v>378</v>
          </cell>
          <cell r="BD51">
            <v>260</v>
          </cell>
          <cell r="BE51">
            <v>1470</v>
          </cell>
          <cell r="BF51">
            <v>1228</v>
          </cell>
          <cell r="BG51">
            <v>76</v>
          </cell>
          <cell r="BH51">
            <v>0</v>
          </cell>
          <cell r="BI51">
            <v>60350</v>
          </cell>
          <cell r="BK51">
            <v>0.15</v>
          </cell>
          <cell r="BL51">
            <v>4.5</v>
          </cell>
          <cell r="BN51">
            <v>0.6</v>
          </cell>
          <cell r="BO51">
            <v>69.3</v>
          </cell>
          <cell r="BR51">
            <v>22</v>
          </cell>
        </row>
        <row r="52">
          <cell r="A52">
            <v>39128</v>
          </cell>
          <cell r="E52">
            <v>1158</v>
          </cell>
          <cell r="J52">
            <v>643</v>
          </cell>
          <cell r="K52">
            <v>75</v>
          </cell>
          <cell r="M52">
            <v>25970</v>
          </cell>
          <cell r="U52">
            <v>60</v>
          </cell>
          <cell r="AE52">
            <v>520</v>
          </cell>
          <cell r="AF52">
            <v>524</v>
          </cell>
          <cell r="AG52">
            <v>1534</v>
          </cell>
          <cell r="AK52">
            <v>38970</v>
          </cell>
          <cell r="AS52">
            <v>50</v>
          </cell>
          <cell r="BB52">
            <v>0</v>
          </cell>
          <cell r="BC52">
            <v>520</v>
          </cell>
          <cell r="BD52">
            <v>524</v>
          </cell>
          <cell r="BE52">
            <v>1534</v>
          </cell>
          <cell r="BF52">
            <v>643</v>
          </cell>
          <cell r="BG52">
            <v>75</v>
          </cell>
          <cell r="BH52">
            <v>0</v>
          </cell>
          <cell r="BI52">
            <v>65050</v>
          </cell>
          <cell r="BK52">
            <v>0.16250000000000001</v>
          </cell>
          <cell r="BL52">
            <v>4.3150000000000004</v>
          </cell>
          <cell r="BN52">
            <v>0.8</v>
          </cell>
          <cell r="BO52">
            <v>68.599999999999994</v>
          </cell>
          <cell r="BR52">
            <v>22</v>
          </cell>
        </row>
        <row r="53">
          <cell r="A53">
            <v>39129</v>
          </cell>
          <cell r="E53">
            <v>1158</v>
          </cell>
          <cell r="J53">
            <v>1561</v>
          </cell>
          <cell r="K53">
            <v>114</v>
          </cell>
          <cell r="M53">
            <v>24270</v>
          </cell>
          <cell r="U53">
            <v>60</v>
          </cell>
          <cell r="AD53">
            <v>18188.919000000002</v>
          </cell>
          <cell r="AE53">
            <v>487</v>
          </cell>
          <cell r="AF53">
            <v>503</v>
          </cell>
          <cell r="AG53">
            <v>1404</v>
          </cell>
          <cell r="AK53">
            <v>41070</v>
          </cell>
          <cell r="AS53">
            <v>50</v>
          </cell>
          <cell r="BB53">
            <v>18188.919000000002</v>
          </cell>
          <cell r="BC53">
            <v>487</v>
          </cell>
          <cell r="BD53">
            <v>503</v>
          </cell>
          <cell r="BE53">
            <v>1404</v>
          </cell>
          <cell r="BF53">
            <v>1561</v>
          </cell>
          <cell r="BG53">
            <v>114</v>
          </cell>
          <cell r="BH53">
            <v>0</v>
          </cell>
          <cell r="BI53">
            <v>65450</v>
          </cell>
          <cell r="BK53">
            <v>0.22500000000000001</v>
          </cell>
          <cell r="BL53">
            <v>4.0999999999999996</v>
          </cell>
          <cell r="BN53">
            <v>0.67500000000000004</v>
          </cell>
          <cell r="BO53">
            <v>68</v>
          </cell>
          <cell r="BR53">
            <v>22</v>
          </cell>
        </row>
        <row r="54">
          <cell r="A54">
            <v>39130</v>
          </cell>
          <cell r="E54">
            <v>1158</v>
          </cell>
          <cell r="J54">
            <v>1640</v>
          </cell>
          <cell r="K54">
            <v>81</v>
          </cell>
          <cell r="M54">
            <v>22570</v>
          </cell>
          <cell r="U54">
            <v>3840</v>
          </cell>
          <cell r="AE54">
            <v>491</v>
          </cell>
          <cell r="AF54">
            <v>488</v>
          </cell>
          <cell r="AG54">
            <v>1271</v>
          </cell>
          <cell r="AK54">
            <v>38770</v>
          </cell>
          <cell r="AS54">
            <v>50</v>
          </cell>
          <cell r="BB54">
            <v>0</v>
          </cell>
          <cell r="BC54">
            <v>491</v>
          </cell>
          <cell r="BD54">
            <v>488</v>
          </cell>
          <cell r="BE54">
            <v>1271</v>
          </cell>
          <cell r="BF54">
            <v>1640</v>
          </cell>
          <cell r="BG54">
            <v>81</v>
          </cell>
          <cell r="BH54">
            <v>0</v>
          </cell>
          <cell r="BI54">
            <v>65230</v>
          </cell>
          <cell r="BK54">
            <v>0.17899999999999999</v>
          </cell>
          <cell r="BL54">
            <v>3.9</v>
          </cell>
          <cell r="BN54">
            <v>0.6</v>
          </cell>
          <cell r="BO54">
            <v>67.400000000000006</v>
          </cell>
          <cell r="BR54">
            <v>22</v>
          </cell>
        </row>
        <row r="55">
          <cell r="A55">
            <v>39131</v>
          </cell>
          <cell r="E55">
            <v>1158</v>
          </cell>
          <cell r="J55">
            <v>1650</v>
          </cell>
          <cell r="K55">
            <v>82</v>
          </cell>
          <cell r="M55">
            <v>20800</v>
          </cell>
          <cell r="U55">
            <v>11340</v>
          </cell>
          <cell r="AE55">
            <v>475</v>
          </cell>
          <cell r="AF55">
            <v>499</v>
          </cell>
          <cell r="AG55">
            <v>1331</v>
          </cell>
          <cell r="AK55">
            <v>36470</v>
          </cell>
          <cell r="AS55">
            <v>50</v>
          </cell>
          <cell r="BB55">
            <v>0</v>
          </cell>
          <cell r="BC55">
            <v>475</v>
          </cell>
          <cell r="BD55">
            <v>499</v>
          </cell>
          <cell r="BE55">
            <v>1331</v>
          </cell>
          <cell r="BF55">
            <v>1650</v>
          </cell>
          <cell r="BG55">
            <v>82</v>
          </cell>
          <cell r="BH55">
            <v>0</v>
          </cell>
          <cell r="BI55">
            <v>68660</v>
          </cell>
          <cell r="BK55">
            <v>0.2</v>
          </cell>
          <cell r="BL55">
            <v>3.7250000000000001</v>
          </cell>
          <cell r="BN55">
            <v>0.68</v>
          </cell>
          <cell r="BO55">
            <v>66.8</v>
          </cell>
          <cell r="BR55">
            <v>22</v>
          </cell>
        </row>
        <row r="56">
          <cell r="A56">
            <v>39132</v>
          </cell>
          <cell r="E56">
            <v>1158</v>
          </cell>
          <cell r="J56">
            <v>1648</v>
          </cell>
          <cell r="K56">
            <v>101</v>
          </cell>
          <cell r="M56">
            <v>19000</v>
          </cell>
          <cell r="N56">
            <v>14903.484</v>
          </cell>
          <cell r="U56">
            <v>15840</v>
          </cell>
          <cell r="AE56">
            <v>500</v>
          </cell>
          <cell r="AF56">
            <v>494</v>
          </cell>
          <cell r="AG56">
            <v>853</v>
          </cell>
          <cell r="AK56">
            <v>34600</v>
          </cell>
          <cell r="AS56">
            <v>50</v>
          </cell>
          <cell r="BB56">
            <v>14903.484</v>
          </cell>
          <cell r="BC56">
            <v>500</v>
          </cell>
          <cell r="BD56">
            <v>494</v>
          </cell>
          <cell r="BE56">
            <v>853</v>
          </cell>
          <cell r="BF56">
            <v>1648</v>
          </cell>
          <cell r="BG56">
            <v>101</v>
          </cell>
          <cell r="BH56">
            <v>0</v>
          </cell>
          <cell r="BI56">
            <v>69490</v>
          </cell>
          <cell r="BK56">
            <v>0.15</v>
          </cell>
          <cell r="BL56">
            <v>3.55</v>
          </cell>
          <cell r="BN56">
            <v>0.7</v>
          </cell>
          <cell r="BO56">
            <v>65.900000000000006</v>
          </cell>
          <cell r="BR56">
            <v>22</v>
          </cell>
        </row>
        <row r="57">
          <cell r="A57">
            <v>39133</v>
          </cell>
          <cell r="E57">
            <v>1158</v>
          </cell>
          <cell r="J57">
            <v>1651</v>
          </cell>
          <cell r="K57">
            <v>81</v>
          </cell>
          <cell r="M57">
            <v>17200</v>
          </cell>
          <cell r="Q57">
            <v>713</v>
          </cell>
          <cell r="U57">
            <v>15100</v>
          </cell>
          <cell r="AE57">
            <v>352</v>
          </cell>
          <cell r="AF57">
            <v>295</v>
          </cell>
          <cell r="AK57">
            <v>33970</v>
          </cell>
          <cell r="AS57">
            <v>50</v>
          </cell>
          <cell r="BB57">
            <v>0</v>
          </cell>
          <cell r="BC57">
            <v>352</v>
          </cell>
          <cell r="BD57">
            <v>295</v>
          </cell>
          <cell r="BE57">
            <v>713</v>
          </cell>
          <cell r="BF57">
            <v>1651</v>
          </cell>
          <cell r="BG57">
            <v>81</v>
          </cell>
          <cell r="BH57">
            <v>0</v>
          </cell>
          <cell r="BI57">
            <v>66320</v>
          </cell>
          <cell r="BK57">
            <v>0.15</v>
          </cell>
          <cell r="BL57">
            <v>3.4249999999999998</v>
          </cell>
          <cell r="BN57">
            <v>0.4</v>
          </cell>
          <cell r="BO57">
            <v>65.5</v>
          </cell>
          <cell r="BR57">
            <v>22</v>
          </cell>
        </row>
        <row r="58">
          <cell r="A58">
            <v>39134</v>
          </cell>
          <cell r="E58">
            <v>1158</v>
          </cell>
          <cell r="J58">
            <v>1188</v>
          </cell>
          <cell r="K58">
            <v>61</v>
          </cell>
          <cell r="M58">
            <v>15970</v>
          </cell>
          <cell r="Q58">
            <v>1124</v>
          </cell>
          <cell r="U58">
            <v>14000</v>
          </cell>
          <cell r="AE58">
            <v>229</v>
          </cell>
          <cell r="AK58">
            <v>33790</v>
          </cell>
          <cell r="AS58">
            <v>50</v>
          </cell>
          <cell r="BB58">
            <v>0</v>
          </cell>
          <cell r="BC58">
            <v>229</v>
          </cell>
          <cell r="BD58">
            <v>0</v>
          </cell>
          <cell r="BE58">
            <v>1124</v>
          </cell>
          <cell r="BF58">
            <v>1188</v>
          </cell>
          <cell r="BG58">
            <v>61</v>
          </cell>
          <cell r="BH58">
            <v>0</v>
          </cell>
          <cell r="BI58">
            <v>63810</v>
          </cell>
          <cell r="BK58">
            <v>8.7999999999999995E-2</v>
          </cell>
          <cell r="BL58">
            <v>3.35</v>
          </cell>
          <cell r="BN58">
            <v>1</v>
          </cell>
          <cell r="BO58">
            <v>64.5</v>
          </cell>
          <cell r="BR58">
            <v>22</v>
          </cell>
        </row>
        <row r="59">
          <cell r="A59">
            <v>39135</v>
          </cell>
          <cell r="E59">
            <v>1158</v>
          </cell>
          <cell r="J59">
            <v>570</v>
          </cell>
          <cell r="K59">
            <v>51</v>
          </cell>
          <cell r="M59">
            <v>21600</v>
          </cell>
          <cell r="Q59">
            <v>1525</v>
          </cell>
          <cell r="U59">
            <v>12400</v>
          </cell>
          <cell r="AE59">
            <v>511</v>
          </cell>
          <cell r="AK59">
            <v>33200</v>
          </cell>
          <cell r="AS59">
            <v>50</v>
          </cell>
          <cell r="BB59">
            <v>0</v>
          </cell>
          <cell r="BC59">
            <v>511</v>
          </cell>
          <cell r="BD59">
            <v>0</v>
          </cell>
          <cell r="BE59">
            <v>1525</v>
          </cell>
          <cell r="BF59">
            <v>570</v>
          </cell>
          <cell r="BG59">
            <v>51</v>
          </cell>
          <cell r="BH59">
            <v>0</v>
          </cell>
          <cell r="BI59">
            <v>67250</v>
          </cell>
          <cell r="BK59">
            <v>0.14000000000000001</v>
          </cell>
          <cell r="BL59">
            <v>3.21</v>
          </cell>
          <cell r="BN59">
            <v>0.5</v>
          </cell>
          <cell r="BO59">
            <v>63.8</v>
          </cell>
          <cell r="BR59">
            <v>22</v>
          </cell>
        </row>
        <row r="60">
          <cell r="A60">
            <v>39136</v>
          </cell>
          <cell r="E60">
            <v>1158</v>
          </cell>
          <cell r="J60">
            <v>1585</v>
          </cell>
          <cell r="K60">
            <v>85</v>
          </cell>
          <cell r="M60">
            <v>26900</v>
          </cell>
          <cell r="Q60">
            <v>1505</v>
          </cell>
          <cell r="U60">
            <v>10900</v>
          </cell>
          <cell r="AE60">
            <v>498</v>
          </cell>
          <cell r="AK60">
            <v>33000</v>
          </cell>
          <cell r="AS60">
            <v>50</v>
          </cell>
          <cell r="BB60">
            <v>0</v>
          </cell>
          <cell r="BC60">
            <v>498</v>
          </cell>
          <cell r="BD60">
            <v>0</v>
          </cell>
          <cell r="BE60">
            <v>1505</v>
          </cell>
          <cell r="BF60">
            <v>1585</v>
          </cell>
          <cell r="BG60">
            <v>85</v>
          </cell>
          <cell r="BH60">
            <v>0</v>
          </cell>
          <cell r="BI60">
            <v>70850</v>
          </cell>
          <cell r="BK60">
            <v>0.18</v>
          </cell>
          <cell r="BL60">
            <v>3.17</v>
          </cell>
          <cell r="BN60">
            <v>0.9</v>
          </cell>
          <cell r="BO60">
            <v>63.4</v>
          </cell>
          <cell r="BR60">
            <v>22</v>
          </cell>
        </row>
        <row r="61">
          <cell r="A61">
            <v>39137</v>
          </cell>
          <cell r="E61">
            <v>1158</v>
          </cell>
          <cell r="F61">
            <v>12415.120999999999</v>
          </cell>
          <cell r="J61">
            <v>1685</v>
          </cell>
          <cell r="K61">
            <v>56</v>
          </cell>
          <cell r="M61">
            <v>25200</v>
          </cell>
          <cell r="Q61">
            <v>1534</v>
          </cell>
          <cell r="U61">
            <v>9300</v>
          </cell>
          <cell r="AE61">
            <v>522</v>
          </cell>
          <cell r="AK61">
            <v>32200</v>
          </cell>
          <cell r="AS61">
            <v>50</v>
          </cell>
          <cell r="BB61">
            <v>12415.120999999999</v>
          </cell>
          <cell r="BC61">
            <v>522</v>
          </cell>
          <cell r="BD61">
            <v>0</v>
          </cell>
          <cell r="BE61">
            <v>1534</v>
          </cell>
          <cell r="BF61">
            <v>1685</v>
          </cell>
          <cell r="BG61">
            <v>56</v>
          </cell>
          <cell r="BH61">
            <v>0</v>
          </cell>
          <cell r="BI61">
            <v>66750</v>
          </cell>
          <cell r="BK61">
            <v>0.21</v>
          </cell>
          <cell r="BL61">
            <v>2.96</v>
          </cell>
          <cell r="BN61">
            <v>0.75</v>
          </cell>
          <cell r="BO61">
            <v>62.65</v>
          </cell>
          <cell r="BR61">
            <v>22</v>
          </cell>
        </row>
        <row r="62">
          <cell r="A62">
            <v>39138</v>
          </cell>
          <cell r="E62">
            <v>1158</v>
          </cell>
          <cell r="J62">
            <v>1443</v>
          </cell>
          <cell r="K62">
            <v>178</v>
          </cell>
          <cell r="M62">
            <v>23500</v>
          </cell>
          <cell r="Q62">
            <v>1535</v>
          </cell>
          <cell r="U62">
            <v>7800</v>
          </cell>
          <cell r="AE62">
            <v>522</v>
          </cell>
          <cell r="AK62">
            <v>31700</v>
          </cell>
          <cell r="AS62">
            <v>50</v>
          </cell>
          <cell r="BB62">
            <v>0</v>
          </cell>
          <cell r="BC62">
            <v>522</v>
          </cell>
          <cell r="BD62">
            <v>0</v>
          </cell>
          <cell r="BE62">
            <v>1535</v>
          </cell>
          <cell r="BF62">
            <v>1443</v>
          </cell>
          <cell r="BG62">
            <v>178</v>
          </cell>
          <cell r="BH62">
            <v>0</v>
          </cell>
          <cell r="BI62">
            <v>63050</v>
          </cell>
          <cell r="BK62">
            <v>0.21</v>
          </cell>
          <cell r="BL62">
            <v>2.75</v>
          </cell>
          <cell r="BN62">
            <v>1.61</v>
          </cell>
          <cell r="BO62">
            <v>61.35</v>
          </cell>
          <cell r="BR62">
            <v>22</v>
          </cell>
        </row>
        <row r="63">
          <cell r="A63">
            <v>39139</v>
          </cell>
          <cell r="E63">
            <v>1158</v>
          </cell>
          <cell r="J63">
            <v>390</v>
          </cell>
          <cell r="K63">
            <v>75</v>
          </cell>
          <cell r="M63">
            <v>23000</v>
          </cell>
          <cell r="Q63">
            <v>1550</v>
          </cell>
          <cell r="U63">
            <v>8000</v>
          </cell>
          <cell r="AE63">
            <v>519</v>
          </cell>
          <cell r="AK63">
            <v>31200</v>
          </cell>
          <cell r="AS63">
            <v>50</v>
          </cell>
          <cell r="BB63">
            <v>0</v>
          </cell>
          <cell r="BC63">
            <v>519</v>
          </cell>
          <cell r="BD63">
            <v>0</v>
          </cell>
          <cell r="BE63">
            <v>1550</v>
          </cell>
          <cell r="BF63">
            <v>390</v>
          </cell>
          <cell r="BG63">
            <v>75</v>
          </cell>
          <cell r="BH63">
            <v>0</v>
          </cell>
          <cell r="BI63">
            <v>62250</v>
          </cell>
          <cell r="BK63">
            <v>0.125</v>
          </cell>
          <cell r="BL63">
            <v>2.625</v>
          </cell>
          <cell r="BN63">
            <v>1</v>
          </cell>
          <cell r="BO63">
            <v>60.35</v>
          </cell>
          <cell r="BR63">
            <v>22</v>
          </cell>
        </row>
        <row r="64">
          <cell r="A64">
            <v>39140</v>
          </cell>
          <cell r="E64">
            <v>1158</v>
          </cell>
          <cell r="J64">
            <v>686</v>
          </cell>
          <cell r="K64">
            <v>66</v>
          </cell>
          <cell r="M64">
            <v>22000</v>
          </cell>
          <cell r="Q64">
            <v>1085</v>
          </cell>
          <cell r="U64">
            <v>15900</v>
          </cell>
          <cell r="AE64">
            <v>518</v>
          </cell>
          <cell r="AK64">
            <v>30600</v>
          </cell>
          <cell r="AS64">
            <v>50</v>
          </cell>
          <cell r="BB64">
            <v>0</v>
          </cell>
          <cell r="BC64">
            <v>518</v>
          </cell>
          <cell r="BD64">
            <v>0</v>
          </cell>
          <cell r="BE64">
            <v>1085</v>
          </cell>
          <cell r="BF64">
            <v>686</v>
          </cell>
          <cell r="BG64">
            <v>66</v>
          </cell>
          <cell r="BH64">
            <v>0</v>
          </cell>
          <cell r="BI64">
            <v>68550</v>
          </cell>
          <cell r="BK64">
            <v>0.13</v>
          </cell>
          <cell r="BL64">
            <v>1.5</v>
          </cell>
          <cell r="BN64">
            <v>0.7</v>
          </cell>
          <cell r="BO64">
            <v>59.6</v>
          </cell>
          <cell r="BR64">
            <v>22</v>
          </cell>
        </row>
        <row r="65">
          <cell r="A65">
            <v>39141</v>
          </cell>
          <cell r="E65">
            <v>1158</v>
          </cell>
          <cell r="J65">
            <v>1655.998</v>
          </cell>
          <cell r="K65">
            <v>-2.6999999999999886</v>
          </cell>
          <cell r="M65">
            <v>20400</v>
          </cell>
          <cell r="O65">
            <v>300</v>
          </cell>
          <cell r="P65">
            <v>300</v>
          </cell>
          <cell r="Q65">
            <v>1398.4759999999999</v>
          </cell>
          <cell r="U65">
            <v>22600</v>
          </cell>
          <cell r="AE65">
            <v>428</v>
          </cell>
          <cell r="AI65">
            <v>-6.4409999999999998</v>
          </cell>
          <cell r="AK65">
            <v>30200</v>
          </cell>
          <cell r="AM65">
            <v>500</v>
          </cell>
          <cell r="AN65">
            <v>500</v>
          </cell>
          <cell r="AP65">
            <v>541.20000000000005</v>
          </cell>
          <cell r="AS65">
            <v>50</v>
          </cell>
          <cell r="BB65">
            <v>0</v>
          </cell>
          <cell r="BC65">
            <v>1228</v>
          </cell>
          <cell r="BD65">
            <v>800</v>
          </cell>
          <cell r="BE65">
            <v>1398.4759999999999</v>
          </cell>
          <cell r="BF65">
            <v>2197.1980000000003</v>
          </cell>
          <cell r="BG65">
            <v>-9.1409999999999876</v>
          </cell>
          <cell r="BH65">
            <v>0</v>
          </cell>
          <cell r="BI65">
            <v>73250</v>
          </cell>
          <cell r="BK65">
            <v>-0.1115</v>
          </cell>
          <cell r="BL65">
            <v>1.6114999999999999</v>
          </cell>
          <cell r="BN65">
            <v>1.306</v>
          </cell>
          <cell r="BO65">
            <v>58.7</v>
          </cell>
          <cell r="BR65">
            <v>11.4</v>
          </cell>
        </row>
        <row r="66">
          <cell r="A66">
            <v>39142</v>
          </cell>
          <cell r="E66">
            <v>1158</v>
          </cell>
          <cell r="J66">
            <v>1677</v>
          </cell>
          <cell r="K66">
            <v>104</v>
          </cell>
          <cell r="L66">
            <v>257</v>
          </cell>
          <cell r="M66">
            <v>18300</v>
          </cell>
          <cell r="Q66">
            <v>1224</v>
          </cell>
          <cell r="U66">
            <v>28400</v>
          </cell>
          <cell r="AF66">
            <v>304</v>
          </cell>
          <cell r="AK66">
            <v>29900</v>
          </cell>
          <cell r="AS66">
            <v>50</v>
          </cell>
          <cell r="BB66">
            <v>0</v>
          </cell>
          <cell r="BC66">
            <v>0</v>
          </cell>
          <cell r="BD66">
            <v>304</v>
          </cell>
          <cell r="BE66">
            <v>1224</v>
          </cell>
          <cell r="BF66">
            <v>1677</v>
          </cell>
          <cell r="BG66">
            <v>104</v>
          </cell>
          <cell r="BH66">
            <v>257</v>
          </cell>
          <cell r="BI66">
            <v>76650</v>
          </cell>
          <cell r="BJ66">
            <v>1</v>
          </cell>
          <cell r="BK66">
            <v>0.2</v>
          </cell>
          <cell r="BL66">
            <v>3.2</v>
          </cell>
          <cell r="BN66">
            <v>0.7</v>
          </cell>
          <cell r="BO66">
            <v>58</v>
          </cell>
          <cell r="BR66">
            <v>11</v>
          </cell>
        </row>
        <row r="67">
          <cell r="A67">
            <v>39143</v>
          </cell>
          <cell r="E67">
            <v>1158</v>
          </cell>
          <cell r="J67">
            <v>1468</v>
          </cell>
          <cell r="K67">
            <v>0</v>
          </cell>
          <cell r="M67">
            <v>22600</v>
          </cell>
          <cell r="N67">
            <v>25870</v>
          </cell>
          <cell r="Q67">
            <v>1538</v>
          </cell>
          <cell r="U67">
            <v>26400</v>
          </cell>
          <cell r="AF67">
            <v>528</v>
          </cell>
          <cell r="AK67">
            <v>28300</v>
          </cell>
          <cell r="AS67">
            <v>50</v>
          </cell>
          <cell r="BB67">
            <v>25870</v>
          </cell>
          <cell r="BC67">
            <v>0</v>
          </cell>
          <cell r="BD67">
            <v>528</v>
          </cell>
          <cell r="BE67">
            <v>1538</v>
          </cell>
          <cell r="BF67">
            <v>1468</v>
          </cell>
          <cell r="BG67">
            <v>0</v>
          </cell>
          <cell r="BH67">
            <v>0</v>
          </cell>
          <cell r="BI67">
            <v>77350</v>
          </cell>
          <cell r="BK67">
            <v>0.2</v>
          </cell>
          <cell r="BL67">
            <v>3.04</v>
          </cell>
          <cell r="BN67">
            <v>0.2</v>
          </cell>
          <cell r="BO67">
            <v>57.8</v>
          </cell>
          <cell r="BR67">
            <v>11</v>
          </cell>
        </row>
        <row r="68">
          <cell r="A68">
            <v>39144</v>
          </cell>
          <cell r="E68">
            <v>1158</v>
          </cell>
          <cell r="J68">
            <v>1654</v>
          </cell>
          <cell r="K68">
            <v>0</v>
          </cell>
          <cell r="M68">
            <v>26400</v>
          </cell>
          <cell r="Q68">
            <v>1531</v>
          </cell>
          <cell r="U68">
            <v>25300</v>
          </cell>
          <cell r="AF68">
            <v>529</v>
          </cell>
          <cell r="AK68">
            <v>28800</v>
          </cell>
          <cell r="AS68">
            <v>50</v>
          </cell>
          <cell r="BB68">
            <v>0</v>
          </cell>
          <cell r="BC68">
            <v>0</v>
          </cell>
          <cell r="BD68">
            <v>529</v>
          </cell>
          <cell r="BE68">
            <v>1531</v>
          </cell>
          <cell r="BF68">
            <v>1654</v>
          </cell>
          <cell r="BG68">
            <v>0</v>
          </cell>
          <cell r="BH68">
            <v>0</v>
          </cell>
          <cell r="BI68">
            <v>80550</v>
          </cell>
          <cell r="BK68">
            <v>0.18</v>
          </cell>
          <cell r="BL68">
            <v>2.8239999999999998</v>
          </cell>
          <cell r="BN68">
            <v>0.1</v>
          </cell>
          <cell r="BO68">
            <v>57.7</v>
          </cell>
          <cell r="BR68">
            <v>11</v>
          </cell>
        </row>
        <row r="69">
          <cell r="A69">
            <v>39145</v>
          </cell>
          <cell r="E69">
            <v>1158</v>
          </cell>
          <cell r="J69">
            <v>1623</v>
          </cell>
          <cell r="K69">
            <v>0</v>
          </cell>
          <cell r="M69">
            <v>34700</v>
          </cell>
          <cell r="Q69">
            <v>1552</v>
          </cell>
          <cell r="U69">
            <v>23700</v>
          </cell>
          <cell r="AF69">
            <v>524</v>
          </cell>
          <cell r="AK69">
            <v>28300</v>
          </cell>
          <cell r="AS69">
            <v>50</v>
          </cell>
          <cell r="BB69">
            <v>0</v>
          </cell>
          <cell r="BC69">
            <v>0</v>
          </cell>
          <cell r="BD69">
            <v>524</v>
          </cell>
          <cell r="BE69">
            <v>1552</v>
          </cell>
          <cell r="BF69">
            <v>1623</v>
          </cell>
          <cell r="BG69">
            <v>0</v>
          </cell>
          <cell r="BH69">
            <v>0</v>
          </cell>
          <cell r="BI69">
            <v>86750</v>
          </cell>
          <cell r="BK69">
            <v>0.20399999999999999</v>
          </cell>
          <cell r="BL69">
            <v>2.62</v>
          </cell>
          <cell r="BN69">
            <v>0.1</v>
          </cell>
          <cell r="BO69">
            <v>57.6</v>
          </cell>
          <cell r="BR69">
            <v>11</v>
          </cell>
        </row>
        <row r="70">
          <cell r="A70">
            <v>39146</v>
          </cell>
          <cell r="E70">
            <v>1158</v>
          </cell>
          <cell r="F70">
            <v>23405</v>
          </cell>
          <cell r="J70">
            <v>1628</v>
          </cell>
          <cell r="K70">
            <v>0</v>
          </cell>
          <cell r="M70">
            <v>34700</v>
          </cell>
          <cell r="Q70">
            <v>1057</v>
          </cell>
          <cell r="U70">
            <v>22700</v>
          </cell>
          <cell r="AF70">
            <v>527</v>
          </cell>
          <cell r="AK70">
            <v>27700</v>
          </cell>
          <cell r="AS70">
            <v>50</v>
          </cell>
          <cell r="BB70">
            <v>23405</v>
          </cell>
          <cell r="BC70">
            <v>0</v>
          </cell>
          <cell r="BD70">
            <v>527</v>
          </cell>
          <cell r="BE70">
            <v>1057</v>
          </cell>
          <cell r="BF70">
            <v>1628</v>
          </cell>
          <cell r="BG70">
            <v>0</v>
          </cell>
          <cell r="BH70">
            <v>0</v>
          </cell>
          <cell r="BI70">
            <v>85150</v>
          </cell>
          <cell r="BJ70">
            <v>3</v>
          </cell>
          <cell r="BK70">
            <v>0.16600000000000001</v>
          </cell>
          <cell r="BL70">
            <v>5.4539999999999997</v>
          </cell>
          <cell r="BN70">
            <v>0.2</v>
          </cell>
          <cell r="BO70">
            <v>57.4</v>
          </cell>
          <cell r="BR70">
            <v>11</v>
          </cell>
        </row>
        <row r="71">
          <cell r="A71">
            <v>39147</v>
          </cell>
          <cell r="E71">
            <v>1158</v>
          </cell>
          <cell r="J71">
            <v>1644</v>
          </cell>
          <cell r="K71">
            <v>0</v>
          </cell>
          <cell r="M71">
            <v>32700</v>
          </cell>
          <cell r="Q71">
            <v>628</v>
          </cell>
          <cell r="U71">
            <v>22100</v>
          </cell>
          <cell r="AF71">
            <v>368</v>
          </cell>
          <cell r="AK71">
            <v>27300</v>
          </cell>
          <cell r="AS71">
            <v>50</v>
          </cell>
          <cell r="BB71">
            <v>0</v>
          </cell>
          <cell r="BC71">
            <v>0</v>
          </cell>
          <cell r="BD71">
            <v>368</v>
          </cell>
          <cell r="BE71">
            <v>628</v>
          </cell>
          <cell r="BF71">
            <v>1644</v>
          </cell>
          <cell r="BG71">
            <v>0</v>
          </cell>
          <cell r="BH71">
            <v>0</v>
          </cell>
          <cell r="BI71">
            <v>82150</v>
          </cell>
          <cell r="BK71">
            <v>0.125</v>
          </cell>
          <cell r="BL71">
            <v>5.3250000000000002</v>
          </cell>
          <cell r="BO71">
            <v>57.4</v>
          </cell>
          <cell r="BR71">
            <v>11</v>
          </cell>
        </row>
        <row r="72">
          <cell r="A72">
            <v>39148</v>
          </cell>
          <cell r="E72">
            <v>1158</v>
          </cell>
          <cell r="J72">
            <v>1172</v>
          </cell>
          <cell r="K72">
            <v>0</v>
          </cell>
          <cell r="L72">
            <v>156</v>
          </cell>
          <cell r="M72">
            <v>31400</v>
          </cell>
          <cell r="Q72">
            <v>1653</v>
          </cell>
          <cell r="U72">
            <v>20500</v>
          </cell>
          <cell r="AF72">
            <v>285</v>
          </cell>
          <cell r="AK72">
            <v>31100</v>
          </cell>
          <cell r="AS72">
            <v>22</v>
          </cell>
          <cell r="BB72">
            <v>0</v>
          </cell>
          <cell r="BC72">
            <v>0</v>
          </cell>
          <cell r="BD72">
            <v>285</v>
          </cell>
          <cell r="BE72">
            <v>1653</v>
          </cell>
          <cell r="BF72">
            <v>1172</v>
          </cell>
          <cell r="BG72">
            <v>0</v>
          </cell>
          <cell r="BH72">
            <v>156</v>
          </cell>
          <cell r="BI72">
            <v>83022</v>
          </cell>
          <cell r="BK72">
            <v>0.2</v>
          </cell>
          <cell r="BL72">
            <v>5.125</v>
          </cell>
          <cell r="BN72">
            <v>0.1</v>
          </cell>
          <cell r="BO72">
            <v>57.3</v>
          </cell>
          <cell r="BR72">
            <v>11</v>
          </cell>
        </row>
        <row r="73">
          <cell r="A73">
            <v>39149</v>
          </cell>
          <cell r="E73">
            <v>1158</v>
          </cell>
          <cell r="J73">
            <v>875</v>
          </cell>
          <cell r="K73">
            <v>0</v>
          </cell>
          <cell r="M73">
            <v>31800</v>
          </cell>
          <cell r="Q73">
            <v>1548</v>
          </cell>
          <cell r="U73">
            <v>18900</v>
          </cell>
          <cell r="AF73">
            <v>526</v>
          </cell>
          <cell r="AK73">
            <v>37600</v>
          </cell>
          <cell r="AS73">
            <v>20</v>
          </cell>
          <cell r="BB73">
            <v>0</v>
          </cell>
          <cell r="BC73">
            <v>0</v>
          </cell>
          <cell r="BD73">
            <v>526</v>
          </cell>
          <cell r="BE73">
            <v>1548</v>
          </cell>
          <cell r="BF73">
            <v>875</v>
          </cell>
          <cell r="BG73">
            <v>0</v>
          </cell>
          <cell r="BH73">
            <v>0</v>
          </cell>
          <cell r="BI73">
            <v>88320</v>
          </cell>
          <cell r="BK73">
            <v>0.16</v>
          </cell>
          <cell r="BL73">
            <v>4.7300000000000004</v>
          </cell>
          <cell r="BN73">
            <v>0.11</v>
          </cell>
          <cell r="BO73">
            <v>56.4</v>
          </cell>
          <cell r="BR73">
            <v>11</v>
          </cell>
        </row>
        <row r="74">
          <cell r="A74">
            <v>39150</v>
          </cell>
          <cell r="E74">
            <v>1158</v>
          </cell>
          <cell r="J74">
            <v>1670</v>
          </cell>
          <cell r="K74">
            <v>0</v>
          </cell>
          <cell r="L74">
            <v>262</v>
          </cell>
          <cell r="M74">
            <v>30200</v>
          </cell>
          <cell r="Q74">
            <v>1552</v>
          </cell>
          <cell r="U74">
            <v>17400</v>
          </cell>
          <cell r="AE74">
            <v>352</v>
          </cell>
          <cell r="AF74">
            <v>518</v>
          </cell>
          <cell r="AK74">
            <v>43900</v>
          </cell>
          <cell r="AS74">
            <v>20</v>
          </cell>
          <cell r="BB74">
            <v>0</v>
          </cell>
          <cell r="BC74">
            <v>352</v>
          </cell>
          <cell r="BD74">
            <v>518</v>
          </cell>
          <cell r="BE74">
            <v>1552</v>
          </cell>
          <cell r="BF74">
            <v>1670</v>
          </cell>
          <cell r="BG74">
            <v>0</v>
          </cell>
          <cell r="BH74">
            <v>262</v>
          </cell>
          <cell r="BI74">
            <v>91520</v>
          </cell>
          <cell r="BK74">
            <v>0.25</v>
          </cell>
          <cell r="BL74">
            <v>4.4800000000000004</v>
          </cell>
          <cell r="BN74">
            <v>0.2</v>
          </cell>
          <cell r="BO74">
            <v>56.21</v>
          </cell>
          <cell r="BR74">
            <v>11</v>
          </cell>
        </row>
        <row r="75">
          <cell r="A75">
            <v>39151</v>
          </cell>
          <cell r="E75">
            <v>1158</v>
          </cell>
          <cell r="J75">
            <v>1701</v>
          </cell>
          <cell r="K75">
            <v>0</v>
          </cell>
          <cell r="M75">
            <v>28400</v>
          </cell>
          <cell r="Q75">
            <v>1554</v>
          </cell>
          <cell r="U75">
            <v>21400</v>
          </cell>
          <cell r="AD75">
            <v>18600</v>
          </cell>
          <cell r="AE75">
            <v>519</v>
          </cell>
          <cell r="AF75">
            <v>529</v>
          </cell>
          <cell r="AK75">
            <v>43100</v>
          </cell>
          <cell r="AS75">
            <v>20</v>
          </cell>
          <cell r="BB75">
            <v>18600</v>
          </cell>
          <cell r="BC75">
            <v>519</v>
          </cell>
          <cell r="BD75">
            <v>529</v>
          </cell>
          <cell r="BE75">
            <v>1554</v>
          </cell>
          <cell r="BF75">
            <v>1701</v>
          </cell>
          <cell r="BG75">
            <v>0</v>
          </cell>
          <cell r="BH75">
            <v>0</v>
          </cell>
          <cell r="BI75">
            <v>92920</v>
          </cell>
          <cell r="BK75">
            <v>0.3</v>
          </cell>
          <cell r="BL75">
            <v>4.18</v>
          </cell>
          <cell r="BN75">
            <v>0.2</v>
          </cell>
          <cell r="BO75">
            <v>56</v>
          </cell>
          <cell r="BR75">
            <v>11</v>
          </cell>
        </row>
        <row r="76">
          <cell r="A76">
            <v>39152</v>
          </cell>
          <cell r="E76">
            <v>1158</v>
          </cell>
          <cell r="J76">
            <v>1798</v>
          </cell>
          <cell r="K76">
            <v>0</v>
          </cell>
          <cell r="M76">
            <v>26600</v>
          </cell>
          <cell r="Q76">
            <v>1526</v>
          </cell>
          <cell r="U76">
            <v>27900</v>
          </cell>
          <cell r="AE76">
            <v>519</v>
          </cell>
          <cell r="AF76">
            <v>521</v>
          </cell>
          <cell r="AK76">
            <v>42100</v>
          </cell>
          <cell r="AS76">
            <v>20</v>
          </cell>
          <cell r="BB76">
            <v>0</v>
          </cell>
          <cell r="BC76">
            <v>519</v>
          </cell>
          <cell r="BD76">
            <v>521</v>
          </cell>
          <cell r="BE76">
            <v>1526</v>
          </cell>
          <cell r="BF76">
            <v>1798</v>
          </cell>
          <cell r="BG76">
            <v>0</v>
          </cell>
          <cell r="BH76">
            <v>0</v>
          </cell>
          <cell r="BI76">
            <v>96620</v>
          </cell>
          <cell r="BK76">
            <v>0.2</v>
          </cell>
          <cell r="BL76">
            <v>4</v>
          </cell>
          <cell r="BN76">
            <v>0.4</v>
          </cell>
          <cell r="BO76">
            <v>55.6</v>
          </cell>
          <cell r="BR76">
            <v>11</v>
          </cell>
        </row>
        <row r="77">
          <cell r="A77">
            <v>39153</v>
          </cell>
          <cell r="E77">
            <v>1158</v>
          </cell>
          <cell r="J77">
            <v>1650</v>
          </cell>
          <cell r="K77">
            <v>0</v>
          </cell>
          <cell r="M77">
            <v>25030</v>
          </cell>
          <cell r="N77">
            <v>15593</v>
          </cell>
          <cell r="Q77">
            <v>1050</v>
          </cell>
          <cell r="U77">
            <v>28800</v>
          </cell>
          <cell r="AE77">
            <v>523</v>
          </cell>
          <cell r="AF77">
            <v>530</v>
          </cell>
          <cell r="AK77">
            <v>41025</v>
          </cell>
          <cell r="AS77">
            <v>20</v>
          </cell>
          <cell r="BB77">
            <v>15593</v>
          </cell>
          <cell r="BC77">
            <v>523</v>
          </cell>
          <cell r="BD77">
            <v>530</v>
          </cell>
          <cell r="BE77">
            <v>1050</v>
          </cell>
          <cell r="BF77">
            <v>1650</v>
          </cell>
          <cell r="BG77">
            <v>0</v>
          </cell>
          <cell r="BH77">
            <v>0</v>
          </cell>
          <cell r="BI77">
            <v>94875</v>
          </cell>
          <cell r="BK77">
            <v>0.17499999999999999</v>
          </cell>
          <cell r="BL77">
            <v>3.8250000000000002</v>
          </cell>
          <cell r="BN77">
            <v>0.4</v>
          </cell>
          <cell r="BO77">
            <v>55.2</v>
          </cell>
          <cell r="BR77">
            <v>11</v>
          </cell>
        </row>
        <row r="78">
          <cell r="A78">
            <v>39154</v>
          </cell>
          <cell r="E78">
            <v>1158</v>
          </cell>
          <cell r="J78">
            <v>1607</v>
          </cell>
          <cell r="K78">
            <v>0</v>
          </cell>
          <cell r="M78">
            <v>23430</v>
          </cell>
          <cell r="Q78">
            <v>730</v>
          </cell>
          <cell r="U78">
            <v>28100</v>
          </cell>
          <cell r="AE78">
            <v>371</v>
          </cell>
          <cell r="AF78">
            <v>328</v>
          </cell>
          <cell r="AK78">
            <v>40320</v>
          </cell>
          <cell r="AS78">
            <v>20</v>
          </cell>
          <cell r="BB78">
            <v>0</v>
          </cell>
          <cell r="BC78">
            <v>371</v>
          </cell>
          <cell r="BD78">
            <v>328</v>
          </cell>
          <cell r="BE78">
            <v>730</v>
          </cell>
          <cell r="BF78">
            <v>1607</v>
          </cell>
          <cell r="BG78">
            <v>0</v>
          </cell>
          <cell r="BH78">
            <v>0</v>
          </cell>
          <cell r="BI78">
            <v>91870</v>
          </cell>
          <cell r="BK78">
            <v>0.17</v>
          </cell>
          <cell r="BL78">
            <v>3.6</v>
          </cell>
          <cell r="BN78">
            <v>0.28000000000000003</v>
          </cell>
          <cell r="BO78">
            <v>54.9</v>
          </cell>
          <cell r="BR78">
            <v>11</v>
          </cell>
        </row>
        <row r="79">
          <cell r="A79">
            <v>39155</v>
          </cell>
          <cell r="E79">
            <v>1158</v>
          </cell>
          <cell r="J79">
            <v>1225</v>
          </cell>
          <cell r="K79">
            <v>0</v>
          </cell>
          <cell r="L79">
            <v>358.8</v>
          </cell>
          <cell r="M79">
            <v>22180</v>
          </cell>
          <cell r="Q79">
            <v>1440</v>
          </cell>
          <cell r="U79">
            <v>30300</v>
          </cell>
          <cell r="AE79">
            <v>252</v>
          </cell>
          <cell r="AF79">
            <v>305</v>
          </cell>
          <cell r="AK79">
            <v>39775</v>
          </cell>
          <cell r="AS79">
            <v>20</v>
          </cell>
          <cell r="BB79">
            <v>0</v>
          </cell>
          <cell r="BC79">
            <v>252</v>
          </cell>
          <cell r="BD79">
            <v>305</v>
          </cell>
          <cell r="BE79">
            <v>1440</v>
          </cell>
          <cell r="BF79">
            <v>1225</v>
          </cell>
          <cell r="BG79">
            <v>0</v>
          </cell>
          <cell r="BH79">
            <v>358.8</v>
          </cell>
          <cell r="BI79">
            <v>92275</v>
          </cell>
          <cell r="BK79">
            <v>0.16700000000000001</v>
          </cell>
          <cell r="BL79">
            <v>3.4</v>
          </cell>
          <cell r="BN79">
            <v>0.27</v>
          </cell>
          <cell r="BO79">
            <v>54.6</v>
          </cell>
          <cell r="BR79">
            <v>11.4</v>
          </cell>
        </row>
        <row r="80">
          <cell r="A80">
            <v>39156</v>
          </cell>
          <cell r="E80">
            <v>1158</v>
          </cell>
          <cell r="J80">
            <v>770</v>
          </cell>
          <cell r="K80">
            <v>0</v>
          </cell>
          <cell r="M80">
            <v>21380</v>
          </cell>
          <cell r="Q80">
            <v>1540</v>
          </cell>
          <cell r="U80">
            <v>37260</v>
          </cell>
          <cell r="AE80">
            <v>525</v>
          </cell>
          <cell r="AF80">
            <v>525</v>
          </cell>
          <cell r="AK80">
            <v>38700</v>
          </cell>
          <cell r="AS80">
            <v>20</v>
          </cell>
          <cell r="BB80">
            <v>0</v>
          </cell>
          <cell r="BC80">
            <v>525</v>
          </cell>
          <cell r="BD80">
            <v>525</v>
          </cell>
          <cell r="BE80">
            <v>1540</v>
          </cell>
          <cell r="BF80">
            <v>770</v>
          </cell>
          <cell r="BG80">
            <v>0</v>
          </cell>
          <cell r="BH80">
            <v>0</v>
          </cell>
          <cell r="BI80">
            <v>97360</v>
          </cell>
          <cell r="BK80">
            <v>0.17499999999999999</v>
          </cell>
          <cell r="BL80">
            <v>3.2</v>
          </cell>
          <cell r="BN80">
            <v>0.4</v>
          </cell>
          <cell r="BO80">
            <v>54.2</v>
          </cell>
          <cell r="BR80">
            <v>11</v>
          </cell>
        </row>
        <row r="81">
          <cell r="A81">
            <v>39157</v>
          </cell>
          <cell r="E81">
            <v>1158</v>
          </cell>
          <cell r="J81">
            <v>1745</v>
          </cell>
          <cell r="K81">
            <v>0</v>
          </cell>
          <cell r="M81">
            <v>19600</v>
          </cell>
          <cell r="N81">
            <v>15660</v>
          </cell>
          <cell r="Q81">
            <v>1524</v>
          </cell>
          <cell r="U81">
            <v>39250</v>
          </cell>
          <cell r="AE81">
            <v>533</v>
          </cell>
          <cell r="AF81">
            <v>498</v>
          </cell>
          <cell r="AK81">
            <v>37650</v>
          </cell>
          <cell r="AS81">
            <v>20</v>
          </cell>
          <cell r="BB81">
            <v>15660</v>
          </cell>
          <cell r="BC81">
            <v>533</v>
          </cell>
          <cell r="BD81">
            <v>498</v>
          </cell>
          <cell r="BE81">
            <v>1524</v>
          </cell>
          <cell r="BF81">
            <v>1745</v>
          </cell>
          <cell r="BG81">
            <v>0</v>
          </cell>
          <cell r="BH81">
            <v>0</v>
          </cell>
          <cell r="BI81">
            <v>96520</v>
          </cell>
          <cell r="BK81">
            <v>0.2</v>
          </cell>
          <cell r="BL81">
            <v>3</v>
          </cell>
          <cell r="BN81">
            <v>0.4</v>
          </cell>
          <cell r="BO81">
            <v>53.8</v>
          </cell>
          <cell r="BR81">
            <v>11</v>
          </cell>
        </row>
        <row r="82">
          <cell r="A82">
            <v>39158</v>
          </cell>
          <cell r="E82">
            <v>1158</v>
          </cell>
          <cell r="J82">
            <v>1812</v>
          </cell>
          <cell r="K82">
            <v>87</v>
          </cell>
          <cell r="M82">
            <v>17700</v>
          </cell>
          <cell r="Q82">
            <v>1555</v>
          </cell>
          <cell r="U82">
            <v>37700</v>
          </cell>
          <cell r="AE82">
            <v>527</v>
          </cell>
          <cell r="AF82">
            <v>527</v>
          </cell>
          <cell r="AK82">
            <v>36550</v>
          </cell>
          <cell r="AS82">
            <v>20</v>
          </cell>
          <cell r="BB82">
            <v>0</v>
          </cell>
          <cell r="BC82">
            <v>527</v>
          </cell>
          <cell r="BD82">
            <v>527</v>
          </cell>
          <cell r="BE82">
            <v>1555</v>
          </cell>
          <cell r="BF82">
            <v>1812</v>
          </cell>
          <cell r="BG82">
            <v>87</v>
          </cell>
          <cell r="BH82">
            <v>0</v>
          </cell>
          <cell r="BI82">
            <v>91970</v>
          </cell>
          <cell r="BK82">
            <v>0.2</v>
          </cell>
          <cell r="BL82">
            <v>2.8</v>
          </cell>
          <cell r="BN82">
            <v>0.9</v>
          </cell>
          <cell r="BO82">
            <v>52.9</v>
          </cell>
          <cell r="BR82">
            <v>11</v>
          </cell>
        </row>
        <row r="83">
          <cell r="A83">
            <v>39159</v>
          </cell>
          <cell r="E83">
            <v>1158</v>
          </cell>
          <cell r="J83">
            <v>1659</v>
          </cell>
          <cell r="K83">
            <v>90</v>
          </cell>
          <cell r="M83">
            <v>15900</v>
          </cell>
          <cell r="Q83">
            <v>1504</v>
          </cell>
          <cell r="U83">
            <v>36200</v>
          </cell>
          <cell r="AE83">
            <v>438</v>
          </cell>
          <cell r="AF83">
            <v>432</v>
          </cell>
          <cell r="AK83">
            <v>35650</v>
          </cell>
          <cell r="AS83">
            <v>20</v>
          </cell>
          <cell r="BB83">
            <v>0</v>
          </cell>
          <cell r="BC83">
            <v>438</v>
          </cell>
          <cell r="BD83">
            <v>432</v>
          </cell>
          <cell r="BE83">
            <v>1504</v>
          </cell>
          <cell r="BF83">
            <v>1659</v>
          </cell>
          <cell r="BG83">
            <v>90</v>
          </cell>
          <cell r="BH83">
            <v>0</v>
          </cell>
          <cell r="BI83">
            <v>87770</v>
          </cell>
          <cell r="BK83">
            <v>0.2</v>
          </cell>
          <cell r="BL83">
            <v>2.6</v>
          </cell>
          <cell r="BN83">
            <v>0.7</v>
          </cell>
          <cell r="BO83">
            <v>52.2</v>
          </cell>
          <cell r="BR83">
            <v>11</v>
          </cell>
        </row>
        <row r="84">
          <cell r="A84">
            <v>39160</v>
          </cell>
          <cell r="E84">
            <v>1158</v>
          </cell>
          <cell r="J84">
            <v>1773</v>
          </cell>
          <cell r="K84">
            <v>16</v>
          </cell>
          <cell r="M84">
            <v>13850</v>
          </cell>
          <cell r="Q84">
            <v>1091</v>
          </cell>
          <cell r="U84">
            <v>35100</v>
          </cell>
          <cell r="AE84">
            <v>527</v>
          </cell>
          <cell r="AF84">
            <v>504</v>
          </cell>
          <cell r="AK84">
            <v>34600</v>
          </cell>
          <cell r="AS84">
            <v>20</v>
          </cell>
          <cell r="BB84">
            <v>0</v>
          </cell>
          <cell r="BC84">
            <v>527</v>
          </cell>
          <cell r="BD84">
            <v>504</v>
          </cell>
          <cell r="BE84">
            <v>1091</v>
          </cell>
          <cell r="BF84">
            <v>1773</v>
          </cell>
          <cell r="BG84">
            <v>16</v>
          </cell>
          <cell r="BH84">
            <v>0</v>
          </cell>
          <cell r="BI84">
            <v>83570</v>
          </cell>
          <cell r="BK84">
            <v>0.15</v>
          </cell>
          <cell r="BL84">
            <v>3.7250000000000001</v>
          </cell>
          <cell r="BM84">
            <v>33.58</v>
          </cell>
          <cell r="BN84">
            <v>0.5</v>
          </cell>
          <cell r="BO84">
            <v>85.2</v>
          </cell>
          <cell r="BR84">
            <v>11</v>
          </cell>
        </row>
        <row r="85">
          <cell r="A85">
            <v>39161</v>
          </cell>
          <cell r="E85">
            <v>1158</v>
          </cell>
          <cell r="J85">
            <v>1674</v>
          </cell>
          <cell r="K85">
            <v>134</v>
          </cell>
          <cell r="M85">
            <v>9100</v>
          </cell>
          <cell r="Q85">
            <v>747</v>
          </cell>
          <cell r="U85">
            <v>34360</v>
          </cell>
          <cell r="AE85">
            <v>376</v>
          </cell>
          <cell r="AF85">
            <v>363</v>
          </cell>
          <cell r="AK85">
            <v>33870</v>
          </cell>
          <cell r="AS85">
            <v>20</v>
          </cell>
          <cell r="BB85">
            <v>0</v>
          </cell>
          <cell r="BC85">
            <v>376</v>
          </cell>
          <cell r="BD85">
            <v>363</v>
          </cell>
          <cell r="BE85">
            <v>747</v>
          </cell>
          <cell r="BF85">
            <v>1674</v>
          </cell>
          <cell r="BG85">
            <v>134</v>
          </cell>
          <cell r="BH85">
            <v>0</v>
          </cell>
          <cell r="BI85">
            <v>77350</v>
          </cell>
          <cell r="BK85">
            <v>0.2</v>
          </cell>
          <cell r="BL85">
            <v>3.4750000000000001</v>
          </cell>
          <cell r="BN85">
            <v>0.5</v>
          </cell>
          <cell r="BO85">
            <v>84.6</v>
          </cell>
          <cell r="BR85">
            <v>11</v>
          </cell>
        </row>
        <row r="86">
          <cell r="A86">
            <v>39162</v>
          </cell>
          <cell r="E86">
            <v>1158</v>
          </cell>
          <cell r="J86">
            <v>1117</v>
          </cell>
          <cell r="K86">
            <v>117</v>
          </cell>
          <cell r="M86">
            <v>7800</v>
          </cell>
          <cell r="Q86">
            <v>1458</v>
          </cell>
          <cell r="U86">
            <v>39270</v>
          </cell>
          <cell r="AE86">
            <v>244</v>
          </cell>
          <cell r="AF86">
            <v>273</v>
          </cell>
          <cell r="AK86">
            <v>33200</v>
          </cell>
          <cell r="AS86">
            <v>20</v>
          </cell>
          <cell r="BB86">
            <v>0</v>
          </cell>
          <cell r="BC86">
            <v>244</v>
          </cell>
          <cell r="BD86">
            <v>273</v>
          </cell>
          <cell r="BE86">
            <v>1458</v>
          </cell>
          <cell r="BF86">
            <v>1117</v>
          </cell>
          <cell r="BG86">
            <v>117</v>
          </cell>
          <cell r="BH86">
            <v>0</v>
          </cell>
          <cell r="BI86">
            <v>80290</v>
          </cell>
          <cell r="BK86">
            <v>0.2</v>
          </cell>
          <cell r="BL86">
            <v>3.2749999999999999</v>
          </cell>
          <cell r="BN86">
            <v>0.6</v>
          </cell>
          <cell r="BO86">
            <v>84</v>
          </cell>
          <cell r="BR86">
            <v>11</v>
          </cell>
        </row>
        <row r="87">
          <cell r="A87">
            <v>39163</v>
          </cell>
          <cell r="E87">
            <v>1158</v>
          </cell>
          <cell r="J87">
            <v>284</v>
          </cell>
          <cell r="K87">
            <v>126</v>
          </cell>
          <cell r="M87">
            <v>7300</v>
          </cell>
          <cell r="Q87">
            <v>1440</v>
          </cell>
          <cell r="U87">
            <v>46800</v>
          </cell>
          <cell r="AE87">
            <v>484</v>
          </cell>
          <cell r="AF87">
            <v>512</v>
          </cell>
          <cell r="AK87">
            <v>32200</v>
          </cell>
          <cell r="AS87">
            <v>20</v>
          </cell>
          <cell r="BB87">
            <v>0</v>
          </cell>
          <cell r="BC87">
            <v>484</v>
          </cell>
          <cell r="BD87">
            <v>512</v>
          </cell>
          <cell r="BE87">
            <v>1440</v>
          </cell>
          <cell r="BF87">
            <v>284</v>
          </cell>
          <cell r="BG87">
            <v>126</v>
          </cell>
          <cell r="BH87">
            <v>0</v>
          </cell>
          <cell r="BI87">
            <v>86320</v>
          </cell>
          <cell r="BK87">
            <v>0.15</v>
          </cell>
          <cell r="BL87">
            <v>3.125</v>
          </cell>
          <cell r="BN87">
            <v>0.6</v>
          </cell>
          <cell r="BO87">
            <v>83.4</v>
          </cell>
          <cell r="BR87">
            <v>11</v>
          </cell>
        </row>
        <row r="88">
          <cell r="A88">
            <v>39164</v>
          </cell>
          <cell r="E88">
            <v>1158</v>
          </cell>
          <cell r="J88">
            <v>1560</v>
          </cell>
          <cell r="K88">
            <v>57</v>
          </cell>
          <cell r="M88">
            <v>5700</v>
          </cell>
          <cell r="Q88">
            <v>1537</v>
          </cell>
          <cell r="U88">
            <v>51700</v>
          </cell>
          <cell r="AE88">
            <v>493</v>
          </cell>
          <cell r="AF88">
            <v>503</v>
          </cell>
          <cell r="AK88">
            <v>31100</v>
          </cell>
          <cell r="AS88">
            <v>20</v>
          </cell>
          <cell r="BB88">
            <v>0</v>
          </cell>
          <cell r="BC88">
            <v>493</v>
          </cell>
          <cell r="BD88">
            <v>503</v>
          </cell>
          <cell r="BE88">
            <v>1537</v>
          </cell>
          <cell r="BF88">
            <v>1560</v>
          </cell>
          <cell r="BG88">
            <v>57</v>
          </cell>
          <cell r="BH88">
            <v>0</v>
          </cell>
          <cell r="BI88">
            <v>88520</v>
          </cell>
          <cell r="BK88">
            <v>0.2</v>
          </cell>
          <cell r="BL88">
            <v>2.9249999999999998</v>
          </cell>
          <cell r="BN88">
            <v>0.6</v>
          </cell>
          <cell r="BO88">
            <v>82.8</v>
          </cell>
          <cell r="BR88">
            <v>11</v>
          </cell>
        </row>
        <row r="89">
          <cell r="A89">
            <v>39165</v>
          </cell>
          <cell r="E89">
            <v>1158</v>
          </cell>
          <cell r="J89">
            <v>1519</v>
          </cell>
          <cell r="K89">
            <v>58</v>
          </cell>
          <cell r="M89">
            <v>4200</v>
          </cell>
          <cell r="N89">
            <v>22355</v>
          </cell>
          <cell r="Q89">
            <v>1474</v>
          </cell>
          <cell r="U89">
            <v>50700</v>
          </cell>
          <cell r="AE89">
            <v>477</v>
          </cell>
          <cell r="AF89">
            <v>487</v>
          </cell>
          <cell r="AK89">
            <v>30000</v>
          </cell>
          <cell r="AS89">
            <v>20</v>
          </cell>
          <cell r="BB89">
            <v>22355</v>
          </cell>
          <cell r="BC89">
            <v>477</v>
          </cell>
          <cell r="BD89">
            <v>487</v>
          </cell>
          <cell r="BE89">
            <v>1474</v>
          </cell>
          <cell r="BF89">
            <v>1519</v>
          </cell>
          <cell r="BG89">
            <v>58</v>
          </cell>
          <cell r="BH89">
            <v>0</v>
          </cell>
          <cell r="BI89">
            <v>84920</v>
          </cell>
          <cell r="BK89">
            <v>0.2</v>
          </cell>
          <cell r="BL89">
            <v>2.7549999999999999</v>
          </cell>
          <cell r="BN89">
            <v>0.6</v>
          </cell>
          <cell r="BO89">
            <v>82.2</v>
          </cell>
          <cell r="BR89">
            <v>11</v>
          </cell>
        </row>
        <row r="90">
          <cell r="A90">
            <v>39166</v>
          </cell>
          <cell r="E90">
            <v>1158</v>
          </cell>
          <cell r="J90">
            <v>1711</v>
          </cell>
          <cell r="K90">
            <v>95</v>
          </cell>
          <cell r="M90">
            <v>2400</v>
          </cell>
          <cell r="Q90">
            <v>636</v>
          </cell>
          <cell r="U90">
            <v>50100</v>
          </cell>
          <cell r="AE90">
            <v>515</v>
          </cell>
          <cell r="AF90">
            <v>524</v>
          </cell>
          <cell r="AK90">
            <v>29000</v>
          </cell>
          <cell r="AS90">
            <v>20</v>
          </cell>
          <cell r="BB90">
            <v>0</v>
          </cell>
          <cell r="BC90">
            <v>515</v>
          </cell>
          <cell r="BD90">
            <v>524</v>
          </cell>
          <cell r="BE90">
            <v>636</v>
          </cell>
          <cell r="BF90">
            <v>1711</v>
          </cell>
          <cell r="BG90">
            <v>95</v>
          </cell>
          <cell r="BH90">
            <v>0</v>
          </cell>
          <cell r="BI90">
            <v>81520</v>
          </cell>
          <cell r="BK90">
            <v>0.15</v>
          </cell>
          <cell r="BL90">
            <v>2.5550000000000002</v>
          </cell>
          <cell r="BN90">
            <v>0.5</v>
          </cell>
          <cell r="BO90">
            <v>81.7</v>
          </cell>
          <cell r="BR90">
            <v>11</v>
          </cell>
        </row>
        <row r="91">
          <cell r="A91">
            <v>39167</v>
          </cell>
          <cell r="E91">
            <v>1158</v>
          </cell>
          <cell r="J91">
            <v>1218</v>
          </cell>
          <cell r="K91">
            <v>100</v>
          </cell>
          <cell r="M91">
            <v>850</v>
          </cell>
          <cell r="Q91">
            <v>758</v>
          </cell>
          <cell r="U91">
            <v>49400</v>
          </cell>
          <cell r="AE91">
            <v>369</v>
          </cell>
          <cell r="AF91">
            <v>499</v>
          </cell>
          <cell r="AK91">
            <v>28000</v>
          </cell>
          <cell r="AS91">
            <v>20</v>
          </cell>
          <cell r="BB91">
            <v>0</v>
          </cell>
          <cell r="BC91">
            <v>369</v>
          </cell>
          <cell r="BD91">
            <v>499</v>
          </cell>
          <cell r="BE91">
            <v>758</v>
          </cell>
          <cell r="BF91">
            <v>1218</v>
          </cell>
          <cell r="BG91">
            <v>100</v>
          </cell>
          <cell r="BH91">
            <v>0</v>
          </cell>
          <cell r="BI91">
            <v>78270</v>
          </cell>
          <cell r="BJ91">
            <v>1</v>
          </cell>
          <cell r="BK91">
            <v>0.15</v>
          </cell>
          <cell r="BL91">
            <v>3.56</v>
          </cell>
          <cell r="BN91">
            <v>0.4</v>
          </cell>
          <cell r="BO91">
            <v>80.099999999999994</v>
          </cell>
          <cell r="BR91">
            <v>11</v>
          </cell>
        </row>
        <row r="92">
          <cell r="A92">
            <v>39168</v>
          </cell>
          <cell r="E92">
            <v>1158</v>
          </cell>
          <cell r="J92">
            <v>730</v>
          </cell>
          <cell r="K92">
            <v>171</v>
          </cell>
          <cell r="M92">
            <v>0</v>
          </cell>
          <cell r="Q92">
            <v>1344</v>
          </cell>
          <cell r="U92">
            <v>48000</v>
          </cell>
          <cell r="AE92">
            <v>423</v>
          </cell>
          <cell r="AF92">
            <v>430</v>
          </cell>
          <cell r="AK92">
            <v>27700</v>
          </cell>
          <cell r="AS92">
            <v>20</v>
          </cell>
          <cell r="BB92">
            <v>0</v>
          </cell>
          <cell r="BC92">
            <v>423</v>
          </cell>
          <cell r="BD92">
            <v>430</v>
          </cell>
          <cell r="BE92">
            <v>1344</v>
          </cell>
          <cell r="BF92">
            <v>730</v>
          </cell>
          <cell r="BG92">
            <v>171</v>
          </cell>
          <cell r="BH92">
            <v>0</v>
          </cell>
          <cell r="BI92">
            <v>75720</v>
          </cell>
          <cell r="BK92">
            <v>0.2</v>
          </cell>
          <cell r="BL92">
            <v>3.36</v>
          </cell>
          <cell r="BN92">
            <v>0.4</v>
          </cell>
          <cell r="BO92">
            <v>79.7</v>
          </cell>
          <cell r="BR92">
            <v>11</v>
          </cell>
        </row>
        <row r="93">
          <cell r="A93">
            <v>39169</v>
          </cell>
          <cell r="E93">
            <v>1158</v>
          </cell>
          <cell r="J93">
            <v>1689</v>
          </cell>
          <cell r="K93">
            <v>62</v>
          </cell>
          <cell r="M93">
            <v>7000</v>
          </cell>
          <cell r="Q93">
            <v>1527</v>
          </cell>
          <cell r="U93">
            <v>46500</v>
          </cell>
          <cell r="AE93">
            <v>205</v>
          </cell>
          <cell r="AF93">
            <v>211</v>
          </cell>
          <cell r="AK93">
            <v>26800</v>
          </cell>
          <cell r="AS93">
            <v>20</v>
          </cell>
          <cell r="BB93">
            <v>0</v>
          </cell>
          <cell r="BC93">
            <v>205</v>
          </cell>
          <cell r="BD93">
            <v>211</v>
          </cell>
          <cell r="BE93">
            <v>1527</v>
          </cell>
          <cell r="BF93">
            <v>1689</v>
          </cell>
          <cell r="BG93">
            <v>62</v>
          </cell>
          <cell r="BH93">
            <v>0</v>
          </cell>
          <cell r="BI93">
            <v>80320</v>
          </cell>
          <cell r="BK93">
            <v>0.2</v>
          </cell>
          <cell r="BL93">
            <v>3.16</v>
          </cell>
          <cell r="BN93">
            <v>0.2</v>
          </cell>
          <cell r="BO93">
            <v>79.5</v>
          </cell>
          <cell r="BR93">
            <v>11</v>
          </cell>
        </row>
        <row r="94">
          <cell r="A94">
            <v>39170</v>
          </cell>
          <cell r="E94">
            <v>1158</v>
          </cell>
          <cell r="J94">
            <v>1663</v>
          </cell>
          <cell r="K94">
            <v>70</v>
          </cell>
          <cell r="L94">
            <v>72.44</v>
          </cell>
          <cell r="M94">
            <v>14300</v>
          </cell>
          <cell r="Q94">
            <v>1527</v>
          </cell>
          <cell r="U94">
            <v>44900</v>
          </cell>
          <cell r="AE94">
            <v>298</v>
          </cell>
          <cell r="AF94">
            <v>302</v>
          </cell>
          <cell r="AK94">
            <v>26200</v>
          </cell>
          <cell r="AS94">
            <v>20</v>
          </cell>
          <cell r="BB94">
            <v>0</v>
          </cell>
          <cell r="BC94">
            <v>298</v>
          </cell>
          <cell r="BD94">
            <v>302</v>
          </cell>
          <cell r="BE94">
            <v>1527</v>
          </cell>
          <cell r="BF94">
            <v>1663</v>
          </cell>
          <cell r="BG94">
            <v>70</v>
          </cell>
          <cell r="BH94">
            <v>72.44</v>
          </cell>
          <cell r="BI94">
            <v>85420</v>
          </cell>
          <cell r="BK94">
            <v>0.16</v>
          </cell>
          <cell r="BL94">
            <v>3</v>
          </cell>
          <cell r="BN94">
            <v>0.3</v>
          </cell>
          <cell r="BO94">
            <v>79.2</v>
          </cell>
          <cell r="BR94">
            <v>11</v>
          </cell>
        </row>
        <row r="95">
          <cell r="A95">
            <v>39171</v>
          </cell>
          <cell r="E95">
            <v>1158</v>
          </cell>
          <cell r="F95">
            <v>25915</v>
          </cell>
          <cell r="J95">
            <v>1780</v>
          </cell>
          <cell r="K95">
            <v>189</v>
          </cell>
          <cell r="M95">
            <v>20300</v>
          </cell>
          <cell r="Q95">
            <v>1498</v>
          </cell>
          <cell r="U95">
            <v>43400</v>
          </cell>
          <cell r="AE95">
            <v>512</v>
          </cell>
          <cell r="AF95">
            <v>516</v>
          </cell>
          <cell r="AK95">
            <v>25200</v>
          </cell>
          <cell r="AS95">
            <v>20</v>
          </cell>
          <cell r="BB95">
            <v>25915</v>
          </cell>
          <cell r="BC95">
            <v>512</v>
          </cell>
          <cell r="BD95">
            <v>516</v>
          </cell>
          <cell r="BE95">
            <v>1498</v>
          </cell>
          <cell r="BF95">
            <v>1780</v>
          </cell>
          <cell r="BG95">
            <v>189</v>
          </cell>
          <cell r="BH95">
            <v>0</v>
          </cell>
          <cell r="BI95">
            <v>88920</v>
          </cell>
          <cell r="BK95">
            <v>0.2</v>
          </cell>
          <cell r="BL95">
            <v>2.7669999999999999</v>
          </cell>
          <cell r="BN95">
            <v>7.0000000000000007E-2</v>
          </cell>
          <cell r="BO95">
            <v>78.400000000000006</v>
          </cell>
          <cell r="BR95">
            <v>11</v>
          </cell>
        </row>
        <row r="96">
          <cell r="A96">
            <v>39172</v>
          </cell>
          <cell r="E96">
            <v>1158</v>
          </cell>
          <cell r="F96">
            <v>-1137</v>
          </cell>
          <cell r="J96">
            <v>1651</v>
          </cell>
          <cell r="K96">
            <v>166</v>
          </cell>
          <cell r="L96">
            <v>2884</v>
          </cell>
          <cell r="M96">
            <v>18500</v>
          </cell>
          <cell r="N96">
            <v>-2034</v>
          </cell>
          <cell r="Q96">
            <v>1435</v>
          </cell>
          <cell r="U96">
            <v>41900</v>
          </cell>
          <cell r="AD96">
            <v>-818</v>
          </cell>
          <cell r="AE96">
            <v>530</v>
          </cell>
          <cell r="AF96">
            <v>524</v>
          </cell>
          <cell r="AK96">
            <v>24100</v>
          </cell>
          <cell r="AS96">
            <v>20</v>
          </cell>
          <cell r="BB96">
            <v>-3989</v>
          </cell>
          <cell r="BC96">
            <v>530</v>
          </cell>
          <cell r="BD96">
            <v>524</v>
          </cell>
          <cell r="BE96">
            <v>1435</v>
          </cell>
          <cell r="BF96">
            <v>1651</v>
          </cell>
          <cell r="BG96">
            <v>166</v>
          </cell>
          <cell r="BH96">
            <v>2884</v>
          </cell>
          <cell r="BI96">
            <v>84520</v>
          </cell>
          <cell r="BJ96">
            <v>17</v>
          </cell>
          <cell r="BK96">
            <v>-0.24</v>
          </cell>
          <cell r="BL96">
            <v>2.5670000000000002</v>
          </cell>
          <cell r="BM96">
            <v>33.42</v>
          </cell>
          <cell r="BN96">
            <v>2.2270000000000003</v>
          </cell>
          <cell r="BO96">
            <v>77.599999999999994</v>
          </cell>
          <cell r="BR96">
            <v>11</v>
          </cell>
        </row>
        <row r="97">
          <cell r="A97">
            <v>39173</v>
          </cell>
          <cell r="E97">
            <v>1158</v>
          </cell>
          <cell r="J97">
            <v>1761</v>
          </cell>
          <cell r="K97">
            <v>186</v>
          </cell>
          <cell r="M97">
            <v>16600</v>
          </cell>
          <cell r="Q97">
            <v>1528</v>
          </cell>
          <cell r="U97">
            <v>40300</v>
          </cell>
          <cell r="AE97">
            <v>523</v>
          </cell>
          <cell r="AF97">
            <v>526</v>
          </cell>
          <cell r="AK97">
            <v>23000</v>
          </cell>
          <cell r="AS97">
            <v>20</v>
          </cell>
          <cell r="BB97">
            <v>0</v>
          </cell>
          <cell r="BC97">
            <v>523</v>
          </cell>
          <cell r="BD97">
            <v>526</v>
          </cell>
          <cell r="BE97">
            <v>1528</v>
          </cell>
          <cell r="BF97">
            <v>1761</v>
          </cell>
          <cell r="BG97">
            <v>186</v>
          </cell>
          <cell r="BH97">
            <v>0</v>
          </cell>
          <cell r="BI97">
            <v>79920</v>
          </cell>
          <cell r="BK97">
            <v>0.2</v>
          </cell>
          <cell r="BL97">
            <v>2.4</v>
          </cell>
          <cell r="BN97">
            <v>0.7</v>
          </cell>
          <cell r="BO97">
            <v>76.900000000000006</v>
          </cell>
          <cell r="BR97">
            <v>11</v>
          </cell>
        </row>
        <row r="98">
          <cell r="A98">
            <v>39174</v>
          </cell>
          <cell r="E98">
            <v>1158</v>
          </cell>
          <cell r="J98">
            <v>1711</v>
          </cell>
          <cell r="K98">
            <v>67</v>
          </cell>
          <cell r="M98">
            <v>19700</v>
          </cell>
          <cell r="Q98">
            <v>1095</v>
          </cell>
          <cell r="U98">
            <v>39200</v>
          </cell>
          <cell r="AE98">
            <v>499</v>
          </cell>
          <cell r="AF98">
            <v>516</v>
          </cell>
          <cell r="AK98">
            <v>21900</v>
          </cell>
          <cell r="AS98">
            <v>20</v>
          </cell>
          <cell r="BB98">
            <v>0</v>
          </cell>
          <cell r="BC98">
            <v>499</v>
          </cell>
          <cell r="BD98">
            <v>516</v>
          </cell>
          <cell r="BE98">
            <v>1095</v>
          </cell>
          <cell r="BF98">
            <v>1711</v>
          </cell>
          <cell r="BG98">
            <v>67</v>
          </cell>
          <cell r="BH98">
            <v>0</v>
          </cell>
          <cell r="BI98">
            <v>80820</v>
          </cell>
          <cell r="BK98">
            <v>0.2</v>
          </cell>
          <cell r="BL98">
            <v>2.2000000000000002</v>
          </cell>
          <cell r="BM98">
            <v>33</v>
          </cell>
          <cell r="BN98">
            <v>0.4</v>
          </cell>
          <cell r="BO98">
            <v>109.5</v>
          </cell>
          <cell r="BR98">
            <v>11</v>
          </cell>
        </row>
        <row r="99">
          <cell r="A99">
            <v>39175</v>
          </cell>
          <cell r="E99">
            <v>1158</v>
          </cell>
          <cell r="J99">
            <v>1654</v>
          </cell>
          <cell r="K99">
            <v>94</v>
          </cell>
          <cell r="M99">
            <v>27000</v>
          </cell>
          <cell r="Q99">
            <v>667</v>
          </cell>
          <cell r="U99">
            <v>38600</v>
          </cell>
          <cell r="AE99">
            <v>296</v>
          </cell>
          <cell r="AF99">
            <v>255</v>
          </cell>
          <cell r="AK99">
            <v>19000</v>
          </cell>
          <cell r="AS99">
            <v>20</v>
          </cell>
          <cell r="BB99">
            <v>0</v>
          </cell>
          <cell r="BC99">
            <v>296</v>
          </cell>
          <cell r="BD99">
            <v>255</v>
          </cell>
          <cell r="BE99">
            <v>667</v>
          </cell>
          <cell r="BF99">
            <v>1654</v>
          </cell>
          <cell r="BG99">
            <v>94</v>
          </cell>
          <cell r="BH99">
            <v>0</v>
          </cell>
          <cell r="BI99">
            <v>84620</v>
          </cell>
          <cell r="BK99">
            <v>0.1</v>
          </cell>
          <cell r="BL99">
            <v>2.1</v>
          </cell>
          <cell r="BN99">
            <v>0.3</v>
          </cell>
          <cell r="BO99">
            <v>109.2</v>
          </cell>
          <cell r="BR99">
            <v>11</v>
          </cell>
        </row>
        <row r="100">
          <cell r="A100">
            <v>39176</v>
          </cell>
          <cell r="E100">
            <v>1158</v>
          </cell>
          <cell r="F100">
            <v>15800</v>
          </cell>
          <cell r="J100">
            <v>1172</v>
          </cell>
          <cell r="K100">
            <v>77</v>
          </cell>
          <cell r="M100">
            <v>27700</v>
          </cell>
          <cell r="Q100">
            <v>1564</v>
          </cell>
          <cell r="U100">
            <v>37000</v>
          </cell>
          <cell r="AE100">
            <v>308</v>
          </cell>
          <cell r="AF100">
            <v>318</v>
          </cell>
          <cell r="AK100">
            <v>18300</v>
          </cell>
          <cell r="AS100">
            <v>20</v>
          </cell>
          <cell r="BB100">
            <v>15800</v>
          </cell>
          <cell r="BC100">
            <v>308</v>
          </cell>
          <cell r="BD100">
            <v>318</v>
          </cell>
          <cell r="BE100">
            <v>1564</v>
          </cell>
          <cell r="BF100">
            <v>1172</v>
          </cell>
          <cell r="BG100">
            <v>77</v>
          </cell>
          <cell r="BH100">
            <v>0</v>
          </cell>
          <cell r="BI100">
            <v>83020</v>
          </cell>
          <cell r="BK100">
            <v>0.1</v>
          </cell>
          <cell r="BL100">
            <v>2</v>
          </cell>
          <cell r="BN100">
            <v>0.7</v>
          </cell>
          <cell r="BO100">
            <v>108.8</v>
          </cell>
          <cell r="BR100">
            <v>11</v>
          </cell>
        </row>
        <row r="101">
          <cell r="A101">
            <v>39177</v>
          </cell>
          <cell r="E101">
            <v>1158</v>
          </cell>
          <cell r="J101">
            <v>707</v>
          </cell>
          <cell r="K101">
            <v>70</v>
          </cell>
          <cell r="L101">
            <v>470</v>
          </cell>
          <cell r="M101">
            <v>26500</v>
          </cell>
          <cell r="Q101">
            <v>1536</v>
          </cell>
          <cell r="U101">
            <v>35500</v>
          </cell>
          <cell r="AE101">
            <v>405</v>
          </cell>
          <cell r="AF101">
            <v>404</v>
          </cell>
          <cell r="AK101">
            <v>17400</v>
          </cell>
          <cell r="AS101">
            <v>20</v>
          </cell>
          <cell r="BB101">
            <v>0</v>
          </cell>
          <cell r="BC101">
            <v>405</v>
          </cell>
          <cell r="BD101">
            <v>404</v>
          </cell>
          <cell r="BE101">
            <v>1536</v>
          </cell>
          <cell r="BF101">
            <v>707</v>
          </cell>
          <cell r="BG101">
            <v>70</v>
          </cell>
          <cell r="BH101">
            <v>470</v>
          </cell>
          <cell r="BI101">
            <v>79420</v>
          </cell>
          <cell r="BK101">
            <v>0.2</v>
          </cell>
          <cell r="BL101">
            <v>1.8</v>
          </cell>
          <cell r="BN101">
            <v>0.4</v>
          </cell>
          <cell r="BO101">
            <v>108.4</v>
          </cell>
          <cell r="BR101">
            <v>11</v>
          </cell>
        </row>
        <row r="102">
          <cell r="A102">
            <v>39178</v>
          </cell>
          <cell r="E102">
            <v>1158</v>
          </cell>
          <cell r="J102">
            <v>1572</v>
          </cell>
          <cell r="K102">
            <v>0</v>
          </cell>
          <cell r="L102">
            <v>403.22</v>
          </cell>
          <cell r="M102">
            <v>24400</v>
          </cell>
          <cell r="Q102">
            <v>1485</v>
          </cell>
          <cell r="U102">
            <v>34000</v>
          </cell>
          <cell r="AE102">
            <v>519</v>
          </cell>
          <cell r="AF102">
            <v>526</v>
          </cell>
          <cell r="AK102">
            <v>16300</v>
          </cell>
          <cell r="AS102">
            <v>20</v>
          </cell>
          <cell r="BB102">
            <v>0</v>
          </cell>
          <cell r="BC102">
            <v>519</v>
          </cell>
          <cell r="BD102">
            <v>526</v>
          </cell>
          <cell r="BE102">
            <v>1485</v>
          </cell>
          <cell r="BF102">
            <v>1572</v>
          </cell>
          <cell r="BG102">
            <v>0</v>
          </cell>
          <cell r="BH102">
            <v>403.22</v>
          </cell>
          <cell r="BI102">
            <v>74720</v>
          </cell>
          <cell r="BJ102">
            <v>3</v>
          </cell>
          <cell r="BK102">
            <v>0.2</v>
          </cell>
          <cell r="BL102">
            <v>4.25</v>
          </cell>
          <cell r="BN102">
            <v>0.3</v>
          </cell>
          <cell r="BO102">
            <v>108.5</v>
          </cell>
          <cell r="BR102">
            <v>11.4</v>
          </cell>
        </row>
        <row r="103">
          <cell r="A103">
            <v>39179</v>
          </cell>
          <cell r="E103">
            <v>1158</v>
          </cell>
          <cell r="J103">
            <v>1670</v>
          </cell>
          <cell r="K103">
            <v>0</v>
          </cell>
          <cell r="M103">
            <v>22700</v>
          </cell>
          <cell r="Q103">
            <v>1485</v>
          </cell>
          <cell r="U103">
            <v>32500</v>
          </cell>
          <cell r="AE103">
            <v>520</v>
          </cell>
          <cell r="AF103">
            <v>528</v>
          </cell>
          <cell r="AK103">
            <v>15200</v>
          </cell>
          <cell r="AS103">
            <v>20</v>
          </cell>
          <cell r="BB103">
            <v>0</v>
          </cell>
          <cell r="BC103">
            <v>520</v>
          </cell>
          <cell r="BD103">
            <v>528</v>
          </cell>
          <cell r="BE103">
            <v>1485</v>
          </cell>
          <cell r="BF103">
            <v>1670</v>
          </cell>
          <cell r="BG103">
            <v>0</v>
          </cell>
          <cell r="BH103">
            <v>0</v>
          </cell>
          <cell r="BI103">
            <v>70420</v>
          </cell>
          <cell r="BK103">
            <v>0.15</v>
          </cell>
          <cell r="BL103">
            <v>4.0999999999999996</v>
          </cell>
          <cell r="BN103">
            <v>0.4</v>
          </cell>
          <cell r="BO103">
            <v>108.1</v>
          </cell>
          <cell r="BR103">
            <v>11.4</v>
          </cell>
        </row>
        <row r="104">
          <cell r="A104">
            <v>39180</v>
          </cell>
          <cell r="E104">
            <v>1158</v>
          </cell>
          <cell r="J104">
            <v>1617</v>
          </cell>
          <cell r="K104">
            <v>0</v>
          </cell>
          <cell r="M104">
            <v>25500</v>
          </cell>
          <cell r="Q104">
            <v>1471</v>
          </cell>
          <cell r="U104">
            <v>31000</v>
          </cell>
          <cell r="AE104">
            <v>517</v>
          </cell>
          <cell r="AF104">
            <v>519</v>
          </cell>
          <cell r="AK104">
            <v>14150</v>
          </cell>
          <cell r="AS104">
            <v>20</v>
          </cell>
          <cell r="BB104">
            <v>0</v>
          </cell>
          <cell r="BC104">
            <v>517</v>
          </cell>
          <cell r="BD104">
            <v>519</v>
          </cell>
          <cell r="BE104">
            <v>1471</v>
          </cell>
          <cell r="BF104">
            <v>1617</v>
          </cell>
          <cell r="BG104">
            <v>0</v>
          </cell>
          <cell r="BH104">
            <v>0</v>
          </cell>
          <cell r="BI104">
            <v>70670</v>
          </cell>
          <cell r="BK104">
            <v>0.2</v>
          </cell>
          <cell r="BL104">
            <v>3.9</v>
          </cell>
          <cell r="BN104">
            <v>0.4</v>
          </cell>
          <cell r="BO104">
            <v>107.5</v>
          </cell>
          <cell r="BR104">
            <v>11.4</v>
          </cell>
        </row>
        <row r="105">
          <cell r="A105">
            <v>39181</v>
          </cell>
          <cell r="E105">
            <v>1158</v>
          </cell>
          <cell r="J105">
            <v>1606</v>
          </cell>
          <cell r="K105">
            <v>0</v>
          </cell>
          <cell r="M105">
            <v>31400</v>
          </cell>
          <cell r="Q105">
            <v>1004</v>
          </cell>
          <cell r="U105">
            <v>30000</v>
          </cell>
          <cell r="AE105">
            <v>499</v>
          </cell>
          <cell r="AF105">
            <v>495</v>
          </cell>
          <cell r="AK105">
            <v>13150</v>
          </cell>
          <cell r="AS105">
            <v>20</v>
          </cell>
          <cell r="BB105">
            <v>0</v>
          </cell>
          <cell r="BC105">
            <v>499</v>
          </cell>
          <cell r="BD105">
            <v>495</v>
          </cell>
          <cell r="BE105">
            <v>1004</v>
          </cell>
          <cell r="BF105">
            <v>1606</v>
          </cell>
          <cell r="BG105">
            <v>0</v>
          </cell>
          <cell r="BH105">
            <v>0</v>
          </cell>
          <cell r="BI105">
            <v>74570</v>
          </cell>
          <cell r="BK105">
            <v>0.15</v>
          </cell>
          <cell r="BL105">
            <v>3.75</v>
          </cell>
          <cell r="BN105">
            <v>0.4</v>
          </cell>
          <cell r="BO105">
            <v>107.1</v>
          </cell>
          <cell r="BR105">
            <v>11.4</v>
          </cell>
        </row>
        <row r="106">
          <cell r="A106">
            <v>39182</v>
          </cell>
          <cell r="E106">
            <v>1158</v>
          </cell>
          <cell r="J106">
            <v>1727</v>
          </cell>
          <cell r="K106">
            <v>0</v>
          </cell>
          <cell r="L106">
            <v>452.2</v>
          </cell>
          <cell r="M106">
            <v>36700</v>
          </cell>
          <cell r="Q106">
            <v>763</v>
          </cell>
          <cell r="U106">
            <v>29200</v>
          </cell>
          <cell r="AE106">
            <v>369</v>
          </cell>
          <cell r="AF106">
            <v>372</v>
          </cell>
          <cell r="AK106">
            <v>12400</v>
          </cell>
          <cell r="AS106">
            <v>20</v>
          </cell>
          <cell r="BB106">
            <v>0</v>
          </cell>
          <cell r="BC106">
            <v>369</v>
          </cell>
          <cell r="BD106">
            <v>372</v>
          </cell>
          <cell r="BE106">
            <v>763</v>
          </cell>
          <cell r="BF106">
            <v>1727</v>
          </cell>
          <cell r="BG106">
            <v>0</v>
          </cell>
          <cell r="BH106">
            <v>452.2</v>
          </cell>
          <cell r="BI106">
            <v>78320</v>
          </cell>
          <cell r="BK106">
            <v>0.1</v>
          </cell>
          <cell r="BL106">
            <v>3.6</v>
          </cell>
          <cell r="BN106">
            <v>0.6</v>
          </cell>
          <cell r="BO106">
            <v>106.3</v>
          </cell>
          <cell r="BR106">
            <v>11</v>
          </cell>
        </row>
        <row r="107">
          <cell r="A107">
            <v>39183</v>
          </cell>
          <cell r="E107">
            <v>1158</v>
          </cell>
          <cell r="F107">
            <v>25453</v>
          </cell>
          <cell r="J107">
            <v>1198</v>
          </cell>
          <cell r="K107">
            <v>0</v>
          </cell>
          <cell r="L107">
            <v>227.2</v>
          </cell>
          <cell r="M107">
            <v>41250</v>
          </cell>
          <cell r="Q107">
            <v>1528</v>
          </cell>
          <cell r="U107">
            <v>27650</v>
          </cell>
          <cell r="AE107">
            <v>275</v>
          </cell>
          <cell r="AF107">
            <v>282</v>
          </cell>
          <cell r="AK107">
            <v>11800</v>
          </cell>
          <cell r="AS107">
            <v>20</v>
          </cell>
          <cell r="BB107">
            <v>25453</v>
          </cell>
          <cell r="BC107">
            <v>275</v>
          </cell>
          <cell r="BD107">
            <v>282</v>
          </cell>
          <cell r="BE107">
            <v>1528</v>
          </cell>
          <cell r="BF107">
            <v>1198</v>
          </cell>
          <cell r="BG107">
            <v>0</v>
          </cell>
          <cell r="BH107">
            <v>227.2</v>
          </cell>
          <cell r="BI107">
            <v>80720</v>
          </cell>
          <cell r="BK107">
            <v>0.1</v>
          </cell>
          <cell r="BL107">
            <v>3.5</v>
          </cell>
          <cell r="BN107">
            <v>0.9</v>
          </cell>
          <cell r="BO107">
            <v>105.4</v>
          </cell>
          <cell r="BR107">
            <v>11</v>
          </cell>
        </row>
        <row r="108">
          <cell r="A108">
            <v>39184</v>
          </cell>
          <cell r="E108">
            <v>1158</v>
          </cell>
          <cell r="J108">
            <v>431</v>
          </cell>
          <cell r="K108">
            <v>0</v>
          </cell>
          <cell r="M108">
            <v>40800</v>
          </cell>
          <cell r="O108">
            <v>443</v>
          </cell>
          <cell r="P108">
            <v>444</v>
          </cell>
          <cell r="Q108">
            <v>1463</v>
          </cell>
          <cell r="U108">
            <v>25300</v>
          </cell>
          <cell r="AK108">
            <v>11800</v>
          </cell>
          <cell r="AS108">
            <v>20</v>
          </cell>
          <cell r="BB108">
            <v>0</v>
          </cell>
          <cell r="BC108">
            <v>443</v>
          </cell>
          <cell r="BD108">
            <v>444</v>
          </cell>
          <cell r="BE108">
            <v>1463</v>
          </cell>
          <cell r="BF108">
            <v>431</v>
          </cell>
          <cell r="BG108">
            <v>0</v>
          </cell>
          <cell r="BH108">
            <v>0</v>
          </cell>
          <cell r="BI108">
            <v>77920</v>
          </cell>
          <cell r="BK108">
            <v>0.15</v>
          </cell>
          <cell r="BL108">
            <v>3.35</v>
          </cell>
          <cell r="BN108">
            <v>0.4</v>
          </cell>
          <cell r="BO108">
            <v>105</v>
          </cell>
          <cell r="BR108">
            <v>11</v>
          </cell>
        </row>
        <row r="109">
          <cell r="A109">
            <v>39185</v>
          </cell>
          <cell r="E109">
            <v>1158</v>
          </cell>
          <cell r="J109">
            <v>1700</v>
          </cell>
          <cell r="K109">
            <v>0</v>
          </cell>
          <cell r="M109">
            <v>39100</v>
          </cell>
          <cell r="O109">
            <v>494</v>
          </cell>
          <cell r="P109">
            <v>504</v>
          </cell>
          <cell r="Q109">
            <v>1480</v>
          </cell>
          <cell r="U109">
            <v>22800</v>
          </cell>
          <cell r="AK109">
            <v>11800</v>
          </cell>
          <cell r="AS109">
            <v>20</v>
          </cell>
          <cell r="BB109">
            <v>0</v>
          </cell>
          <cell r="BC109">
            <v>494</v>
          </cell>
          <cell r="BD109">
            <v>504</v>
          </cell>
          <cell r="BE109">
            <v>1480</v>
          </cell>
          <cell r="BF109">
            <v>1700</v>
          </cell>
          <cell r="BG109">
            <v>0</v>
          </cell>
          <cell r="BH109">
            <v>0</v>
          </cell>
          <cell r="BI109">
            <v>73720</v>
          </cell>
          <cell r="BK109">
            <v>0.15</v>
          </cell>
          <cell r="BL109">
            <v>3.2</v>
          </cell>
          <cell r="BN109">
            <v>0.5</v>
          </cell>
          <cell r="BO109">
            <v>104.5</v>
          </cell>
          <cell r="BR109">
            <v>11</v>
          </cell>
        </row>
        <row r="110">
          <cell r="A110">
            <v>39186</v>
          </cell>
          <cell r="E110">
            <v>1158</v>
          </cell>
          <cell r="J110">
            <v>1680</v>
          </cell>
          <cell r="K110">
            <v>0</v>
          </cell>
          <cell r="M110">
            <v>37400</v>
          </cell>
          <cell r="O110">
            <v>518</v>
          </cell>
          <cell r="P110">
            <v>516</v>
          </cell>
          <cell r="Q110">
            <v>1518</v>
          </cell>
          <cell r="U110">
            <v>20200</v>
          </cell>
          <cell r="AK110">
            <v>11800</v>
          </cell>
          <cell r="AS110">
            <v>20</v>
          </cell>
          <cell r="BB110">
            <v>0</v>
          </cell>
          <cell r="BC110">
            <v>518</v>
          </cell>
          <cell r="BD110">
            <v>516</v>
          </cell>
          <cell r="BE110">
            <v>1518</v>
          </cell>
          <cell r="BF110">
            <v>1680</v>
          </cell>
          <cell r="BG110">
            <v>0</v>
          </cell>
          <cell r="BH110">
            <v>0</v>
          </cell>
          <cell r="BI110">
            <v>69420</v>
          </cell>
          <cell r="BK110">
            <v>0.15</v>
          </cell>
          <cell r="BL110">
            <v>3.05</v>
          </cell>
          <cell r="BN110">
            <v>0.35</v>
          </cell>
          <cell r="BO110">
            <v>104.2</v>
          </cell>
          <cell r="BR110">
            <v>11</v>
          </cell>
        </row>
        <row r="111">
          <cell r="A111">
            <v>39187</v>
          </cell>
          <cell r="E111">
            <v>1158</v>
          </cell>
          <cell r="J111">
            <v>1780</v>
          </cell>
          <cell r="K111">
            <v>0</v>
          </cell>
          <cell r="M111">
            <v>35600</v>
          </cell>
          <cell r="O111">
            <v>523</v>
          </cell>
          <cell r="P111">
            <v>526</v>
          </cell>
          <cell r="Q111">
            <v>1378</v>
          </cell>
          <cell r="U111">
            <v>17800</v>
          </cell>
          <cell r="AK111">
            <v>11800</v>
          </cell>
          <cell r="AS111">
            <v>20</v>
          </cell>
          <cell r="BB111">
            <v>0</v>
          </cell>
          <cell r="BC111">
            <v>523</v>
          </cell>
          <cell r="BD111">
            <v>526</v>
          </cell>
          <cell r="BE111">
            <v>1378</v>
          </cell>
          <cell r="BF111">
            <v>1780</v>
          </cell>
          <cell r="BG111">
            <v>0</v>
          </cell>
          <cell r="BH111">
            <v>0</v>
          </cell>
          <cell r="BI111">
            <v>65220</v>
          </cell>
          <cell r="BK111">
            <v>0.17499999999999999</v>
          </cell>
          <cell r="BL111">
            <v>2.87</v>
          </cell>
          <cell r="BN111">
            <v>0.38</v>
          </cell>
          <cell r="BO111">
            <v>103.8</v>
          </cell>
          <cell r="BR111">
            <v>11</v>
          </cell>
        </row>
        <row r="112">
          <cell r="A112">
            <v>39188</v>
          </cell>
          <cell r="E112">
            <v>1158</v>
          </cell>
          <cell r="J112">
            <v>1729</v>
          </cell>
          <cell r="K112">
            <v>0</v>
          </cell>
          <cell r="M112">
            <v>33500</v>
          </cell>
          <cell r="O112">
            <v>518</v>
          </cell>
          <cell r="P112">
            <v>433</v>
          </cell>
          <cell r="Q112">
            <v>600</v>
          </cell>
          <cell r="U112">
            <v>16200</v>
          </cell>
          <cell r="AK112">
            <v>11800</v>
          </cell>
          <cell r="AS112">
            <v>20</v>
          </cell>
          <cell r="BB112">
            <v>0</v>
          </cell>
          <cell r="BC112">
            <v>518</v>
          </cell>
          <cell r="BD112">
            <v>433</v>
          </cell>
          <cell r="BE112">
            <v>600</v>
          </cell>
          <cell r="BF112">
            <v>1729</v>
          </cell>
          <cell r="BG112">
            <v>0</v>
          </cell>
          <cell r="BH112">
            <v>0</v>
          </cell>
          <cell r="BI112">
            <v>61520</v>
          </cell>
          <cell r="BK112">
            <v>0.15</v>
          </cell>
          <cell r="BL112">
            <v>2.72</v>
          </cell>
          <cell r="BN112">
            <v>0.38</v>
          </cell>
          <cell r="BO112">
            <v>103.4</v>
          </cell>
          <cell r="BR112">
            <v>11</v>
          </cell>
        </row>
        <row r="113">
          <cell r="A113">
            <v>39189</v>
          </cell>
          <cell r="E113">
            <v>1158</v>
          </cell>
          <cell r="J113">
            <v>1661</v>
          </cell>
          <cell r="K113">
            <v>0</v>
          </cell>
          <cell r="L113">
            <v>230.14</v>
          </cell>
          <cell r="M113">
            <v>31600</v>
          </cell>
          <cell r="O113">
            <v>252</v>
          </cell>
          <cell r="P113">
            <v>265</v>
          </cell>
          <cell r="Q113">
            <v>660</v>
          </cell>
          <cell r="U113">
            <v>15000</v>
          </cell>
          <cell r="AK113">
            <v>11800</v>
          </cell>
          <cell r="AS113">
            <v>20</v>
          </cell>
          <cell r="BB113">
            <v>0</v>
          </cell>
          <cell r="BC113">
            <v>252</v>
          </cell>
          <cell r="BD113">
            <v>265</v>
          </cell>
          <cell r="BE113">
            <v>660</v>
          </cell>
          <cell r="BF113">
            <v>1661</v>
          </cell>
          <cell r="BG113">
            <v>0</v>
          </cell>
          <cell r="BH113">
            <v>230.14</v>
          </cell>
          <cell r="BI113">
            <v>58420</v>
          </cell>
          <cell r="BK113">
            <v>0.13</v>
          </cell>
          <cell r="BL113">
            <v>2.58</v>
          </cell>
          <cell r="BN113">
            <v>0.1</v>
          </cell>
          <cell r="BO113">
            <v>103.3</v>
          </cell>
          <cell r="BR113">
            <v>11</v>
          </cell>
        </row>
        <row r="114">
          <cell r="A114">
            <v>39190</v>
          </cell>
          <cell r="E114">
            <v>1158</v>
          </cell>
          <cell r="J114">
            <v>1178</v>
          </cell>
          <cell r="K114">
            <v>0</v>
          </cell>
          <cell r="M114">
            <v>30100</v>
          </cell>
          <cell r="Q114">
            <v>1439</v>
          </cell>
          <cell r="U114">
            <v>13600</v>
          </cell>
          <cell r="AE114">
            <v>301</v>
          </cell>
          <cell r="AF114">
            <v>343</v>
          </cell>
          <cell r="AK114">
            <v>11100</v>
          </cell>
          <cell r="AS114">
            <v>20</v>
          </cell>
          <cell r="BB114">
            <v>0</v>
          </cell>
          <cell r="BC114">
            <v>301</v>
          </cell>
          <cell r="BD114">
            <v>343</v>
          </cell>
          <cell r="BE114">
            <v>1439</v>
          </cell>
          <cell r="BF114">
            <v>1178</v>
          </cell>
          <cell r="BG114">
            <v>0</v>
          </cell>
          <cell r="BH114">
            <v>0</v>
          </cell>
          <cell r="BI114">
            <v>54820</v>
          </cell>
          <cell r="BK114">
            <v>0.16700000000000001</v>
          </cell>
          <cell r="BL114">
            <v>2.41</v>
          </cell>
          <cell r="BN114">
            <v>0.3</v>
          </cell>
          <cell r="BO114">
            <v>103</v>
          </cell>
          <cell r="BR114">
            <v>11</v>
          </cell>
        </row>
        <row r="115">
          <cell r="A115">
            <v>39191</v>
          </cell>
          <cell r="E115">
            <v>1158</v>
          </cell>
          <cell r="J115">
            <v>816</v>
          </cell>
          <cell r="K115">
            <v>0</v>
          </cell>
          <cell r="L115">
            <v>340.46</v>
          </cell>
          <cell r="M115">
            <v>29000</v>
          </cell>
          <cell r="Q115">
            <v>1492</v>
          </cell>
          <cell r="U115">
            <v>12100</v>
          </cell>
          <cell r="AE115">
            <v>522</v>
          </cell>
          <cell r="AF115">
            <v>534</v>
          </cell>
          <cell r="AK115">
            <v>10000</v>
          </cell>
          <cell r="AS115">
            <v>20</v>
          </cell>
          <cell r="BB115">
            <v>0</v>
          </cell>
          <cell r="BC115">
            <v>522</v>
          </cell>
          <cell r="BD115">
            <v>534</v>
          </cell>
          <cell r="BE115">
            <v>1492</v>
          </cell>
          <cell r="BF115">
            <v>816</v>
          </cell>
          <cell r="BG115">
            <v>0</v>
          </cell>
          <cell r="BH115">
            <v>340.46</v>
          </cell>
          <cell r="BI115">
            <v>51120</v>
          </cell>
          <cell r="BK115">
            <v>0.16700000000000001</v>
          </cell>
          <cell r="BL115">
            <v>2.2400000000000002</v>
          </cell>
          <cell r="BN115">
            <v>0.36</v>
          </cell>
          <cell r="BO115">
            <v>102.64</v>
          </cell>
          <cell r="BR115">
            <v>11</v>
          </cell>
        </row>
        <row r="116">
          <cell r="A116">
            <v>39192</v>
          </cell>
          <cell r="E116">
            <v>1158</v>
          </cell>
          <cell r="J116">
            <v>1784</v>
          </cell>
          <cell r="K116">
            <v>0</v>
          </cell>
          <cell r="M116">
            <v>34200</v>
          </cell>
          <cell r="Q116">
            <v>1437</v>
          </cell>
          <cell r="U116">
            <v>10700</v>
          </cell>
          <cell r="AE116">
            <v>523</v>
          </cell>
          <cell r="AF116">
            <v>530</v>
          </cell>
          <cell r="AK116">
            <v>8900</v>
          </cell>
          <cell r="AS116">
            <v>20</v>
          </cell>
          <cell r="BB116">
            <v>0</v>
          </cell>
          <cell r="BC116">
            <v>523</v>
          </cell>
          <cell r="BD116">
            <v>530</v>
          </cell>
          <cell r="BE116">
            <v>1437</v>
          </cell>
          <cell r="BF116">
            <v>1784</v>
          </cell>
          <cell r="BG116">
            <v>0</v>
          </cell>
          <cell r="BH116">
            <v>0</v>
          </cell>
          <cell r="BI116">
            <v>53820</v>
          </cell>
          <cell r="BK116">
            <v>0.17499999999999999</v>
          </cell>
          <cell r="BL116">
            <v>2.0649999999999999</v>
          </cell>
          <cell r="BN116">
            <v>0.33</v>
          </cell>
          <cell r="BO116">
            <v>102.61</v>
          </cell>
          <cell r="BR116">
            <v>11</v>
          </cell>
        </row>
        <row r="117">
          <cell r="A117">
            <v>39193</v>
          </cell>
          <cell r="E117">
            <v>1158</v>
          </cell>
          <cell r="J117">
            <v>1770</v>
          </cell>
          <cell r="K117">
            <v>0</v>
          </cell>
          <cell r="M117">
            <v>39900</v>
          </cell>
          <cell r="Q117">
            <v>1476</v>
          </cell>
          <cell r="U117">
            <v>9200</v>
          </cell>
          <cell r="AE117">
            <v>518</v>
          </cell>
          <cell r="AF117">
            <v>532</v>
          </cell>
          <cell r="AK117">
            <v>7800</v>
          </cell>
          <cell r="AS117">
            <v>20</v>
          </cell>
          <cell r="BB117">
            <v>0</v>
          </cell>
          <cell r="BC117">
            <v>518</v>
          </cell>
          <cell r="BD117">
            <v>532</v>
          </cell>
          <cell r="BE117">
            <v>1476</v>
          </cell>
          <cell r="BF117">
            <v>1770</v>
          </cell>
          <cell r="BG117">
            <v>0</v>
          </cell>
          <cell r="BH117">
            <v>0</v>
          </cell>
          <cell r="BI117">
            <v>56920</v>
          </cell>
          <cell r="BK117">
            <v>0.15</v>
          </cell>
          <cell r="BL117">
            <v>1.915</v>
          </cell>
          <cell r="BN117">
            <v>0.15</v>
          </cell>
          <cell r="BO117">
            <v>102.46</v>
          </cell>
          <cell r="BR117">
            <v>11</v>
          </cell>
        </row>
        <row r="118">
          <cell r="A118">
            <v>39194</v>
          </cell>
          <cell r="E118">
            <v>1158</v>
          </cell>
          <cell r="J118">
            <v>1713</v>
          </cell>
          <cell r="K118">
            <v>70</v>
          </cell>
          <cell r="M118">
            <v>45100</v>
          </cell>
          <cell r="Q118">
            <v>1398</v>
          </cell>
          <cell r="U118">
            <v>7700</v>
          </cell>
          <cell r="AE118">
            <v>500</v>
          </cell>
          <cell r="AF118">
            <v>510</v>
          </cell>
          <cell r="AK118">
            <v>6700</v>
          </cell>
          <cell r="AS118">
            <v>20</v>
          </cell>
          <cell r="BB118">
            <v>0</v>
          </cell>
          <cell r="BC118">
            <v>500</v>
          </cell>
          <cell r="BD118">
            <v>510</v>
          </cell>
          <cell r="BE118">
            <v>1398</v>
          </cell>
          <cell r="BF118">
            <v>1713</v>
          </cell>
          <cell r="BG118">
            <v>70</v>
          </cell>
          <cell r="BH118">
            <v>0</v>
          </cell>
          <cell r="BI118">
            <v>59520</v>
          </cell>
          <cell r="BK118">
            <v>0.17499999999999999</v>
          </cell>
          <cell r="BL118">
            <v>1.74</v>
          </cell>
          <cell r="BN118">
            <v>0.46</v>
          </cell>
          <cell r="BO118">
            <v>102</v>
          </cell>
          <cell r="BR118">
            <v>11</v>
          </cell>
        </row>
        <row r="119">
          <cell r="A119">
            <v>39195</v>
          </cell>
          <cell r="E119">
            <v>1158</v>
          </cell>
          <cell r="F119">
            <v>21710</v>
          </cell>
          <cell r="J119">
            <v>1785</v>
          </cell>
          <cell r="K119">
            <v>35</v>
          </cell>
          <cell r="L119">
            <v>372.56</v>
          </cell>
          <cell r="M119">
            <v>43000</v>
          </cell>
          <cell r="Q119">
            <v>1064</v>
          </cell>
          <cell r="U119">
            <v>10400</v>
          </cell>
          <cell r="AE119">
            <v>526</v>
          </cell>
          <cell r="AF119">
            <v>536</v>
          </cell>
          <cell r="AK119">
            <v>5600</v>
          </cell>
          <cell r="AS119">
            <v>20</v>
          </cell>
          <cell r="BB119">
            <v>21710</v>
          </cell>
          <cell r="BC119">
            <v>526</v>
          </cell>
          <cell r="BD119">
            <v>536</v>
          </cell>
          <cell r="BE119">
            <v>1064</v>
          </cell>
          <cell r="BF119">
            <v>1785</v>
          </cell>
          <cell r="BG119">
            <v>35</v>
          </cell>
          <cell r="BH119">
            <v>372.56</v>
          </cell>
          <cell r="BI119">
            <v>59020</v>
          </cell>
          <cell r="BJ119">
            <v>2</v>
          </cell>
          <cell r="BK119">
            <v>0.15</v>
          </cell>
          <cell r="BL119">
            <v>3.6</v>
          </cell>
          <cell r="BN119">
            <v>0.5</v>
          </cell>
          <cell r="BO119">
            <v>101.5</v>
          </cell>
          <cell r="BP119">
            <v>9</v>
          </cell>
          <cell r="BQ119">
            <v>5.3</v>
          </cell>
          <cell r="BR119">
            <v>15</v>
          </cell>
        </row>
        <row r="120">
          <cell r="A120">
            <v>39196</v>
          </cell>
          <cell r="E120">
            <v>1158</v>
          </cell>
          <cell r="J120">
            <v>1696</v>
          </cell>
          <cell r="K120">
            <v>0</v>
          </cell>
          <cell r="L120">
            <v>255.07</v>
          </cell>
          <cell r="M120">
            <v>41100</v>
          </cell>
          <cell r="Q120">
            <v>748</v>
          </cell>
          <cell r="U120">
            <v>17600</v>
          </cell>
          <cell r="AE120">
            <v>230</v>
          </cell>
          <cell r="AF120">
            <v>285.60000000000002</v>
          </cell>
          <cell r="AK120">
            <v>4000</v>
          </cell>
          <cell r="AS120">
            <v>20</v>
          </cell>
          <cell r="BB120">
            <v>0</v>
          </cell>
          <cell r="BC120">
            <v>230</v>
          </cell>
          <cell r="BD120">
            <v>285.60000000000002</v>
          </cell>
          <cell r="BE120">
            <v>748</v>
          </cell>
          <cell r="BF120">
            <v>1696</v>
          </cell>
          <cell r="BG120">
            <v>0</v>
          </cell>
          <cell r="BH120">
            <v>255.07</v>
          </cell>
          <cell r="BI120">
            <v>62720</v>
          </cell>
          <cell r="BK120">
            <v>0.1</v>
          </cell>
          <cell r="BL120">
            <v>3.5</v>
          </cell>
          <cell r="BN120">
            <v>0.25</v>
          </cell>
          <cell r="BO120">
            <v>101.25</v>
          </cell>
          <cell r="BQ120">
            <v>5.5</v>
          </cell>
          <cell r="BR120">
            <v>9.5</v>
          </cell>
        </row>
        <row r="121">
          <cell r="A121">
            <v>39197</v>
          </cell>
          <cell r="E121">
            <v>1158</v>
          </cell>
          <cell r="J121">
            <v>1184</v>
          </cell>
          <cell r="K121">
            <v>69</v>
          </cell>
          <cell r="L121">
            <v>115.82</v>
          </cell>
          <cell r="M121">
            <v>39800</v>
          </cell>
          <cell r="O121">
            <v>342</v>
          </cell>
          <cell r="P121">
            <v>260</v>
          </cell>
          <cell r="Q121">
            <v>1532</v>
          </cell>
          <cell r="U121">
            <v>25490</v>
          </cell>
          <cell r="AK121">
            <v>4000</v>
          </cell>
          <cell r="AS121">
            <v>20</v>
          </cell>
          <cell r="BB121">
            <v>0</v>
          </cell>
          <cell r="BC121">
            <v>342</v>
          </cell>
          <cell r="BD121">
            <v>260</v>
          </cell>
          <cell r="BE121">
            <v>1532</v>
          </cell>
          <cell r="BF121">
            <v>1184</v>
          </cell>
          <cell r="BG121">
            <v>69</v>
          </cell>
          <cell r="BH121">
            <v>115.82</v>
          </cell>
          <cell r="BI121">
            <v>69310</v>
          </cell>
          <cell r="BK121">
            <v>0.15</v>
          </cell>
          <cell r="BL121">
            <v>3.35</v>
          </cell>
          <cell r="BN121">
            <v>0.4</v>
          </cell>
          <cell r="BO121">
            <v>100.85</v>
          </cell>
          <cell r="BR121">
            <v>10</v>
          </cell>
        </row>
        <row r="122">
          <cell r="A122">
            <v>39198</v>
          </cell>
          <cell r="E122">
            <v>1158</v>
          </cell>
          <cell r="J122">
            <v>940</v>
          </cell>
          <cell r="K122">
            <v>76</v>
          </cell>
          <cell r="M122">
            <v>38800</v>
          </cell>
          <cell r="N122">
            <v>21638.06</v>
          </cell>
          <cell r="O122">
            <v>515</v>
          </cell>
          <cell r="P122">
            <v>538</v>
          </cell>
          <cell r="Q122">
            <v>1522</v>
          </cell>
          <cell r="U122">
            <v>22800</v>
          </cell>
          <cell r="AK122">
            <v>5810</v>
          </cell>
          <cell r="AS122">
            <v>20</v>
          </cell>
          <cell r="BB122">
            <v>21638.06</v>
          </cell>
          <cell r="BC122">
            <v>515</v>
          </cell>
          <cell r="BD122">
            <v>538</v>
          </cell>
          <cell r="BE122">
            <v>1522</v>
          </cell>
          <cell r="BF122">
            <v>940</v>
          </cell>
          <cell r="BG122">
            <v>76</v>
          </cell>
          <cell r="BH122">
            <v>0</v>
          </cell>
          <cell r="BI122">
            <v>67430</v>
          </cell>
          <cell r="BJ122">
            <v>1</v>
          </cell>
          <cell r="BK122">
            <v>0.15</v>
          </cell>
          <cell r="BL122">
            <v>4.2</v>
          </cell>
          <cell r="BM122">
            <v>33</v>
          </cell>
          <cell r="BN122">
            <v>0.7</v>
          </cell>
          <cell r="BO122">
            <v>100.15</v>
          </cell>
          <cell r="BR122">
            <v>10</v>
          </cell>
        </row>
        <row r="123">
          <cell r="A123">
            <v>39199</v>
          </cell>
          <cell r="E123">
            <v>1158</v>
          </cell>
          <cell r="J123">
            <v>1726</v>
          </cell>
          <cell r="K123">
            <v>71</v>
          </cell>
          <cell r="M123">
            <v>36900</v>
          </cell>
          <cell r="O123">
            <v>523</v>
          </cell>
          <cell r="P123">
            <v>509</v>
          </cell>
          <cell r="Q123">
            <v>1549</v>
          </cell>
          <cell r="U123">
            <v>20250</v>
          </cell>
          <cell r="AK123">
            <v>14300</v>
          </cell>
          <cell r="AS123">
            <v>20</v>
          </cell>
          <cell r="BB123">
            <v>0</v>
          </cell>
          <cell r="BC123">
            <v>523</v>
          </cell>
          <cell r="BD123">
            <v>509</v>
          </cell>
          <cell r="BE123">
            <v>1549</v>
          </cell>
          <cell r="BF123">
            <v>1726</v>
          </cell>
          <cell r="BG123">
            <v>71</v>
          </cell>
          <cell r="BH123">
            <v>0</v>
          </cell>
          <cell r="BI123">
            <v>71470</v>
          </cell>
          <cell r="BK123">
            <v>0.2</v>
          </cell>
          <cell r="BL123">
            <v>4</v>
          </cell>
          <cell r="BN123">
            <v>1</v>
          </cell>
          <cell r="BO123">
            <v>132.15</v>
          </cell>
          <cell r="BR123">
            <v>10</v>
          </cell>
        </row>
        <row r="124">
          <cell r="A124">
            <v>39200</v>
          </cell>
          <cell r="E124">
            <v>1158</v>
          </cell>
          <cell r="J124">
            <v>1708</v>
          </cell>
          <cell r="K124">
            <v>23</v>
          </cell>
          <cell r="M124">
            <v>35300</v>
          </cell>
          <cell r="O124">
            <v>515</v>
          </cell>
          <cell r="P124">
            <v>514</v>
          </cell>
          <cell r="Q124">
            <v>1515</v>
          </cell>
          <cell r="U124">
            <v>17700</v>
          </cell>
          <cell r="AD124">
            <v>16810</v>
          </cell>
          <cell r="AK124">
            <v>20500</v>
          </cell>
          <cell r="AS124">
            <v>20</v>
          </cell>
          <cell r="BB124">
            <v>16810</v>
          </cell>
          <cell r="BC124">
            <v>515</v>
          </cell>
          <cell r="BD124">
            <v>514</v>
          </cell>
          <cell r="BE124">
            <v>1515</v>
          </cell>
          <cell r="BF124">
            <v>1708</v>
          </cell>
          <cell r="BG124">
            <v>23</v>
          </cell>
          <cell r="BH124">
            <v>0</v>
          </cell>
          <cell r="BI124">
            <v>73520</v>
          </cell>
          <cell r="BK124">
            <v>0.2</v>
          </cell>
          <cell r="BL124">
            <v>3.8</v>
          </cell>
          <cell r="BN124">
            <v>1</v>
          </cell>
          <cell r="BO124">
            <v>131.15</v>
          </cell>
          <cell r="BR124">
            <v>10</v>
          </cell>
        </row>
        <row r="125">
          <cell r="A125">
            <v>39201</v>
          </cell>
          <cell r="E125">
            <v>1158</v>
          </cell>
          <cell r="J125">
            <v>1723</v>
          </cell>
          <cell r="K125">
            <v>0</v>
          </cell>
          <cell r="M125">
            <v>33600</v>
          </cell>
          <cell r="O125">
            <v>538</v>
          </cell>
          <cell r="P125">
            <v>362</v>
          </cell>
          <cell r="Q125">
            <v>1502</v>
          </cell>
          <cell r="U125">
            <v>15500</v>
          </cell>
          <cell r="AD125">
            <v>-719.95899999999995</v>
          </cell>
          <cell r="AK125">
            <v>20800</v>
          </cell>
          <cell r="AS125">
            <v>20</v>
          </cell>
          <cell r="BB125">
            <v>-719.95899999999995</v>
          </cell>
          <cell r="BC125">
            <v>538</v>
          </cell>
          <cell r="BD125">
            <v>362</v>
          </cell>
          <cell r="BE125">
            <v>1502</v>
          </cell>
          <cell r="BF125">
            <v>1723</v>
          </cell>
          <cell r="BG125">
            <v>0</v>
          </cell>
          <cell r="BH125">
            <v>0</v>
          </cell>
          <cell r="BI125">
            <v>69920</v>
          </cell>
          <cell r="BK125">
            <v>0.2</v>
          </cell>
          <cell r="BL125">
            <v>3.6</v>
          </cell>
          <cell r="BN125">
            <v>1</v>
          </cell>
          <cell r="BO125">
            <v>130.15</v>
          </cell>
          <cell r="BR125">
            <v>10</v>
          </cell>
        </row>
        <row r="126">
          <cell r="A126">
            <v>39202</v>
          </cell>
          <cell r="E126">
            <v>1158</v>
          </cell>
          <cell r="F126">
            <v>-1370.8869999999999</v>
          </cell>
          <cell r="J126">
            <v>332.70000000000005</v>
          </cell>
          <cell r="K126">
            <v>0</v>
          </cell>
          <cell r="M126">
            <v>31800</v>
          </cell>
          <cell r="O126">
            <v>220</v>
          </cell>
          <cell r="P126">
            <v>259</v>
          </cell>
          <cell r="Q126">
            <v>-213.40000000000009</v>
          </cell>
          <cell r="U126">
            <v>13490</v>
          </cell>
          <cell r="AK126">
            <v>20800</v>
          </cell>
          <cell r="AS126">
            <v>20</v>
          </cell>
          <cell r="BB126">
            <v>-1370.8869999999999</v>
          </cell>
          <cell r="BC126">
            <v>220</v>
          </cell>
          <cell r="BD126">
            <v>259</v>
          </cell>
          <cell r="BE126">
            <v>-213.40000000000009</v>
          </cell>
          <cell r="BF126">
            <v>332.70000000000005</v>
          </cell>
          <cell r="BG126">
            <v>0</v>
          </cell>
          <cell r="BH126">
            <v>0</v>
          </cell>
          <cell r="BI126">
            <v>66110</v>
          </cell>
          <cell r="BK126">
            <v>0.33599999999999997</v>
          </cell>
          <cell r="BL126">
            <v>3.4249999999999998</v>
          </cell>
          <cell r="BM126">
            <v>-33.32</v>
          </cell>
          <cell r="BN126">
            <v>0.83899999999999997</v>
          </cell>
          <cell r="BO126">
            <v>129.69999999999999</v>
          </cell>
          <cell r="BP126">
            <v>19.538</v>
          </cell>
          <cell r="BR126">
            <v>10</v>
          </cell>
        </row>
        <row r="127">
          <cell r="A127">
            <v>39203</v>
          </cell>
          <cell r="E127">
            <v>1158</v>
          </cell>
          <cell r="J127">
            <v>1828</v>
          </cell>
          <cell r="K127">
            <v>0</v>
          </cell>
          <cell r="M127">
            <v>33100</v>
          </cell>
          <cell r="Q127">
            <v>1030</v>
          </cell>
          <cell r="U127">
            <v>12490</v>
          </cell>
          <cell r="AE127">
            <v>467</v>
          </cell>
          <cell r="AF127">
            <v>484</v>
          </cell>
          <cell r="AK127">
            <v>19800</v>
          </cell>
          <cell r="AS127">
            <v>20</v>
          </cell>
          <cell r="BB127">
            <v>0</v>
          </cell>
          <cell r="BC127">
            <v>467</v>
          </cell>
          <cell r="BD127">
            <v>484</v>
          </cell>
          <cell r="BE127">
            <v>1030</v>
          </cell>
          <cell r="BF127">
            <v>1828</v>
          </cell>
          <cell r="BG127">
            <v>0</v>
          </cell>
          <cell r="BH127">
            <v>0</v>
          </cell>
          <cell r="BI127">
            <v>65410</v>
          </cell>
          <cell r="BK127">
            <v>0.125</v>
          </cell>
          <cell r="BL127">
            <v>3.3</v>
          </cell>
          <cell r="BN127">
            <v>0.45</v>
          </cell>
          <cell r="BO127">
            <v>129.30000000000001</v>
          </cell>
          <cell r="BR127">
            <v>10</v>
          </cell>
        </row>
        <row r="128">
          <cell r="A128">
            <v>39204</v>
          </cell>
          <cell r="E128">
            <v>1158</v>
          </cell>
          <cell r="J128">
            <v>1859</v>
          </cell>
          <cell r="K128">
            <v>0</v>
          </cell>
          <cell r="M128">
            <v>40200</v>
          </cell>
          <cell r="Q128">
            <v>800</v>
          </cell>
          <cell r="U128">
            <v>11690</v>
          </cell>
          <cell r="AE128">
            <v>510</v>
          </cell>
          <cell r="AF128">
            <v>531</v>
          </cell>
          <cell r="AK128">
            <v>18700</v>
          </cell>
          <cell r="AS128">
            <v>20</v>
          </cell>
          <cell r="BB128">
            <v>0</v>
          </cell>
          <cell r="BC128">
            <v>510</v>
          </cell>
          <cell r="BD128">
            <v>531</v>
          </cell>
          <cell r="BE128">
            <v>800</v>
          </cell>
          <cell r="BF128">
            <v>1859</v>
          </cell>
          <cell r="BG128">
            <v>0</v>
          </cell>
          <cell r="BH128">
            <v>0</v>
          </cell>
          <cell r="BI128">
            <v>70610</v>
          </cell>
          <cell r="BK128">
            <v>0.15</v>
          </cell>
          <cell r="BL128">
            <v>3.15</v>
          </cell>
          <cell r="BN128">
            <v>0.3</v>
          </cell>
          <cell r="BO128">
            <v>129</v>
          </cell>
          <cell r="BR128">
            <v>10</v>
          </cell>
        </row>
        <row r="129">
          <cell r="A129">
            <v>39205</v>
          </cell>
          <cell r="E129">
            <v>1158</v>
          </cell>
          <cell r="F129">
            <v>16115</v>
          </cell>
          <cell r="J129">
            <v>1248</v>
          </cell>
          <cell r="K129">
            <v>0</v>
          </cell>
          <cell r="M129">
            <v>42900</v>
          </cell>
          <cell r="Q129">
            <v>1540</v>
          </cell>
          <cell r="U129">
            <v>10100</v>
          </cell>
          <cell r="AE129">
            <v>521</v>
          </cell>
          <cell r="AF129">
            <v>528</v>
          </cell>
          <cell r="AK129">
            <v>17600</v>
          </cell>
          <cell r="AS129">
            <v>20</v>
          </cell>
          <cell r="BB129">
            <v>16115</v>
          </cell>
          <cell r="BC129">
            <v>521</v>
          </cell>
          <cell r="BD129">
            <v>528</v>
          </cell>
          <cell r="BE129">
            <v>1540</v>
          </cell>
          <cell r="BF129">
            <v>1248</v>
          </cell>
          <cell r="BG129">
            <v>0</v>
          </cell>
          <cell r="BH129">
            <v>0</v>
          </cell>
          <cell r="BI129">
            <v>70620</v>
          </cell>
          <cell r="BK129">
            <v>0.15</v>
          </cell>
          <cell r="BL129">
            <v>3</v>
          </cell>
          <cell r="BN129">
            <v>0.4</v>
          </cell>
          <cell r="BO129">
            <v>128.6</v>
          </cell>
          <cell r="BR129">
            <v>10</v>
          </cell>
        </row>
        <row r="130">
          <cell r="A130">
            <v>39206</v>
          </cell>
          <cell r="E130">
            <v>1158</v>
          </cell>
          <cell r="J130">
            <v>1313</v>
          </cell>
          <cell r="K130">
            <v>39</v>
          </cell>
          <cell r="M130">
            <v>41600</v>
          </cell>
          <cell r="Q130">
            <v>1354</v>
          </cell>
          <cell r="U130">
            <v>8690</v>
          </cell>
          <cell r="AE130">
            <v>511</v>
          </cell>
          <cell r="AF130">
            <v>515</v>
          </cell>
          <cell r="AK130">
            <v>16500</v>
          </cell>
          <cell r="AS130">
            <v>20</v>
          </cell>
          <cell r="BB130">
            <v>0</v>
          </cell>
          <cell r="BC130">
            <v>511</v>
          </cell>
          <cell r="BD130">
            <v>515</v>
          </cell>
          <cell r="BE130">
            <v>1354</v>
          </cell>
          <cell r="BF130">
            <v>1313</v>
          </cell>
          <cell r="BG130">
            <v>39</v>
          </cell>
          <cell r="BH130">
            <v>0</v>
          </cell>
          <cell r="BI130">
            <v>66810</v>
          </cell>
          <cell r="BK130">
            <v>0.15</v>
          </cell>
          <cell r="BL130">
            <v>2.85</v>
          </cell>
          <cell r="BN130">
            <v>0.5</v>
          </cell>
          <cell r="BO130">
            <v>128.1</v>
          </cell>
          <cell r="BR130">
            <v>10</v>
          </cell>
        </row>
        <row r="131">
          <cell r="A131">
            <v>39207</v>
          </cell>
          <cell r="E131">
            <v>1158</v>
          </cell>
          <cell r="J131">
            <v>1871</v>
          </cell>
          <cell r="K131">
            <v>79</v>
          </cell>
          <cell r="M131">
            <v>39700</v>
          </cell>
          <cell r="Q131">
            <v>1424</v>
          </cell>
          <cell r="U131">
            <v>7200</v>
          </cell>
          <cell r="AE131">
            <v>530</v>
          </cell>
          <cell r="AF131">
            <v>528</v>
          </cell>
          <cell r="AK131">
            <v>15400</v>
          </cell>
          <cell r="AS131">
            <v>20</v>
          </cell>
          <cell r="BB131">
            <v>0</v>
          </cell>
          <cell r="BC131">
            <v>530</v>
          </cell>
          <cell r="BD131">
            <v>528</v>
          </cell>
          <cell r="BE131">
            <v>1424</v>
          </cell>
          <cell r="BF131">
            <v>1871</v>
          </cell>
          <cell r="BG131">
            <v>79</v>
          </cell>
          <cell r="BH131">
            <v>0</v>
          </cell>
          <cell r="BI131">
            <v>62320</v>
          </cell>
          <cell r="BK131">
            <v>0.20100000000000001</v>
          </cell>
          <cell r="BL131">
            <v>2.7</v>
          </cell>
          <cell r="BN131">
            <v>0.5</v>
          </cell>
          <cell r="BO131">
            <v>127.6</v>
          </cell>
          <cell r="BR131">
            <v>10</v>
          </cell>
        </row>
        <row r="132">
          <cell r="A132">
            <v>39208</v>
          </cell>
          <cell r="E132">
            <v>1158</v>
          </cell>
          <cell r="J132">
            <v>1728</v>
          </cell>
          <cell r="K132">
            <v>81</v>
          </cell>
          <cell r="M132">
            <v>37900</v>
          </cell>
          <cell r="Q132">
            <v>1380</v>
          </cell>
          <cell r="U132">
            <v>5800</v>
          </cell>
          <cell r="AE132">
            <v>513</v>
          </cell>
          <cell r="AF132">
            <v>531</v>
          </cell>
          <cell r="AK132">
            <v>14400</v>
          </cell>
          <cell r="AS132">
            <v>20</v>
          </cell>
          <cell r="BB132">
            <v>0</v>
          </cell>
          <cell r="BC132">
            <v>513</v>
          </cell>
          <cell r="BD132">
            <v>531</v>
          </cell>
          <cell r="BE132">
            <v>1380</v>
          </cell>
          <cell r="BF132">
            <v>1728</v>
          </cell>
          <cell r="BG132">
            <v>81</v>
          </cell>
          <cell r="BH132">
            <v>0</v>
          </cell>
          <cell r="BI132">
            <v>58120</v>
          </cell>
          <cell r="BK132">
            <v>0.15</v>
          </cell>
          <cell r="BL132">
            <v>2.5499999999999998</v>
          </cell>
          <cell r="BN132">
            <v>0.5</v>
          </cell>
          <cell r="BO132">
            <v>127.1</v>
          </cell>
          <cell r="BR132">
            <v>10</v>
          </cell>
        </row>
        <row r="133">
          <cell r="A133">
            <v>39209</v>
          </cell>
          <cell r="E133">
            <v>1158</v>
          </cell>
          <cell r="J133">
            <v>1728</v>
          </cell>
          <cell r="K133">
            <v>48</v>
          </cell>
          <cell r="M133">
            <v>38600</v>
          </cell>
          <cell r="Q133">
            <v>1404</v>
          </cell>
          <cell r="U133">
            <v>4300</v>
          </cell>
          <cell r="AE133">
            <v>354</v>
          </cell>
          <cell r="AF133">
            <v>342</v>
          </cell>
          <cell r="AK133">
            <v>13600</v>
          </cell>
          <cell r="AS133">
            <v>20</v>
          </cell>
          <cell r="BB133">
            <v>0</v>
          </cell>
          <cell r="BC133">
            <v>354</v>
          </cell>
          <cell r="BD133">
            <v>342</v>
          </cell>
          <cell r="BE133">
            <v>1404</v>
          </cell>
          <cell r="BF133">
            <v>1728</v>
          </cell>
          <cell r="BG133">
            <v>48</v>
          </cell>
          <cell r="BH133">
            <v>0</v>
          </cell>
          <cell r="BI133">
            <v>56520</v>
          </cell>
          <cell r="BK133">
            <v>0.2</v>
          </cell>
          <cell r="BL133">
            <v>2.35</v>
          </cell>
          <cell r="BN133">
            <v>0.5</v>
          </cell>
          <cell r="BO133">
            <v>126.6</v>
          </cell>
          <cell r="BR133">
            <v>10</v>
          </cell>
        </row>
        <row r="134">
          <cell r="A134">
            <v>39210</v>
          </cell>
          <cell r="E134">
            <v>1158</v>
          </cell>
          <cell r="J134">
            <v>1641</v>
          </cell>
          <cell r="K134">
            <v>0</v>
          </cell>
          <cell r="M134">
            <v>45000</v>
          </cell>
          <cell r="Q134">
            <v>1439</v>
          </cell>
          <cell r="U134">
            <v>2900</v>
          </cell>
          <cell r="AE134">
            <v>347</v>
          </cell>
          <cell r="AF134">
            <v>336</v>
          </cell>
          <cell r="AK134">
            <v>12900</v>
          </cell>
          <cell r="AS134">
            <v>20</v>
          </cell>
          <cell r="BB134">
            <v>0</v>
          </cell>
          <cell r="BC134">
            <v>347</v>
          </cell>
          <cell r="BD134">
            <v>336</v>
          </cell>
          <cell r="BE134">
            <v>1439</v>
          </cell>
          <cell r="BF134">
            <v>1641</v>
          </cell>
          <cell r="BG134">
            <v>0</v>
          </cell>
          <cell r="BH134">
            <v>0</v>
          </cell>
          <cell r="BI134">
            <v>60820</v>
          </cell>
          <cell r="BK134">
            <v>0.2</v>
          </cell>
          <cell r="BL134">
            <v>2.2999999999999998</v>
          </cell>
          <cell r="BN134">
            <v>0.3</v>
          </cell>
          <cell r="BO134">
            <v>126.3</v>
          </cell>
          <cell r="BR134">
            <v>10</v>
          </cell>
        </row>
        <row r="135">
          <cell r="A135">
            <v>39211</v>
          </cell>
          <cell r="E135">
            <v>770</v>
          </cell>
          <cell r="J135">
            <v>1144</v>
          </cell>
          <cell r="K135">
            <v>0</v>
          </cell>
          <cell r="M135">
            <v>51900</v>
          </cell>
          <cell r="Q135">
            <v>1481</v>
          </cell>
          <cell r="U135">
            <v>1400</v>
          </cell>
          <cell r="AE135">
            <v>309</v>
          </cell>
          <cell r="AF135">
            <v>313</v>
          </cell>
          <cell r="AK135">
            <v>12200</v>
          </cell>
          <cell r="AS135">
            <v>20</v>
          </cell>
          <cell r="BB135">
            <v>0</v>
          </cell>
          <cell r="BC135">
            <v>309</v>
          </cell>
          <cell r="BD135">
            <v>313</v>
          </cell>
          <cell r="BE135">
            <v>1481</v>
          </cell>
          <cell r="BF135">
            <v>1144</v>
          </cell>
          <cell r="BG135">
            <v>0</v>
          </cell>
          <cell r="BH135">
            <v>0</v>
          </cell>
          <cell r="BI135">
            <v>65520</v>
          </cell>
          <cell r="BK135">
            <v>0.2</v>
          </cell>
          <cell r="BL135">
            <v>1.95</v>
          </cell>
          <cell r="BN135">
            <v>0.3</v>
          </cell>
          <cell r="BO135">
            <v>126</v>
          </cell>
          <cell r="BR135">
            <v>10</v>
          </cell>
        </row>
        <row r="136">
          <cell r="A136">
            <v>39212</v>
          </cell>
          <cell r="E136">
            <v>800</v>
          </cell>
          <cell r="F136">
            <v>24485</v>
          </cell>
          <cell r="J136">
            <v>941</v>
          </cell>
          <cell r="K136">
            <v>0</v>
          </cell>
          <cell r="M136">
            <v>56900</v>
          </cell>
          <cell r="Q136">
            <v>1556</v>
          </cell>
          <cell r="U136">
            <v>1500</v>
          </cell>
          <cell r="AE136">
            <v>518</v>
          </cell>
          <cell r="AF136">
            <v>523</v>
          </cell>
          <cell r="AK136">
            <v>11100</v>
          </cell>
          <cell r="AS136">
            <v>20</v>
          </cell>
          <cell r="BB136">
            <v>24485</v>
          </cell>
          <cell r="BC136">
            <v>518</v>
          </cell>
          <cell r="BD136">
            <v>523</v>
          </cell>
          <cell r="BE136">
            <v>1556</v>
          </cell>
          <cell r="BF136">
            <v>941</v>
          </cell>
          <cell r="BG136">
            <v>0</v>
          </cell>
          <cell r="BH136">
            <v>0</v>
          </cell>
          <cell r="BI136">
            <v>69520</v>
          </cell>
          <cell r="BK136">
            <v>0.2</v>
          </cell>
          <cell r="BL136">
            <v>1.75</v>
          </cell>
          <cell r="BN136">
            <v>0.3</v>
          </cell>
          <cell r="BO136">
            <v>125.7</v>
          </cell>
          <cell r="BR136">
            <v>10</v>
          </cell>
        </row>
        <row r="137">
          <cell r="A137">
            <v>39213</v>
          </cell>
          <cell r="E137">
            <v>800</v>
          </cell>
          <cell r="J137">
            <v>1727</v>
          </cell>
          <cell r="K137">
            <v>0</v>
          </cell>
          <cell r="M137">
            <v>55270</v>
          </cell>
          <cell r="O137">
            <v>53</v>
          </cell>
          <cell r="P137">
            <v>58</v>
          </cell>
          <cell r="Q137">
            <v>369.923</v>
          </cell>
          <cell r="U137">
            <v>5686</v>
          </cell>
          <cell r="AE137">
            <v>409</v>
          </cell>
          <cell r="AF137">
            <v>480</v>
          </cell>
          <cell r="AK137">
            <v>10200</v>
          </cell>
          <cell r="AS137">
            <v>20</v>
          </cell>
          <cell r="BB137">
            <v>0</v>
          </cell>
          <cell r="BC137">
            <v>462</v>
          </cell>
          <cell r="BD137">
            <v>538</v>
          </cell>
          <cell r="BE137">
            <v>369.923</v>
          </cell>
          <cell r="BF137">
            <v>1727</v>
          </cell>
          <cell r="BG137">
            <v>0</v>
          </cell>
          <cell r="BH137">
            <v>0</v>
          </cell>
          <cell r="BI137">
            <v>71176</v>
          </cell>
          <cell r="BK137">
            <v>0.15</v>
          </cell>
          <cell r="BL137">
            <v>2.8250000000000002</v>
          </cell>
          <cell r="BN137">
            <v>0.3</v>
          </cell>
          <cell r="BO137">
            <v>125</v>
          </cell>
          <cell r="BR137">
            <v>10</v>
          </cell>
        </row>
        <row r="138">
          <cell r="A138">
            <v>39214</v>
          </cell>
          <cell r="E138">
            <v>800</v>
          </cell>
          <cell r="J138">
            <v>1677</v>
          </cell>
          <cell r="K138">
            <v>0</v>
          </cell>
          <cell r="M138">
            <v>53500</v>
          </cell>
          <cell r="O138">
            <v>502</v>
          </cell>
          <cell r="P138">
            <v>501</v>
          </cell>
          <cell r="U138">
            <v>13100</v>
          </cell>
          <cell r="AK138">
            <v>10200</v>
          </cell>
          <cell r="AS138">
            <v>20</v>
          </cell>
          <cell r="BB138">
            <v>0</v>
          </cell>
          <cell r="BC138">
            <v>502</v>
          </cell>
          <cell r="BD138">
            <v>501</v>
          </cell>
          <cell r="BE138">
            <v>0</v>
          </cell>
          <cell r="BF138">
            <v>1677</v>
          </cell>
          <cell r="BG138">
            <v>0</v>
          </cell>
          <cell r="BH138">
            <v>0</v>
          </cell>
          <cell r="BI138">
            <v>76820</v>
          </cell>
          <cell r="BK138">
            <v>0.2</v>
          </cell>
          <cell r="BL138">
            <v>2.625</v>
          </cell>
          <cell r="BN138">
            <v>0.3</v>
          </cell>
          <cell r="BO138">
            <v>124.7</v>
          </cell>
          <cell r="BR138">
            <v>10</v>
          </cell>
        </row>
        <row r="139">
          <cell r="A139">
            <v>39215</v>
          </cell>
          <cell r="E139">
            <v>800</v>
          </cell>
          <cell r="J139">
            <v>1708</v>
          </cell>
          <cell r="K139">
            <v>0</v>
          </cell>
          <cell r="M139">
            <v>51800</v>
          </cell>
          <cell r="O139">
            <v>504</v>
          </cell>
          <cell r="P139">
            <v>519</v>
          </cell>
          <cell r="U139">
            <v>20380</v>
          </cell>
          <cell r="AK139">
            <v>10200</v>
          </cell>
          <cell r="AS139">
            <v>20</v>
          </cell>
          <cell r="BB139">
            <v>0</v>
          </cell>
          <cell r="BC139">
            <v>504</v>
          </cell>
          <cell r="BD139">
            <v>519</v>
          </cell>
          <cell r="BE139">
            <v>0</v>
          </cell>
          <cell r="BF139">
            <v>1708</v>
          </cell>
          <cell r="BG139">
            <v>0</v>
          </cell>
          <cell r="BH139">
            <v>0</v>
          </cell>
          <cell r="BI139">
            <v>82400</v>
          </cell>
          <cell r="BK139">
            <v>0.1</v>
          </cell>
          <cell r="BL139">
            <v>2.5249999999999999</v>
          </cell>
          <cell r="BN139">
            <v>0.3</v>
          </cell>
          <cell r="BO139">
            <v>124.4</v>
          </cell>
          <cell r="BR139">
            <v>10</v>
          </cell>
        </row>
        <row r="140">
          <cell r="A140">
            <v>39216</v>
          </cell>
          <cell r="E140">
            <v>800</v>
          </cell>
          <cell r="J140">
            <v>1714</v>
          </cell>
          <cell r="K140">
            <v>0</v>
          </cell>
          <cell r="M140">
            <v>50100</v>
          </cell>
          <cell r="N140">
            <v>22286</v>
          </cell>
          <cell r="O140">
            <v>524</v>
          </cell>
          <cell r="P140">
            <v>526</v>
          </cell>
          <cell r="U140">
            <v>19500</v>
          </cell>
          <cell r="AK140">
            <v>10200</v>
          </cell>
          <cell r="AS140">
            <v>20</v>
          </cell>
          <cell r="BB140">
            <v>22286</v>
          </cell>
          <cell r="BC140">
            <v>524</v>
          </cell>
          <cell r="BD140">
            <v>526</v>
          </cell>
          <cell r="BE140">
            <v>0</v>
          </cell>
          <cell r="BF140">
            <v>1714</v>
          </cell>
          <cell r="BG140">
            <v>0</v>
          </cell>
          <cell r="BH140">
            <v>0</v>
          </cell>
          <cell r="BI140">
            <v>79820</v>
          </cell>
          <cell r="BK140">
            <v>2.5000000000000001E-2</v>
          </cell>
          <cell r="BL140">
            <v>2.5</v>
          </cell>
          <cell r="BN140">
            <v>0.2</v>
          </cell>
          <cell r="BO140">
            <v>124.1</v>
          </cell>
          <cell r="BR140">
            <v>10</v>
          </cell>
        </row>
        <row r="141">
          <cell r="A141">
            <v>39217</v>
          </cell>
          <cell r="E141">
            <v>800</v>
          </cell>
          <cell r="J141">
            <v>1634</v>
          </cell>
          <cell r="K141">
            <v>87</v>
          </cell>
          <cell r="M141">
            <v>48400</v>
          </cell>
          <cell r="O141">
            <v>366</v>
          </cell>
          <cell r="P141">
            <v>358</v>
          </cell>
          <cell r="U141">
            <v>18700</v>
          </cell>
          <cell r="AK141">
            <v>10200</v>
          </cell>
          <cell r="AS141">
            <v>20</v>
          </cell>
          <cell r="BB141">
            <v>0</v>
          </cell>
          <cell r="BC141">
            <v>366</v>
          </cell>
          <cell r="BD141">
            <v>358</v>
          </cell>
          <cell r="BE141">
            <v>0</v>
          </cell>
          <cell r="BF141">
            <v>1634</v>
          </cell>
          <cell r="BG141">
            <v>87</v>
          </cell>
          <cell r="BH141">
            <v>0</v>
          </cell>
          <cell r="BI141">
            <v>77320</v>
          </cell>
          <cell r="BK141">
            <v>0.1</v>
          </cell>
          <cell r="BL141">
            <v>2.4</v>
          </cell>
          <cell r="BN141">
            <v>0.2</v>
          </cell>
          <cell r="BO141">
            <v>129.9</v>
          </cell>
          <cell r="BR141">
            <v>10</v>
          </cell>
        </row>
        <row r="142">
          <cell r="A142">
            <v>39218</v>
          </cell>
          <cell r="E142">
            <v>800</v>
          </cell>
          <cell r="J142">
            <v>1161</v>
          </cell>
          <cell r="K142">
            <v>54</v>
          </cell>
          <cell r="M142">
            <v>47200</v>
          </cell>
          <cell r="O142">
            <v>271</v>
          </cell>
          <cell r="P142">
            <v>276</v>
          </cell>
          <cell r="U142">
            <v>18200</v>
          </cell>
          <cell r="AK142">
            <v>10200</v>
          </cell>
          <cell r="AS142">
            <v>20</v>
          </cell>
          <cell r="BB142">
            <v>0</v>
          </cell>
          <cell r="BC142">
            <v>271</v>
          </cell>
          <cell r="BD142">
            <v>276</v>
          </cell>
          <cell r="BE142">
            <v>0</v>
          </cell>
          <cell r="BF142">
            <v>1161</v>
          </cell>
          <cell r="BG142">
            <v>54</v>
          </cell>
          <cell r="BH142">
            <v>0</v>
          </cell>
          <cell r="BI142">
            <v>75620</v>
          </cell>
          <cell r="BK142">
            <v>0.06</v>
          </cell>
          <cell r="BL142">
            <v>2.34</v>
          </cell>
          <cell r="BN142">
            <v>0.4</v>
          </cell>
          <cell r="BO142">
            <v>123.5</v>
          </cell>
          <cell r="BR142">
            <v>10</v>
          </cell>
        </row>
        <row r="143">
          <cell r="A143">
            <v>39219</v>
          </cell>
          <cell r="E143">
            <v>800</v>
          </cell>
          <cell r="J143">
            <v>826</v>
          </cell>
          <cell r="K143">
            <v>0</v>
          </cell>
          <cell r="M143">
            <v>46400</v>
          </cell>
          <cell r="O143">
            <v>520</v>
          </cell>
          <cell r="P143">
            <v>523</v>
          </cell>
          <cell r="U143">
            <v>17100</v>
          </cell>
          <cell r="AK143">
            <v>10200</v>
          </cell>
          <cell r="AS143">
            <v>20</v>
          </cell>
          <cell r="BB143">
            <v>0</v>
          </cell>
          <cell r="BC143">
            <v>520</v>
          </cell>
          <cell r="BD143">
            <v>523</v>
          </cell>
          <cell r="BE143">
            <v>0</v>
          </cell>
          <cell r="BF143">
            <v>826</v>
          </cell>
          <cell r="BG143">
            <v>0</v>
          </cell>
          <cell r="BH143">
            <v>0</v>
          </cell>
          <cell r="BI143">
            <v>73720</v>
          </cell>
          <cell r="BK143">
            <v>7.4999999999999997E-2</v>
          </cell>
          <cell r="BL143">
            <v>2.2250000000000001</v>
          </cell>
          <cell r="BN143">
            <v>0.4</v>
          </cell>
          <cell r="BO143">
            <v>123.1</v>
          </cell>
          <cell r="BR143">
            <v>10</v>
          </cell>
        </row>
        <row r="144">
          <cell r="A144">
            <v>39220</v>
          </cell>
          <cell r="E144">
            <v>800</v>
          </cell>
          <cell r="J144">
            <v>1655</v>
          </cell>
          <cell r="K144">
            <v>71</v>
          </cell>
          <cell r="M144">
            <v>44600</v>
          </cell>
          <cell r="O144">
            <v>517</v>
          </cell>
          <cell r="P144">
            <v>508</v>
          </cell>
          <cell r="U144">
            <v>16100</v>
          </cell>
          <cell r="AK144">
            <v>10200</v>
          </cell>
          <cell r="AS144">
            <v>20</v>
          </cell>
          <cell r="BB144">
            <v>0</v>
          </cell>
          <cell r="BC144">
            <v>517</v>
          </cell>
          <cell r="BD144">
            <v>508</v>
          </cell>
          <cell r="BE144">
            <v>0</v>
          </cell>
          <cell r="BF144">
            <v>1655</v>
          </cell>
          <cell r="BG144">
            <v>71</v>
          </cell>
          <cell r="BH144">
            <v>0</v>
          </cell>
          <cell r="BI144">
            <v>70920</v>
          </cell>
          <cell r="BK144">
            <v>0.1</v>
          </cell>
          <cell r="BL144">
            <v>2.1749999999999998</v>
          </cell>
          <cell r="BN144">
            <v>0.5</v>
          </cell>
          <cell r="BO144">
            <v>122.6</v>
          </cell>
          <cell r="BR144">
            <v>10</v>
          </cell>
        </row>
        <row r="145">
          <cell r="A145">
            <v>39221</v>
          </cell>
          <cell r="E145">
            <v>800</v>
          </cell>
          <cell r="J145">
            <v>1701</v>
          </cell>
          <cell r="K145">
            <v>96</v>
          </cell>
          <cell r="M145">
            <v>42800</v>
          </cell>
          <cell r="O145">
            <v>529</v>
          </cell>
          <cell r="P145">
            <v>499</v>
          </cell>
          <cell r="U145">
            <v>15080</v>
          </cell>
          <cell r="AK145">
            <v>10200</v>
          </cell>
          <cell r="AS145">
            <v>20</v>
          </cell>
          <cell r="BB145">
            <v>0</v>
          </cell>
          <cell r="BC145">
            <v>529</v>
          </cell>
          <cell r="BD145">
            <v>499</v>
          </cell>
          <cell r="BE145">
            <v>0</v>
          </cell>
          <cell r="BF145">
            <v>1701</v>
          </cell>
          <cell r="BG145">
            <v>96</v>
          </cell>
          <cell r="BH145">
            <v>0</v>
          </cell>
          <cell r="BI145">
            <v>68100</v>
          </cell>
          <cell r="BK145">
            <v>0.125</v>
          </cell>
          <cell r="BL145">
            <v>2</v>
          </cell>
          <cell r="BN145">
            <v>0.5</v>
          </cell>
          <cell r="BO145">
            <v>122.1</v>
          </cell>
          <cell r="BR145">
            <v>10</v>
          </cell>
        </row>
        <row r="146">
          <cell r="A146">
            <v>39222</v>
          </cell>
          <cell r="E146">
            <v>800</v>
          </cell>
          <cell r="J146">
            <v>1738</v>
          </cell>
          <cell r="K146">
            <v>91</v>
          </cell>
          <cell r="M146">
            <v>41000</v>
          </cell>
          <cell r="O146">
            <v>517</v>
          </cell>
          <cell r="P146">
            <v>458</v>
          </cell>
          <cell r="U146">
            <v>14000</v>
          </cell>
          <cell r="AK146">
            <v>10200</v>
          </cell>
          <cell r="AS146">
            <v>20</v>
          </cell>
          <cell r="BB146">
            <v>0</v>
          </cell>
          <cell r="BC146">
            <v>517</v>
          </cell>
          <cell r="BD146">
            <v>458</v>
          </cell>
          <cell r="BE146">
            <v>0</v>
          </cell>
          <cell r="BF146">
            <v>1738</v>
          </cell>
          <cell r="BG146">
            <v>91</v>
          </cell>
          <cell r="BH146">
            <v>0</v>
          </cell>
          <cell r="BI146">
            <v>65220</v>
          </cell>
          <cell r="BK146">
            <v>0.1</v>
          </cell>
          <cell r="BL146">
            <v>1.9</v>
          </cell>
          <cell r="BN146">
            <v>0.6</v>
          </cell>
          <cell r="BO146">
            <v>121.5</v>
          </cell>
          <cell r="BR146">
            <v>10</v>
          </cell>
        </row>
        <row r="147">
          <cell r="A147">
            <v>39223</v>
          </cell>
          <cell r="E147">
            <v>800</v>
          </cell>
          <cell r="J147">
            <v>1720</v>
          </cell>
          <cell r="K147">
            <v>105</v>
          </cell>
          <cell r="M147">
            <v>39200</v>
          </cell>
          <cell r="O147">
            <v>514</v>
          </cell>
          <cell r="P147">
            <v>493</v>
          </cell>
          <cell r="U147">
            <v>17400</v>
          </cell>
          <cell r="AK147">
            <v>10200</v>
          </cell>
          <cell r="AS147">
            <v>20</v>
          </cell>
          <cell r="BB147">
            <v>0</v>
          </cell>
          <cell r="BC147">
            <v>514</v>
          </cell>
          <cell r="BD147">
            <v>493</v>
          </cell>
          <cell r="BE147">
            <v>0</v>
          </cell>
          <cell r="BF147">
            <v>1720</v>
          </cell>
          <cell r="BG147">
            <v>105</v>
          </cell>
          <cell r="BH147">
            <v>0</v>
          </cell>
          <cell r="BI147">
            <v>66820</v>
          </cell>
          <cell r="BK147">
            <v>0.1</v>
          </cell>
          <cell r="BL147">
            <v>1.8</v>
          </cell>
          <cell r="BN147">
            <v>0.6</v>
          </cell>
          <cell r="BO147">
            <v>120.9</v>
          </cell>
          <cell r="BR147">
            <v>10</v>
          </cell>
        </row>
        <row r="148">
          <cell r="A148">
            <v>39224</v>
          </cell>
          <cell r="E148">
            <v>800</v>
          </cell>
          <cell r="J148">
            <v>1754</v>
          </cell>
          <cell r="K148">
            <v>28</v>
          </cell>
          <cell r="M148">
            <v>37400</v>
          </cell>
          <cell r="O148">
            <v>358</v>
          </cell>
          <cell r="P148">
            <v>336</v>
          </cell>
          <cell r="U148">
            <v>25600</v>
          </cell>
          <cell r="AK148">
            <v>10200</v>
          </cell>
          <cell r="AS148">
            <v>20</v>
          </cell>
          <cell r="BB148">
            <v>0</v>
          </cell>
          <cell r="BC148">
            <v>358</v>
          </cell>
          <cell r="BD148">
            <v>336</v>
          </cell>
          <cell r="BE148">
            <v>0</v>
          </cell>
          <cell r="BF148">
            <v>1754</v>
          </cell>
          <cell r="BG148">
            <v>28</v>
          </cell>
          <cell r="BH148">
            <v>0</v>
          </cell>
          <cell r="BI148">
            <v>73220</v>
          </cell>
          <cell r="BK148">
            <v>0.1</v>
          </cell>
          <cell r="BL148">
            <v>1.7</v>
          </cell>
          <cell r="BN148">
            <v>0.4</v>
          </cell>
          <cell r="BO148">
            <v>120.5</v>
          </cell>
          <cell r="BR148">
            <v>10</v>
          </cell>
        </row>
        <row r="149">
          <cell r="A149">
            <v>39225</v>
          </cell>
          <cell r="E149">
            <v>800</v>
          </cell>
          <cell r="J149">
            <v>1154</v>
          </cell>
          <cell r="K149">
            <v>0</v>
          </cell>
          <cell r="M149">
            <v>36100</v>
          </cell>
          <cell r="O149">
            <v>297</v>
          </cell>
          <cell r="P149">
            <v>91</v>
          </cell>
          <cell r="U149">
            <v>35200</v>
          </cell>
          <cell r="AK149">
            <v>10200</v>
          </cell>
          <cell r="AS149">
            <v>20</v>
          </cell>
          <cell r="BB149">
            <v>0</v>
          </cell>
          <cell r="BC149">
            <v>297</v>
          </cell>
          <cell r="BD149">
            <v>91</v>
          </cell>
          <cell r="BE149">
            <v>0</v>
          </cell>
          <cell r="BF149">
            <v>1154</v>
          </cell>
          <cell r="BG149">
            <v>0</v>
          </cell>
          <cell r="BH149">
            <v>0</v>
          </cell>
          <cell r="BI149">
            <v>81520</v>
          </cell>
          <cell r="BJ149">
            <v>1</v>
          </cell>
          <cell r="BK149">
            <v>0.13</v>
          </cell>
          <cell r="BL149">
            <v>2.6</v>
          </cell>
          <cell r="BN149">
            <v>0.3</v>
          </cell>
          <cell r="BO149">
            <v>119.5</v>
          </cell>
          <cell r="BR149">
            <v>10</v>
          </cell>
        </row>
        <row r="150">
          <cell r="A150">
            <v>39226</v>
          </cell>
          <cell r="E150">
            <v>800</v>
          </cell>
          <cell r="J150">
            <v>850</v>
          </cell>
          <cell r="K150">
            <v>0</v>
          </cell>
          <cell r="M150">
            <v>35060</v>
          </cell>
          <cell r="N150">
            <v>24732.006000000001</v>
          </cell>
          <cell r="O150">
            <v>435</v>
          </cell>
          <cell r="P150">
            <v>491</v>
          </cell>
          <cell r="U150">
            <v>36800</v>
          </cell>
          <cell r="AK150">
            <v>10200</v>
          </cell>
          <cell r="AS150">
            <v>20</v>
          </cell>
          <cell r="BB150">
            <v>24732.006000000001</v>
          </cell>
          <cell r="BC150">
            <v>435</v>
          </cell>
          <cell r="BD150">
            <v>491</v>
          </cell>
          <cell r="BE150">
            <v>0</v>
          </cell>
          <cell r="BF150">
            <v>850</v>
          </cell>
          <cell r="BG150">
            <v>0</v>
          </cell>
          <cell r="BH150">
            <v>0</v>
          </cell>
          <cell r="BI150">
            <v>82080</v>
          </cell>
          <cell r="BK150">
            <v>0.1</v>
          </cell>
          <cell r="BL150">
            <v>2.5</v>
          </cell>
          <cell r="BN150">
            <v>0.4</v>
          </cell>
          <cell r="BO150">
            <v>119.1</v>
          </cell>
          <cell r="BR150">
            <v>10</v>
          </cell>
        </row>
        <row r="151">
          <cell r="A151">
            <v>39227</v>
          </cell>
          <cell r="E151">
            <v>723</v>
          </cell>
          <cell r="J151">
            <v>1724</v>
          </cell>
          <cell r="K151">
            <v>60</v>
          </cell>
          <cell r="M151">
            <v>32800</v>
          </cell>
          <cell r="O151">
            <v>424</v>
          </cell>
          <cell r="P151">
            <v>500</v>
          </cell>
          <cell r="U151">
            <v>35800</v>
          </cell>
          <cell r="AK151">
            <v>10200</v>
          </cell>
          <cell r="AS151">
            <v>20</v>
          </cell>
          <cell r="BB151">
            <v>0</v>
          </cell>
          <cell r="BC151">
            <v>424</v>
          </cell>
          <cell r="BD151">
            <v>500</v>
          </cell>
          <cell r="BE151">
            <v>0</v>
          </cell>
          <cell r="BF151">
            <v>1724</v>
          </cell>
          <cell r="BG151">
            <v>60</v>
          </cell>
          <cell r="BH151">
            <v>0</v>
          </cell>
          <cell r="BI151">
            <v>78820</v>
          </cell>
          <cell r="BK151">
            <v>0.1</v>
          </cell>
          <cell r="BL151">
            <v>2.5</v>
          </cell>
          <cell r="BN151">
            <v>0.4</v>
          </cell>
          <cell r="BO151">
            <v>118.7</v>
          </cell>
          <cell r="BR151">
            <v>10</v>
          </cell>
        </row>
        <row r="152">
          <cell r="A152">
            <v>39228</v>
          </cell>
          <cell r="E152">
            <v>723</v>
          </cell>
          <cell r="J152">
            <v>1719</v>
          </cell>
          <cell r="K152">
            <v>29</v>
          </cell>
          <cell r="M152">
            <v>31100</v>
          </cell>
          <cell r="O152">
            <v>493</v>
          </cell>
          <cell r="P152">
            <v>502</v>
          </cell>
          <cell r="U152">
            <v>34800</v>
          </cell>
          <cell r="AK152">
            <v>10200</v>
          </cell>
          <cell r="AS152">
            <v>20</v>
          </cell>
          <cell r="BB152">
            <v>0</v>
          </cell>
          <cell r="BC152">
            <v>493</v>
          </cell>
          <cell r="BD152">
            <v>502</v>
          </cell>
          <cell r="BE152">
            <v>0</v>
          </cell>
          <cell r="BF152">
            <v>1719</v>
          </cell>
          <cell r="BG152">
            <v>29</v>
          </cell>
          <cell r="BH152">
            <v>0</v>
          </cell>
          <cell r="BI152">
            <v>76120</v>
          </cell>
          <cell r="BK152">
            <v>0.1</v>
          </cell>
          <cell r="BL152">
            <v>2.4</v>
          </cell>
          <cell r="BN152">
            <v>0.5</v>
          </cell>
          <cell r="BO152">
            <v>118.2</v>
          </cell>
          <cell r="BR152">
            <v>10</v>
          </cell>
        </row>
        <row r="153">
          <cell r="A153">
            <v>39229</v>
          </cell>
          <cell r="E153">
            <v>723</v>
          </cell>
          <cell r="J153">
            <v>1744</v>
          </cell>
          <cell r="K153">
            <v>79</v>
          </cell>
          <cell r="M153">
            <v>29900</v>
          </cell>
          <cell r="O153">
            <v>497</v>
          </cell>
          <cell r="P153">
            <v>502</v>
          </cell>
          <cell r="U153">
            <v>33800</v>
          </cell>
          <cell r="AK153">
            <v>10200</v>
          </cell>
          <cell r="AS153">
            <v>20</v>
          </cell>
          <cell r="BB153">
            <v>0</v>
          </cell>
          <cell r="BC153">
            <v>497</v>
          </cell>
          <cell r="BD153">
            <v>502</v>
          </cell>
          <cell r="BE153">
            <v>0</v>
          </cell>
          <cell r="BF153">
            <v>1744</v>
          </cell>
          <cell r="BG153">
            <v>79</v>
          </cell>
          <cell r="BH153">
            <v>0</v>
          </cell>
          <cell r="BI153">
            <v>73920</v>
          </cell>
          <cell r="BK153">
            <v>0.1</v>
          </cell>
          <cell r="BL153">
            <v>2.2999999999999998</v>
          </cell>
          <cell r="BN153">
            <v>0.5</v>
          </cell>
          <cell r="BO153">
            <v>117.7</v>
          </cell>
          <cell r="BR153">
            <v>10</v>
          </cell>
        </row>
        <row r="154">
          <cell r="A154">
            <v>39230</v>
          </cell>
          <cell r="E154">
            <v>723</v>
          </cell>
          <cell r="J154">
            <v>1671</v>
          </cell>
          <cell r="K154">
            <v>96</v>
          </cell>
          <cell r="M154">
            <v>27100</v>
          </cell>
          <cell r="O154">
            <v>477</v>
          </cell>
          <cell r="P154">
            <v>497</v>
          </cell>
          <cell r="U154">
            <v>32800</v>
          </cell>
          <cell r="AK154">
            <v>10200</v>
          </cell>
          <cell r="AS154">
            <v>20</v>
          </cell>
          <cell r="BB154">
            <v>0</v>
          </cell>
          <cell r="BC154">
            <v>477</v>
          </cell>
          <cell r="BD154">
            <v>497</v>
          </cell>
          <cell r="BE154">
            <v>0</v>
          </cell>
          <cell r="BF154">
            <v>1671</v>
          </cell>
          <cell r="BG154">
            <v>96</v>
          </cell>
          <cell r="BH154">
            <v>0</v>
          </cell>
          <cell r="BI154">
            <v>70120</v>
          </cell>
          <cell r="BK154">
            <v>0.1</v>
          </cell>
          <cell r="BL154">
            <v>2.2000000000000002</v>
          </cell>
          <cell r="BN154">
            <v>0.8</v>
          </cell>
          <cell r="BO154">
            <v>116.8</v>
          </cell>
          <cell r="BR154">
            <v>10</v>
          </cell>
        </row>
        <row r="155">
          <cell r="A155">
            <v>39231</v>
          </cell>
          <cell r="E155">
            <v>723</v>
          </cell>
          <cell r="J155">
            <v>1656</v>
          </cell>
          <cell r="K155">
            <v>71</v>
          </cell>
          <cell r="M155">
            <v>30600</v>
          </cell>
          <cell r="O155">
            <v>310</v>
          </cell>
          <cell r="P155">
            <v>352</v>
          </cell>
          <cell r="U155">
            <v>32200</v>
          </cell>
          <cell r="AK155">
            <v>10200</v>
          </cell>
          <cell r="AS155">
            <v>20</v>
          </cell>
          <cell r="BB155">
            <v>0</v>
          </cell>
          <cell r="BC155">
            <v>310</v>
          </cell>
          <cell r="BD155">
            <v>352</v>
          </cell>
          <cell r="BE155">
            <v>0</v>
          </cell>
          <cell r="BF155">
            <v>1656</v>
          </cell>
          <cell r="BG155">
            <v>71</v>
          </cell>
          <cell r="BH155">
            <v>0</v>
          </cell>
          <cell r="BI155">
            <v>73020</v>
          </cell>
          <cell r="BK155">
            <v>0.1</v>
          </cell>
          <cell r="BL155">
            <v>2.1</v>
          </cell>
          <cell r="BN155">
            <v>0.5</v>
          </cell>
          <cell r="BO155">
            <v>116.1</v>
          </cell>
          <cell r="BR155">
            <v>10</v>
          </cell>
        </row>
        <row r="156">
          <cell r="A156">
            <v>39232</v>
          </cell>
          <cell r="C156">
            <v>131</v>
          </cell>
          <cell r="E156">
            <v>588</v>
          </cell>
          <cell r="F156">
            <v>15201.728999999999</v>
          </cell>
          <cell r="J156">
            <v>1206</v>
          </cell>
          <cell r="K156">
            <v>75</v>
          </cell>
          <cell r="M156">
            <v>40100</v>
          </cell>
          <cell r="O156">
            <v>92</v>
          </cell>
          <cell r="P156">
            <v>295</v>
          </cell>
          <cell r="U156">
            <v>31900</v>
          </cell>
          <cell r="AE156">
            <v>133</v>
          </cell>
          <cell r="AK156">
            <v>10070</v>
          </cell>
          <cell r="AS156">
            <v>20</v>
          </cell>
          <cell r="BB156">
            <v>15201.728999999999</v>
          </cell>
          <cell r="BC156">
            <v>225</v>
          </cell>
          <cell r="BD156">
            <v>295</v>
          </cell>
          <cell r="BE156">
            <v>0</v>
          </cell>
          <cell r="BF156">
            <v>1206</v>
          </cell>
          <cell r="BG156">
            <v>75</v>
          </cell>
          <cell r="BH156">
            <v>0</v>
          </cell>
          <cell r="BI156">
            <v>82090</v>
          </cell>
          <cell r="BK156">
            <v>0.1</v>
          </cell>
          <cell r="BL156">
            <v>2</v>
          </cell>
          <cell r="BN156">
            <v>0.3</v>
          </cell>
          <cell r="BO156">
            <v>115.9</v>
          </cell>
          <cell r="BR156">
            <v>10</v>
          </cell>
        </row>
        <row r="157">
          <cell r="A157">
            <v>39233</v>
          </cell>
          <cell r="C157">
            <v>264</v>
          </cell>
          <cell r="E157">
            <v>308</v>
          </cell>
          <cell r="J157">
            <v>-370.44000000000005</v>
          </cell>
          <cell r="K157">
            <v>45</v>
          </cell>
          <cell r="M157">
            <v>38800</v>
          </cell>
          <cell r="P157">
            <v>152</v>
          </cell>
          <cell r="U157">
            <v>31400</v>
          </cell>
          <cell r="AE157">
            <v>-72</v>
          </cell>
          <cell r="AF157">
            <v>-4.0080000000000027</v>
          </cell>
          <cell r="AK157">
            <v>9700</v>
          </cell>
          <cell r="AS157">
            <v>20</v>
          </cell>
          <cell r="BB157">
            <v>0</v>
          </cell>
          <cell r="BC157">
            <v>-72</v>
          </cell>
          <cell r="BD157">
            <v>147.99199999999999</v>
          </cell>
          <cell r="BE157">
            <v>0</v>
          </cell>
          <cell r="BF157">
            <v>-370.44000000000005</v>
          </cell>
          <cell r="BG157">
            <v>45</v>
          </cell>
          <cell r="BH157">
            <v>0</v>
          </cell>
          <cell r="BI157">
            <v>79920</v>
          </cell>
          <cell r="BJ157">
            <v>1.2</v>
          </cell>
          <cell r="BK157">
            <v>0.04</v>
          </cell>
          <cell r="BL157">
            <v>1.96</v>
          </cell>
          <cell r="BN157">
            <v>1.427</v>
          </cell>
          <cell r="BO157">
            <v>115.7</v>
          </cell>
          <cell r="BR157">
            <v>10</v>
          </cell>
        </row>
        <row r="158">
          <cell r="A158">
            <v>39234</v>
          </cell>
          <cell r="C158">
            <v>481</v>
          </cell>
          <cell r="E158">
            <v>0</v>
          </cell>
          <cell r="J158">
            <v>1655</v>
          </cell>
          <cell r="K158">
            <v>82</v>
          </cell>
          <cell r="M158">
            <v>37100</v>
          </cell>
          <cell r="P158">
            <v>514</v>
          </cell>
          <cell r="U158">
            <v>31400</v>
          </cell>
          <cell r="AE158">
            <v>236</v>
          </cell>
          <cell r="AF158">
            <v>245</v>
          </cell>
          <cell r="AK158">
            <v>9000</v>
          </cell>
          <cell r="AS158">
            <v>20</v>
          </cell>
          <cell r="BB158">
            <v>0</v>
          </cell>
          <cell r="BC158">
            <v>236</v>
          </cell>
          <cell r="BD158">
            <v>759</v>
          </cell>
          <cell r="BE158">
            <v>0</v>
          </cell>
          <cell r="BF158">
            <v>1655</v>
          </cell>
          <cell r="BG158">
            <v>82</v>
          </cell>
          <cell r="BH158">
            <v>0</v>
          </cell>
          <cell r="BI158">
            <v>77520</v>
          </cell>
          <cell r="BK158">
            <v>0.1</v>
          </cell>
          <cell r="BL158">
            <v>1.9</v>
          </cell>
          <cell r="BN158">
            <v>0.3</v>
          </cell>
          <cell r="BO158">
            <v>115.1</v>
          </cell>
          <cell r="BR158">
            <v>10</v>
          </cell>
        </row>
        <row r="159">
          <cell r="A159">
            <v>39235</v>
          </cell>
          <cell r="C159">
            <v>63</v>
          </cell>
          <cell r="E159">
            <v>0</v>
          </cell>
          <cell r="J159">
            <v>1699</v>
          </cell>
          <cell r="K159">
            <v>97</v>
          </cell>
          <cell r="M159">
            <v>35300</v>
          </cell>
          <cell r="P159">
            <v>486</v>
          </cell>
          <cell r="U159">
            <v>30700</v>
          </cell>
          <cell r="AE159">
            <v>29</v>
          </cell>
          <cell r="AF159">
            <v>354</v>
          </cell>
          <cell r="AK159">
            <v>8800</v>
          </cell>
          <cell r="AS159">
            <v>20</v>
          </cell>
          <cell r="BB159">
            <v>0</v>
          </cell>
          <cell r="BC159">
            <v>29</v>
          </cell>
          <cell r="BD159">
            <v>840</v>
          </cell>
          <cell r="BE159">
            <v>0</v>
          </cell>
          <cell r="BF159">
            <v>1699</v>
          </cell>
          <cell r="BG159">
            <v>97</v>
          </cell>
          <cell r="BH159">
            <v>0</v>
          </cell>
          <cell r="BI159">
            <v>74820</v>
          </cell>
          <cell r="BK159">
            <v>0.1</v>
          </cell>
          <cell r="BL159">
            <v>1.8</v>
          </cell>
          <cell r="BN159">
            <v>0.5</v>
          </cell>
          <cell r="BO159">
            <v>114.6</v>
          </cell>
          <cell r="BR159">
            <v>10</v>
          </cell>
        </row>
        <row r="160">
          <cell r="A160">
            <v>39236</v>
          </cell>
          <cell r="J160">
            <v>1676</v>
          </cell>
          <cell r="K160">
            <v>95</v>
          </cell>
          <cell r="M160">
            <v>33500</v>
          </cell>
          <cell r="U160">
            <v>29700</v>
          </cell>
          <cell r="AK160">
            <v>8800</v>
          </cell>
          <cell r="AN160">
            <v>20</v>
          </cell>
          <cell r="AS160">
            <v>0</v>
          </cell>
          <cell r="BB160">
            <v>0</v>
          </cell>
          <cell r="BC160">
            <v>0</v>
          </cell>
          <cell r="BD160">
            <v>20</v>
          </cell>
          <cell r="BE160">
            <v>0</v>
          </cell>
          <cell r="BF160">
            <v>1676</v>
          </cell>
          <cell r="BG160">
            <v>95</v>
          </cell>
          <cell r="BH160">
            <v>0</v>
          </cell>
          <cell r="BI160">
            <v>72000</v>
          </cell>
          <cell r="BJ160">
            <v>3</v>
          </cell>
          <cell r="BK160">
            <v>0.1</v>
          </cell>
          <cell r="BL160">
            <v>4.7</v>
          </cell>
          <cell r="BN160">
            <v>0.6</v>
          </cell>
          <cell r="BO160">
            <v>114</v>
          </cell>
          <cell r="BR160">
            <v>10</v>
          </cell>
        </row>
        <row r="161">
          <cell r="A161">
            <v>39237</v>
          </cell>
          <cell r="J161">
            <v>1662</v>
          </cell>
          <cell r="K161">
            <v>37</v>
          </cell>
          <cell r="L161">
            <v>206.3</v>
          </cell>
          <cell r="M161">
            <v>31600</v>
          </cell>
          <cell r="O161">
            <v>457</v>
          </cell>
          <cell r="P161">
            <v>484</v>
          </cell>
          <cell r="U161">
            <v>28800</v>
          </cell>
          <cell r="AK161">
            <v>8800</v>
          </cell>
          <cell r="AS161">
            <v>0</v>
          </cell>
          <cell r="BB161">
            <v>0</v>
          </cell>
          <cell r="BC161">
            <v>457</v>
          </cell>
          <cell r="BD161">
            <v>484</v>
          </cell>
          <cell r="BE161">
            <v>0</v>
          </cell>
          <cell r="BF161">
            <v>1662</v>
          </cell>
          <cell r="BG161">
            <v>37</v>
          </cell>
          <cell r="BH161">
            <v>206.3</v>
          </cell>
          <cell r="BI161">
            <v>69200</v>
          </cell>
          <cell r="BK161">
            <v>0.1</v>
          </cell>
          <cell r="BL161">
            <v>4.5999999999999996</v>
          </cell>
          <cell r="BN161">
            <v>0.5</v>
          </cell>
          <cell r="BO161">
            <v>113.6</v>
          </cell>
          <cell r="BR161">
            <v>10</v>
          </cell>
        </row>
        <row r="162">
          <cell r="A162">
            <v>39238</v>
          </cell>
          <cell r="J162">
            <v>1670</v>
          </cell>
          <cell r="K162">
            <v>7</v>
          </cell>
          <cell r="M162">
            <v>29900</v>
          </cell>
          <cell r="O162">
            <v>346</v>
          </cell>
          <cell r="P162">
            <v>346</v>
          </cell>
          <cell r="Q162">
            <v>248</v>
          </cell>
          <cell r="U162">
            <v>27800</v>
          </cell>
          <cell r="AK162">
            <v>8800</v>
          </cell>
          <cell r="AS162">
            <v>0</v>
          </cell>
          <cell r="BB162">
            <v>0</v>
          </cell>
          <cell r="BC162">
            <v>346</v>
          </cell>
          <cell r="BD162">
            <v>346</v>
          </cell>
          <cell r="BE162">
            <v>248</v>
          </cell>
          <cell r="BF162">
            <v>1670</v>
          </cell>
          <cell r="BG162">
            <v>7</v>
          </cell>
          <cell r="BH162">
            <v>0</v>
          </cell>
          <cell r="BI162">
            <v>66500</v>
          </cell>
          <cell r="BK162">
            <v>0.1</v>
          </cell>
          <cell r="BL162">
            <v>4.5</v>
          </cell>
          <cell r="BN162">
            <v>0.7</v>
          </cell>
          <cell r="BO162">
            <v>112.9</v>
          </cell>
          <cell r="BR162">
            <v>10</v>
          </cell>
        </row>
        <row r="163">
          <cell r="A163">
            <v>39239</v>
          </cell>
          <cell r="J163">
            <v>671</v>
          </cell>
          <cell r="K163">
            <v>0</v>
          </cell>
          <cell r="M163">
            <v>29400</v>
          </cell>
          <cell r="O163">
            <v>165</v>
          </cell>
          <cell r="P163">
            <v>168</v>
          </cell>
          <cell r="Q163">
            <v>1253</v>
          </cell>
          <cell r="R163">
            <v>1060</v>
          </cell>
          <cell r="U163">
            <v>25000</v>
          </cell>
          <cell r="AE163">
            <v>33</v>
          </cell>
          <cell r="AF163">
            <v>44</v>
          </cell>
          <cell r="AK163">
            <v>8700</v>
          </cell>
          <cell r="BB163">
            <v>0</v>
          </cell>
          <cell r="BC163">
            <v>198</v>
          </cell>
          <cell r="BD163">
            <v>212</v>
          </cell>
          <cell r="BE163">
            <v>1253</v>
          </cell>
          <cell r="BF163">
            <v>1731</v>
          </cell>
          <cell r="BG163">
            <v>0</v>
          </cell>
          <cell r="BH163">
            <v>0</v>
          </cell>
          <cell r="BI163">
            <v>63100</v>
          </cell>
          <cell r="BK163">
            <v>0.2</v>
          </cell>
          <cell r="BL163">
            <v>4.3</v>
          </cell>
          <cell r="BN163">
            <v>0.3</v>
          </cell>
          <cell r="BO163">
            <v>112.6</v>
          </cell>
          <cell r="BR163">
            <v>10</v>
          </cell>
        </row>
        <row r="164">
          <cell r="A164">
            <v>39240</v>
          </cell>
          <cell r="K164">
            <v>0</v>
          </cell>
          <cell r="M164">
            <v>29400</v>
          </cell>
          <cell r="Q164">
            <v>1508</v>
          </cell>
          <cell r="R164">
            <v>1910</v>
          </cell>
          <cell r="U164">
            <v>21600</v>
          </cell>
          <cell r="AE164">
            <v>511</v>
          </cell>
          <cell r="AF164">
            <v>516</v>
          </cell>
          <cell r="AK164">
            <v>7600</v>
          </cell>
          <cell r="BB164">
            <v>0</v>
          </cell>
          <cell r="BC164">
            <v>511</v>
          </cell>
          <cell r="BD164">
            <v>516</v>
          </cell>
          <cell r="BE164">
            <v>1508</v>
          </cell>
          <cell r="BF164">
            <v>1910</v>
          </cell>
          <cell r="BG164">
            <v>0</v>
          </cell>
          <cell r="BH164">
            <v>0</v>
          </cell>
          <cell r="BI164">
            <v>58600</v>
          </cell>
          <cell r="BK164">
            <v>0.15</v>
          </cell>
          <cell r="BL164">
            <v>4.1500000000000004</v>
          </cell>
          <cell r="BN164">
            <v>0.4</v>
          </cell>
          <cell r="BO164">
            <v>112.2</v>
          </cell>
          <cell r="BR164">
            <v>10</v>
          </cell>
        </row>
        <row r="165">
          <cell r="A165">
            <v>39241</v>
          </cell>
          <cell r="K165">
            <v>46.1</v>
          </cell>
          <cell r="M165">
            <v>29400</v>
          </cell>
          <cell r="Q165">
            <v>1535</v>
          </cell>
          <cell r="R165">
            <v>895</v>
          </cell>
          <cell r="U165">
            <v>19100</v>
          </cell>
          <cell r="AE165">
            <v>521</v>
          </cell>
          <cell r="AF165">
            <v>491</v>
          </cell>
          <cell r="AK165">
            <v>6600</v>
          </cell>
          <cell r="BB165">
            <v>0</v>
          </cell>
          <cell r="BC165">
            <v>521</v>
          </cell>
          <cell r="BD165">
            <v>491</v>
          </cell>
          <cell r="BE165">
            <v>1535</v>
          </cell>
          <cell r="BF165">
            <v>895</v>
          </cell>
          <cell r="BG165">
            <v>46.1</v>
          </cell>
          <cell r="BH165">
            <v>0</v>
          </cell>
          <cell r="BI165">
            <v>55100</v>
          </cell>
          <cell r="BK165">
            <v>0.15</v>
          </cell>
          <cell r="BL165">
            <v>4</v>
          </cell>
          <cell r="BN165">
            <v>0.5</v>
          </cell>
          <cell r="BO165">
            <v>111.7</v>
          </cell>
          <cell r="BR165">
            <v>10</v>
          </cell>
        </row>
        <row r="166">
          <cell r="A166">
            <v>39242</v>
          </cell>
          <cell r="K166">
            <v>0</v>
          </cell>
          <cell r="M166">
            <v>29400</v>
          </cell>
          <cell r="Q166">
            <v>1535</v>
          </cell>
          <cell r="R166">
            <v>1814</v>
          </cell>
          <cell r="U166">
            <v>15700</v>
          </cell>
          <cell r="AE166">
            <v>520</v>
          </cell>
          <cell r="AF166">
            <v>497</v>
          </cell>
          <cell r="AK166">
            <v>11700</v>
          </cell>
          <cell r="BB166">
            <v>0</v>
          </cell>
          <cell r="BC166">
            <v>520</v>
          </cell>
          <cell r="BD166">
            <v>497</v>
          </cell>
          <cell r="BE166">
            <v>1535</v>
          </cell>
          <cell r="BF166">
            <v>1814</v>
          </cell>
          <cell r="BG166">
            <v>0</v>
          </cell>
          <cell r="BH166">
            <v>0</v>
          </cell>
          <cell r="BI166">
            <v>56800</v>
          </cell>
          <cell r="BK166">
            <v>0.2</v>
          </cell>
          <cell r="BL166">
            <v>3.8</v>
          </cell>
          <cell r="BN166">
            <v>0.5</v>
          </cell>
          <cell r="BO166">
            <v>111.2</v>
          </cell>
          <cell r="BR166">
            <v>10</v>
          </cell>
        </row>
        <row r="167">
          <cell r="A167">
            <v>39243</v>
          </cell>
          <cell r="K167">
            <v>104</v>
          </cell>
          <cell r="M167">
            <v>29300</v>
          </cell>
          <cell r="Q167">
            <v>1524</v>
          </cell>
          <cell r="R167">
            <v>1878</v>
          </cell>
          <cell r="U167">
            <v>14500</v>
          </cell>
          <cell r="AD167">
            <v>6400</v>
          </cell>
          <cell r="AE167">
            <v>52</v>
          </cell>
          <cell r="AF167">
            <v>483</v>
          </cell>
          <cell r="AK167">
            <v>10800</v>
          </cell>
          <cell r="BB167">
            <v>6400</v>
          </cell>
          <cell r="BC167">
            <v>52</v>
          </cell>
          <cell r="BD167">
            <v>483</v>
          </cell>
          <cell r="BE167">
            <v>1524</v>
          </cell>
          <cell r="BF167">
            <v>1878</v>
          </cell>
          <cell r="BG167">
            <v>104</v>
          </cell>
          <cell r="BH167">
            <v>0</v>
          </cell>
          <cell r="BI167">
            <v>54600</v>
          </cell>
          <cell r="BK167">
            <v>0.2</v>
          </cell>
          <cell r="BL167">
            <v>3.6</v>
          </cell>
          <cell r="BN167">
            <v>0.5</v>
          </cell>
          <cell r="BO167">
            <v>110.7</v>
          </cell>
          <cell r="BR167">
            <v>10</v>
          </cell>
        </row>
        <row r="168">
          <cell r="A168">
            <v>39244</v>
          </cell>
          <cell r="K168">
            <v>192.1</v>
          </cell>
          <cell r="M168">
            <v>28900</v>
          </cell>
          <cell r="Q168">
            <v>1110</v>
          </cell>
          <cell r="R168">
            <v>1648</v>
          </cell>
          <cell r="U168">
            <v>19800</v>
          </cell>
          <cell r="AE168">
            <v>517</v>
          </cell>
          <cell r="AF168">
            <v>496</v>
          </cell>
          <cell r="AK168">
            <v>9800</v>
          </cell>
          <cell r="BB168">
            <v>0</v>
          </cell>
          <cell r="BC168">
            <v>517</v>
          </cell>
          <cell r="BD168">
            <v>496</v>
          </cell>
          <cell r="BE168">
            <v>1110</v>
          </cell>
          <cell r="BF168">
            <v>1648</v>
          </cell>
          <cell r="BG168">
            <v>192.1</v>
          </cell>
          <cell r="BH168">
            <v>0</v>
          </cell>
          <cell r="BI168">
            <v>58500</v>
          </cell>
          <cell r="BK168">
            <v>0.1</v>
          </cell>
          <cell r="BL168">
            <v>3.5</v>
          </cell>
          <cell r="BN168">
            <v>0.7</v>
          </cell>
          <cell r="BO168">
            <v>110</v>
          </cell>
          <cell r="BR168">
            <v>10</v>
          </cell>
        </row>
        <row r="169">
          <cell r="A169">
            <v>39245</v>
          </cell>
          <cell r="K169">
            <v>147.5</v>
          </cell>
          <cell r="M169">
            <v>28800</v>
          </cell>
          <cell r="N169">
            <v>16175</v>
          </cell>
          <cell r="Q169">
            <v>1148</v>
          </cell>
          <cell r="R169">
            <v>1581</v>
          </cell>
          <cell r="U169">
            <v>23070</v>
          </cell>
          <cell r="AE169">
            <v>368</v>
          </cell>
          <cell r="AF169">
            <v>232</v>
          </cell>
          <cell r="AK169">
            <v>9100</v>
          </cell>
          <cell r="BB169">
            <v>16175</v>
          </cell>
          <cell r="BC169">
            <v>368</v>
          </cell>
          <cell r="BD169">
            <v>232</v>
          </cell>
          <cell r="BE169">
            <v>1148</v>
          </cell>
          <cell r="BF169">
            <v>1581</v>
          </cell>
          <cell r="BG169">
            <v>147.5</v>
          </cell>
          <cell r="BH169">
            <v>0</v>
          </cell>
          <cell r="BI169">
            <v>60970</v>
          </cell>
          <cell r="BJ169">
            <v>1</v>
          </cell>
          <cell r="BK169">
            <v>0.2</v>
          </cell>
          <cell r="BL169">
            <v>4.3</v>
          </cell>
          <cell r="BN169">
            <v>0.5</v>
          </cell>
          <cell r="BO169">
            <v>109.5</v>
          </cell>
          <cell r="BR169">
            <v>10</v>
          </cell>
        </row>
        <row r="170">
          <cell r="A170">
            <v>39246</v>
          </cell>
          <cell r="K170">
            <v>12.9</v>
          </cell>
          <cell r="M170">
            <v>28800</v>
          </cell>
          <cell r="Q170">
            <v>1570</v>
          </cell>
          <cell r="R170">
            <v>1160</v>
          </cell>
          <cell r="U170">
            <v>20300</v>
          </cell>
          <cell r="AE170">
            <v>385</v>
          </cell>
          <cell r="AF170">
            <v>335</v>
          </cell>
          <cell r="AK170">
            <v>16300</v>
          </cell>
          <cell r="BB170">
            <v>0</v>
          </cell>
          <cell r="BC170">
            <v>385</v>
          </cell>
          <cell r="BD170">
            <v>335</v>
          </cell>
          <cell r="BE170">
            <v>1570</v>
          </cell>
          <cell r="BF170">
            <v>1160</v>
          </cell>
          <cell r="BG170">
            <v>12.9</v>
          </cell>
          <cell r="BH170">
            <v>0</v>
          </cell>
          <cell r="BI170">
            <v>65400</v>
          </cell>
          <cell r="BK170">
            <v>0.2</v>
          </cell>
          <cell r="BL170">
            <v>4.0999999999999996</v>
          </cell>
          <cell r="BN170">
            <v>0.4</v>
          </cell>
          <cell r="BO170">
            <v>109.1</v>
          </cell>
          <cell r="BR170">
            <v>13.776999999999999</v>
          </cell>
        </row>
        <row r="171">
          <cell r="A171">
            <v>39247</v>
          </cell>
          <cell r="K171">
            <v>0</v>
          </cell>
          <cell r="M171">
            <v>28800</v>
          </cell>
          <cell r="Q171">
            <v>1574</v>
          </cell>
          <cell r="R171">
            <v>327</v>
          </cell>
          <cell r="U171">
            <v>18400</v>
          </cell>
          <cell r="AE171">
            <v>515</v>
          </cell>
          <cell r="AF171">
            <v>484</v>
          </cell>
          <cell r="AK171">
            <v>15700</v>
          </cell>
          <cell r="BB171">
            <v>0</v>
          </cell>
          <cell r="BC171">
            <v>515</v>
          </cell>
          <cell r="BD171">
            <v>484</v>
          </cell>
          <cell r="BE171">
            <v>1574</v>
          </cell>
          <cell r="BF171">
            <v>327</v>
          </cell>
          <cell r="BG171">
            <v>0</v>
          </cell>
          <cell r="BH171">
            <v>0</v>
          </cell>
          <cell r="BI171">
            <v>62900</v>
          </cell>
          <cell r="BK171">
            <v>0.1</v>
          </cell>
          <cell r="BL171">
            <v>4</v>
          </cell>
          <cell r="BN171">
            <v>0.4</v>
          </cell>
          <cell r="BO171">
            <v>108.7</v>
          </cell>
          <cell r="BR171">
            <v>13.776999999999999</v>
          </cell>
        </row>
        <row r="172">
          <cell r="A172">
            <v>39248</v>
          </cell>
          <cell r="J172">
            <v>564</v>
          </cell>
          <cell r="K172">
            <v>0</v>
          </cell>
          <cell r="M172">
            <v>28200</v>
          </cell>
          <cell r="Q172">
            <v>1538</v>
          </cell>
          <cell r="R172">
            <v>1070</v>
          </cell>
          <cell r="U172">
            <v>15800</v>
          </cell>
          <cell r="AD172">
            <v>8214</v>
          </cell>
          <cell r="AE172">
            <v>505</v>
          </cell>
          <cell r="AF172">
            <v>425</v>
          </cell>
          <cell r="AK172">
            <v>14700</v>
          </cell>
          <cell r="BB172">
            <v>8214</v>
          </cell>
          <cell r="BC172">
            <v>505</v>
          </cell>
          <cell r="BD172">
            <v>425</v>
          </cell>
          <cell r="BE172">
            <v>1538</v>
          </cell>
          <cell r="BF172">
            <v>1634</v>
          </cell>
          <cell r="BG172">
            <v>0</v>
          </cell>
          <cell r="BH172">
            <v>0</v>
          </cell>
          <cell r="BI172">
            <v>58700</v>
          </cell>
          <cell r="BK172">
            <v>0.2</v>
          </cell>
          <cell r="BL172">
            <v>3.8</v>
          </cell>
          <cell r="BN172">
            <v>0.4</v>
          </cell>
          <cell r="BO172">
            <v>108.3</v>
          </cell>
          <cell r="BR172">
            <v>14</v>
          </cell>
        </row>
        <row r="173">
          <cell r="A173">
            <v>39249</v>
          </cell>
          <cell r="J173">
            <v>1665</v>
          </cell>
          <cell r="K173">
            <v>34</v>
          </cell>
          <cell r="M173">
            <v>26500</v>
          </cell>
          <cell r="Q173">
            <v>1544</v>
          </cell>
          <cell r="U173">
            <v>14200</v>
          </cell>
          <cell r="AE173">
            <v>503</v>
          </cell>
          <cell r="AF173">
            <v>521</v>
          </cell>
          <cell r="AK173">
            <v>13700</v>
          </cell>
          <cell r="BB173">
            <v>0</v>
          </cell>
          <cell r="BC173">
            <v>503</v>
          </cell>
          <cell r="BD173">
            <v>521</v>
          </cell>
          <cell r="BE173">
            <v>1544</v>
          </cell>
          <cell r="BF173">
            <v>1665</v>
          </cell>
          <cell r="BG173">
            <v>34</v>
          </cell>
          <cell r="BH173">
            <v>0</v>
          </cell>
          <cell r="BI173">
            <v>54400</v>
          </cell>
          <cell r="BK173">
            <v>0.2</v>
          </cell>
          <cell r="BL173">
            <v>3.6</v>
          </cell>
          <cell r="BN173">
            <v>0.3</v>
          </cell>
          <cell r="BO173">
            <v>108</v>
          </cell>
          <cell r="BR173">
            <v>14</v>
          </cell>
        </row>
        <row r="174">
          <cell r="A174">
            <v>39250</v>
          </cell>
          <cell r="J174">
            <v>1677</v>
          </cell>
          <cell r="K174">
            <v>16</v>
          </cell>
          <cell r="M174">
            <v>24800</v>
          </cell>
          <cell r="Q174">
            <v>1568</v>
          </cell>
          <cell r="U174">
            <v>12700</v>
          </cell>
          <cell r="AE174">
            <v>521</v>
          </cell>
          <cell r="AF174">
            <v>524</v>
          </cell>
          <cell r="AK174">
            <v>12600</v>
          </cell>
          <cell r="BB174">
            <v>0</v>
          </cell>
          <cell r="BC174">
            <v>521</v>
          </cell>
          <cell r="BD174">
            <v>524</v>
          </cell>
          <cell r="BE174">
            <v>1568</v>
          </cell>
          <cell r="BF174">
            <v>1677</v>
          </cell>
          <cell r="BG174">
            <v>16</v>
          </cell>
          <cell r="BH174">
            <v>0</v>
          </cell>
          <cell r="BI174">
            <v>50100</v>
          </cell>
          <cell r="BK174">
            <v>0.2</v>
          </cell>
          <cell r="BL174">
            <v>3.4</v>
          </cell>
          <cell r="BN174">
            <v>0.3</v>
          </cell>
          <cell r="BO174">
            <v>107.6</v>
          </cell>
          <cell r="BR174">
            <v>14</v>
          </cell>
        </row>
        <row r="175">
          <cell r="A175">
            <v>39251</v>
          </cell>
          <cell r="J175">
            <v>1669</v>
          </cell>
          <cell r="K175">
            <v>97</v>
          </cell>
          <cell r="M175">
            <v>30200</v>
          </cell>
          <cell r="Q175">
            <v>1084</v>
          </cell>
          <cell r="U175">
            <v>11600</v>
          </cell>
          <cell r="AE175">
            <v>511</v>
          </cell>
          <cell r="AF175">
            <v>526</v>
          </cell>
          <cell r="AK175">
            <v>11500</v>
          </cell>
          <cell r="BB175">
            <v>0</v>
          </cell>
          <cell r="BC175">
            <v>511</v>
          </cell>
          <cell r="BD175">
            <v>526</v>
          </cell>
          <cell r="BE175">
            <v>1084</v>
          </cell>
          <cell r="BF175">
            <v>1669</v>
          </cell>
          <cell r="BG175">
            <v>97</v>
          </cell>
          <cell r="BH175">
            <v>0</v>
          </cell>
          <cell r="BI175">
            <v>53300</v>
          </cell>
          <cell r="BK175">
            <v>0.2</v>
          </cell>
          <cell r="BL175">
            <v>3.2</v>
          </cell>
          <cell r="BN175">
            <v>0.3</v>
          </cell>
          <cell r="BO175">
            <v>107.3</v>
          </cell>
          <cell r="BR175">
            <v>14</v>
          </cell>
        </row>
        <row r="176">
          <cell r="A176">
            <v>39252</v>
          </cell>
          <cell r="I176">
            <v>556</v>
          </cell>
          <cell r="J176">
            <v>1623</v>
          </cell>
          <cell r="K176">
            <v>85</v>
          </cell>
          <cell r="L176">
            <v>154.84</v>
          </cell>
          <cell r="M176">
            <v>36300</v>
          </cell>
          <cell r="U176">
            <v>11600</v>
          </cell>
          <cell r="AE176">
            <v>362</v>
          </cell>
          <cell r="AF176">
            <v>374</v>
          </cell>
          <cell r="AK176">
            <v>10700</v>
          </cell>
          <cell r="BB176">
            <v>0</v>
          </cell>
          <cell r="BC176">
            <v>362</v>
          </cell>
          <cell r="BD176">
            <v>374</v>
          </cell>
          <cell r="BE176">
            <v>556</v>
          </cell>
          <cell r="BF176">
            <v>1623</v>
          </cell>
          <cell r="BG176">
            <v>85</v>
          </cell>
          <cell r="BH176">
            <v>154.84</v>
          </cell>
          <cell r="BI176">
            <v>58600</v>
          </cell>
          <cell r="BJ176">
            <v>1</v>
          </cell>
          <cell r="BK176">
            <v>0.05</v>
          </cell>
          <cell r="BL176">
            <v>4</v>
          </cell>
          <cell r="BN176">
            <v>1.2</v>
          </cell>
          <cell r="BO176">
            <v>105.5</v>
          </cell>
          <cell r="BR176">
            <v>14</v>
          </cell>
        </row>
        <row r="177">
          <cell r="A177">
            <v>39253</v>
          </cell>
          <cell r="F177">
            <v>15700</v>
          </cell>
          <cell r="I177">
            <v>1308</v>
          </cell>
          <cell r="J177">
            <v>1174</v>
          </cell>
          <cell r="K177">
            <v>70</v>
          </cell>
          <cell r="M177">
            <v>33600</v>
          </cell>
          <cell r="U177">
            <v>15800</v>
          </cell>
          <cell r="AE177">
            <v>321</v>
          </cell>
          <cell r="AF177">
            <v>290</v>
          </cell>
          <cell r="AK177">
            <v>10000</v>
          </cell>
          <cell r="BB177">
            <v>15700</v>
          </cell>
          <cell r="BC177">
            <v>321</v>
          </cell>
          <cell r="BD177">
            <v>290</v>
          </cell>
          <cell r="BE177">
            <v>1308</v>
          </cell>
          <cell r="BF177">
            <v>1174</v>
          </cell>
          <cell r="BG177">
            <v>70</v>
          </cell>
          <cell r="BH177">
            <v>0</v>
          </cell>
          <cell r="BI177">
            <v>59400</v>
          </cell>
          <cell r="BK177">
            <v>0.2</v>
          </cell>
          <cell r="BL177">
            <v>3.8</v>
          </cell>
          <cell r="BN177">
            <v>0.4</v>
          </cell>
          <cell r="BO177">
            <v>105.1</v>
          </cell>
          <cell r="BR177">
            <v>14</v>
          </cell>
        </row>
        <row r="178">
          <cell r="A178">
            <v>39254</v>
          </cell>
          <cell r="I178">
            <v>1239</v>
          </cell>
          <cell r="J178">
            <v>853</v>
          </cell>
          <cell r="K178">
            <v>51</v>
          </cell>
          <cell r="M178">
            <v>31200</v>
          </cell>
          <cell r="U178">
            <v>22600</v>
          </cell>
          <cell r="AE178">
            <v>508</v>
          </cell>
          <cell r="AF178">
            <v>525</v>
          </cell>
          <cell r="AK178">
            <v>9000</v>
          </cell>
          <cell r="BB178">
            <v>0</v>
          </cell>
          <cell r="BC178">
            <v>508</v>
          </cell>
          <cell r="BD178">
            <v>525</v>
          </cell>
          <cell r="BE178">
            <v>1239</v>
          </cell>
          <cell r="BF178">
            <v>853</v>
          </cell>
          <cell r="BG178">
            <v>51</v>
          </cell>
          <cell r="BH178">
            <v>0</v>
          </cell>
          <cell r="BI178">
            <v>62800</v>
          </cell>
          <cell r="BK178">
            <v>0.2</v>
          </cell>
          <cell r="BL178">
            <v>3.6</v>
          </cell>
          <cell r="BN178">
            <v>2.2999999999999998</v>
          </cell>
          <cell r="BO178">
            <v>102.8</v>
          </cell>
          <cell r="BR178">
            <v>14</v>
          </cell>
        </row>
        <row r="179">
          <cell r="A179">
            <v>39255</v>
          </cell>
          <cell r="I179">
            <v>1334</v>
          </cell>
          <cell r="J179">
            <v>1709</v>
          </cell>
          <cell r="K179">
            <v>75</v>
          </cell>
          <cell r="M179">
            <v>28100</v>
          </cell>
          <cell r="N179">
            <v>13642</v>
          </cell>
          <cell r="U179">
            <v>25700</v>
          </cell>
          <cell r="AE179">
            <v>526</v>
          </cell>
          <cell r="AF179">
            <v>512</v>
          </cell>
          <cell r="AK179">
            <v>7900</v>
          </cell>
          <cell r="BB179">
            <v>13642</v>
          </cell>
          <cell r="BC179">
            <v>526</v>
          </cell>
          <cell r="BD179">
            <v>512</v>
          </cell>
          <cell r="BE179">
            <v>1334</v>
          </cell>
          <cell r="BF179">
            <v>1709</v>
          </cell>
          <cell r="BG179">
            <v>75</v>
          </cell>
          <cell r="BH179">
            <v>0</v>
          </cell>
          <cell r="BI179">
            <v>61700</v>
          </cell>
          <cell r="BK179">
            <v>0.2</v>
          </cell>
          <cell r="BL179">
            <v>3.4</v>
          </cell>
          <cell r="BN179">
            <v>2.2000000000000002</v>
          </cell>
          <cell r="BO179">
            <v>100.6</v>
          </cell>
          <cell r="BR179">
            <v>14</v>
          </cell>
        </row>
        <row r="180">
          <cell r="A180">
            <v>39256</v>
          </cell>
          <cell r="I180">
            <v>1409</v>
          </cell>
          <cell r="J180">
            <v>1694</v>
          </cell>
          <cell r="K180">
            <v>71</v>
          </cell>
          <cell r="M180">
            <v>24900</v>
          </cell>
          <cell r="U180">
            <v>33800</v>
          </cell>
          <cell r="AE180">
            <v>396</v>
          </cell>
          <cell r="AF180">
            <v>384</v>
          </cell>
          <cell r="AK180">
            <v>7100</v>
          </cell>
          <cell r="BB180">
            <v>0</v>
          </cell>
          <cell r="BC180">
            <v>396</v>
          </cell>
          <cell r="BD180">
            <v>384</v>
          </cell>
          <cell r="BE180">
            <v>1409</v>
          </cell>
          <cell r="BF180">
            <v>1694</v>
          </cell>
          <cell r="BG180">
            <v>71</v>
          </cell>
          <cell r="BH180">
            <v>0</v>
          </cell>
          <cell r="BI180">
            <v>65800</v>
          </cell>
          <cell r="BK180">
            <v>0.2</v>
          </cell>
          <cell r="BL180">
            <v>3.2</v>
          </cell>
          <cell r="BN180">
            <v>2.2000000000000002</v>
          </cell>
          <cell r="BO180">
            <v>98.4</v>
          </cell>
          <cell r="BR180">
            <v>14</v>
          </cell>
        </row>
        <row r="181">
          <cell r="A181">
            <v>39257</v>
          </cell>
          <cell r="I181">
            <v>1339</v>
          </cell>
          <cell r="J181">
            <v>1676</v>
          </cell>
          <cell r="K181">
            <v>71</v>
          </cell>
          <cell r="M181">
            <v>21800</v>
          </cell>
          <cell r="U181">
            <v>40800</v>
          </cell>
          <cell r="AK181">
            <v>7100</v>
          </cell>
          <cell r="BB181">
            <v>0</v>
          </cell>
          <cell r="BC181">
            <v>0</v>
          </cell>
          <cell r="BD181">
            <v>0</v>
          </cell>
          <cell r="BE181">
            <v>1339</v>
          </cell>
          <cell r="BF181">
            <v>1676</v>
          </cell>
          <cell r="BG181">
            <v>71</v>
          </cell>
          <cell r="BH181">
            <v>0</v>
          </cell>
          <cell r="BI181">
            <v>69700</v>
          </cell>
          <cell r="BK181">
            <v>0.1</v>
          </cell>
          <cell r="BL181">
            <v>3.1</v>
          </cell>
          <cell r="BN181">
            <v>2.4</v>
          </cell>
          <cell r="BO181">
            <v>96</v>
          </cell>
          <cell r="BR181">
            <v>14</v>
          </cell>
        </row>
        <row r="182">
          <cell r="A182">
            <v>39258</v>
          </cell>
          <cell r="I182">
            <v>1316</v>
          </cell>
          <cell r="J182">
            <v>1323</v>
          </cell>
          <cell r="K182">
            <v>71</v>
          </cell>
          <cell r="M182">
            <v>21900</v>
          </cell>
          <cell r="N182">
            <v>16042</v>
          </cell>
          <cell r="U182">
            <v>41300</v>
          </cell>
          <cell r="AE182">
            <v>226</v>
          </cell>
          <cell r="AF182">
            <v>243</v>
          </cell>
          <cell r="AK182">
            <v>6600</v>
          </cell>
          <cell r="BB182">
            <v>16042</v>
          </cell>
          <cell r="BC182">
            <v>226</v>
          </cell>
          <cell r="BD182">
            <v>243</v>
          </cell>
          <cell r="BE182">
            <v>1316</v>
          </cell>
          <cell r="BF182">
            <v>1323</v>
          </cell>
          <cell r="BG182">
            <v>71</v>
          </cell>
          <cell r="BH182">
            <v>0</v>
          </cell>
          <cell r="BI182">
            <v>69800</v>
          </cell>
          <cell r="BK182">
            <v>0.15</v>
          </cell>
          <cell r="BL182">
            <v>2.95</v>
          </cell>
          <cell r="BN182">
            <v>2.5</v>
          </cell>
          <cell r="BO182">
            <v>93.5</v>
          </cell>
          <cell r="BR182">
            <v>14</v>
          </cell>
        </row>
        <row r="183">
          <cell r="A183">
            <v>39259</v>
          </cell>
          <cell r="I183">
            <v>941</v>
          </cell>
          <cell r="K183">
            <v>91</v>
          </cell>
          <cell r="M183">
            <v>27800</v>
          </cell>
          <cell r="U183">
            <v>41300</v>
          </cell>
          <cell r="AE183">
            <v>492</v>
          </cell>
          <cell r="AF183">
            <v>494</v>
          </cell>
          <cell r="AK183">
            <v>5600</v>
          </cell>
          <cell r="BB183">
            <v>0</v>
          </cell>
          <cell r="BC183">
            <v>492</v>
          </cell>
          <cell r="BD183">
            <v>494</v>
          </cell>
          <cell r="BE183">
            <v>941</v>
          </cell>
          <cell r="BF183">
            <v>0</v>
          </cell>
          <cell r="BG183">
            <v>91</v>
          </cell>
          <cell r="BH183">
            <v>0</v>
          </cell>
          <cell r="BI183">
            <v>74700</v>
          </cell>
          <cell r="BK183">
            <v>0.15</v>
          </cell>
          <cell r="BL183">
            <v>2.8</v>
          </cell>
          <cell r="BN183">
            <v>1.6</v>
          </cell>
          <cell r="BO183">
            <v>91.9</v>
          </cell>
          <cell r="BR183">
            <v>14</v>
          </cell>
        </row>
        <row r="184">
          <cell r="A184">
            <v>39260</v>
          </cell>
          <cell r="K184">
            <v>61</v>
          </cell>
          <cell r="L184">
            <v>318.20999999999998</v>
          </cell>
          <cell r="M184">
            <v>32400</v>
          </cell>
          <cell r="U184">
            <v>41300</v>
          </cell>
          <cell r="AE184">
            <v>490</v>
          </cell>
          <cell r="AF184">
            <v>538</v>
          </cell>
          <cell r="AK184">
            <v>4500</v>
          </cell>
          <cell r="BB184">
            <v>0</v>
          </cell>
          <cell r="BC184">
            <v>490</v>
          </cell>
          <cell r="BD184">
            <v>538</v>
          </cell>
          <cell r="BE184">
            <v>0</v>
          </cell>
          <cell r="BF184">
            <v>0</v>
          </cell>
          <cell r="BG184">
            <v>61</v>
          </cell>
          <cell r="BH184">
            <v>318.20999999999998</v>
          </cell>
          <cell r="BI184">
            <v>78200</v>
          </cell>
          <cell r="BK184">
            <v>0.2</v>
          </cell>
          <cell r="BL184">
            <v>2.6</v>
          </cell>
          <cell r="BN184">
            <v>1.5</v>
          </cell>
          <cell r="BO184">
            <v>91.4</v>
          </cell>
          <cell r="BR184">
            <v>14</v>
          </cell>
        </row>
        <row r="185">
          <cell r="A185">
            <v>39261</v>
          </cell>
          <cell r="F185">
            <v>16100</v>
          </cell>
          <cell r="I185">
            <v>388</v>
          </cell>
          <cell r="K185">
            <v>39</v>
          </cell>
          <cell r="L185">
            <v>246.86</v>
          </cell>
          <cell r="M185">
            <v>31800</v>
          </cell>
          <cell r="Q185">
            <v>635</v>
          </cell>
          <cell r="U185">
            <v>40700</v>
          </cell>
          <cell r="AE185">
            <v>512</v>
          </cell>
          <cell r="AF185">
            <v>532</v>
          </cell>
          <cell r="AK185">
            <v>3500</v>
          </cell>
          <cell r="BB185">
            <v>16100</v>
          </cell>
          <cell r="BC185">
            <v>512</v>
          </cell>
          <cell r="BD185">
            <v>532</v>
          </cell>
          <cell r="BE185">
            <v>1023</v>
          </cell>
          <cell r="BF185">
            <v>0</v>
          </cell>
          <cell r="BG185">
            <v>39</v>
          </cell>
          <cell r="BH185">
            <v>246.86</v>
          </cell>
          <cell r="BI185">
            <v>76000</v>
          </cell>
          <cell r="BK185">
            <v>0.1</v>
          </cell>
          <cell r="BL185">
            <v>2.5</v>
          </cell>
          <cell r="BN185">
            <v>1.4</v>
          </cell>
          <cell r="BO185">
            <v>90</v>
          </cell>
          <cell r="BR185">
            <v>14</v>
          </cell>
        </row>
        <row r="186">
          <cell r="A186">
            <v>39262</v>
          </cell>
          <cell r="J186">
            <v>213</v>
          </cell>
          <cell r="K186">
            <v>101</v>
          </cell>
          <cell r="M186">
            <v>38900</v>
          </cell>
          <cell r="O186">
            <v>114</v>
          </cell>
          <cell r="P186">
            <v>109</v>
          </cell>
          <cell r="Q186">
            <v>1545</v>
          </cell>
          <cell r="S186">
            <v>305</v>
          </cell>
          <cell r="U186">
            <v>38900</v>
          </cell>
          <cell r="AE186">
            <v>323</v>
          </cell>
          <cell r="AF186">
            <v>326</v>
          </cell>
          <cell r="AK186">
            <v>3100</v>
          </cell>
          <cell r="BB186">
            <v>0</v>
          </cell>
          <cell r="BC186">
            <v>437</v>
          </cell>
          <cell r="BD186">
            <v>435</v>
          </cell>
          <cell r="BE186">
            <v>1545</v>
          </cell>
          <cell r="BF186">
            <v>213</v>
          </cell>
          <cell r="BG186">
            <v>406</v>
          </cell>
          <cell r="BH186">
            <v>0</v>
          </cell>
          <cell r="BI186">
            <v>80900</v>
          </cell>
          <cell r="BJ186">
            <v>1</v>
          </cell>
          <cell r="BK186">
            <v>0.1</v>
          </cell>
          <cell r="BL186">
            <v>3.3</v>
          </cell>
          <cell r="BN186">
            <v>0.9</v>
          </cell>
          <cell r="BO186">
            <v>89.1</v>
          </cell>
          <cell r="BR186">
            <v>14</v>
          </cell>
        </row>
        <row r="187">
          <cell r="A187">
            <v>39263</v>
          </cell>
          <cell r="F187">
            <v>15845.4</v>
          </cell>
          <cell r="K187">
            <v>495.26</v>
          </cell>
          <cell r="M187">
            <v>47800</v>
          </cell>
          <cell r="N187">
            <v>-1203.2909999999999</v>
          </cell>
          <cell r="O187">
            <v>373</v>
          </cell>
          <cell r="P187">
            <v>493</v>
          </cell>
          <cell r="Q187">
            <v>2036.6109999999999</v>
          </cell>
          <cell r="R187">
            <v>305</v>
          </cell>
          <cell r="U187">
            <v>36500</v>
          </cell>
          <cell r="AD187">
            <v>-80.647999999999996</v>
          </cell>
          <cell r="AE187">
            <v>147</v>
          </cell>
          <cell r="AF187">
            <v>211.518</v>
          </cell>
          <cell r="AK187">
            <v>3100</v>
          </cell>
          <cell r="BB187">
            <v>14561.461000000001</v>
          </cell>
          <cell r="BC187">
            <v>520</v>
          </cell>
          <cell r="BD187">
            <v>704.51800000000003</v>
          </cell>
          <cell r="BE187">
            <v>2036.6109999999999</v>
          </cell>
          <cell r="BF187">
            <v>305</v>
          </cell>
          <cell r="BG187">
            <v>495.26</v>
          </cell>
          <cell r="BH187">
            <v>0</v>
          </cell>
          <cell r="BI187">
            <v>87400</v>
          </cell>
          <cell r="BK187">
            <v>0.254</v>
          </cell>
          <cell r="BL187">
            <v>3.2</v>
          </cell>
          <cell r="BN187">
            <v>4.2220000000000004</v>
          </cell>
          <cell r="BO187">
            <v>88.8</v>
          </cell>
          <cell r="BR187">
            <v>14</v>
          </cell>
        </row>
        <row r="188">
          <cell r="A188">
            <v>39264</v>
          </cell>
          <cell r="F188">
            <v>16500</v>
          </cell>
          <cell r="J188">
            <v>791</v>
          </cell>
          <cell r="K188">
            <v>116</v>
          </cell>
          <cell r="M188">
            <v>46900</v>
          </cell>
          <cell r="Q188">
            <v>1559</v>
          </cell>
          <cell r="U188">
            <v>34900</v>
          </cell>
          <cell r="AK188">
            <v>6600</v>
          </cell>
          <cell r="BB188">
            <v>16500</v>
          </cell>
          <cell r="BC188">
            <v>0</v>
          </cell>
          <cell r="BD188">
            <v>0</v>
          </cell>
          <cell r="BE188">
            <v>1559</v>
          </cell>
          <cell r="BF188">
            <v>791</v>
          </cell>
          <cell r="BG188">
            <v>116</v>
          </cell>
          <cell r="BH188">
            <v>0</v>
          </cell>
          <cell r="BI188">
            <v>88400</v>
          </cell>
          <cell r="BK188">
            <v>0.1</v>
          </cell>
          <cell r="BL188">
            <v>3.1</v>
          </cell>
          <cell r="BN188">
            <v>0.3</v>
          </cell>
          <cell r="BO188">
            <v>88.5</v>
          </cell>
          <cell r="BR188">
            <v>14</v>
          </cell>
        </row>
        <row r="189">
          <cell r="A189">
            <v>39265</v>
          </cell>
          <cell r="J189">
            <v>1535</v>
          </cell>
          <cell r="K189">
            <v>151</v>
          </cell>
          <cell r="L189">
            <v>260.06</v>
          </cell>
          <cell r="M189">
            <v>45000</v>
          </cell>
          <cell r="P189">
            <v>282</v>
          </cell>
          <cell r="Q189">
            <v>1087</v>
          </cell>
          <cell r="U189">
            <v>33500</v>
          </cell>
          <cell r="AK189">
            <v>14100</v>
          </cell>
          <cell r="BB189">
            <v>0</v>
          </cell>
          <cell r="BC189">
            <v>0</v>
          </cell>
          <cell r="BD189">
            <v>282</v>
          </cell>
          <cell r="BE189">
            <v>1087</v>
          </cell>
          <cell r="BF189">
            <v>1535</v>
          </cell>
          <cell r="BG189">
            <v>151</v>
          </cell>
          <cell r="BH189">
            <v>260.06</v>
          </cell>
          <cell r="BI189">
            <v>92600</v>
          </cell>
          <cell r="BK189">
            <v>0.2</v>
          </cell>
          <cell r="BL189">
            <v>2.9</v>
          </cell>
          <cell r="BN189">
            <v>0.5</v>
          </cell>
          <cell r="BO189">
            <v>88</v>
          </cell>
          <cell r="BR189">
            <v>14</v>
          </cell>
        </row>
        <row r="190">
          <cell r="A190">
            <v>39266</v>
          </cell>
          <cell r="J190">
            <v>1691</v>
          </cell>
          <cell r="K190">
            <v>123</v>
          </cell>
          <cell r="M190">
            <v>42900</v>
          </cell>
          <cell r="O190">
            <v>293</v>
          </cell>
          <cell r="P190">
            <v>518</v>
          </cell>
          <cell r="Q190">
            <v>842</v>
          </cell>
          <cell r="U190">
            <v>31800</v>
          </cell>
          <cell r="AK190">
            <v>20100</v>
          </cell>
          <cell r="BB190">
            <v>0</v>
          </cell>
          <cell r="BC190">
            <v>293</v>
          </cell>
          <cell r="BD190">
            <v>518</v>
          </cell>
          <cell r="BE190">
            <v>842</v>
          </cell>
          <cell r="BF190">
            <v>1691</v>
          </cell>
          <cell r="BG190">
            <v>123</v>
          </cell>
          <cell r="BH190">
            <v>0</v>
          </cell>
          <cell r="BI190">
            <v>94800</v>
          </cell>
          <cell r="BK190">
            <v>0.2</v>
          </cell>
          <cell r="BL190">
            <v>2.7</v>
          </cell>
          <cell r="BN190">
            <v>0.5</v>
          </cell>
          <cell r="BO190">
            <v>87.5</v>
          </cell>
          <cell r="BR190">
            <v>14</v>
          </cell>
        </row>
        <row r="191">
          <cell r="A191">
            <v>39267</v>
          </cell>
          <cell r="J191">
            <v>1087</v>
          </cell>
          <cell r="K191">
            <v>32</v>
          </cell>
          <cell r="L191">
            <v>259.36200000000002</v>
          </cell>
          <cell r="M191">
            <v>41400</v>
          </cell>
          <cell r="O191">
            <v>465</v>
          </cell>
          <cell r="P191">
            <v>492</v>
          </cell>
          <cell r="Q191">
            <v>1009</v>
          </cell>
          <cell r="U191">
            <v>29900</v>
          </cell>
          <cell r="AD191">
            <v>17000</v>
          </cell>
          <cell r="AK191">
            <v>24600</v>
          </cell>
          <cell r="BB191">
            <v>17000</v>
          </cell>
          <cell r="BC191">
            <v>465</v>
          </cell>
          <cell r="BD191">
            <v>492</v>
          </cell>
          <cell r="BE191">
            <v>1009</v>
          </cell>
          <cell r="BF191">
            <v>1087</v>
          </cell>
          <cell r="BG191">
            <v>32</v>
          </cell>
          <cell r="BH191">
            <v>259.36200000000002</v>
          </cell>
          <cell r="BI191">
            <v>95900</v>
          </cell>
          <cell r="BJ191">
            <v>1</v>
          </cell>
          <cell r="BK191">
            <v>0.2</v>
          </cell>
          <cell r="BL191">
            <v>3.5</v>
          </cell>
          <cell r="BN191">
            <v>0.4</v>
          </cell>
          <cell r="BO191">
            <v>87.1</v>
          </cell>
          <cell r="BR191">
            <v>14</v>
          </cell>
        </row>
        <row r="192">
          <cell r="A192">
            <v>39268</v>
          </cell>
          <cell r="K192">
            <v>13.5</v>
          </cell>
          <cell r="L192">
            <v>385.96</v>
          </cell>
          <cell r="M192">
            <v>41090</v>
          </cell>
          <cell r="O192">
            <v>215</v>
          </cell>
          <cell r="P192">
            <v>204</v>
          </cell>
          <cell r="Q192">
            <v>669</v>
          </cell>
          <cell r="U192">
            <v>29000</v>
          </cell>
          <cell r="AK192">
            <v>30500</v>
          </cell>
          <cell r="BB192">
            <v>0</v>
          </cell>
          <cell r="BC192">
            <v>215</v>
          </cell>
          <cell r="BD192">
            <v>204</v>
          </cell>
          <cell r="BE192">
            <v>669</v>
          </cell>
          <cell r="BF192">
            <v>0</v>
          </cell>
          <cell r="BG192">
            <v>13.5</v>
          </cell>
          <cell r="BH192">
            <v>385.96</v>
          </cell>
          <cell r="BI192">
            <v>100590</v>
          </cell>
          <cell r="BK192">
            <v>0.1</v>
          </cell>
          <cell r="BL192">
            <v>3.4</v>
          </cell>
          <cell r="BN192">
            <v>0.3</v>
          </cell>
          <cell r="BO192">
            <v>86.8</v>
          </cell>
          <cell r="BR192">
            <v>14</v>
          </cell>
        </row>
        <row r="193">
          <cell r="A193">
            <v>39269</v>
          </cell>
          <cell r="J193">
            <v>1360</v>
          </cell>
          <cell r="K193">
            <v>150</v>
          </cell>
          <cell r="M193">
            <v>42200</v>
          </cell>
          <cell r="O193">
            <v>495</v>
          </cell>
          <cell r="P193">
            <v>506</v>
          </cell>
          <cell r="Q193">
            <v>1546</v>
          </cell>
          <cell r="U193">
            <v>26400</v>
          </cell>
          <cell r="AD193">
            <v>10481</v>
          </cell>
          <cell r="AK193">
            <v>30600</v>
          </cell>
          <cell r="BB193">
            <v>10481</v>
          </cell>
          <cell r="BC193">
            <v>495</v>
          </cell>
          <cell r="BD193">
            <v>506</v>
          </cell>
          <cell r="BE193">
            <v>1546</v>
          </cell>
          <cell r="BF193">
            <v>1360</v>
          </cell>
          <cell r="BG193">
            <v>150</v>
          </cell>
          <cell r="BH193">
            <v>0</v>
          </cell>
          <cell r="BI193">
            <v>99200</v>
          </cell>
          <cell r="BK193">
            <v>0.2</v>
          </cell>
          <cell r="BL193">
            <v>3.2</v>
          </cell>
          <cell r="BN193">
            <v>0.5</v>
          </cell>
          <cell r="BO193">
            <v>86.3</v>
          </cell>
          <cell r="BR193">
            <v>14</v>
          </cell>
        </row>
        <row r="194">
          <cell r="A194">
            <v>39270</v>
          </cell>
          <cell r="J194">
            <v>1489</v>
          </cell>
          <cell r="K194">
            <v>50</v>
          </cell>
          <cell r="M194">
            <v>49200</v>
          </cell>
          <cell r="O194">
            <v>508</v>
          </cell>
          <cell r="P194">
            <v>501</v>
          </cell>
          <cell r="Q194">
            <v>1566</v>
          </cell>
          <cell r="U194">
            <v>23800</v>
          </cell>
          <cell r="AK194">
            <v>30600</v>
          </cell>
          <cell r="BB194">
            <v>0</v>
          </cell>
          <cell r="BC194">
            <v>508</v>
          </cell>
          <cell r="BD194">
            <v>501</v>
          </cell>
          <cell r="BE194">
            <v>1566</v>
          </cell>
          <cell r="BF194">
            <v>1489</v>
          </cell>
          <cell r="BG194">
            <v>50</v>
          </cell>
          <cell r="BH194">
            <v>0</v>
          </cell>
          <cell r="BI194">
            <v>103600</v>
          </cell>
          <cell r="BK194">
            <v>0.2</v>
          </cell>
          <cell r="BL194">
            <v>3</v>
          </cell>
          <cell r="BN194">
            <v>0.6</v>
          </cell>
          <cell r="BO194">
            <v>85.7</v>
          </cell>
          <cell r="BR194">
            <v>14</v>
          </cell>
        </row>
        <row r="195">
          <cell r="A195">
            <v>39271</v>
          </cell>
          <cell r="J195">
            <v>1672</v>
          </cell>
          <cell r="K195">
            <v>6.5</v>
          </cell>
          <cell r="M195">
            <v>53400</v>
          </cell>
          <cell r="O195">
            <v>494</v>
          </cell>
          <cell r="P195">
            <v>504</v>
          </cell>
          <cell r="Q195">
            <v>1535</v>
          </cell>
          <cell r="U195">
            <v>21300</v>
          </cell>
          <cell r="AK195">
            <v>30600</v>
          </cell>
          <cell r="BB195">
            <v>0</v>
          </cell>
          <cell r="BC195">
            <v>494</v>
          </cell>
          <cell r="BD195">
            <v>504</v>
          </cell>
          <cell r="BE195">
            <v>1535</v>
          </cell>
          <cell r="BF195">
            <v>1672</v>
          </cell>
          <cell r="BG195">
            <v>6.5</v>
          </cell>
          <cell r="BH195">
            <v>0</v>
          </cell>
          <cell r="BI195">
            <v>105300</v>
          </cell>
          <cell r="BK195">
            <v>0.2</v>
          </cell>
          <cell r="BL195">
            <v>2.8</v>
          </cell>
          <cell r="BN195">
            <v>0.5</v>
          </cell>
          <cell r="BO195">
            <v>85.2</v>
          </cell>
          <cell r="BR195">
            <v>14</v>
          </cell>
        </row>
        <row r="196">
          <cell r="A196">
            <v>39272</v>
          </cell>
          <cell r="F196">
            <v>25520</v>
          </cell>
          <cell r="J196">
            <v>1645</v>
          </cell>
          <cell r="K196">
            <v>96</v>
          </cell>
          <cell r="L196">
            <v>260.48</v>
          </cell>
          <cell r="M196">
            <v>59500</v>
          </cell>
          <cell r="O196">
            <v>479</v>
          </cell>
          <cell r="P196">
            <v>491</v>
          </cell>
          <cell r="Q196">
            <v>250</v>
          </cell>
          <cell r="U196">
            <v>20000</v>
          </cell>
          <cell r="AK196">
            <v>30600</v>
          </cell>
          <cell r="BB196">
            <v>25520</v>
          </cell>
          <cell r="BC196">
            <v>479</v>
          </cell>
          <cell r="BD196">
            <v>491</v>
          </cell>
          <cell r="BE196">
            <v>250</v>
          </cell>
          <cell r="BF196">
            <v>1645</v>
          </cell>
          <cell r="BG196">
            <v>96</v>
          </cell>
          <cell r="BH196">
            <v>260.48</v>
          </cell>
          <cell r="BI196">
            <v>110100</v>
          </cell>
          <cell r="BJ196">
            <v>3</v>
          </cell>
          <cell r="BK196">
            <v>0.1</v>
          </cell>
          <cell r="BL196">
            <v>5.7</v>
          </cell>
          <cell r="BN196">
            <v>0.6</v>
          </cell>
          <cell r="BO196">
            <v>84.6</v>
          </cell>
          <cell r="BR196">
            <v>14</v>
          </cell>
        </row>
        <row r="197">
          <cell r="A197">
            <v>39273</v>
          </cell>
          <cell r="J197">
            <v>1602</v>
          </cell>
          <cell r="K197">
            <v>87</v>
          </cell>
          <cell r="L197">
            <v>52.58</v>
          </cell>
          <cell r="M197">
            <v>57700</v>
          </cell>
          <cell r="O197">
            <v>280</v>
          </cell>
          <cell r="P197">
            <v>278</v>
          </cell>
          <cell r="Q197">
            <v>832</v>
          </cell>
          <cell r="U197">
            <v>24300</v>
          </cell>
          <cell r="AK197">
            <v>30600</v>
          </cell>
          <cell r="BB197">
            <v>0</v>
          </cell>
          <cell r="BC197">
            <v>280</v>
          </cell>
          <cell r="BD197">
            <v>278</v>
          </cell>
          <cell r="BE197">
            <v>832</v>
          </cell>
          <cell r="BF197">
            <v>1602</v>
          </cell>
          <cell r="BG197">
            <v>87</v>
          </cell>
          <cell r="BH197">
            <v>52.58</v>
          </cell>
          <cell r="BI197">
            <v>112600</v>
          </cell>
          <cell r="BK197">
            <v>0.3</v>
          </cell>
          <cell r="BL197">
            <v>5.4</v>
          </cell>
          <cell r="BN197">
            <v>0.3</v>
          </cell>
          <cell r="BO197">
            <v>84.3</v>
          </cell>
          <cell r="BR197">
            <v>14</v>
          </cell>
        </row>
        <row r="198">
          <cell r="A198">
            <v>39274</v>
          </cell>
          <cell r="J198">
            <v>1595</v>
          </cell>
          <cell r="K198">
            <v>35.9</v>
          </cell>
          <cell r="L198">
            <v>309.39999999999998</v>
          </cell>
          <cell r="M198">
            <v>55800</v>
          </cell>
          <cell r="N198">
            <v>13690</v>
          </cell>
          <cell r="Q198">
            <v>1369</v>
          </cell>
          <cell r="U198">
            <v>30900</v>
          </cell>
          <cell r="AE198">
            <v>268</v>
          </cell>
          <cell r="AF198">
            <v>269</v>
          </cell>
          <cell r="AK198">
            <v>30000</v>
          </cell>
          <cell r="BB198">
            <v>13690</v>
          </cell>
          <cell r="BC198">
            <v>268</v>
          </cell>
          <cell r="BD198">
            <v>269</v>
          </cell>
          <cell r="BE198">
            <v>1369</v>
          </cell>
          <cell r="BF198">
            <v>1595</v>
          </cell>
          <cell r="BG198">
            <v>35.9</v>
          </cell>
          <cell r="BH198">
            <v>309.39999999999998</v>
          </cell>
          <cell r="BI198">
            <v>116700</v>
          </cell>
          <cell r="BK198">
            <v>0.2</v>
          </cell>
          <cell r="BL198">
            <v>5.2</v>
          </cell>
          <cell r="BN198">
            <v>0.3</v>
          </cell>
          <cell r="BO198">
            <v>84</v>
          </cell>
          <cell r="BR198">
            <v>14</v>
          </cell>
        </row>
        <row r="199">
          <cell r="A199">
            <v>39275</v>
          </cell>
          <cell r="J199">
            <v>1101</v>
          </cell>
          <cell r="K199">
            <v>75.2</v>
          </cell>
          <cell r="L199">
            <v>349.4</v>
          </cell>
          <cell r="M199">
            <v>54300</v>
          </cell>
          <cell r="Q199">
            <v>1570</v>
          </cell>
          <cell r="U199">
            <v>29300</v>
          </cell>
          <cell r="AE199">
            <v>510</v>
          </cell>
          <cell r="AF199">
            <v>504</v>
          </cell>
          <cell r="AK199">
            <v>29000</v>
          </cell>
          <cell r="BB199">
            <v>0</v>
          </cell>
          <cell r="BC199">
            <v>510</v>
          </cell>
          <cell r="BD199">
            <v>504</v>
          </cell>
          <cell r="BE199">
            <v>1570</v>
          </cell>
          <cell r="BF199">
            <v>1101</v>
          </cell>
          <cell r="BG199">
            <v>75.2</v>
          </cell>
          <cell r="BH199">
            <v>349.4</v>
          </cell>
          <cell r="BI199">
            <v>112600</v>
          </cell>
          <cell r="BK199">
            <v>0.2</v>
          </cell>
          <cell r="BL199">
            <v>5</v>
          </cell>
          <cell r="BN199">
            <v>0.4</v>
          </cell>
          <cell r="BO199">
            <v>83.6</v>
          </cell>
          <cell r="BR199">
            <v>14</v>
          </cell>
        </row>
        <row r="200">
          <cell r="A200">
            <v>39276</v>
          </cell>
          <cell r="J200">
            <v>223</v>
          </cell>
          <cell r="K200">
            <v>99</v>
          </cell>
          <cell r="L200">
            <v>155.19999999999999</v>
          </cell>
          <cell r="M200">
            <v>53850</v>
          </cell>
          <cell r="Q200">
            <v>1574</v>
          </cell>
          <cell r="U200">
            <v>27700</v>
          </cell>
          <cell r="AE200">
            <v>299.7</v>
          </cell>
          <cell r="AF200">
            <v>437.8</v>
          </cell>
          <cell r="AK200">
            <v>28250</v>
          </cell>
          <cell r="BB200">
            <v>0</v>
          </cell>
          <cell r="BC200">
            <v>299.7</v>
          </cell>
          <cell r="BD200">
            <v>437.8</v>
          </cell>
          <cell r="BE200">
            <v>1574</v>
          </cell>
          <cell r="BF200">
            <v>223</v>
          </cell>
          <cell r="BG200">
            <v>99</v>
          </cell>
          <cell r="BH200">
            <v>155.19999999999999</v>
          </cell>
          <cell r="BI200">
            <v>109800</v>
          </cell>
          <cell r="BK200">
            <v>0.1</v>
          </cell>
          <cell r="BL200">
            <v>4.9000000000000004</v>
          </cell>
          <cell r="BM200">
            <v>18.2</v>
          </cell>
          <cell r="BN200">
            <v>0.2</v>
          </cell>
          <cell r="BO200">
            <v>83.4</v>
          </cell>
          <cell r="BR200">
            <v>14</v>
          </cell>
        </row>
        <row r="201">
          <cell r="A201">
            <v>39277</v>
          </cell>
          <cell r="J201">
            <v>1649</v>
          </cell>
          <cell r="K201">
            <v>136.5</v>
          </cell>
          <cell r="M201">
            <v>52050</v>
          </cell>
          <cell r="Q201">
            <v>1553</v>
          </cell>
          <cell r="U201">
            <v>26150</v>
          </cell>
          <cell r="AF201">
            <v>486.8</v>
          </cell>
          <cell r="AK201">
            <v>27750</v>
          </cell>
          <cell r="BB201">
            <v>0</v>
          </cell>
          <cell r="BC201">
            <v>0</v>
          </cell>
          <cell r="BD201">
            <v>486.8</v>
          </cell>
          <cell r="BE201">
            <v>1553</v>
          </cell>
          <cell r="BF201">
            <v>1649</v>
          </cell>
          <cell r="BG201">
            <v>136.5</v>
          </cell>
          <cell r="BH201">
            <v>0</v>
          </cell>
          <cell r="BI201">
            <v>105950</v>
          </cell>
          <cell r="BK201">
            <v>0.2</v>
          </cell>
          <cell r="BL201">
            <v>4.7</v>
          </cell>
          <cell r="BN201">
            <v>0.4</v>
          </cell>
          <cell r="BO201">
            <v>116.8</v>
          </cell>
          <cell r="BR201">
            <v>14</v>
          </cell>
        </row>
        <row r="202">
          <cell r="A202">
            <v>39278</v>
          </cell>
          <cell r="J202">
            <v>1495</v>
          </cell>
          <cell r="K202">
            <v>95</v>
          </cell>
          <cell r="M202">
            <v>50450</v>
          </cell>
          <cell r="Q202">
            <v>1474</v>
          </cell>
          <cell r="U202">
            <v>24600</v>
          </cell>
          <cell r="AF202">
            <v>189.9</v>
          </cell>
          <cell r="AK202">
            <v>27750</v>
          </cell>
          <cell r="BB202">
            <v>0</v>
          </cell>
          <cell r="BC202">
            <v>0</v>
          </cell>
          <cell r="BD202">
            <v>189.9</v>
          </cell>
          <cell r="BE202">
            <v>1474</v>
          </cell>
          <cell r="BF202">
            <v>1495</v>
          </cell>
          <cell r="BG202">
            <v>95</v>
          </cell>
          <cell r="BH202">
            <v>0</v>
          </cell>
          <cell r="BI202">
            <v>102800</v>
          </cell>
          <cell r="BK202">
            <v>0.2</v>
          </cell>
          <cell r="BL202">
            <v>4.5</v>
          </cell>
          <cell r="BM202">
            <v>14.6</v>
          </cell>
          <cell r="BN202">
            <v>0.2</v>
          </cell>
          <cell r="BO202">
            <v>131.19999999999999</v>
          </cell>
          <cell r="BR202">
            <v>14</v>
          </cell>
        </row>
        <row r="203">
          <cell r="A203">
            <v>39279</v>
          </cell>
          <cell r="J203">
            <v>1435.5</v>
          </cell>
          <cell r="K203">
            <v>94.8</v>
          </cell>
          <cell r="M203">
            <v>55000</v>
          </cell>
          <cell r="Q203">
            <v>1038.5</v>
          </cell>
          <cell r="U203">
            <v>23550</v>
          </cell>
          <cell r="AK203">
            <v>27550</v>
          </cell>
          <cell r="BB203">
            <v>0</v>
          </cell>
          <cell r="BC203">
            <v>0</v>
          </cell>
          <cell r="BD203">
            <v>0</v>
          </cell>
          <cell r="BE203">
            <v>1038.5</v>
          </cell>
          <cell r="BF203">
            <v>1435.5</v>
          </cell>
          <cell r="BG203">
            <v>94.8</v>
          </cell>
          <cell r="BH203">
            <v>0</v>
          </cell>
          <cell r="BI203">
            <v>106100</v>
          </cell>
          <cell r="BK203">
            <v>0.1</v>
          </cell>
          <cell r="BL203">
            <v>4.4000000000000004</v>
          </cell>
          <cell r="BN203">
            <v>0.1</v>
          </cell>
          <cell r="BO203">
            <v>131.1</v>
          </cell>
          <cell r="BR203">
            <v>14</v>
          </cell>
        </row>
        <row r="204">
          <cell r="A204">
            <v>39280</v>
          </cell>
          <cell r="J204">
            <v>1349</v>
          </cell>
          <cell r="K204">
            <v>73.3</v>
          </cell>
          <cell r="M204">
            <v>60050</v>
          </cell>
          <cell r="Q204">
            <v>592</v>
          </cell>
          <cell r="U204">
            <v>22950</v>
          </cell>
          <cell r="AK204">
            <v>27550</v>
          </cell>
          <cell r="BB204">
            <v>0</v>
          </cell>
          <cell r="BC204">
            <v>0</v>
          </cell>
          <cell r="BD204">
            <v>0</v>
          </cell>
          <cell r="BE204">
            <v>592</v>
          </cell>
          <cell r="BF204">
            <v>1349</v>
          </cell>
          <cell r="BG204">
            <v>73.3</v>
          </cell>
          <cell r="BH204">
            <v>0</v>
          </cell>
          <cell r="BI204">
            <v>110550</v>
          </cell>
          <cell r="BK204">
            <v>0.1</v>
          </cell>
          <cell r="BL204">
            <v>4.3</v>
          </cell>
          <cell r="BN204">
            <v>0.2</v>
          </cell>
          <cell r="BO204">
            <v>130.9</v>
          </cell>
          <cell r="BR204">
            <v>14</v>
          </cell>
        </row>
        <row r="205">
          <cell r="A205">
            <v>39281</v>
          </cell>
          <cell r="F205">
            <v>13060</v>
          </cell>
          <cell r="J205">
            <v>993</v>
          </cell>
          <cell r="K205">
            <v>90.88</v>
          </cell>
          <cell r="M205">
            <v>59450</v>
          </cell>
          <cell r="Q205">
            <v>1537.47</v>
          </cell>
          <cell r="U205">
            <v>21400</v>
          </cell>
          <cell r="AF205">
            <v>356.57</v>
          </cell>
          <cell r="AK205">
            <v>27200</v>
          </cell>
          <cell r="BB205">
            <v>13060</v>
          </cell>
          <cell r="BC205">
            <v>0</v>
          </cell>
          <cell r="BD205">
            <v>356.57</v>
          </cell>
          <cell r="BE205">
            <v>1537.47</v>
          </cell>
          <cell r="BF205">
            <v>993</v>
          </cell>
          <cell r="BG205">
            <v>90.88</v>
          </cell>
          <cell r="BH205">
            <v>0</v>
          </cell>
          <cell r="BI205">
            <v>108050</v>
          </cell>
          <cell r="BK205">
            <v>0.1</v>
          </cell>
          <cell r="BL205">
            <v>4.2</v>
          </cell>
          <cell r="BN205">
            <v>0.4</v>
          </cell>
          <cell r="BO205">
            <v>130.5</v>
          </cell>
          <cell r="BR205">
            <v>14</v>
          </cell>
        </row>
        <row r="206">
          <cell r="A206">
            <v>39282</v>
          </cell>
          <cell r="J206">
            <v>752</v>
          </cell>
          <cell r="K206">
            <v>42.08</v>
          </cell>
          <cell r="M206">
            <v>58650</v>
          </cell>
          <cell r="Q206">
            <v>1562</v>
          </cell>
          <cell r="U206">
            <v>25750</v>
          </cell>
          <cell r="AF206">
            <v>510</v>
          </cell>
          <cell r="AK206">
            <v>26650</v>
          </cell>
          <cell r="BB206">
            <v>0</v>
          </cell>
          <cell r="BC206">
            <v>0</v>
          </cell>
          <cell r="BD206">
            <v>510</v>
          </cell>
          <cell r="BE206">
            <v>1562</v>
          </cell>
          <cell r="BF206">
            <v>752</v>
          </cell>
          <cell r="BG206">
            <v>42.08</v>
          </cell>
          <cell r="BH206">
            <v>0</v>
          </cell>
          <cell r="BI206">
            <v>111050</v>
          </cell>
          <cell r="BK206">
            <v>0.2</v>
          </cell>
          <cell r="BL206">
            <v>4</v>
          </cell>
          <cell r="BN206">
            <v>0.2</v>
          </cell>
          <cell r="BO206">
            <v>130.30000000000001</v>
          </cell>
          <cell r="BR206">
            <v>14</v>
          </cell>
        </row>
        <row r="207">
          <cell r="A207">
            <v>39283</v>
          </cell>
          <cell r="J207">
            <v>1412</v>
          </cell>
          <cell r="K207">
            <v>76.400000000000006</v>
          </cell>
          <cell r="M207">
            <v>57100</v>
          </cell>
          <cell r="Q207">
            <v>1534</v>
          </cell>
          <cell r="U207">
            <v>32700</v>
          </cell>
          <cell r="AF207">
            <v>504</v>
          </cell>
          <cell r="AK207">
            <v>26150</v>
          </cell>
          <cell r="BB207">
            <v>0</v>
          </cell>
          <cell r="BC207">
            <v>0</v>
          </cell>
          <cell r="BD207">
            <v>504</v>
          </cell>
          <cell r="BE207">
            <v>1534</v>
          </cell>
          <cell r="BF207">
            <v>1412</v>
          </cell>
          <cell r="BG207">
            <v>76.400000000000006</v>
          </cell>
          <cell r="BH207">
            <v>0</v>
          </cell>
          <cell r="BI207">
            <v>115950</v>
          </cell>
          <cell r="BJ207">
            <v>0.7</v>
          </cell>
          <cell r="BK207">
            <v>0.2</v>
          </cell>
          <cell r="BL207">
            <v>4.5</v>
          </cell>
          <cell r="BN207">
            <v>0.3</v>
          </cell>
          <cell r="BO207">
            <v>130</v>
          </cell>
          <cell r="BR207">
            <v>14</v>
          </cell>
        </row>
        <row r="208">
          <cell r="A208">
            <v>39284</v>
          </cell>
          <cell r="J208">
            <v>1435</v>
          </cell>
          <cell r="K208">
            <v>92.4</v>
          </cell>
          <cell r="M208">
            <v>55550</v>
          </cell>
          <cell r="N208">
            <v>16490</v>
          </cell>
          <cell r="Q208">
            <v>1507</v>
          </cell>
          <cell r="U208">
            <v>36300</v>
          </cell>
          <cell r="AF208">
            <v>514</v>
          </cell>
          <cell r="AK208">
            <v>25650</v>
          </cell>
          <cell r="BB208">
            <v>16490</v>
          </cell>
          <cell r="BC208">
            <v>0</v>
          </cell>
          <cell r="BD208">
            <v>514</v>
          </cell>
          <cell r="BE208">
            <v>1507</v>
          </cell>
          <cell r="BF208">
            <v>1435</v>
          </cell>
          <cell r="BG208">
            <v>92.4</v>
          </cell>
          <cell r="BH208">
            <v>0</v>
          </cell>
          <cell r="BI208">
            <v>117500</v>
          </cell>
          <cell r="BK208">
            <v>0.1</v>
          </cell>
          <cell r="BL208">
            <v>4.4000000000000004</v>
          </cell>
          <cell r="BN208">
            <v>0.4</v>
          </cell>
          <cell r="BO208">
            <v>129.6</v>
          </cell>
          <cell r="BR208">
            <v>14</v>
          </cell>
        </row>
        <row r="209">
          <cell r="A209">
            <v>39285</v>
          </cell>
          <cell r="J209">
            <v>1370</v>
          </cell>
          <cell r="K209">
            <v>89.2</v>
          </cell>
          <cell r="M209">
            <v>54050</v>
          </cell>
          <cell r="Q209">
            <v>1486</v>
          </cell>
          <cell r="U209">
            <v>43300</v>
          </cell>
          <cell r="AF209">
            <v>509</v>
          </cell>
          <cell r="AK209">
            <v>25150</v>
          </cell>
          <cell r="BB209">
            <v>0</v>
          </cell>
          <cell r="BC209">
            <v>0</v>
          </cell>
          <cell r="BD209">
            <v>509</v>
          </cell>
          <cell r="BE209">
            <v>1486</v>
          </cell>
          <cell r="BF209">
            <v>1370</v>
          </cell>
          <cell r="BG209">
            <v>89.2</v>
          </cell>
          <cell r="BH209">
            <v>0</v>
          </cell>
          <cell r="BI209">
            <v>122500</v>
          </cell>
          <cell r="BK209">
            <v>0.2</v>
          </cell>
          <cell r="BL209">
            <v>4.2</v>
          </cell>
          <cell r="BN209">
            <v>0.3</v>
          </cell>
          <cell r="BO209">
            <v>129.30000000000001</v>
          </cell>
          <cell r="BR209">
            <v>14</v>
          </cell>
        </row>
        <row r="210">
          <cell r="A210">
            <v>39286</v>
          </cell>
          <cell r="J210">
            <v>1435</v>
          </cell>
          <cell r="K210">
            <v>89.3</v>
          </cell>
          <cell r="M210">
            <v>52500</v>
          </cell>
          <cell r="Q210">
            <v>1088</v>
          </cell>
          <cell r="U210">
            <v>46500</v>
          </cell>
          <cell r="AF210">
            <v>528</v>
          </cell>
          <cell r="AK210">
            <v>24650</v>
          </cell>
          <cell r="BB210">
            <v>0</v>
          </cell>
          <cell r="BC210">
            <v>0</v>
          </cell>
          <cell r="BD210">
            <v>528</v>
          </cell>
          <cell r="BE210">
            <v>1088</v>
          </cell>
          <cell r="BF210">
            <v>1435</v>
          </cell>
          <cell r="BG210">
            <v>89.3</v>
          </cell>
          <cell r="BH210">
            <v>0</v>
          </cell>
          <cell r="BI210">
            <v>123650</v>
          </cell>
          <cell r="BK210">
            <v>0.1</v>
          </cell>
          <cell r="BL210">
            <v>4.0999999999999996</v>
          </cell>
          <cell r="BN210">
            <v>0.3</v>
          </cell>
          <cell r="BO210">
            <v>129</v>
          </cell>
          <cell r="BR210">
            <v>14</v>
          </cell>
        </row>
        <row r="211">
          <cell r="A211">
            <v>39287</v>
          </cell>
          <cell r="J211">
            <v>1230</v>
          </cell>
          <cell r="K211">
            <v>99.6</v>
          </cell>
          <cell r="M211">
            <v>50950</v>
          </cell>
          <cell r="N211">
            <v>16090</v>
          </cell>
          <cell r="Q211">
            <v>715</v>
          </cell>
          <cell r="U211">
            <v>46100</v>
          </cell>
          <cell r="AF211">
            <v>373</v>
          </cell>
          <cell r="AK211">
            <v>24250</v>
          </cell>
          <cell r="BB211">
            <v>16090</v>
          </cell>
          <cell r="BC211">
            <v>0</v>
          </cell>
          <cell r="BD211">
            <v>373</v>
          </cell>
          <cell r="BE211">
            <v>715</v>
          </cell>
          <cell r="BF211">
            <v>1230</v>
          </cell>
          <cell r="BG211">
            <v>99.6</v>
          </cell>
          <cell r="BH211">
            <v>0</v>
          </cell>
          <cell r="BI211">
            <v>121300</v>
          </cell>
          <cell r="BK211">
            <v>0.1</v>
          </cell>
          <cell r="BL211">
            <v>4</v>
          </cell>
          <cell r="BN211">
            <v>0.3</v>
          </cell>
          <cell r="BO211">
            <v>128.69999999999999</v>
          </cell>
          <cell r="BR211">
            <v>14</v>
          </cell>
        </row>
        <row r="212">
          <cell r="A212">
            <v>39288</v>
          </cell>
          <cell r="J212">
            <v>994</v>
          </cell>
          <cell r="K212">
            <v>75.599999999999994</v>
          </cell>
          <cell r="M212">
            <v>49850</v>
          </cell>
          <cell r="Q212">
            <v>1544</v>
          </cell>
          <cell r="U212">
            <v>44550</v>
          </cell>
          <cell r="AF212">
            <v>319</v>
          </cell>
          <cell r="AK212">
            <v>23950</v>
          </cell>
          <cell r="BB212">
            <v>0</v>
          </cell>
          <cell r="BC212">
            <v>0</v>
          </cell>
          <cell r="BD212">
            <v>319</v>
          </cell>
          <cell r="BE212">
            <v>1544</v>
          </cell>
          <cell r="BF212">
            <v>994</v>
          </cell>
          <cell r="BG212">
            <v>75.599999999999994</v>
          </cell>
          <cell r="BH212">
            <v>0</v>
          </cell>
          <cell r="BI212">
            <v>118350</v>
          </cell>
          <cell r="BK212">
            <v>0.1</v>
          </cell>
          <cell r="BL212">
            <v>3.9</v>
          </cell>
          <cell r="BN212">
            <v>0.2</v>
          </cell>
          <cell r="BO212">
            <v>128.5</v>
          </cell>
          <cell r="BR212">
            <v>14</v>
          </cell>
        </row>
        <row r="213">
          <cell r="A213">
            <v>39289</v>
          </cell>
          <cell r="J213">
            <v>569</v>
          </cell>
          <cell r="K213">
            <v>62.5</v>
          </cell>
          <cell r="M213">
            <v>49150</v>
          </cell>
          <cell r="Q213">
            <v>1549</v>
          </cell>
          <cell r="U213">
            <v>43000</v>
          </cell>
          <cell r="AF213">
            <v>518</v>
          </cell>
          <cell r="AK213">
            <v>23450</v>
          </cell>
          <cell r="BB213">
            <v>0</v>
          </cell>
          <cell r="BC213">
            <v>0</v>
          </cell>
          <cell r="BD213">
            <v>518</v>
          </cell>
          <cell r="BE213">
            <v>1549</v>
          </cell>
          <cell r="BF213">
            <v>569</v>
          </cell>
          <cell r="BG213">
            <v>62.5</v>
          </cell>
          <cell r="BH213">
            <v>0</v>
          </cell>
          <cell r="BI213">
            <v>115600</v>
          </cell>
          <cell r="BK213">
            <v>0.2</v>
          </cell>
          <cell r="BL213">
            <v>3.7</v>
          </cell>
          <cell r="BN213">
            <v>0.3</v>
          </cell>
          <cell r="BO213">
            <v>128.19999999999999</v>
          </cell>
          <cell r="BR213">
            <v>14</v>
          </cell>
        </row>
        <row r="214">
          <cell r="A214">
            <v>39290</v>
          </cell>
          <cell r="J214">
            <v>1586</v>
          </cell>
          <cell r="K214">
            <v>111.4</v>
          </cell>
          <cell r="M214">
            <v>47400</v>
          </cell>
          <cell r="Q214">
            <v>1511</v>
          </cell>
          <cell r="U214">
            <v>41450</v>
          </cell>
          <cell r="AF214">
            <v>504</v>
          </cell>
          <cell r="AK214">
            <v>22900</v>
          </cell>
          <cell r="BB214">
            <v>0</v>
          </cell>
          <cell r="BC214">
            <v>0</v>
          </cell>
          <cell r="BD214">
            <v>504</v>
          </cell>
          <cell r="BE214">
            <v>1511</v>
          </cell>
          <cell r="BF214">
            <v>1586</v>
          </cell>
          <cell r="BG214">
            <v>111.4</v>
          </cell>
          <cell r="BH214">
            <v>0</v>
          </cell>
          <cell r="BI214">
            <v>111750</v>
          </cell>
          <cell r="BK214">
            <v>0.19</v>
          </cell>
          <cell r="BL214">
            <v>3.51</v>
          </cell>
          <cell r="BN214">
            <v>0.34</v>
          </cell>
          <cell r="BO214">
            <v>127.8</v>
          </cell>
          <cell r="BR214">
            <v>13.77</v>
          </cell>
        </row>
        <row r="215">
          <cell r="A215">
            <v>39291</v>
          </cell>
          <cell r="J215">
            <v>1537</v>
          </cell>
          <cell r="K215">
            <v>110.2</v>
          </cell>
          <cell r="M215">
            <v>46500</v>
          </cell>
          <cell r="Q215">
            <v>1523</v>
          </cell>
          <cell r="U215">
            <v>39900</v>
          </cell>
          <cell r="AF215">
            <v>515</v>
          </cell>
          <cell r="AK215">
            <v>22300</v>
          </cell>
          <cell r="BB215">
            <v>0</v>
          </cell>
          <cell r="BC215">
            <v>0</v>
          </cell>
          <cell r="BD215">
            <v>515</v>
          </cell>
          <cell r="BE215">
            <v>1523</v>
          </cell>
          <cell r="BF215">
            <v>1537</v>
          </cell>
          <cell r="BG215">
            <v>110.2</v>
          </cell>
          <cell r="BH215">
            <v>0</v>
          </cell>
          <cell r="BI215">
            <v>108700</v>
          </cell>
          <cell r="BK215">
            <v>0.22500000000000001</v>
          </cell>
          <cell r="BL215">
            <v>3.28</v>
          </cell>
          <cell r="BN215">
            <v>0.36</v>
          </cell>
          <cell r="BO215">
            <v>127.5</v>
          </cell>
          <cell r="BR215">
            <v>13.77</v>
          </cell>
        </row>
        <row r="216">
          <cell r="A216">
            <v>39292</v>
          </cell>
          <cell r="J216">
            <v>1586</v>
          </cell>
          <cell r="K216">
            <v>104.3</v>
          </cell>
          <cell r="M216">
            <v>53300</v>
          </cell>
          <cell r="Q216">
            <v>1540</v>
          </cell>
          <cell r="U216">
            <v>38400</v>
          </cell>
          <cell r="AF216">
            <v>515</v>
          </cell>
          <cell r="AK216">
            <v>21800</v>
          </cell>
          <cell r="BB216">
            <v>0</v>
          </cell>
          <cell r="BC216">
            <v>0</v>
          </cell>
          <cell r="BD216">
            <v>515</v>
          </cell>
          <cell r="BE216">
            <v>1540</v>
          </cell>
          <cell r="BF216">
            <v>1586</v>
          </cell>
          <cell r="BG216">
            <v>104.3</v>
          </cell>
          <cell r="BH216">
            <v>0</v>
          </cell>
          <cell r="BI216">
            <v>113500</v>
          </cell>
          <cell r="BK216">
            <v>0.17499999999999999</v>
          </cell>
          <cell r="BL216">
            <v>3.1</v>
          </cell>
          <cell r="BN216">
            <v>0.47</v>
          </cell>
          <cell r="BO216">
            <v>127</v>
          </cell>
          <cell r="BR216">
            <v>13.77</v>
          </cell>
        </row>
        <row r="217">
          <cell r="A217">
            <v>39293</v>
          </cell>
          <cell r="F217">
            <v>16207</v>
          </cell>
          <cell r="J217">
            <v>1636</v>
          </cell>
          <cell r="K217">
            <v>113.3</v>
          </cell>
          <cell r="M217">
            <v>58500</v>
          </cell>
          <cell r="Q217">
            <v>983</v>
          </cell>
          <cell r="U217">
            <v>37400</v>
          </cell>
          <cell r="AF217">
            <v>518</v>
          </cell>
          <cell r="AK217">
            <v>21200</v>
          </cell>
          <cell r="BB217">
            <v>16207</v>
          </cell>
          <cell r="BC217">
            <v>0</v>
          </cell>
          <cell r="BD217">
            <v>518</v>
          </cell>
          <cell r="BE217">
            <v>983</v>
          </cell>
          <cell r="BF217">
            <v>1636</v>
          </cell>
          <cell r="BG217">
            <v>113.3</v>
          </cell>
          <cell r="BH217">
            <v>0</v>
          </cell>
          <cell r="BI217">
            <v>117100</v>
          </cell>
          <cell r="BK217">
            <v>0.125</v>
          </cell>
          <cell r="BL217">
            <v>2.98</v>
          </cell>
          <cell r="BN217">
            <v>0.38</v>
          </cell>
          <cell r="BO217">
            <v>126.6</v>
          </cell>
          <cell r="BR217">
            <v>13.77</v>
          </cell>
        </row>
        <row r="218">
          <cell r="A218">
            <v>39294</v>
          </cell>
          <cell r="F218">
            <v>-17656.7</v>
          </cell>
          <cell r="J218">
            <v>1186.4739999999999</v>
          </cell>
          <cell r="K218">
            <v>257.3</v>
          </cell>
          <cell r="L218">
            <v>811.82</v>
          </cell>
          <cell r="M218">
            <v>56800</v>
          </cell>
          <cell r="N218">
            <v>-1186.711</v>
          </cell>
          <cell r="O218">
            <v>-68.846000000000004</v>
          </cell>
          <cell r="P218">
            <v>-77.171999999999997</v>
          </cell>
          <cell r="Q218">
            <v>148.01199999999994</v>
          </cell>
          <cell r="U218">
            <v>36600</v>
          </cell>
          <cell r="AD218">
            <v>-896.91</v>
          </cell>
          <cell r="AE218">
            <v>0.57999999999999996</v>
          </cell>
          <cell r="AF218">
            <v>371.96</v>
          </cell>
          <cell r="AK218">
            <v>20850</v>
          </cell>
          <cell r="BB218">
            <v>-19740.321</v>
          </cell>
          <cell r="BC218">
            <v>-68.266000000000005</v>
          </cell>
          <cell r="BD218">
            <v>294.78800000000001</v>
          </cell>
          <cell r="BE218">
            <v>148.01199999999994</v>
          </cell>
          <cell r="BF218">
            <v>1186.4739999999999</v>
          </cell>
          <cell r="BG218">
            <v>257.3</v>
          </cell>
          <cell r="BH218">
            <v>811.82</v>
          </cell>
          <cell r="BI218">
            <v>114250</v>
          </cell>
          <cell r="BK218">
            <v>3.5000000000000031E-2</v>
          </cell>
          <cell r="BL218">
            <v>2.8</v>
          </cell>
          <cell r="BM218">
            <v>34.78</v>
          </cell>
          <cell r="BN218">
            <v>1.38</v>
          </cell>
          <cell r="BO218">
            <v>126.2</v>
          </cell>
          <cell r="BR218">
            <v>13.77</v>
          </cell>
        </row>
        <row r="219">
          <cell r="A219">
            <v>39295</v>
          </cell>
          <cell r="J219">
            <v>1191</v>
          </cell>
          <cell r="K219">
            <v>25.44</v>
          </cell>
          <cell r="M219">
            <v>55600</v>
          </cell>
          <cell r="Q219">
            <v>1566</v>
          </cell>
          <cell r="U219">
            <v>35000</v>
          </cell>
          <cell r="AF219">
            <v>295.60000000000002</v>
          </cell>
          <cell r="AK219">
            <v>20500</v>
          </cell>
          <cell r="BB219">
            <v>0</v>
          </cell>
          <cell r="BC219">
            <v>0</v>
          </cell>
          <cell r="BD219">
            <v>295.60000000000002</v>
          </cell>
          <cell r="BE219">
            <v>1566</v>
          </cell>
          <cell r="BF219">
            <v>1191</v>
          </cell>
          <cell r="BG219">
            <v>25.44</v>
          </cell>
          <cell r="BH219">
            <v>0</v>
          </cell>
          <cell r="BI219">
            <v>111100</v>
          </cell>
          <cell r="BK219">
            <v>0.125</v>
          </cell>
          <cell r="BL219">
            <v>2.6749999999999998</v>
          </cell>
          <cell r="BN219">
            <v>0.3</v>
          </cell>
          <cell r="BO219">
            <v>125.9</v>
          </cell>
          <cell r="BR219">
            <v>14</v>
          </cell>
        </row>
        <row r="220">
          <cell r="A220">
            <v>39296</v>
          </cell>
          <cell r="J220">
            <v>999.9</v>
          </cell>
          <cell r="K220">
            <v>75.64</v>
          </cell>
          <cell r="M220">
            <v>54500</v>
          </cell>
          <cell r="Q220">
            <v>1606.77</v>
          </cell>
          <cell r="U220">
            <v>33450</v>
          </cell>
          <cell r="AF220">
            <v>524.6</v>
          </cell>
          <cell r="AK220">
            <v>19950</v>
          </cell>
          <cell r="BB220">
            <v>0</v>
          </cell>
          <cell r="BC220">
            <v>0</v>
          </cell>
          <cell r="BD220">
            <v>524.6</v>
          </cell>
          <cell r="BE220">
            <v>1606.77</v>
          </cell>
          <cell r="BF220">
            <v>999.9</v>
          </cell>
          <cell r="BG220">
            <v>75.64</v>
          </cell>
          <cell r="BH220">
            <v>0</v>
          </cell>
          <cell r="BI220">
            <v>107900</v>
          </cell>
          <cell r="BK220">
            <v>0.17499999999999999</v>
          </cell>
          <cell r="BL220">
            <v>1.9</v>
          </cell>
          <cell r="BN220">
            <v>0.3</v>
          </cell>
          <cell r="BO220">
            <v>125.37</v>
          </cell>
          <cell r="BR220">
            <v>14</v>
          </cell>
        </row>
        <row r="221">
          <cell r="A221">
            <v>39297</v>
          </cell>
          <cell r="J221">
            <v>1603</v>
          </cell>
          <cell r="K221">
            <v>145</v>
          </cell>
          <cell r="M221">
            <v>52700</v>
          </cell>
          <cell r="Q221">
            <v>1574</v>
          </cell>
          <cell r="U221">
            <v>31900</v>
          </cell>
          <cell r="AF221">
            <v>513</v>
          </cell>
          <cell r="AK221">
            <v>24350</v>
          </cell>
          <cell r="BB221">
            <v>0</v>
          </cell>
          <cell r="BC221">
            <v>0</v>
          </cell>
          <cell r="BD221">
            <v>513</v>
          </cell>
          <cell r="BE221">
            <v>1574</v>
          </cell>
          <cell r="BF221">
            <v>1603</v>
          </cell>
          <cell r="BG221">
            <v>145</v>
          </cell>
          <cell r="BH221">
            <v>0</v>
          </cell>
          <cell r="BI221">
            <v>108950</v>
          </cell>
          <cell r="BK221">
            <v>0.15</v>
          </cell>
          <cell r="BL221">
            <v>2.35</v>
          </cell>
          <cell r="BN221">
            <v>0.47</v>
          </cell>
          <cell r="BO221">
            <v>124.9</v>
          </cell>
          <cell r="BR221">
            <v>14</v>
          </cell>
        </row>
        <row r="222">
          <cell r="A222">
            <v>39298</v>
          </cell>
          <cell r="J222">
            <v>1678</v>
          </cell>
          <cell r="K222">
            <v>165</v>
          </cell>
          <cell r="M222">
            <v>52850</v>
          </cell>
          <cell r="Q222">
            <v>1578</v>
          </cell>
          <cell r="U222">
            <v>30300</v>
          </cell>
          <cell r="AF222">
            <v>525</v>
          </cell>
          <cell r="AK222">
            <v>31800</v>
          </cell>
          <cell r="BB222">
            <v>0</v>
          </cell>
          <cell r="BC222">
            <v>0</v>
          </cell>
          <cell r="BD222">
            <v>525</v>
          </cell>
          <cell r="BE222">
            <v>1578</v>
          </cell>
          <cell r="BF222">
            <v>1678</v>
          </cell>
          <cell r="BG222">
            <v>165</v>
          </cell>
          <cell r="BH222">
            <v>0</v>
          </cell>
          <cell r="BI222">
            <v>114950</v>
          </cell>
          <cell r="BK222">
            <v>0.2</v>
          </cell>
          <cell r="BL222">
            <v>2.15</v>
          </cell>
          <cell r="BN222">
            <v>0.43</v>
          </cell>
          <cell r="BO222">
            <v>124.5</v>
          </cell>
          <cell r="BR222">
            <v>14</v>
          </cell>
        </row>
        <row r="223">
          <cell r="A223">
            <v>39299</v>
          </cell>
          <cell r="J223">
            <v>1670</v>
          </cell>
          <cell r="K223">
            <v>165</v>
          </cell>
          <cell r="M223">
            <v>49000</v>
          </cell>
          <cell r="Q223">
            <v>1531</v>
          </cell>
          <cell r="U223">
            <v>28700</v>
          </cell>
          <cell r="AD223">
            <v>16948</v>
          </cell>
          <cell r="AF223">
            <v>522</v>
          </cell>
          <cell r="AK223">
            <v>35250</v>
          </cell>
          <cell r="BB223">
            <v>16948</v>
          </cell>
          <cell r="BC223">
            <v>0</v>
          </cell>
          <cell r="BD223">
            <v>522</v>
          </cell>
          <cell r="BE223">
            <v>1531</v>
          </cell>
          <cell r="BF223">
            <v>1670</v>
          </cell>
          <cell r="BG223">
            <v>165</v>
          </cell>
          <cell r="BH223">
            <v>0</v>
          </cell>
          <cell r="BI223">
            <v>112950</v>
          </cell>
          <cell r="BK223">
            <v>0.17499999999999999</v>
          </cell>
          <cell r="BL223">
            <v>1.9750000000000001</v>
          </cell>
          <cell r="BN223">
            <v>0.49</v>
          </cell>
          <cell r="BO223">
            <v>123.9</v>
          </cell>
          <cell r="BR223">
            <v>14</v>
          </cell>
        </row>
        <row r="224">
          <cell r="A224">
            <v>39300</v>
          </cell>
          <cell r="J224">
            <v>1630.5</v>
          </cell>
          <cell r="K224">
            <v>166.3</v>
          </cell>
          <cell r="L224">
            <v>240.44</v>
          </cell>
          <cell r="M224">
            <v>51100</v>
          </cell>
          <cell r="Q224">
            <v>1112.7</v>
          </cell>
          <cell r="U224">
            <v>27650</v>
          </cell>
          <cell r="AF224">
            <v>532</v>
          </cell>
          <cell r="AK224">
            <v>34700</v>
          </cell>
          <cell r="BB224">
            <v>0</v>
          </cell>
          <cell r="BC224">
            <v>0</v>
          </cell>
          <cell r="BD224">
            <v>532</v>
          </cell>
          <cell r="BE224">
            <v>1112.7</v>
          </cell>
          <cell r="BF224">
            <v>1630.5</v>
          </cell>
          <cell r="BG224">
            <v>166.3</v>
          </cell>
          <cell r="BH224">
            <v>240.44</v>
          </cell>
          <cell r="BI224">
            <v>113450</v>
          </cell>
          <cell r="BK224">
            <v>0.14399999999999999</v>
          </cell>
          <cell r="BL224">
            <v>1.83</v>
          </cell>
          <cell r="BN224">
            <v>0.31</v>
          </cell>
          <cell r="BO224">
            <v>123.59</v>
          </cell>
          <cell r="BR224">
            <v>14</v>
          </cell>
        </row>
        <row r="225">
          <cell r="A225">
            <v>39301</v>
          </cell>
          <cell r="J225">
            <v>1666</v>
          </cell>
          <cell r="K225">
            <v>49</v>
          </cell>
          <cell r="L225">
            <v>225.59</v>
          </cell>
          <cell r="M225">
            <v>54650</v>
          </cell>
          <cell r="Q225">
            <v>791</v>
          </cell>
          <cell r="U225">
            <v>26900</v>
          </cell>
          <cell r="AF225">
            <v>371</v>
          </cell>
          <cell r="AK225">
            <v>34300</v>
          </cell>
          <cell r="BB225">
            <v>0</v>
          </cell>
          <cell r="BC225">
            <v>0</v>
          </cell>
          <cell r="BD225">
            <v>371</v>
          </cell>
          <cell r="BE225">
            <v>791</v>
          </cell>
          <cell r="BF225">
            <v>1666</v>
          </cell>
          <cell r="BG225">
            <v>49</v>
          </cell>
          <cell r="BH225">
            <v>225.59</v>
          </cell>
          <cell r="BI225">
            <v>115850</v>
          </cell>
          <cell r="BK225">
            <v>0.125</v>
          </cell>
          <cell r="BL225">
            <v>1.7</v>
          </cell>
          <cell r="BN225">
            <v>0.23</v>
          </cell>
          <cell r="BO225">
            <v>123.36</v>
          </cell>
          <cell r="BR225">
            <v>13.77</v>
          </cell>
        </row>
        <row r="226">
          <cell r="A226">
            <v>39302</v>
          </cell>
          <cell r="F226">
            <v>16220</v>
          </cell>
          <cell r="J226">
            <v>1193</v>
          </cell>
          <cell r="K226">
            <v>31.8</v>
          </cell>
          <cell r="L226">
            <v>150.19999999999999</v>
          </cell>
          <cell r="M226">
            <v>59700</v>
          </cell>
          <cell r="Q226">
            <v>1529</v>
          </cell>
          <cell r="U226">
            <v>25400</v>
          </cell>
          <cell r="AF226">
            <v>314</v>
          </cell>
          <cell r="AK226">
            <v>33950</v>
          </cell>
          <cell r="BB226">
            <v>16220</v>
          </cell>
          <cell r="BC226">
            <v>0</v>
          </cell>
          <cell r="BD226">
            <v>314</v>
          </cell>
          <cell r="BE226">
            <v>1529</v>
          </cell>
          <cell r="BF226">
            <v>1193</v>
          </cell>
          <cell r="BG226">
            <v>31.8</v>
          </cell>
          <cell r="BH226">
            <v>150.19999999999999</v>
          </cell>
          <cell r="BI226">
            <v>119050</v>
          </cell>
          <cell r="BK226">
            <v>0.2</v>
          </cell>
          <cell r="BL226">
            <v>1.5049999999999999</v>
          </cell>
          <cell r="BN226">
            <v>0.38</v>
          </cell>
          <cell r="BO226">
            <v>122.98</v>
          </cell>
          <cell r="BR226">
            <v>13.77</v>
          </cell>
        </row>
        <row r="227">
          <cell r="A227">
            <v>39303</v>
          </cell>
          <cell r="J227">
            <v>894</v>
          </cell>
          <cell r="K227">
            <v>23.8</v>
          </cell>
          <cell r="L227">
            <v>130.13999999999999</v>
          </cell>
          <cell r="M227">
            <v>58700</v>
          </cell>
          <cell r="Q227">
            <v>1581</v>
          </cell>
          <cell r="U227">
            <v>23800</v>
          </cell>
          <cell r="AF227">
            <v>507</v>
          </cell>
          <cell r="AK227">
            <v>33400</v>
          </cell>
          <cell r="BB227">
            <v>0</v>
          </cell>
          <cell r="BC227">
            <v>0</v>
          </cell>
          <cell r="BD227">
            <v>507</v>
          </cell>
          <cell r="BE227">
            <v>1581</v>
          </cell>
          <cell r="BF227">
            <v>894</v>
          </cell>
          <cell r="BG227">
            <v>23.8</v>
          </cell>
          <cell r="BH227">
            <v>130.13999999999999</v>
          </cell>
          <cell r="BI227">
            <v>115900</v>
          </cell>
          <cell r="BK227">
            <v>0.17</v>
          </cell>
          <cell r="BL227">
            <v>1.33</v>
          </cell>
          <cell r="BN227">
            <v>0.17</v>
          </cell>
          <cell r="BO227">
            <v>122.8</v>
          </cell>
          <cell r="BR227">
            <v>13.77</v>
          </cell>
        </row>
        <row r="228">
          <cell r="A228">
            <v>39304</v>
          </cell>
          <cell r="J228">
            <v>1770</v>
          </cell>
          <cell r="K228">
            <v>31.68</v>
          </cell>
          <cell r="L228">
            <v>258.86</v>
          </cell>
          <cell r="M228">
            <v>56600</v>
          </cell>
          <cell r="Q228">
            <v>1540</v>
          </cell>
          <cell r="U228">
            <v>22250</v>
          </cell>
          <cell r="AF228">
            <v>522</v>
          </cell>
          <cell r="AK228">
            <v>32850</v>
          </cell>
          <cell r="BB228">
            <v>0</v>
          </cell>
          <cell r="BC228">
            <v>0</v>
          </cell>
          <cell r="BD228">
            <v>522</v>
          </cell>
          <cell r="BE228">
            <v>1540</v>
          </cell>
          <cell r="BF228">
            <v>1770</v>
          </cell>
          <cell r="BG228">
            <v>31.68</v>
          </cell>
          <cell r="BH228">
            <v>258.86</v>
          </cell>
          <cell r="BI228">
            <v>111700</v>
          </cell>
          <cell r="BK228">
            <v>0.17499999999999999</v>
          </cell>
          <cell r="BL228">
            <v>1.155</v>
          </cell>
          <cell r="BN228">
            <v>0.37</v>
          </cell>
          <cell r="BO228">
            <v>122.43</v>
          </cell>
          <cell r="BR228">
            <v>14</v>
          </cell>
        </row>
        <row r="229">
          <cell r="A229">
            <v>39305</v>
          </cell>
          <cell r="J229">
            <v>1768</v>
          </cell>
          <cell r="K229">
            <v>33.659999999999997</v>
          </cell>
          <cell r="M229">
            <v>54800</v>
          </cell>
          <cell r="Q229">
            <v>1484</v>
          </cell>
          <cell r="U229">
            <v>20750</v>
          </cell>
          <cell r="AF229">
            <v>524</v>
          </cell>
          <cell r="AK229">
            <v>32300</v>
          </cell>
          <cell r="BB229">
            <v>0</v>
          </cell>
          <cell r="BC229">
            <v>0</v>
          </cell>
          <cell r="BD229">
            <v>524</v>
          </cell>
          <cell r="BE229">
            <v>1484</v>
          </cell>
          <cell r="BF229">
            <v>1768</v>
          </cell>
          <cell r="BG229">
            <v>33.659999999999997</v>
          </cell>
          <cell r="BH229">
            <v>0</v>
          </cell>
          <cell r="BI229">
            <v>107850</v>
          </cell>
          <cell r="BK229">
            <v>0.17499999999999999</v>
          </cell>
          <cell r="BL229">
            <v>0.98</v>
          </cell>
          <cell r="BN229">
            <v>0.245</v>
          </cell>
          <cell r="BO229">
            <v>122.185</v>
          </cell>
          <cell r="BR229">
            <v>14</v>
          </cell>
        </row>
        <row r="230">
          <cell r="A230">
            <v>39306</v>
          </cell>
          <cell r="J230">
            <v>1791</v>
          </cell>
          <cell r="K230">
            <v>99.99</v>
          </cell>
          <cell r="M230">
            <v>52900</v>
          </cell>
          <cell r="Q230">
            <v>1485</v>
          </cell>
          <cell r="U230">
            <v>19250</v>
          </cell>
          <cell r="AF230">
            <v>525</v>
          </cell>
          <cell r="AK230">
            <v>31750</v>
          </cell>
          <cell r="BB230">
            <v>0</v>
          </cell>
          <cell r="BC230">
            <v>0</v>
          </cell>
          <cell r="BD230">
            <v>525</v>
          </cell>
          <cell r="BE230">
            <v>1485</v>
          </cell>
          <cell r="BF230">
            <v>1791</v>
          </cell>
          <cell r="BG230">
            <v>99.99</v>
          </cell>
          <cell r="BH230">
            <v>0</v>
          </cell>
          <cell r="BI230">
            <v>103900</v>
          </cell>
          <cell r="BK230">
            <v>0.2</v>
          </cell>
          <cell r="BL230">
            <v>0.78</v>
          </cell>
          <cell r="BN230">
            <v>0.3</v>
          </cell>
          <cell r="BO230">
            <v>121.88500000000001</v>
          </cell>
          <cell r="BR230">
            <v>14</v>
          </cell>
        </row>
        <row r="231">
          <cell r="A231">
            <v>39307</v>
          </cell>
          <cell r="J231">
            <v>721</v>
          </cell>
          <cell r="K231">
            <v>62.4</v>
          </cell>
          <cell r="L231">
            <v>154.19999999999999</v>
          </cell>
          <cell r="M231">
            <v>52000</v>
          </cell>
          <cell r="Q231">
            <v>1518.7</v>
          </cell>
          <cell r="U231">
            <v>17750</v>
          </cell>
          <cell r="AF231">
            <v>505.6</v>
          </cell>
          <cell r="AK231">
            <v>31200</v>
          </cell>
          <cell r="BB231">
            <v>0</v>
          </cell>
          <cell r="BC231">
            <v>0</v>
          </cell>
          <cell r="BD231">
            <v>505.6</v>
          </cell>
          <cell r="BE231">
            <v>1518.7</v>
          </cell>
          <cell r="BF231">
            <v>721</v>
          </cell>
          <cell r="BG231">
            <v>62.4</v>
          </cell>
          <cell r="BH231">
            <v>154.19999999999999</v>
          </cell>
          <cell r="BI231">
            <v>100950</v>
          </cell>
          <cell r="BK231">
            <v>0.125</v>
          </cell>
          <cell r="BL231">
            <v>0.65500000000000003</v>
          </cell>
          <cell r="BN231">
            <v>0.48</v>
          </cell>
          <cell r="BO231">
            <v>121.4</v>
          </cell>
          <cell r="BR231">
            <v>13.77</v>
          </cell>
        </row>
        <row r="232">
          <cell r="A232">
            <v>39308</v>
          </cell>
          <cell r="J232">
            <v>1594</v>
          </cell>
          <cell r="K232">
            <v>36.9</v>
          </cell>
          <cell r="L232">
            <v>150.44</v>
          </cell>
          <cell r="M232">
            <v>50200</v>
          </cell>
          <cell r="Q232">
            <v>1483</v>
          </cell>
          <cell r="U232">
            <v>22950</v>
          </cell>
          <cell r="AF232">
            <v>520</v>
          </cell>
          <cell r="AK232">
            <v>30600</v>
          </cell>
          <cell r="BB232">
            <v>0</v>
          </cell>
          <cell r="BC232">
            <v>0</v>
          </cell>
          <cell r="BD232">
            <v>520</v>
          </cell>
          <cell r="BE232">
            <v>1483</v>
          </cell>
          <cell r="BF232">
            <v>1594</v>
          </cell>
          <cell r="BG232">
            <v>36.9</v>
          </cell>
          <cell r="BH232">
            <v>150.44</v>
          </cell>
          <cell r="BI232">
            <v>103750</v>
          </cell>
          <cell r="BK232">
            <v>0.15</v>
          </cell>
          <cell r="BL232">
            <v>0.505</v>
          </cell>
          <cell r="BN232">
            <v>0.4</v>
          </cell>
          <cell r="BO232">
            <v>121.1</v>
          </cell>
          <cell r="BR232">
            <v>14</v>
          </cell>
        </row>
        <row r="233">
          <cell r="A233">
            <v>39309</v>
          </cell>
          <cell r="J233">
            <v>1785</v>
          </cell>
          <cell r="K233">
            <v>89.7</v>
          </cell>
          <cell r="M233">
            <v>48300</v>
          </cell>
          <cell r="Q233">
            <v>1096</v>
          </cell>
          <cell r="U233">
            <v>28800</v>
          </cell>
          <cell r="AF233">
            <v>509.5</v>
          </cell>
          <cell r="AK233">
            <v>30100</v>
          </cell>
          <cell r="BB233">
            <v>0</v>
          </cell>
          <cell r="BC233">
            <v>0</v>
          </cell>
          <cell r="BD233">
            <v>509.5</v>
          </cell>
          <cell r="BE233">
            <v>1096</v>
          </cell>
          <cell r="BF233">
            <v>1785</v>
          </cell>
          <cell r="BG233">
            <v>89.7</v>
          </cell>
          <cell r="BH233">
            <v>0</v>
          </cell>
          <cell r="BI233">
            <v>107200</v>
          </cell>
          <cell r="BK233">
            <v>0.125</v>
          </cell>
          <cell r="BL233">
            <v>0.38</v>
          </cell>
          <cell r="BN233">
            <v>0.54</v>
          </cell>
          <cell r="BO233">
            <v>120.46</v>
          </cell>
          <cell r="BR233">
            <v>14</v>
          </cell>
        </row>
        <row r="234">
          <cell r="A234">
            <v>39310</v>
          </cell>
          <cell r="J234">
            <v>1734</v>
          </cell>
          <cell r="K234">
            <v>30.1</v>
          </cell>
          <cell r="L234">
            <v>177.6</v>
          </cell>
          <cell r="M234">
            <v>46300</v>
          </cell>
          <cell r="N234">
            <v>13737</v>
          </cell>
          <cell r="Q234">
            <v>627</v>
          </cell>
          <cell r="U234">
            <v>28300</v>
          </cell>
          <cell r="AF234">
            <v>336</v>
          </cell>
          <cell r="AK234">
            <v>29700</v>
          </cell>
          <cell r="BB234">
            <v>13737</v>
          </cell>
          <cell r="BC234">
            <v>0</v>
          </cell>
          <cell r="BD234">
            <v>336</v>
          </cell>
          <cell r="BE234">
            <v>627</v>
          </cell>
          <cell r="BF234">
            <v>1734</v>
          </cell>
          <cell r="BG234">
            <v>30.1</v>
          </cell>
          <cell r="BH234">
            <v>177.6</v>
          </cell>
          <cell r="BI234">
            <v>104300</v>
          </cell>
          <cell r="BK234">
            <v>0.125</v>
          </cell>
          <cell r="BL234">
            <v>4.57</v>
          </cell>
          <cell r="BN234">
            <v>0.22</v>
          </cell>
          <cell r="BO234">
            <v>120.24</v>
          </cell>
          <cell r="BR234">
            <v>14</v>
          </cell>
        </row>
        <row r="235">
          <cell r="A235">
            <v>39311</v>
          </cell>
          <cell r="J235">
            <v>1719</v>
          </cell>
          <cell r="K235">
            <v>0</v>
          </cell>
          <cell r="L235">
            <v>107.68</v>
          </cell>
          <cell r="M235">
            <v>44500</v>
          </cell>
          <cell r="Q235">
            <v>1452</v>
          </cell>
          <cell r="U235">
            <v>33950</v>
          </cell>
          <cell r="AF235">
            <v>321</v>
          </cell>
          <cell r="AK235">
            <v>29350</v>
          </cell>
          <cell r="BB235">
            <v>0</v>
          </cell>
          <cell r="BC235">
            <v>0</v>
          </cell>
          <cell r="BD235">
            <v>321</v>
          </cell>
          <cell r="BE235">
            <v>1452</v>
          </cell>
          <cell r="BF235">
            <v>1719</v>
          </cell>
          <cell r="BG235">
            <v>0</v>
          </cell>
          <cell r="BH235">
            <v>107.68</v>
          </cell>
          <cell r="BI235">
            <v>107800</v>
          </cell>
          <cell r="BK235">
            <v>0.2</v>
          </cell>
          <cell r="BL235">
            <v>4.37</v>
          </cell>
          <cell r="BN235">
            <v>0.2</v>
          </cell>
          <cell r="BO235">
            <v>120</v>
          </cell>
          <cell r="BR235">
            <v>14</v>
          </cell>
        </row>
        <row r="236">
          <cell r="A236">
            <v>39312</v>
          </cell>
          <cell r="J236">
            <v>1711</v>
          </cell>
          <cell r="K236">
            <v>0</v>
          </cell>
          <cell r="M236">
            <v>42750</v>
          </cell>
          <cell r="N236">
            <v>16093</v>
          </cell>
          <cell r="Q236">
            <v>1598</v>
          </cell>
          <cell r="U236">
            <v>40350</v>
          </cell>
          <cell r="AF236">
            <v>499</v>
          </cell>
          <cell r="AK236">
            <v>28850</v>
          </cell>
          <cell r="BB236">
            <v>16093</v>
          </cell>
          <cell r="BC236">
            <v>0</v>
          </cell>
          <cell r="BD236">
            <v>499</v>
          </cell>
          <cell r="BE236">
            <v>1598</v>
          </cell>
          <cell r="BF236">
            <v>1711</v>
          </cell>
          <cell r="BG236">
            <v>0</v>
          </cell>
          <cell r="BH236">
            <v>0</v>
          </cell>
          <cell r="BI236">
            <v>111950</v>
          </cell>
          <cell r="BK236">
            <v>0.2</v>
          </cell>
          <cell r="BL236">
            <v>4.17</v>
          </cell>
          <cell r="BN236">
            <v>0.1</v>
          </cell>
          <cell r="BO236">
            <v>119.9</v>
          </cell>
          <cell r="BR236">
            <v>14</v>
          </cell>
        </row>
        <row r="237">
          <cell r="A237">
            <v>39313</v>
          </cell>
          <cell r="J237">
            <v>1712</v>
          </cell>
          <cell r="K237">
            <v>0</v>
          </cell>
          <cell r="M237">
            <v>41050</v>
          </cell>
          <cell r="Q237">
            <v>1553</v>
          </cell>
          <cell r="U237">
            <v>39800</v>
          </cell>
          <cell r="AF237">
            <v>521</v>
          </cell>
          <cell r="AK237">
            <v>28300</v>
          </cell>
          <cell r="BB237">
            <v>0</v>
          </cell>
          <cell r="BC237">
            <v>0</v>
          </cell>
          <cell r="BD237">
            <v>521</v>
          </cell>
          <cell r="BE237">
            <v>1553</v>
          </cell>
          <cell r="BF237">
            <v>1712</v>
          </cell>
          <cell r="BG237">
            <v>0</v>
          </cell>
          <cell r="BH237">
            <v>0</v>
          </cell>
          <cell r="BI237">
            <v>109150</v>
          </cell>
          <cell r="BK237">
            <v>0.17</v>
          </cell>
          <cell r="BL237">
            <v>4</v>
          </cell>
          <cell r="BN237">
            <v>0.1</v>
          </cell>
          <cell r="BO237">
            <v>119.8</v>
          </cell>
          <cell r="BR237">
            <v>14</v>
          </cell>
        </row>
        <row r="238">
          <cell r="A238">
            <v>39314</v>
          </cell>
          <cell r="J238">
            <v>1718</v>
          </cell>
          <cell r="K238">
            <v>0</v>
          </cell>
          <cell r="M238">
            <v>38950</v>
          </cell>
          <cell r="Q238">
            <v>1112</v>
          </cell>
          <cell r="U238">
            <v>38700</v>
          </cell>
          <cell r="AF238">
            <v>313</v>
          </cell>
          <cell r="AK238">
            <v>27750</v>
          </cell>
          <cell r="BB238">
            <v>0</v>
          </cell>
          <cell r="BC238">
            <v>0</v>
          </cell>
          <cell r="BD238">
            <v>313</v>
          </cell>
          <cell r="BE238">
            <v>1112</v>
          </cell>
          <cell r="BF238">
            <v>1718</v>
          </cell>
          <cell r="BG238">
            <v>0</v>
          </cell>
          <cell r="BH238">
            <v>0</v>
          </cell>
          <cell r="BI238">
            <v>105400</v>
          </cell>
          <cell r="BK238">
            <v>0.1</v>
          </cell>
          <cell r="BL238">
            <v>4</v>
          </cell>
          <cell r="BN238">
            <v>0.6</v>
          </cell>
          <cell r="BO238">
            <v>150</v>
          </cell>
          <cell r="BR238">
            <v>14</v>
          </cell>
        </row>
        <row r="239">
          <cell r="A239">
            <v>39315</v>
          </cell>
          <cell r="J239">
            <v>1736</v>
          </cell>
          <cell r="K239">
            <v>0</v>
          </cell>
          <cell r="L239">
            <v>308.64</v>
          </cell>
          <cell r="M239">
            <v>36900</v>
          </cell>
          <cell r="Q239">
            <v>774</v>
          </cell>
          <cell r="U239">
            <v>38000</v>
          </cell>
          <cell r="AF239">
            <v>352</v>
          </cell>
          <cell r="AK239">
            <v>27350</v>
          </cell>
          <cell r="BB239">
            <v>0</v>
          </cell>
          <cell r="BC239">
            <v>0</v>
          </cell>
          <cell r="BD239">
            <v>352</v>
          </cell>
          <cell r="BE239">
            <v>774</v>
          </cell>
          <cell r="BF239">
            <v>1736</v>
          </cell>
          <cell r="BG239">
            <v>0</v>
          </cell>
          <cell r="BH239">
            <v>308.64</v>
          </cell>
          <cell r="BI239">
            <v>102250</v>
          </cell>
          <cell r="BK239">
            <v>0.1</v>
          </cell>
          <cell r="BL239">
            <v>3.9</v>
          </cell>
          <cell r="BN239">
            <v>0.5</v>
          </cell>
          <cell r="BO239">
            <v>154.9</v>
          </cell>
          <cell r="BR239">
            <v>14</v>
          </cell>
        </row>
        <row r="240">
          <cell r="A240">
            <v>39316</v>
          </cell>
          <cell r="J240">
            <v>1250</v>
          </cell>
          <cell r="K240">
            <v>0</v>
          </cell>
          <cell r="L240">
            <v>383</v>
          </cell>
          <cell r="M240">
            <v>35300</v>
          </cell>
          <cell r="Q240">
            <v>1604</v>
          </cell>
          <cell r="U240">
            <v>36400</v>
          </cell>
          <cell r="AF240">
            <v>320</v>
          </cell>
          <cell r="AK240">
            <v>27000</v>
          </cell>
          <cell r="BB240">
            <v>0</v>
          </cell>
          <cell r="BC240">
            <v>0</v>
          </cell>
          <cell r="BD240">
            <v>320</v>
          </cell>
          <cell r="BE240">
            <v>1604</v>
          </cell>
          <cell r="BF240">
            <v>1250</v>
          </cell>
          <cell r="BG240">
            <v>0</v>
          </cell>
          <cell r="BH240">
            <v>383</v>
          </cell>
          <cell r="BI240">
            <v>98700</v>
          </cell>
          <cell r="BK240">
            <v>0.2</v>
          </cell>
          <cell r="BL240">
            <v>3.7</v>
          </cell>
          <cell r="BN240">
            <v>0.1</v>
          </cell>
          <cell r="BO240">
            <v>154.80000000000001</v>
          </cell>
          <cell r="BR240">
            <v>13.7</v>
          </cell>
        </row>
        <row r="241">
          <cell r="A241">
            <v>39317</v>
          </cell>
          <cell r="J241">
            <v>1027</v>
          </cell>
          <cell r="K241">
            <v>0</v>
          </cell>
          <cell r="L241">
            <v>250</v>
          </cell>
          <cell r="M241">
            <v>33950</v>
          </cell>
          <cell r="Q241">
            <v>1550</v>
          </cell>
          <cell r="U241">
            <v>34800</v>
          </cell>
          <cell r="AF241">
            <v>529</v>
          </cell>
          <cell r="AK241">
            <v>26450</v>
          </cell>
          <cell r="BB241">
            <v>0</v>
          </cell>
          <cell r="BC241">
            <v>0</v>
          </cell>
          <cell r="BD241">
            <v>529</v>
          </cell>
          <cell r="BE241">
            <v>1550</v>
          </cell>
          <cell r="BF241">
            <v>1027</v>
          </cell>
          <cell r="BG241">
            <v>0</v>
          </cell>
          <cell r="BH241">
            <v>250</v>
          </cell>
          <cell r="BI241">
            <v>95200</v>
          </cell>
          <cell r="BK241">
            <v>0.1</v>
          </cell>
          <cell r="BL241">
            <v>3.6</v>
          </cell>
          <cell r="BN241">
            <v>0.3</v>
          </cell>
          <cell r="BO241">
            <v>154.5</v>
          </cell>
          <cell r="BR241">
            <v>13.7</v>
          </cell>
        </row>
        <row r="242">
          <cell r="A242">
            <v>39318</v>
          </cell>
          <cell r="J242">
            <v>1728</v>
          </cell>
          <cell r="K242">
            <v>0</v>
          </cell>
          <cell r="L242">
            <v>211.02</v>
          </cell>
          <cell r="M242">
            <v>32000</v>
          </cell>
          <cell r="Q242">
            <v>1610</v>
          </cell>
          <cell r="U242">
            <v>33200</v>
          </cell>
          <cell r="AF242">
            <v>522</v>
          </cell>
          <cell r="AK242">
            <v>25900</v>
          </cell>
          <cell r="BB242">
            <v>0</v>
          </cell>
          <cell r="BC242">
            <v>0</v>
          </cell>
          <cell r="BD242">
            <v>522</v>
          </cell>
          <cell r="BE242">
            <v>1610</v>
          </cell>
          <cell r="BF242">
            <v>1728</v>
          </cell>
          <cell r="BG242">
            <v>0</v>
          </cell>
          <cell r="BH242">
            <v>211.02</v>
          </cell>
          <cell r="BI242">
            <v>91100</v>
          </cell>
          <cell r="BK242">
            <v>0.2</v>
          </cell>
          <cell r="BL242">
            <v>3.4</v>
          </cell>
          <cell r="BN242">
            <v>0.1</v>
          </cell>
          <cell r="BO242">
            <v>154.4</v>
          </cell>
          <cell r="BR242">
            <v>14</v>
          </cell>
        </row>
        <row r="243">
          <cell r="A243">
            <v>39319</v>
          </cell>
          <cell r="J243">
            <v>1737</v>
          </cell>
          <cell r="K243">
            <v>0</v>
          </cell>
          <cell r="M243">
            <v>30200</v>
          </cell>
          <cell r="Q243">
            <v>1587</v>
          </cell>
          <cell r="U243">
            <v>31600</v>
          </cell>
          <cell r="AF243">
            <v>537</v>
          </cell>
          <cell r="AK243">
            <v>25350</v>
          </cell>
          <cell r="BB243">
            <v>0</v>
          </cell>
          <cell r="BC243">
            <v>0</v>
          </cell>
          <cell r="BD243">
            <v>537</v>
          </cell>
          <cell r="BE243">
            <v>1587</v>
          </cell>
          <cell r="BF243">
            <v>1737</v>
          </cell>
          <cell r="BG243">
            <v>0</v>
          </cell>
          <cell r="BH243">
            <v>0</v>
          </cell>
          <cell r="BI243">
            <v>87150</v>
          </cell>
          <cell r="BK243">
            <v>0.3</v>
          </cell>
          <cell r="BL243">
            <v>3.1</v>
          </cell>
          <cell r="BN243">
            <v>0.2</v>
          </cell>
          <cell r="BO243">
            <v>154.19999999999999</v>
          </cell>
          <cell r="BR243">
            <v>14</v>
          </cell>
        </row>
        <row r="244">
          <cell r="A244">
            <v>39320</v>
          </cell>
          <cell r="J244">
            <v>1652</v>
          </cell>
          <cell r="K244">
            <v>0</v>
          </cell>
          <cell r="M244">
            <v>28550</v>
          </cell>
          <cell r="Q244">
            <v>1056</v>
          </cell>
          <cell r="U244">
            <v>30550</v>
          </cell>
          <cell r="AF244">
            <v>520</v>
          </cell>
          <cell r="AK244">
            <v>24800</v>
          </cell>
          <cell r="BB244">
            <v>0</v>
          </cell>
          <cell r="BC244">
            <v>0</v>
          </cell>
          <cell r="BD244">
            <v>520</v>
          </cell>
          <cell r="BE244">
            <v>1056</v>
          </cell>
          <cell r="BF244">
            <v>1652</v>
          </cell>
          <cell r="BG244">
            <v>0</v>
          </cell>
          <cell r="BH244">
            <v>0</v>
          </cell>
          <cell r="BI244">
            <v>83900</v>
          </cell>
          <cell r="BK244">
            <v>0.3</v>
          </cell>
          <cell r="BL244">
            <v>2.8</v>
          </cell>
          <cell r="BN244">
            <v>0.1</v>
          </cell>
          <cell r="BO244">
            <v>154.1</v>
          </cell>
          <cell r="BR244">
            <v>14</v>
          </cell>
        </row>
        <row r="245">
          <cell r="A245">
            <v>39321</v>
          </cell>
          <cell r="J245">
            <v>1644</v>
          </cell>
          <cell r="K245">
            <v>0</v>
          </cell>
          <cell r="M245">
            <v>26900</v>
          </cell>
          <cell r="Q245">
            <v>687</v>
          </cell>
          <cell r="U245">
            <v>29800</v>
          </cell>
          <cell r="AF245">
            <v>379</v>
          </cell>
          <cell r="AK245">
            <v>24300</v>
          </cell>
          <cell r="BB245">
            <v>0</v>
          </cell>
          <cell r="BC245">
            <v>0</v>
          </cell>
          <cell r="BD245">
            <v>379</v>
          </cell>
          <cell r="BE245">
            <v>687</v>
          </cell>
          <cell r="BF245">
            <v>1644</v>
          </cell>
          <cell r="BG245">
            <v>0</v>
          </cell>
          <cell r="BH245">
            <v>0</v>
          </cell>
          <cell r="BI245">
            <v>81000</v>
          </cell>
          <cell r="BK245">
            <v>0.2</v>
          </cell>
          <cell r="BL245">
            <v>2.6</v>
          </cell>
          <cell r="BN245">
            <v>0.2</v>
          </cell>
          <cell r="BO245">
            <v>153.9</v>
          </cell>
          <cell r="BR245">
            <v>14</v>
          </cell>
        </row>
        <row r="246">
          <cell r="A246">
            <v>39322</v>
          </cell>
          <cell r="J246">
            <v>1685</v>
          </cell>
          <cell r="K246">
            <v>0</v>
          </cell>
          <cell r="M246">
            <v>25000</v>
          </cell>
          <cell r="Q246">
            <v>1592</v>
          </cell>
          <cell r="U246">
            <v>28200</v>
          </cell>
          <cell r="AF246">
            <v>303</v>
          </cell>
          <cell r="AK246">
            <v>23900</v>
          </cell>
          <cell r="BB246">
            <v>0</v>
          </cell>
          <cell r="BC246">
            <v>0</v>
          </cell>
          <cell r="BD246">
            <v>303</v>
          </cell>
          <cell r="BE246">
            <v>1592</v>
          </cell>
          <cell r="BF246">
            <v>1685</v>
          </cell>
          <cell r="BG246">
            <v>0</v>
          </cell>
          <cell r="BH246">
            <v>0</v>
          </cell>
          <cell r="BI246">
            <v>77100</v>
          </cell>
          <cell r="BK246">
            <v>0.2</v>
          </cell>
          <cell r="BL246">
            <v>2.4</v>
          </cell>
          <cell r="BN246">
            <v>0.3</v>
          </cell>
          <cell r="BO246">
            <v>153.6</v>
          </cell>
          <cell r="BR246">
            <v>14</v>
          </cell>
        </row>
        <row r="247">
          <cell r="A247">
            <v>39323</v>
          </cell>
          <cell r="J247">
            <v>1177</v>
          </cell>
          <cell r="K247">
            <v>0</v>
          </cell>
          <cell r="L247">
            <v>356.64</v>
          </cell>
          <cell r="M247">
            <v>27800</v>
          </cell>
          <cell r="Q247">
            <v>1621</v>
          </cell>
          <cell r="U247">
            <v>26700</v>
          </cell>
          <cell r="AF247">
            <v>528</v>
          </cell>
          <cell r="AK247">
            <v>23350</v>
          </cell>
          <cell r="BB247">
            <v>0</v>
          </cell>
          <cell r="BC247">
            <v>0</v>
          </cell>
          <cell r="BD247">
            <v>528</v>
          </cell>
          <cell r="BE247">
            <v>1621</v>
          </cell>
          <cell r="BF247">
            <v>1177</v>
          </cell>
          <cell r="BG247">
            <v>0</v>
          </cell>
          <cell r="BH247">
            <v>356.64</v>
          </cell>
          <cell r="BI247">
            <v>77850</v>
          </cell>
          <cell r="BK247">
            <v>0.1</v>
          </cell>
          <cell r="BL247">
            <v>2.2999999999999998</v>
          </cell>
          <cell r="BN247">
            <v>0.5</v>
          </cell>
          <cell r="BO247">
            <v>153.1</v>
          </cell>
          <cell r="BR247">
            <v>14</v>
          </cell>
        </row>
        <row r="248">
          <cell r="A248">
            <v>39324</v>
          </cell>
          <cell r="J248">
            <v>892</v>
          </cell>
          <cell r="K248">
            <v>0</v>
          </cell>
          <cell r="L248">
            <v>157.38</v>
          </cell>
          <cell r="M248">
            <v>35200</v>
          </cell>
          <cell r="Q248">
            <v>1605</v>
          </cell>
          <cell r="U248">
            <v>25050</v>
          </cell>
          <cell r="AF248">
            <v>529</v>
          </cell>
          <cell r="AK248">
            <v>22700</v>
          </cell>
          <cell r="BB248">
            <v>0</v>
          </cell>
          <cell r="BC248">
            <v>0</v>
          </cell>
          <cell r="BD248">
            <v>529</v>
          </cell>
          <cell r="BE248">
            <v>1605</v>
          </cell>
          <cell r="BF248">
            <v>892</v>
          </cell>
          <cell r="BG248">
            <v>0</v>
          </cell>
          <cell r="BH248">
            <v>157.38</v>
          </cell>
          <cell r="BI248">
            <v>82950</v>
          </cell>
          <cell r="BK248">
            <v>0.1</v>
          </cell>
          <cell r="BL248">
            <v>2.2000000000000002</v>
          </cell>
          <cell r="BN248">
            <v>0.5</v>
          </cell>
          <cell r="BO248">
            <v>152.6</v>
          </cell>
          <cell r="BR248">
            <v>14</v>
          </cell>
        </row>
        <row r="249">
          <cell r="A249">
            <v>39325</v>
          </cell>
          <cell r="F249">
            <v>15508</v>
          </cell>
          <cell r="J249">
            <v>1291.24</v>
          </cell>
          <cell r="K249">
            <v>65.81</v>
          </cell>
          <cell r="M249">
            <v>37850</v>
          </cell>
          <cell r="N249">
            <v>-740</v>
          </cell>
          <cell r="Q249">
            <v>1548.95</v>
          </cell>
          <cell r="U249">
            <v>23500</v>
          </cell>
          <cell r="AD249">
            <v>-525</v>
          </cell>
          <cell r="AF249">
            <v>752.3</v>
          </cell>
          <cell r="AK249">
            <v>21150</v>
          </cell>
          <cell r="BB249">
            <v>14243</v>
          </cell>
          <cell r="BC249">
            <v>0</v>
          </cell>
          <cell r="BD249">
            <v>752.3</v>
          </cell>
          <cell r="BE249">
            <v>1548.95</v>
          </cell>
          <cell r="BF249">
            <v>1291.24</v>
          </cell>
          <cell r="BG249">
            <v>65.81</v>
          </cell>
          <cell r="BH249">
            <v>0</v>
          </cell>
          <cell r="BI249">
            <v>82500</v>
          </cell>
          <cell r="BJ249">
            <v>1</v>
          </cell>
          <cell r="BK249">
            <v>-0.46900000000000003</v>
          </cell>
          <cell r="BL249">
            <v>3</v>
          </cell>
          <cell r="BN249">
            <v>0.89500000000000002</v>
          </cell>
          <cell r="BO249">
            <v>151.6</v>
          </cell>
          <cell r="BR249">
            <v>14</v>
          </cell>
        </row>
        <row r="250">
          <cell r="A250">
            <v>39326</v>
          </cell>
          <cell r="J250">
            <v>1754</v>
          </cell>
          <cell r="K250">
            <v>0</v>
          </cell>
          <cell r="M250">
            <v>35600</v>
          </cell>
          <cell r="Q250">
            <v>1622</v>
          </cell>
          <cell r="U250">
            <v>21900</v>
          </cell>
          <cell r="AF250">
            <v>528</v>
          </cell>
          <cell r="AK250">
            <v>21550</v>
          </cell>
          <cell r="BB250">
            <v>0</v>
          </cell>
          <cell r="BC250">
            <v>0</v>
          </cell>
          <cell r="BD250">
            <v>528</v>
          </cell>
          <cell r="BE250">
            <v>1622</v>
          </cell>
          <cell r="BF250">
            <v>1754</v>
          </cell>
          <cell r="BG250">
            <v>0</v>
          </cell>
          <cell r="BH250">
            <v>0</v>
          </cell>
          <cell r="BI250">
            <v>79050</v>
          </cell>
          <cell r="BK250">
            <v>0.2</v>
          </cell>
          <cell r="BL250">
            <v>2.8</v>
          </cell>
          <cell r="BN250">
            <v>0.3</v>
          </cell>
          <cell r="BO250">
            <v>151.30000000000001</v>
          </cell>
          <cell r="BR250">
            <v>14</v>
          </cell>
        </row>
        <row r="251">
          <cell r="A251">
            <v>39327</v>
          </cell>
          <cell r="J251">
            <v>1691</v>
          </cell>
          <cell r="K251">
            <v>0</v>
          </cell>
          <cell r="M251">
            <v>33900</v>
          </cell>
          <cell r="Q251">
            <v>1557</v>
          </cell>
          <cell r="U251">
            <v>20350</v>
          </cell>
          <cell r="AF251">
            <v>527</v>
          </cell>
          <cell r="AK251">
            <v>20950</v>
          </cell>
          <cell r="BB251">
            <v>0</v>
          </cell>
          <cell r="BC251">
            <v>0</v>
          </cell>
          <cell r="BD251">
            <v>527</v>
          </cell>
          <cell r="BE251">
            <v>1557</v>
          </cell>
          <cell r="BF251">
            <v>1691</v>
          </cell>
          <cell r="BG251">
            <v>0</v>
          </cell>
          <cell r="BH251">
            <v>0</v>
          </cell>
          <cell r="BI251">
            <v>75200</v>
          </cell>
          <cell r="BK251">
            <v>0.2</v>
          </cell>
          <cell r="BL251">
            <v>2.6</v>
          </cell>
          <cell r="BN251">
            <v>0.1</v>
          </cell>
          <cell r="BO251">
            <v>151.19999999999999</v>
          </cell>
          <cell r="BR251">
            <v>14</v>
          </cell>
        </row>
        <row r="252">
          <cell r="A252">
            <v>39328</v>
          </cell>
          <cell r="J252">
            <v>1740</v>
          </cell>
          <cell r="K252">
            <v>0</v>
          </cell>
          <cell r="M252">
            <v>32150</v>
          </cell>
          <cell r="Q252">
            <v>1147</v>
          </cell>
          <cell r="U252">
            <v>21850</v>
          </cell>
          <cell r="AF252">
            <v>531</v>
          </cell>
          <cell r="AK252">
            <v>20350</v>
          </cell>
          <cell r="BB252">
            <v>0</v>
          </cell>
          <cell r="BC252">
            <v>0</v>
          </cell>
          <cell r="BD252">
            <v>531</v>
          </cell>
          <cell r="BE252">
            <v>1147</v>
          </cell>
          <cell r="BF252">
            <v>1740</v>
          </cell>
          <cell r="BG252">
            <v>0</v>
          </cell>
          <cell r="BH252">
            <v>0</v>
          </cell>
          <cell r="BI252">
            <v>74350</v>
          </cell>
          <cell r="BK252">
            <v>0.1</v>
          </cell>
          <cell r="BL252">
            <v>2.5</v>
          </cell>
          <cell r="BN252">
            <v>0.2</v>
          </cell>
          <cell r="BO252">
            <v>151</v>
          </cell>
          <cell r="BR252">
            <v>14</v>
          </cell>
        </row>
        <row r="253">
          <cell r="A253">
            <v>39329</v>
          </cell>
          <cell r="J253">
            <v>1666</v>
          </cell>
          <cell r="K253">
            <v>0</v>
          </cell>
          <cell r="M253">
            <v>30450</v>
          </cell>
          <cell r="Q253">
            <v>819</v>
          </cell>
          <cell r="U253">
            <v>29500</v>
          </cell>
          <cell r="AF253">
            <v>382</v>
          </cell>
          <cell r="AK253">
            <v>19900</v>
          </cell>
          <cell r="BB253">
            <v>0</v>
          </cell>
          <cell r="BC253">
            <v>0</v>
          </cell>
          <cell r="BD253">
            <v>382</v>
          </cell>
          <cell r="BE253">
            <v>819</v>
          </cell>
          <cell r="BF253">
            <v>1666</v>
          </cell>
          <cell r="BG253">
            <v>0</v>
          </cell>
          <cell r="BH253">
            <v>0</v>
          </cell>
          <cell r="BI253">
            <v>79850</v>
          </cell>
          <cell r="BK253">
            <v>0.1</v>
          </cell>
          <cell r="BL253">
            <v>2.4</v>
          </cell>
          <cell r="BN253">
            <v>0.2</v>
          </cell>
          <cell r="BO253">
            <v>150.80000000000001</v>
          </cell>
          <cell r="BR253">
            <v>14</v>
          </cell>
        </row>
        <row r="254">
          <cell r="A254">
            <v>39330</v>
          </cell>
          <cell r="J254">
            <v>108</v>
          </cell>
          <cell r="K254">
            <v>0</v>
          </cell>
          <cell r="M254">
            <v>30350</v>
          </cell>
          <cell r="N254">
            <v>13641</v>
          </cell>
          <cell r="Q254">
            <v>1606</v>
          </cell>
          <cell r="U254">
            <v>30450</v>
          </cell>
          <cell r="AE254">
            <v>222</v>
          </cell>
          <cell r="AF254">
            <v>282</v>
          </cell>
          <cell r="AK254">
            <v>19350</v>
          </cell>
          <cell r="BB254">
            <v>13641</v>
          </cell>
          <cell r="BC254">
            <v>222</v>
          </cell>
          <cell r="BD254">
            <v>282</v>
          </cell>
          <cell r="BE254">
            <v>1606</v>
          </cell>
          <cell r="BF254">
            <v>108</v>
          </cell>
          <cell r="BG254">
            <v>0</v>
          </cell>
          <cell r="BH254">
            <v>0</v>
          </cell>
          <cell r="BI254">
            <v>80150</v>
          </cell>
          <cell r="BK254">
            <v>0.1</v>
          </cell>
          <cell r="BL254">
            <v>2.2999999999999998</v>
          </cell>
          <cell r="BN254">
            <v>0.3</v>
          </cell>
          <cell r="BO254">
            <v>150.5</v>
          </cell>
          <cell r="BR254">
            <v>14</v>
          </cell>
        </row>
        <row r="255">
          <cell r="A255">
            <v>39331</v>
          </cell>
          <cell r="J255">
            <v>0</v>
          </cell>
          <cell r="K255">
            <v>11</v>
          </cell>
          <cell r="M255">
            <v>30350</v>
          </cell>
          <cell r="Q255">
            <v>1547</v>
          </cell>
          <cell r="U255">
            <v>28950</v>
          </cell>
          <cell r="AE255">
            <v>500</v>
          </cell>
          <cell r="AF255">
            <v>531</v>
          </cell>
          <cell r="AK255">
            <v>18250</v>
          </cell>
          <cell r="BB255">
            <v>0</v>
          </cell>
          <cell r="BC255">
            <v>500</v>
          </cell>
          <cell r="BD255">
            <v>531</v>
          </cell>
          <cell r="BE255">
            <v>1547</v>
          </cell>
          <cell r="BF255">
            <v>0</v>
          </cell>
          <cell r="BG255">
            <v>11</v>
          </cell>
          <cell r="BH255">
            <v>0</v>
          </cell>
          <cell r="BI255">
            <v>77550</v>
          </cell>
          <cell r="BK255">
            <v>0.1</v>
          </cell>
          <cell r="BL255">
            <v>2.2000000000000002</v>
          </cell>
          <cell r="BN255">
            <v>0.5</v>
          </cell>
          <cell r="BO255">
            <v>150</v>
          </cell>
          <cell r="BR255">
            <v>14</v>
          </cell>
        </row>
        <row r="256">
          <cell r="A256">
            <v>39332</v>
          </cell>
          <cell r="J256">
            <v>0</v>
          </cell>
          <cell r="K256">
            <v>103</v>
          </cell>
          <cell r="M256">
            <v>30300</v>
          </cell>
          <cell r="Q256">
            <v>1597</v>
          </cell>
          <cell r="U256">
            <v>27400</v>
          </cell>
          <cell r="AE256">
            <v>506</v>
          </cell>
          <cell r="AF256">
            <v>505</v>
          </cell>
          <cell r="AK256">
            <v>17150</v>
          </cell>
          <cell r="BB256">
            <v>0</v>
          </cell>
          <cell r="BC256">
            <v>506</v>
          </cell>
          <cell r="BD256">
            <v>505</v>
          </cell>
          <cell r="BE256">
            <v>1597</v>
          </cell>
          <cell r="BF256">
            <v>0</v>
          </cell>
          <cell r="BG256">
            <v>103</v>
          </cell>
          <cell r="BH256">
            <v>0</v>
          </cell>
          <cell r="BI256">
            <v>74850</v>
          </cell>
          <cell r="BK256">
            <v>0.1</v>
          </cell>
          <cell r="BL256">
            <v>2.1</v>
          </cell>
          <cell r="BN256">
            <v>0.5</v>
          </cell>
          <cell r="BO256">
            <v>149.5</v>
          </cell>
          <cell r="BR256">
            <v>14</v>
          </cell>
        </row>
        <row r="257">
          <cell r="A257">
            <v>39333</v>
          </cell>
          <cell r="J257">
            <v>811</v>
          </cell>
          <cell r="K257">
            <v>39.6</v>
          </cell>
          <cell r="M257">
            <v>29500</v>
          </cell>
          <cell r="Q257">
            <v>1647</v>
          </cell>
          <cell r="U257">
            <v>25750</v>
          </cell>
          <cell r="AE257">
            <v>504</v>
          </cell>
          <cell r="AF257">
            <v>526</v>
          </cell>
          <cell r="AK257">
            <v>16050</v>
          </cell>
          <cell r="BB257">
            <v>0</v>
          </cell>
          <cell r="BC257">
            <v>504</v>
          </cell>
          <cell r="BD257">
            <v>526</v>
          </cell>
          <cell r="BE257">
            <v>1647</v>
          </cell>
          <cell r="BF257">
            <v>811</v>
          </cell>
          <cell r="BG257">
            <v>39.6</v>
          </cell>
          <cell r="BH257">
            <v>0</v>
          </cell>
          <cell r="BI257">
            <v>71300</v>
          </cell>
          <cell r="BK257">
            <v>0.1</v>
          </cell>
          <cell r="BL257">
            <v>2</v>
          </cell>
          <cell r="BN257">
            <v>0.5</v>
          </cell>
          <cell r="BO257">
            <v>149</v>
          </cell>
          <cell r="BR257">
            <v>14</v>
          </cell>
        </row>
        <row r="258">
          <cell r="A258">
            <v>39334</v>
          </cell>
          <cell r="J258">
            <v>1701</v>
          </cell>
          <cell r="K258">
            <v>0</v>
          </cell>
          <cell r="M258">
            <v>27800</v>
          </cell>
          <cell r="Q258">
            <v>1614</v>
          </cell>
          <cell r="U258">
            <v>24100</v>
          </cell>
          <cell r="AE258">
            <v>517</v>
          </cell>
          <cell r="AF258">
            <v>501</v>
          </cell>
          <cell r="AK258">
            <v>15000</v>
          </cell>
          <cell r="BB258">
            <v>0</v>
          </cell>
          <cell r="BC258">
            <v>517</v>
          </cell>
          <cell r="BD258">
            <v>501</v>
          </cell>
          <cell r="BE258">
            <v>1614</v>
          </cell>
          <cell r="BF258">
            <v>1701</v>
          </cell>
          <cell r="BG258">
            <v>0</v>
          </cell>
          <cell r="BH258">
            <v>0</v>
          </cell>
          <cell r="BI258">
            <v>66900</v>
          </cell>
          <cell r="BK258">
            <v>0.2</v>
          </cell>
          <cell r="BL258">
            <v>1.8</v>
          </cell>
          <cell r="BN258">
            <v>0.5</v>
          </cell>
          <cell r="BO258">
            <v>148.5</v>
          </cell>
          <cell r="BR258">
            <v>14</v>
          </cell>
        </row>
        <row r="259">
          <cell r="A259">
            <v>39335</v>
          </cell>
          <cell r="J259">
            <v>1726</v>
          </cell>
          <cell r="K259">
            <v>89.6</v>
          </cell>
          <cell r="M259">
            <v>26000</v>
          </cell>
          <cell r="Q259">
            <v>1607</v>
          </cell>
          <cell r="U259">
            <v>22450</v>
          </cell>
          <cell r="AE259">
            <v>489</v>
          </cell>
          <cell r="AF259">
            <v>526</v>
          </cell>
          <cell r="AK259">
            <v>13950</v>
          </cell>
          <cell r="BB259">
            <v>0</v>
          </cell>
          <cell r="BC259">
            <v>489</v>
          </cell>
          <cell r="BD259">
            <v>526</v>
          </cell>
          <cell r="BE259">
            <v>1607</v>
          </cell>
          <cell r="BF259">
            <v>1726</v>
          </cell>
          <cell r="BG259">
            <v>89.6</v>
          </cell>
          <cell r="BH259">
            <v>0</v>
          </cell>
          <cell r="BI259">
            <v>62400</v>
          </cell>
          <cell r="BK259">
            <v>0.2</v>
          </cell>
          <cell r="BL259">
            <v>1.6</v>
          </cell>
          <cell r="BN259">
            <v>0.6</v>
          </cell>
          <cell r="BO259">
            <v>147.9</v>
          </cell>
          <cell r="BR259">
            <v>14</v>
          </cell>
        </row>
        <row r="260">
          <cell r="A260">
            <v>39336</v>
          </cell>
          <cell r="J260">
            <v>1330</v>
          </cell>
          <cell r="K260">
            <v>95</v>
          </cell>
          <cell r="M260">
            <v>34000</v>
          </cell>
          <cell r="Q260">
            <v>1588</v>
          </cell>
          <cell r="U260">
            <v>20850</v>
          </cell>
          <cell r="AE260">
            <v>366</v>
          </cell>
          <cell r="AF260">
            <v>376</v>
          </cell>
          <cell r="AK260">
            <v>10000</v>
          </cell>
          <cell r="BB260">
            <v>0</v>
          </cell>
          <cell r="BC260">
            <v>366</v>
          </cell>
          <cell r="BD260">
            <v>376</v>
          </cell>
          <cell r="BE260">
            <v>1588</v>
          </cell>
          <cell r="BF260">
            <v>1330</v>
          </cell>
          <cell r="BG260">
            <v>95</v>
          </cell>
          <cell r="BH260">
            <v>0</v>
          </cell>
          <cell r="BI260">
            <v>64850</v>
          </cell>
          <cell r="BK260">
            <v>0.2</v>
          </cell>
          <cell r="BL260">
            <v>1.4</v>
          </cell>
          <cell r="BN260">
            <v>0.6</v>
          </cell>
          <cell r="BO260">
            <v>147.30000000000001</v>
          </cell>
          <cell r="BR260">
            <v>14</v>
          </cell>
        </row>
        <row r="261">
          <cell r="A261">
            <v>39337</v>
          </cell>
          <cell r="J261">
            <v>710</v>
          </cell>
          <cell r="K261">
            <v>95.93</v>
          </cell>
          <cell r="L261">
            <v>205.88</v>
          </cell>
          <cell r="M261">
            <v>32950</v>
          </cell>
          <cell r="Q261">
            <v>1135</v>
          </cell>
          <cell r="U261">
            <v>19700</v>
          </cell>
          <cell r="AE261">
            <v>253</v>
          </cell>
          <cell r="AF261">
            <v>257</v>
          </cell>
          <cell r="AK261">
            <v>9450</v>
          </cell>
          <cell r="BB261">
            <v>0</v>
          </cell>
          <cell r="BC261">
            <v>253</v>
          </cell>
          <cell r="BD261">
            <v>257</v>
          </cell>
          <cell r="BE261">
            <v>1135</v>
          </cell>
          <cell r="BF261">
            <v>710</v>
          </cell>
          <cell r="BG261">
            <v>95.93</v>
          </cell>
          <cell r="BH261">
            <v>205.88</v>
          </cell>
          <cell r="BI261">
            <v>62100</v>
          </cell>
          <cell r="BK261">
            <v>0.1</v>
          </cell>
          <cell r="BL261">
            <v>1.7</v>
          </cell>
          <cell r="BN261">
            <v>0.4</v>
          </cell>
          <cell r="BO261">
            <v>146.9</v>
          </cell>
          <cell r="BR261">
            <v>14</v>
          </cell>
        </row>
        <row r="262">
          <cell r="A262">
            <v>39338</v>
          </cell>
          <cell r="J262">
            <v>1694</v>
          </cell>
          <cell r="K262">
            <v>71.3</v>
          </cell>
          <cell r="L262">
            <v>210.76</v>
          </cell>
          <cell r="M262">
            <v>31000</v>
          </cell>
          <cell r="Q262">
            <v>623</v>
          </cell>
          <cell r="U262">
            <v>19050</v>
          </cell>
          <cell r="AE262">
            <v>527</v>
          </cell>
          <cell r="AF262">
            <v>528</v>
          </cell>
          <cell r="AK262">
            <v>8350</v>
          </cell>
          <cell r="BB262">
            <v>0</v>
          </cell>
          <cell r="BC262">
            <v>527</v>
          </cell>
          <cell r="BD262">
            <v>528</v>
          </cell>
          <cell r="BE262">
            <v>623</v>
          </cell>
          <cell r="BF262">
            <v>1694</v>
          </cell>
          <cell r="BG262">
            <v>71.3</v>
          </cell>
          <cell r="BH262">
            <v>210.76</v>
          </cell>
          <cell r="BI262">
            <v>58400</v>
          </cell>
          <cell r="BK262">
            <v>0.1</v>
          </cell>
          <cell r="BL262">
            <v>1.6</v>
          </cell>
          <cell r="BN262">
            <v>0.5</v>
          </cell>
          <cell r="BO262">
            <v>146.4</v>
          </cell>
          <cell r="BR262">
            <v>14</v>
          </cell>
        </row>
        <row r="263">
          <cell r="A263">
            <v>39339</v>
          </cell>
          <cell r="J263">
            <v>1673</v>
          </cell>
          <cell r="K263">
            <v>74.3</v>
          </cell>
          <cell r="L263">
            <v>214.6</v>
          </cell>
          <cell r="M263">
            <v>29100</v>
          </cell>
          <cell r="Q263">
            <v>1611</v>
          </cell>
          <cell r="U263">
            <v>17400</v>
          </cell>
          <cell r="AE263">
            <v>515</v>
          </cell>
          <cell r="AF263">
            <v>531</v>
          </cell>
          <cell r="AK263">
            <v>7250</v>
          </cell>
          <cell r="BB263">
            <v>0</v>
          </cell>
          <cell r="BC263">
            <v>515</v>
          </cell>
          <cell r="BD263">
            <v>531</v>
          </cell>
          <cell r="BE263">
            <v>1611</v>
          </cell>
          <cell r="BF263">
            <v>1673</v>
          </cell>
          <cell r="BG263">
            <v>74.3</v>
          </cell>
          <cell r="BH263">
            <v>214.6</v>
          </cell>
          <cell r="BI263">
            <v>53750</v>
          </cell>
          <cell r="BK263">
            <v>0.17499999999999999</v>
          </cell>
          <cell r="BL263">
            <v>1.43</v>
          </cell>
          <cell r="BN263">
            <v>0.64</v>
          </cell>
          <cell r="BO263">
            <v>145.69999999999999</v>
          </cell>
          <cell r="BR263">
            <v>14</v>
          </cell>
        </row>
        <row r="264">
          <cell r="A264">
            <v>39340</v>
          </cell>
          <cell r="J264">
            <v>1679</v>
          </cell>
          <cell r="K264">
            <v>95.1</v>
          </cell>
          <cell r="M264">
            <v>27300</v>
          </cell>
          <cell r="Q264">
            <v>1624</v>
          </cell>
          <cell r="U264">
            <v>15750</v>
          </cell>
          <cell r="AE264">
            <v>517</v>
          </cell>
          <cell r="AF264">
            <v>522</v>
          </cell>
          <cell r="AK264">
            <v>6200</v>
          </cell>
          <cell r="BB264">
            <v>0</v>
          </cell>
          <cell r="BC264">
            <v>517</v>
          </cell>
          <cell r="BD264">
            <v>522</v>
          </cell>
          <cell r="BE264">
            <v>1624</v>
          </cell>
          <cell r="BF264">
            <v>1679</v>
          </cell>
          <cell r="BG264">
            <v>95.1</v>
          </cell>
          <cell r="BH264">
            <v>0</v>
          </cell>
          <cell r="BI264">
            <v>49250</v>
          </cell>
          <cell r="BK264">
            <v>0.17499999999999999</v>
          </cell>
          <cell r="BL264">
            <v>1.25</v>
          </cell>
          <cell r="BN264">
            <v>0.63</v>
          </cell>
          <cell r="BO264">
            <v>145.1</v>
          </cell>
          <cell r="BR264">
            <v>14</v>
          </cell>
        </row>
        <row r="265">
          <cell r="A265">
            <v>39341</v>
          </cell>
          <cell r="J265">
            <v>1668</v>
          </cell>
          <cell r="K265">
            <v>96.8</v>
          </cell>
          <cell r="M265">
            <v>25600</v>
          </cell>
          <cell r="Q265">
            <v>1620</v>
          </cell>
          <cell r="U265">
            <v>14100</v>
          </cell>
          <cell r="AE265">
            <v>519</v>
          </cell>
          <cell r="AF265">
            <v>520</v>
          </cell>
          <cell r="AK265">
            <v>5100</v>
          </cell>
          <cell r="BB265">
            <v>0</v>
          </cell>
          <cell r="BC265">
            <v>519</v>
          </cell>
          <cell r="BD265">
            <v>520</v>
          </cell>
          <cell r="BE265">
            <v>1620</v>
          </cell>
          <cell r="BF265">
            <v>1668</v>
          </cell>
          <cell r="BG265">
            <v>96.8</v>
          </cell>
          <cell r="BH265">
            <v>0</v>
          </cell>
          <cell r="BI265">
            <v>44800</v>
          </cell>
          <cell r="BK265">
            <v>0.17499999999999999</v>
          </cell>
          <cell r="BL265">
            <v>1</v>
          </cell>
          <cell r="BN265">
            <v>0.56000000000000005</v>
          </cell>
          <cell r="BO265">
            <v>144.6</v>
          </cell>
          <cell r="BR265">
            <v>14</v>
          </cell>
        </row>
        <row r="266">
          <cell r="A266">
            <v>39342</v>
          </cell>
          <cell r="J266">
            <v>1659</v>
          </cell>
          <cell r="K266">
            <v>92</v>
          </cell>
          <cell r="L266">
            <v>383.4</v>
          </cell>
          <cell r="M266">
            <v>23500</v>
          </cell>
          <cell r="Q266">
            <v>1152</v>
          </cell>
          <cell r="U266">
            <v>12900</v>
          </cell>
          <cell r="AE266">
            <v>509</v>
          </cell>
          <cell r="AF266">
            <v>514</v>
          </cell>
          <cell r="AK266">
            <v>4050</v>
          </cell>
          <cell r="BB266">
            <v>0</v>
          </cell>
          <cell r="BC266">
            <v>509</v>
          </cell>
          <cell r="BD266">
            <v>514</v>
          </cell>
          <cell r="BE266">
            <v>1152</v>
          </cell>
          <cell r="BF266">
            <v>1659</v>
          </cell>
          <cell r="BG266">
            <v>92</v>
          </cell>
          <cell r="BH266">
            <v>383.4</v>
          </cell>
          <cell r="BI266">
            <v>40450</v>
          </cell>
          <cell r="BK266">
            <v>0.2</v>
          </cell>
          <cell r="BL266">
            <v>0.8</v>
          </cell>
          <cell r="BN266">
            <v>0.53</v>
          </cell>
          <cell r="BO266">
            <v>144</v>
          </cell>
          <cell r="BR266">
            <v>14</v>
          </cell>
        </row>
        <row r="267">
          <cell r="A267">
            <v>39343</v>
          </cell>
          <cell r="J267">
            <v>1720</v>
          </cell>
          <cell r="K267">
            <v>111</v>
          </cell>
          <cell r="L267">
            <v>267.2</v>
          </cell>
          <cell r="M267">
            <v>21400</v>
          </cell>
          <cell r="Q267">
            <v>913</v>
          </cell>
          <cell r="U267">
            <v>11950</v>
          </cell>
          <cell r="AE267">
            <v>240</v>
          </cell>
          <cell r="AF267">
            <v>361</v>
          </cell>
          <cell r="AK267">
            <v>3450</v>
          </cell>
          <cell r="BB267">
            <v>0</v>
          </cell>
          <cell r="BC267">
            <v>240</v>
          </cell>
          <cell r="BD267">
            <v>361</v>
          </cell>
          <cell r="BE267">
            <v>913</v>
          </cell>
          <cell r="BF267">
            <v>1720</v>
          </cell>
          <cell r="BG267">
            <v>111</v>
          </cell>
          <cell r="BH267">
            <v>267.2</v>
          </cell>
          <cell r="BI267">
            <v>36800</v>
          </cell>
          <cell r="BK267">
            <v>0.17499999999999999</v>
          </cell>
          <cell r="BL267">
            <v>0.63</v>
          </cell>
          <cell r="BN267">
            <v>0.28999999999999998</v>
          </cell>
          <cell r="BO267">
            <v>143.69999999999999</v>
          </cell>
          <cell r="BR267">
            <v>14</v>
          </cell>
        </row>
        <row r="268">
          <cell r="A268">
            <v>39344</v>
          </cell>
          <cell r="B268">
            <v>0</v>
          </cell>
          <cell r="C268">
            <v>0</v>
          </cell>
          <cell r="D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1224</v>
          </cell>
          <cell r="K268">
            <v>54.45</v>
          </cell>
          <cell r="L268">
            <v>287</v>
          </cell>
          <cell r="M268">
            <v>19800</v>
          </cell>
          <cell r="N268">
            <v>0</v>
          </cell>
          <cell r="O268">
            <v>0</v>
          </cell>
          <cell r="P268">
            <v>0</v>
          </cell>
          <cell r="Q268">
            <v>1596</v>
          </cell>
          <cell r="R268">
            <v>0</v>
          </cell>
          <cell r="S268">
            <v>0</v>
          </cell>
          <cell r="T268">
            <v>0</v>
          </cell>
          <cell r="U268">
            <v>10350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D268">
            <v>0</v>
          </cell>
          <cell r="AE268">
            <v>269</v>
          </cell>
          <cell r="AF268">
            <v>269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2900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269</v>
          </cell>
          <cell r="BD268">
            <v>269</v>
          </cell>
          <cell r="BE268">
            <v>1596</v>
          </cell>
          <cell r="BF268">
            <v>1224</v>
          </cell>
          <cell r="BG268">
            <v>54.45</v>
          </cell>
          <cell r="BH268">
            <v>287</v>
          </cell>
          <cell r="BI268">
            <v>33050</v>
          </cell>
          <cell r="BK268">
            <v>0.15</v>
          </cell>
          <cell r="BL268">
            <v>0.48</v>
          </cell>
          <cell r="BM268">
            <v>0</v>
          </cell>
          <cell r="BN268">
            <v>0.4</v>
          </cell>
          <cell r="BO268">
            <v>143.30000000000001</v>
          </cell>
          <cell r="BP268">
            <v>0</v>
          </cell>
          <cell r="BQ268">
            <v>0</v>
          </cell>
          <cell r="BR268">
            <v>13.8</v>
          </cell>
        </row>
        <row r="269">
          <cell r="A269">
            <v>39345</v>
          </cell>
          <cell r="B269">
            <v>0</v>
          </cell>
          <cell r="C269">
            <v>0</v>
          </cell>
          <cell r="D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404</v>
          </cell>
          <cell r="K269">
            <v>161.37</v>
          </cell>
          <cell r="L269">
            <v>358.2</v>
          </cell>
          <cell r="M269">
            <v>18900</v>
          </cell>
          <cell r="N269">
            <v>0</v>
          </cell>
          <cell r="O269">
            <v>0</v>
          </cell>
          <cell r="P269">
            <v>0</v>
          </cell>
          <cell r="Q269">
            <v>1608</v>
          </cell>
          <cell r="R269">
            <v>0</v>
          </cell>
          <cell r="S269">
            <v>0</v>
          </cell>
          <cell r="T269">
            <v>0</v>
          </cell>
          <cell r="U269">
            <v>8750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D269">
            <v>0</v>
          </cell>
          <cell r="AE269">
            <v>514</v>
          </cell>
          <cell r="AF269">
            <v>486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1850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514</v>
          </cell>
          <cell r="BD269">
            <v>486</v>
          </cell>
          <cell r="BE269">
            <v>1608</v>
          </cell>
          <cell r="BF269">
            <v>404</v>
          </cell>
          <cell r="BG269">
            <v>161.37</v>
          </cell>
          <cell r="BH269">
            <v>358.2</v>
          </cell>
          <cell r="BI269">
            <v>29500</v>
          </cell>
          <cell r="BK269">
            <v>0.125</v>
          </cell>
          <cell r="BL269">
            <v>0.35</v>
          </cell>
          <cell r="BM269">
            <v>0</v>
          </cell>
          <cell r="BN269">
            <v>0.67</v>
          </cell>
          <cell r="BO269">
            <v>142.6</v>
          </cell>
          <cell r="BP269">
            <v>0</v>
          </cell>
          <cell r="BQ269">
            <v>0</v>
          </cell>
          <cell r="BR269">
            <v>13.8</v>
          </cell>
        </row>
        <row r="270">
          <cell r="A270">
            <v>39346</v>
          </cell>
          <cell r="B270">
            <v>0</v>
          </cell>
          <cell r="C270">
            <v>0</v>
          </cell>
          <cell r="D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1670.13</v>
          </cell>
          <cell r="K270">
            <v>190.08</v>
          </cell>
          <cell r="L270">
            <v>131.5</v>
          </cell>
          <cell r="M270">
            <v>16900</v>
          </cell>
          <cell r="N270">
            <v>0</v>
          </cell>
          <cell r="O270">
            <v>0</v>
          </cell>
          <cell r="P270">
            <v>0</v>
          </cell>
          <cell r="Q270">
            <v>1299.6679999999999</v>
          </cell>
          <cell r="R270">
            <v>0</v>
          </cell>
          <cell r="S270">
            <v>0</v>
          </cell>
          <cell r="T270">
            <v>0</v>
          </cell>
          <cell r="U270">
            <v>7300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D270">
            <v>0</v>
          </cell>
          <cell r="AE270">
            <v>525.36</v>
          </cell>
          <cell r="AF270">
            <v>263.32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2500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525.36</v>
          </cell>
          <cell r="BD270">
            <v>263.32</v>
          </cell>
          <cell r="BE270">
            <v>1428.57</v>
          </cell>
          <cell r="BF270">
            <v>1670.13</v>
          </cell>
          <cell r="BG270">
            <v>190.08</v>
          </cell>
          <cell r="BH270">
            <v>131.5</v>
          </cell>
          <cell r="BI270">
            <v>26700</v>
          </cell>
          <cell r="BL270">
            <v>0.35</v>
          </cell>
          <cell r="BM270">
            <v>0</v>
          </cell>
          <cell r="BN270">
            <v>0.73</v>
          </cell>
          <cell r="BO270">
            <v>141.87</v>
          </cell>
          <cell r="BP270">
            <v>0</v>
          </cell>
          <cell r="BQ270">
            <v>0</v>
          </cell>
          <cell r="BR270">
            <v>13.8</v>
          </cell>
        </row>
        <row r="271">
          <cell r="A271">
            <v>39347</v>
          </cell>
          <cell r="B271">
            <v>0</v>
          </cell>
          <cell r="C271">
            <v>0</v>
          </cell>
          <cell r="D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1005.84</v>
          </cell>
          <cell r="J271">
            <v>1632.51</v>
          </cell>
          <cell r="K271">
            <v>194.83</v>
          </cell>
          <cell r="M271">
            <v>14050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7300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D271">
            <v>0</v>
          </cell>
          <cell r="AE271">
            <v>522.99</v>
          </cell>
          <cell r="AF271">
            <v>489.38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1450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522.99</v>
          </cell>
          <cell r="BD271">
            <v>489.38</v>
          </cell>
          <cell r="BE271">
            <v>1005.84</v>
          </cell>
          <cell r="BF271">
            <v>1632.51</v>
          </cell>
          <cell r="BG271">
            <v>194.83</v>
          </cell>
          <cell r="BH271">
            <v>0</v>
          </cell>
          <cell r="BI271">
            <v>22800</v>
          </cell>
          <cell r="BL271">
            <v>0.35</v>
          </cell>
          <cell r="BM271">
            <v>0</v>
          </cell>
          <cell r="BN271">
            <v>0.75</v>
          </cell>
          <cell r="BO271">
            <v>141.12</v>
          </cell>
          <cell r="BP271">
            <v>0</v>
          </cell>
          <cell r="BQ271">
            <v>0</v>
          </cell>
          <cell r="BR271">
            <v>13.8</v>
          </cell>
        </row>
        <row r="272">
          <cell r="A272">
            <v>39348</v>
          </cell>
          <cell r="B272">
            <v>0</v>
          </cell>
          <cell r="C272">
            <v>0</v>
          </cell>
          <cell r="D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1386.99</v>
          </cell>
          <cell r="J272">
            <v>1665.18</v>
          </cell>
          <cell r="K272">
            <v>-0.16999999999999993</v>
          </cell>
          <cell r="M272">
            <v>11000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7300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D272">
            <v>0</v>
          </cell>
          <cell r="AE272">
            <v>527.04</v>
          </cell>
          <cell r="AF272">
            <v>491.62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400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527.04</v>
          </cell>
          <cell r="BD272">
            <v>491.62</v>
          </cell>
          <cell r="BE272">
            <v>1386.99</v>
          </cell>
          <cell r="BF272">
            <v>1665.18</v>
          </cell>
          <cell r="BG272">
            <v>-0.16999999999999993</v>
          </cell>
          <cell r="BH272">
            <v>0</v>
          </cell>
          <cell r="BI272">
            <v>18700</v>
          </cell>
          <cell r="BL272">
            <v>0.35</v>
          </cell>
          <cell r="BM272">
            <v>0</v>
          </cell>
          <cell r="BN272">
            <v>2.04</v>
          </cell>
          <cell r="BO272">
            <v>139.08000000000001</v>
          </cell>
          <cell r="BP272">
            <v>0</v>
          </cell>
          <cell r="BQ272">
            <v>0</v>
          </cell>
          <cell r="BR272">
            <v>13.8</v>
          </cell>
        </row>
        <row r="273">
          <cell r="A273">
            <v>39349</v>
          </cell>
          <cell r="B273">
            <v>0</v>
          </cell>
          <cell r="C273">
            <v>0</v>
          </cell>
          <cell r="D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1429.56</v>
          </cell>
          <cell r="J273">
            <v>1614.69</v>
          </cell>
          <cell r="K273">
            <v>0</v>
          </cell>
          <cell r="L273">
            <v>252.54</v>
          </cell>
          <cell r="M273">
            <v>7700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7300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D273">
            <v>0</v>
          </cell>
          <cell r="AE273">
            <v>301.2</v>
          </cell>
          <cell r="AF273">
            <v>346.40000000000003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299.37</v>
          </cell>
          <cell r="BD273">
            <v>345.48</v>
          </cell>
          <cell r="BE273">
            <v>1429.56</v>
          </cell>
          <cell r="BF273">
            <v>1614.69</v>
          </cell>
          <cell r="BG273">
            <v>0</v>
          </cell>
          <cell r="BH273">
            <v>252.54</v>
          </cell>
          <cell r="BI273">
            <v>15000</v>
          </cell>
          <cell r="BL273">
            <v>0.35</v>
          </cell>
          <cell r="BM273">
            <v>0</v>
          </cell>
          <cell r="BN273">
            <v>2.12</v>
          </cell>
          <cell r="BO273">
            <v>136.96</v>
          </cell>
          <cell r="BP273">
            <v>0</v>
          </cell>
          <cell r="BQ273">
            <v>0</v>
          </cell>
          <cell r="BR273">
            <v>13.8</v>
          </cell>
        </row>
        <row r="274">
          <cell r="A274">
            <v>39350</v>
          </cell>
          <cell r="B274">
            <v>0</v>
          </cell>
          <cell r="C274">
            <v>0</v>
          </cell>
          <cell r="D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1006.83</v>
          </cell>
          <cell r="J274">
            <v>1520.64</v>
          </cell>
          <cell r="K274">
            <v>0</v>
          </cell>
          <cell r="M274">
            <v>4900</v>
          </cell>
          <cell r="N274">
            <v>0</v>
          </cell>
          <cell r="O274">
            <v>240.92</v>
          </cell>
          <cell r="P274">
            <v>255.21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6800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240.92</v>
          </cell>
          <cell r="BD274">
            <v>255.21</v>
          </cell>
          <cell r="BE274">
            <v>1006.83</v>
          </cell>
          <cell r="BF274">
            <v>1520.64</v>
          </cell>
          <cell r="BG274">
            <v>0</v>
          </cell>
          <cell r="BH274">
            <v>0</v>
          </cell>
          <cell r="BI274">
            <v>11700</v>
          </cell>
          <cell r="BJ274">
            <v>4</v>
          </cell>
          <cell r="BL274">
            <v>3.96</v>
          </cell>
          <cell r="BM274">
            <v>0</v>
          </cell>
          <cell r="BN274">
            <v>1.1499999999999999</v>
          </cell>
          <cell r="BO274">
            <v>137.6</v>
          </cell>
          <cell r="BP274">
            <v>0</v>
          </cell>
          <cell r="BQ274">
            <v>0</v>
          </cell>
          <cell r="BR274">
            <v>13.8</v>
          </cell>
        </row>
        <row r="275">
          <cell r="A275">
            <v>39351</v>
          </cell>
          <cell r="B275">
            <v>0</v>
          </cell>
          <cell r="C275">
            <v>0</v>
          </cell>
          <cell r="D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653.4</v>
          </cell>
          <cell r="J275">
            <v>1294.92</v>
          </cell>
          <cell r="K275">
            <v>0</v>
          </cell>
          <cell r="L275">
            <v>262.82</v>
          </cell>
          <cell r="M275">
            <v>2100</v>
          </cell>
          <cell r="N275">
            <v>0</v>
          </cell>
          <cell r="O275">
            <v>416.42</v>
          </cell>
          <cell r="P275">
            <v>408.75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5700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416.42</v>
          </cell>
          <cell r="BD275">
            <v>408.75</v>
          </cell>
          <cell r="BE275">
            <v>653.4</v>
          </cell>
          <cell r="BF275">
            <v>1294.92</v>
          </cell>
          <cell r="BG275">
            <v>0</v>
          </cell>
          <cell r="BH275">
            <v>262.82</v>
          </cell>
          <cell r="BI275">
            <v>7800</v>
          </cell>
          <cell r="BK275">
            <v>0.1</v>
          </cell>
          <cell r="BL275">
            <v>3.86</v>
          </cell>
          <cell r="BM275">
            <v>0</v>
          </cell>
          <cell r="BN275">
            <v>1.5</v>
          </cell>
          <cell r="BO275">
            <v>136.1</v>
          </cell>
          <cell r="BP275">
            <v>0</v>
          </cell>
          <cell r="BQ275">
            <v>0</v>
          </cell>
          <cell r="BR275">
            <v>13.8</v>
          </cell>
        </row>
        <row r="276">
          <cell r="A276">
            <v>39352</v>
          </cell>
          <cell r="B276">
            <v>0</v>
          </cell>
          <cell r="C276">
            <v>0</v>
          </cell>
          <cell r="D276">
            <v>0</v>
          </cell>
          <cell r="F276">
            <v>7380</v>
          </cell>
          <cell r="G276">
            <v>0</v>
          </cell>
          <cell r="H276">
            <v>0</v>
          </cell>
          <cell r="I276">
            <v>1479.06</v>
          </cell>
          <cell r="J276">
            <v>1634.49</v>
          </cell>
          <cell r="K276">
            <v>0</v>
          </cell>
          <cell r="M276">
            <v>7400</v>
          </cell>
          <cell r="N276">
            <v>0</v>
          </cell>
          <cell r="O276">
            <v>527.29</v>
          </cell>
          <cell r="P276">
            <v>511.11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4600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7380</v>
          </cell>
          <cell r="BC276">
            <v>527.29</v>
          </cell>
          <cell r="BD276">
            <v>511.11</v>
          </cell>
          <cell r="BE276">
            <v>1479.06</v>
          </cell>
          <cell r="BF276">
            <v>1634.49</v>
          </cell>
          <cell r="BG276">
            <v>0</v>
          </cell>
          <cell r="BH276">
            <v>0</v>
          </cell>
          <cell r="BI276">
            <v>12000</v>
          </cell>
          <cell r="BJ276">
            <v>0.16</v>
          </cell>
          <cell r="BL276">
            <v>3.7</v>
          </cell>
          <cell r="BM276">
            <v>0</v>
          </cell>
          <cell r="BN276">
            <v>5.7</v>
          </cell>
          <cell r="BO276">
            <v>130.4</v>
          </cell>
          <cell r="BP276">
            <v>0</v>
          </cell>
          <cell r="BQ276">
            <v>0</v>
          </cell>
          <cell r="BR276">
            <v>13.8</v>
          </cell>
        </row>
        <row r="277">
          <cell r="A277">
            <v>39353</v>
          </cell>
          <cell r="B277">
            <v>0</v>
          </cell>
          <cell r="C277">
            <v>0</v>
          </cell>
          <cell r="D277">
            <v>0</v>
          </cell>
          <cell r="F277">
            <v>6500</v>
          </cell>
          <cell r="G277">
            <v>0</v>
          </cell>
          <cell r="H277">
            <v>0</v>
          </cell>
          <cell r="I277">
            <v>1106.82</v>
          </cell>
          <cell r="J277">
            <v>448.47</v>
          </cell>
          <cell r="K277">
            <v>0</v>
          </cell>
          <cell r="M277">
            <v>12300</v>
          </cell>
          <cell r="N277">
            <v>0</v>
          </cell>
          <cell r="O277">
            <v>526.23</v>
          </cell>
          <cell r="P277">
            <v>270.12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3800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6500</v>
          </cell>
          <cell r="BC277">
            <v>526.23</v>
          </cell>
          <cell r="BD277">
            <v>270.12</v>
          </cell>
          <cell r="BE277">
            <v>1106.82</v>
          </cell>
          <cell r="BF277">
            <v>448.47</v>
          </cell>
          <cell r="BG277">
            <v>0</v>
          </cell>
          <cell r="BH277">
            <v>0</v>
          </cell>
          <cell r="BI277">
            <v>16100</v>
          </cell>
          <cell r="BL277">
            <v>3.65</v>
          </cell>
          <cell r="BM277">
            <v>0</v>
          </cell>
          <cell r="BN277">
            <v>2.605</v>
          </cell>
          <cell r="BO277">
            <v>128.4</v>
          </cell>
          <cell r="BP277">
            <v>0</v>
          </cell>
          <cell r="BQ277">
            <v>0</v>
          </cell>
          <cell r="BR277">
            <v>13.8</v>
          </cell>
        </row>
        <row r="278">
          <cell r="A278">
            <v>39354</v>
          </cell>
          <cell r="B278">
            <v>0</v>
          </cell>
          <cell r="C278">
            <v>0</v>
          </cell>
          <cell r="D278">
            <v>0</v>
          </cell>
          <cell r="F278">
            <v>7500</v>
          </cell>
          <cell r="G278">
            <v>0</v>
          </cell>
          <cell r="H278">
            <v>0</v>
          </cell>
          <cell r="I278">
            <v>1431.54</v>
          </cell>
          <cell r="J278">
            <v>1615.68</v>
          </cell>
          <cell r="K278">
            <v>0</v>
          </cell>
          <cell r="M278">
            <v>16700</v>
          </cell>
          <cell r="N278">
            <v>0</v>
          </cell>
          <cell r="O278">
            <v>518.41</v>
          </cell>
          <cell r="P278">
            <v>508.78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2700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7500</v>
          </cell>
          <cell r="BC278">
            <v>518.41</v>
          </cell>
          <cell r="BD278">
            <v>508.78</v>
          </cell>
          <cell r="BE278">
            <v>1431.54</v>
          </cell>
          <cell r="BF278">
            <v>1615.68</v>
          </cell>
          <cell r="BG278">
            <v>0</v>
          </cell>
          <cell r="BH278">
            <v>0</v>
          </cell>
          <cell r="BI278">
            <v>19400</v>
          </cell>
          <cell r="BK278">
            <v>0.1</v>
          </cell>
          <cell r="BL278">
            <v>3.6</v>
          </cell>
          <cell r="BM278">
            <v>0</v>
          </cell>
          <cell r="BN278">
            <v>3.27</v>
          </cell>
          <cell r="BO278">
            <v>124</v>
          </cell>
          <cell r="BP278">
            <v>0</v>
          </cell>
          <cell r="BQ278">
            <v>0</v>
          </cell>
          <cell r="BR278">
            <v>13.8</v>
          </cell>
        </row>
        <row r="279">
          <cell r="A279">
            <v>39355</v>
          </cell>
          <cell r="B279">
            <v>0</v>
          </cell>
          <cell r="C279">
            <v>0</v>
          </cell>
          <cell r="D279">
            <v>0</v>
          </cell>
          <cell r="F279">
            <v>3432.38</v>
          </cell>
          <cell r="G279">
            <v>0</v>
          </cell>
          <cell r="H279">
            <v>0</v>
          </cell>
          <cell r="I279">
            <v>2000.4929999999999</v>
          </cell>
          <cell r="J279">
            <v>1706.9569999999999</v>
          </cell>
          <cell r="K279">
            <v>0</v>
          </cell>
          <cell r="M279">
            <v>17600</v>
          </cell>
          <cell r="N279">
            <v>-290.71300000000002</v>
          </cell>
          <cell r="O279">
            <v>700.23199999999997</v>
          </cell>
          <cell r="P279">
            <v>687.15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3500</v>
          </cell>
          <cell r="BC279">
            <v>524.71</v>
          </cell>
          <cell r="BD279">
            <v>520.91</v>
          </cell>
          <cell r="BE279">
            <v>1391.94</v>
          </cell>
          <cell r="BF279">
            <v>1673.1</v>
          </cell>
          <cell r="BG279">
            <v>0</v>
          </cell>
          <cell r="BH279">
            <v>0</v>
          </cell>
          <cell r="BI279">
            <v>18600</v>
          </cell>
          <cell r="BK279">
            <v>0.81499999999999995</v>
          </cell>
          <cell r="BL279">
            <v>3.52</v>
          </cell>
          <cell r="BM279">
            <v>0</v>
          </cell>
          <cell r="BN279">
            <v>4.585</v>
          </cell>
          <cell r="BO279">
            <v>121.1</v>
          </cell>
          <cell r="BP279">
            <v>0</v>
          </cell>
          <cell r="BQ279">
            <v>0</v>
          </cell>
          <cell r="BR279">
            <v>13.8</v>
          </cell>
        </row>
        <row r="280">
          <cell r="A280">
            <v>39356</v>
          </cell>
          <cell r="B280">
            <v>0</v>
          </cell>
          <cell r="C280">
            <v>0</v>
          </cell>
          <cell r="D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885.06</v>
          </cell>
          <cell r="J280">
            <v>1640.43</v>
          </cell>
          <cell r="K280">
            <v>0</v>
          </cell>
          <cell r="L280">
            <v>0</v>
          </cell>
          <cell r="M280">
            <v>15100</v>
          </cell>
          <cell r="N280">
            <v>8100</v>
          </cell>
          <cell r="O280">
            <v>502.44</v>
          </cell>
          <cell r="P280">
            <v>488.81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8100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8100</v>
          </cell>
          <cell r="BC280">
            <v>502.44</v>
          </cell>
          <cell r="BD280">
            <v>488.81</v>
          </cell>
          <cell r="BE280">
            <v>885.06</v>
          </cell>
          <cell r="BF280">
            <v>1640.43</v>
          </cell>
          <cell r="BG280">
            <v>0</v>
          </cell>
          <cell r="BH280">
            <v>0</v>
          </cell>
          <cell r="BI280">
            <v>23200</v>
          </cell>
          <cell r="BK280">
            <v>0.02</v>
          </cell>
          <cell r="BL280">
            <v>3.5</v>
          </cell>
          <cell r="BM280">
            <v>0</v>
          </cell>
          <cell r="BN280">
            <v>3.4</v>
          </cell>
          <cell r="BO280">
            <v>117.7</v>
          </cell>
          <cell r="BP280">
            <v>0</v>
          </cell>
          <cell r="BQ280">
            <v>0</v>
          </cell>
          <cell r="BR280">
            <v>13.8</v>
          </cell>
        </row>
        <row r="281">
          <cell r="A281">
            <v>39357</v>
          </cell>
          <cell r="B281">
            <v>0</v>
          </cell>
          <cell r="C281">
            <v>0</v>
          </cell>
          <cell r="D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1666.17</v>
          </cell>
          <cell r="K281">
            <v>0</v>
          </cell>
          <cell r="L281">
            <v>0</v>
          </cell>
          <cell r="M281">
            <v>13400</v>
          </cell>
          <cell r="N281">
            <v>9500</v>
          </cell>
          <cell r="O281">
            <v>286.07</v>
          </cell>
          <cell r="P281">
            <v>312.13</v>
          </cell>
          <cell r="Q281">
            <v>798.93</v>
          </cell>
          <cell r="R281">
            <v>0</v>
          </cell>
          <cell r="S281">
            <v>0</v>
          </cell>
          <cell r="T281">
            <v>0</v>
          </cell>
          <cell r="U281">
            <v>16200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9500</v>
          </cell>
          <cell r="BC281">
            <v>286.07</v>
          </cell>
          <cell r="BD281">
            <v>312.13</v>
          </cell>
          <cell r="BE281">
            <v>798.93</v>
          </cell>
          <cell r="BF281">
            <v>1666.17</v>
          </cell>
          <cell r="BG281">
            <v>0</v>
          </cell>
          <cell r="BH281">
            <v>0</v>
          </cell>
          <cell r="BI281">
            <v>29600</v>
          </cell>
          <cell r="BK281">
            <v>0.2</v>
          </cell>
          <cell r="BL281">
            <v>3.3</v>
          </cell>
          <cell r="BM281">
            <v>0</v>
          </cell>
          <cell r="BN281">
            <v>0.7</v>
          </cell>
          <cell r="BO281">
            <v>117</v>
          </cell>
          <cell r="BP281">
            <v>0</v>
          </cell>
          <cell r="BQ281">
            <v>0</v>
          </cell>
          <cell r="BR281">
            <v>13.8</v>
          </cell>
        </row>
        <row r="282">
          <cell r="A282">
            <v>39358</v>
          </cell>
          <cell r="B282">
            <v>0</v>
          </cell>
          <cell r="C282">
            <v>0</v>
          </cell>
          <cell r="D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1178.18</v>
          </cell>
          <cell r="K282">
            <v>0</v>
          </cell>
          <cell r="L282">
            <v>0</v>
          </cell>
          <cell r="M282">
            <v>12200</v>
          </cell>
          <cell r="N282">
            <v>8000</v>
          </cell>
          <cell r="O282">
            <v>286.20999999999998</v>
          </cell>
          <cell r="P282">
            <v>273.01</v>
          </cell>
          <cell r="Q282">
            <v>1534.27</v>
          </cell>
          <cell r="R282">
            <v>0</v>
          </cell>
          <cell r="S282">
            <v>0</v>
          </cell>
          <cell r="T282">
            <v>0</v>
          </cell>
          <cell r="U282">
            <v>22000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8000</v>
          </cell>
          <cell r="BC282">
            <v>286.20999999999998</v>
          </cell>
          <cell r="BD282">
            <v>273.01</v>
          </cell>
          <cell r="BE282">
            <v>1534.27</v>
          </cell>
          <cell r="BF282">
            <v>1178.18</v>
          </cell>
          <cell r="BG282">
            <v>0</v>
          </cell>
          <cell r="BH282">
            <v>0</v>
          </cell>
          <cell r="BI282">
            <v>34200</v>
          </cell>
          <cell r="BJ282">
            <v>1</v>
          </cell>
          <cell r="BK282">
            <v>0.1</v>
          </cell>
          <cell r="BL282">
            <v>4.2</v>
          </cell>
          <cell r="BM282">
            <v>0</v>
          </cell>
          <cell r="BN282">
            <v>0.7</v>
          </cell>
          <cell r="BO282">
            <v>116.5</v>
          </cell>
          <cell r="BP282">
            <v>0</v>
          </cell>
          <cell r="BQ282">
            <v>0</v>
          </cell>
          <cell r="BR282">
            <v>13.8</v>
          </cell>
        </row>
        <row r="283">
          <cell r="A283">
            <v>39359</v>
          </cell>
          <cell r="B283">
            <v>0</v>
          </cell>
          <cell r="C283">
            <v>0</v>
          </cell>
          <cell r="D283">
            <v>0</v>
          </cell>
          <cell r="F283">
            <v>5400</v>
          </cell>
          <cell r="G283">
            <v>0</v>
          </cell>
          <cell r="H283">
            <v>0</v>
          </cell>
          <cell r="I283">
            <v>0</v>
          </cell>
          <cell r="J283">
            <v>920.18</v>
          </cell>
          <cell r="K283">
            <v>0</v>
          </cell>
          <cell r="L283">
            <v>251.78</v>
          </cell>
          <cell r="M283">
            <v>16400</v>
          </cell>
          <cell r="N283">
            <v>0</v>
          </cell>
          <cell r="O283">
            <v>525.21</v>
          </cell>
          <cell r="P283">
            <v>509.41</v>
          </cell>
          <cell r="Q283">
            <v>1571.78</v>
          </cell>
          <cell r="R283">
            <v>0</v>
          </cell>
          <cell r="S283">
            <v>0</v>
          </cell>
          <cell r="T283">
            <v>0</v>
          </cell>
          <cell r="U283">
            <v>19400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5400</v>
          </cell>
          <cell r="BC283">
            <v>525.21</v>
          </cell>
          <cell r="BD283">
            <v>509.41</v>
          </cell>
          <cell r="BE283">
            <v>1571.78</v>
          </cell>
          <cell r="BF283">
            <v>920.18</v>
          </cell>
          <cell r="BG283">
            <v>0</v>
          </cell>
          <cell r="BH283">
            <v>251.78</v>
          </cell>
          <cell r="BI283">
            <v>35800</v>
          </cell>
          <cell r="BK283">
            <v>0.15</v>
          </cell>
          <cell r="BL283">
            <v>4.05</v>
          </cell>
          <cell r="BM283">
            <v>0</v>
          </cell>
          <cell r="BN283">
            <v>0.6</v>
          </cell>
          <cell r="BO283">
            <v>116</v>
          </cell>
          <cell r="BP283">
            <v>0</v>
          </cell>
          <cell r="BQ283">
            <v>0</v>
          </cell>
          <cell r="BR283">
            <v>13.8</v>
          </cell>
        </row>
        <row r="284">
          <cell r="A284">
            <v>39360</v>
          </cell>
          <cell r="B284">
            <v>0</v>
          </cell>
          <cell r="C284">
            <v>0</v>
          </cell>
          <cell r="D284">
            <v>0</v>
          </cell>
          <cell r="F284">
            <v>9000</v>
          </cell>
          <cell r="G284">
            <v>0</v>
          </cell>
          <cell r="H284">
            <v>0</v>
          </cell>
          <cell r="I284">
            <v>0</v>
          </cell>
          <cell r="J284">
            <v>1657.89</v>
          </cell>
          <cell r="K284">
            <v>0</v>
          </cell>
          <cell r="L284">
            <v>0</v>
          </cell>
          <cell r="M284">
            <v>23500</v>
          </cell>
          <cell r="N284">
            <v>0</v>
          </cell>
          <cell r="O284">
            <v>528.65</v>
          </cell>
          <cell r="P284">
            <v>505.7</v>
          </cell>
          <cell r="Q284">
            <v>1559.93</v>
          </cell>
          <cell r="R284">
            <v>0</v>
          </cell>
          <cell r="S284">
            <v>0</v>
          </cell>
          <cell r="T284">
            <v>0</v>
          </cell>
          <cell r="U284">
            <v>16750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9000</v>
          </cell>
          <cell r="BC284">
            <v>528.65</v>
          </cell>
          <cell r="BD284">
            <v>505.7</v>
          </cell>
          <cell r="BE284">
            <v>1559.93</v>
          </cell>
          <cell r="BF284">
            <v>1657.89</v>
          </cell>
          <cell r="BG284">
            <v>0</v>
          </cell>
          <cell r="BH284">
            <v>0</v>
          </cell>
          <cell r="BI284">
            <v>40250</v>
          </cell>
          <cell r="BK284">
            <v>0.15</v>
          </cell>
          <cell r="BL284">
            <v>3.9</v>
          </cell>
          <cell r="BM284">
            <v>0</v>
          </cell>
          <cell r="BN284">
            <v>0.9</v>
          </cell>
          <cell r="BO284">
            <v>115</v>
          </cell>
          <cell r="BP284">
            <v>0</v>
          </cell>
          <cell r="BQ284">
            <v>0</v>
          </cell>
          <cell r="BR284">
            <v>13.8</v>
          </cell>
        </row>
        <row r="285">
          <cell r="A285">
            <v>39361</v>
          </cell>
          <cell r="B285">
            <v>0</v>
          </cell>
          <cell r="C285">
            <v>0</v>
          </cell>
          <cell r="D285">
            <v>0</v>
          </cell>
          <cell r="F285">
            <v>10000</v>
          </cell>
          <cell r="G285">
            <v>0</v>
          </cell>
          <cell r="H285">
            <v>0</v>
          </cell>
          <cell r="I285">
            <v>0</v>
          </cell>
          <cell r="J285">
            <v>1561.75</v>
          </cell>
          <cell r="K285">
            <v>0</v>
          </cell>
          <cell r="L285">
            <v>0</v>
          </cell>
          <cell r="M285">
            <v>31900</v>
          </cell>
          <cell r="N285">
            <v>0</v>
          </cell>
          <cell r="O285">
            <v>498.3</v>
          </cell>
          <cell r="P285">
            <v>488.05</v>
          </cell>
          <cell r="Q285">
            <v>1397.03</v>
          </cell>
          <cell r="R285">
            <v>0</v>
          </cell>
          <cell r="S285">
            <v>0</v>
          </cell>
          <cell r="T285">
            <v>0</v>
          </cell>
          <cell r="U285">
            <v>14350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10000</v>
          </cell>
          <cell r="BC285">
            <v>498.3</v>
          </cell>
          <cell r="BD285">
            <v>488.05</v>
          </cell>
          <cell r="BE285">
            <v>1397.03</v>
          </cell>
          <cell r="BF285">
            <v>1561.75</v>
          </cell>
          <cell r="BG285">
            <v>0</v>
          </cell>
          <cell r="BH285">
            <v>0</v>
          </cell>
          <cell r="BI285">
            <v>46250</v>
          </cell>
          <cell r="BK285">
            <v>0.2</v>
          </cell>
          <cell r="BL285">
            <v>3.7</v>
          </cell>
          <cell r="BM285">
            <v>0</v>
          </cell>
          <cell r="BN285">
            <v>1</v>
          </cell>
          <cell r="BO285">
            <v>114</v>
          </cell>
          <cell r="BP285">
            <v>0</v>
          </cell>
          <cell r="BQ285">
            <v>0</v>
          </cell>
          <cell r="BR285">
            <v>13.8</v>
          </cell>
        </row>
        <row r="286">
          <cell r="A286">
            <v>39362</v>
          </cell>
          <cell r="B286">
            <v>0</v>
          </cell>
          <cell r="C286">
            <v>0</v>
          </cell>
          <cell r="D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1661.81</v>
          </cell>
          <cell r="K286">
            <v>0</v>
          </cell>
          <cell r="L286">
            <v>0</v>
          </cell>
          <cell r="M286">
            <v>30200</v>
          </cell>
          <cell r="N286">
            <v>2335</v>
          </cell>
          <cell r="O286">
            <v>349.35</v>
          </cell>
          <cell r="P286">
            <v>341.43</v>
          </cell>
          <cell r="Q286">
            <v>1409.87</v>
          </cell>
          <cell r="R286">
            <v>0</v>
          </cell>
          <cell r="S286">
            <v>0</v>
          </cell>
          <cell r="T286">
            <v>0</v>
          </cell>
          <cell r="U286">
            <v>14550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2335</v>
          </cell>
          <cell r="BC286">
            <v>349.35</v>
          </cell>
          <cell r="BD286">
            <v>341.43</v>
          </cell>
          <cell r="BE286">
            <v>1409.87</v>
          </cell>
          <cell r="BF286">
            <v>1661.81</v>
          </cell>
          <cell r="BG286">
            <v>0</v>
          </cell>
          <cell r="BH286">
            <v>0</v>
          </cell>
          <cell r="BI286">
            <v>44750</v>
          </cell>
          <cell r="BK286">
            <v>0.2</v>
          </cell>
          <cell r="BL286">
            <v>3.5</v>
          </cell>
          <cell r="BM286">
            <v>0</v>
          </cell>
          <cell r="BN286">
            <v>1</v>
          </cell>
          <cell r="BO286">
            <v>113</v>
          </cell>
          <cell r="BP286">
            <v>0</v>
          </cell>
          <cell r="BQ286">
            <v>0</v>
          </cell>
          <cell r="BR286">
            <v>13.8</v>
          </cell>
        </row>
        <row r="287">
          <cell r="A287">
            <v>39363</v>
          </cell>
          <cell r="B287">
            <v>0</v>
          </cell>
          <cell r="C287">
            <v>0</v>
          </cell>
          <cell r="D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1656.91</v>
          </cell>
          <cell r="K287">
            <v>0</v>
          </cell>
          <cell r="L287">
            <v>311.89999999999998</v>
          </cell>
          <cell r="M287">
            <v>28200</v>
          </cell>
          <cell r="N287">
            <v>9000</v>
          </cell>
          <cell r="O287">
            <v>305.39</v>
          </cell>
          <cell r="P287">
            <v>288.3</v>
          </cell>
          <cell r="Q287">
            <v>1004.08</v>
          </cell>
          <cell r="R287">
            <v>0</v>
          </cell>
          <cell r="S287">
            <v>0</v>
          </cell>
          <cell r="T287">
            <v>0</v>
          </cell>
          <cell r="U287">
            <v>21950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9000</v>
          </cell>
          <cell r="BC287">
            <v>305.39</v>
          </cell>
          <cell r="BD287">
            <v>288.3</v>
          </cell>
          <cell r="BE287">
            <v>1004.08</v>
          </cell>
          <cell r="BF287">
            <v>1656.91</v>
          </cell>
          <cell r="BG287">
            <v>0</v>
          </cell>
          <cell r="BH287">
            <v>311.89999999999998</v>
          </cell>
          <cell r="BI287">
            <v>50150</v>
          </cell>
          <cell r="BK287">
            <v>0.1</v>
          </cell>
          <cell r="BL287">
            <v>3.4</v>
          </cell>
          <cell r="BM287">
            <v>0</v>
          </cell>
          <cell r="BN287">
            <v>1</v>
          </cell>
          <cell r="BO287">
            <v>112</v>
          </cell>
          <cell r="BP287">
            <v>0</v>
          </cell>
          <cell r="BQ287">
            <v>0</v>
          </cell>
          <cell r="BR287">
            <v>13.8</v>
          </cell>
        </row>
        <row r="288">
          <cell r="A288">
            <v>39364</v>
          </cell>
          <cell r="B288">
            <v>0</v>
          </cell>
          <cell r="C288">
            <v>0</v>
          </cell>
          <cell r="D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1530.36</v>
          </cell>
          <cell r="K288">
            <v>49.05</v>
          </cell>
          <cell r="L288">
            <v>0</v>
          </cell>
          <cell r="M288">
            <v>26300</v>
          </cell>
          <cell r="N288">
            <v>5000</v>
          </cell>
          <cell r="O288">
            <v>522.37</v>
          </cell>
          <cell r="P288">
            <v>517.54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25900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5000</v>
          </cell>
          <cell r="BC288">
            <v>522.37</v>
          </cell>
          <cell r="BD288">
            <v>517.54</v>
          </cell>
          <cell r="BE288">
            <v>0</v>
          </cell>
          <cell r="BF288">
            <v>1530.36</v>
          </cell>
          <cell r="BG288">
            <v>49.05</v>
          </cell>
          <cell r="BH288">
            <v>0</v>
          </cell>
          <cell r="BI288">
            <v>52200</v>
          </cell>
          <cell r="BK288">
            <v>7.0000000000000007E-2</v>
          </cell>
          <cell r="BL288">
            <v>3.33</v>
          </cell>
          <cell r="BM288">
            <v>0</v>
          </cell>
          <cell r="BN288">
            <v>0.8</v>
          </cell>
          <cell r="BO288">
            <v>111.2</v>
          </cell>
          <cell r="BP288">
            <v>0</v>
          </cell>
          <cell r="BQ288">
            <v>0</v>
          </cell>
          <cell r="BR288">
            <v>13.8</v>
          </cell>
        </row>
        <row r="289">
          <cell r="A289">
            <v>39365</v>
          </cell>
          <cell r="B289">
            <v>0</v>
          </cell>
          <cell r="C289">
            <v>0</v>
          </cell>
          <cell r="D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1667.7</v>
          </cell>
          <cell r="K289">
            <v>71.61</v>
          </cell>
          <cell r="L289">
            <v>253.56</v>
          </cell>
          <cell r="M289">
            <v>24300</v>
          </cell>
          <cell r="N289">
            <v>0</v>
          </cell>
          <cell r="O289">
            <v>516.52</v>
          </cell>
          <cell r="P289">
            <v>527.83000000000004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24850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D289">
            <v>5406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5400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5406</v>
          </cell>
          <cell r="BC289">
            <v>516.52</v>
          </cell>
          <cell r="BD289">
            <v>527.83000000000004</v>
          </cell>
          <cell r="BE289">
            <v>0</v>
          </cell>
          <cell r="BF289">
            <v>1667.7</v>
          </cell>
          <cell r="BG289">
            <v>71.61</v>
          </cell>
          <cell r="BH289">
            <v>253.56</v>
          </cell>
          <cell r="BI289">
            <v>54550</v>
          </cell>
          <cell r="BK289">
            <v>0.1</v>
          </cell>
          <cell r="BL289">
            <v>3.23</v>
          </cell>
          <cell r="BM289">
            <v>0</v>
          </cell>
          <cell r="BN289">
            <v>0.28999999999999998</v>
          </cell>
          <cell r="BO289">
            <v>110</v>
          </cell>
          <cell r="BP289">
            <v>0</v>
          </cell>
          <cell r="BQ289">
            <v>0</v>
          </cell>
          <cell r="BR289">
            <v>13.8</v>
          </cell>
        </row>
        <row r="290">
          <cell r="A290">
            <v>39366</v>
          </cell>
          <cell r="B290">
            <v>0</v>
          </cell>
          <cell r="C290">
            <v>0</v>
          </cell>
          <cell r="D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1652</v>
          </cell>
          <cell r="K290">
            <v>0</v>
          </cell>
          <cell r="L290">
            <v>154.69999999999999</v>
          </cell>
          <cell r="M290">
            <v>22450</v>
          </cell>
          <cell r="N290">
            <v>0</v>
          </cell>
          <cell r="O290">
            <v>518.72</v>
          </cell>
          <cell r="P290">
            <v>525.92999999999995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23800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D290">
            <v>8500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13900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8500</v>
          </cell>
          <cell r="BC290">
            <v>518.72</v>
          </cell>
          <cell r="BD290">
            <v>525.92999999999995</v>
          </cell>
          <cell r="BE290">
            <v>0</v>
          </cell>
          <cell r="BF290">
            <v>1652</v>
          </cell>
          <cell r="BG290">
            <v>0</v>
          </cell>
          <cell r="BH290">
            <v>154.69999999999999</v>
          </cell>
          <cell r="BI290">
            <v>60150</v>
          </cell>
          <cell r="BK290">
            <v>0.1</v>
          </cell>
          <cell r="BL290">
            <v>3.13</v>
          </cell>
          <cell r="BM290">
            <v>0</v>
          </cell>
          <cell r="BN290">
            <v>0.8</v>
          </cell>
          <cell r="BO290">
            <v>109.2</v>
          </cell>
          <cell r="BP290">
            <v>0</v>
          </cell>
          <cell r="BQ290">
            <v>0</v>
          </cell>
          <cell r="BR290">
            <v>13.8</v>
          </cell>
        </row>
        <row r="291">
          <cell r="A291">
            <v>39367</v>
          </cell>
          <cell r="B291">
            <v>0</v>
          </cell>
          <cell r="C291">
            <v>0</v>
          </cell>
          <cell r="D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1342.99</v>
          </cell>
          <cell r="K291">
            <v>5.89</v>
          </cell>
          <cell r="L291">
            <v>0</v>
          </cell>
          <cell r="M291">
            <v>21100</v>
          </cell>
          <cell r="N291">
            <v>972</v>
          </cell>
          <cell r="O291">
            <v>517.78</v>
          </cell>
          <cell r="P291">
            <v>525.29999999999995</v>
          </cell>
          <cell r="Q291">
            <v>1030.74</v>
          </cell>
          <cell r="R291">
            <v>0</v>
          </cell>
          <cell r="S291">
            <v>0</v>
          </cell>
          <cell r="T291">
            <v>0</v>
          </cell>
          <cell r="U291">
            <v>22800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D291">
            <v>3500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17400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4472</v>
          </cell>
          <cell r="BC291">
            <v>517.78</v>
          </cell>
          <cell r="BD291">
            <v>525.29999999999995</v>
          </cell>
          <cell r="BE291">
            <v>1030.74</v>
          </cell>
          <cell r="BF291">
            <v>1342.99</v>
          </cell>
          <cell r="BG291">
            <v>5.89</v>
          </cell>
          <cell r="BH291">
            <v>0</v>
          </cell>
          <cell r="BI291">
            <v>61300</v>
          </cell>
          <cell r="BK291">
            <v>0.05</v>
          </cell>
          <cell r="BL291">
            <v>3.08</v>
          </cell>
          <cell r="BM291">
            <v>0</v>
          </cell>
          <cell r="BN291">
            <v>0.3</v>
          </cell>
          <cell r="BO291">
            <v>108.9</v>
          </cell>
          <cell r="BP291">
            <v>0</v>
          </cell>
          <cell r="BQ291">
            <v>0</v>
          </cell>
          <cell r="BR291">
            <v>13.8</v>
          </cell>
        </row>
        <row r="292">
          <cell r="A292">
            <v>39368</v>
          </cell>
          <cell r="B292">
            <v>0</v>
          </cell>
          <cell r="C292">
            <v>0</v>
          </cell>
          <cell r="D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41.2</v>
          </cell>
          <cell r="L292">
            <v>0</v>
          </cell>
          <cell r="M292">
            <v>21050</v>
          </cell>
          <cell r="N292">
            <v>9000</v>
          </cell>
          <cell r="O292">
            <v>460.95</v>
          </cell>
          <cell r="P292">
            <v>464.18</v>
          </cell>
          <cell r="Q292">
            <v>1561.91</v>
          </cell>
          <cell r="R292">
            <v>0</v>
          </cell>
          <cell r="S292">
            <v>0</v>
          </cell>
          <cell r="T292">
            <v>0</v>
          </cell>
          <cell r="U292">
            <v>29250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17400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9000</v>
          </cell>
          <cell r="BC292">
            <v>460.95</v>
          </cell>
          <cell r="BD292">
            <v>464.18</v>
          </cell>
          <cell r="BE292">
            <v>1561.91</v>
          </cell>
          <cell r="BF292">
            <v>0</v>
          </cell>
          <cell r="BG292">
            <v>41.2</v>
          </cell>
          <cell r="BH292">
            <v>0</v>
          </cell>
          <cell r="BI292">
            <v>67700</v>
          </cell>
          <cell r="BK292">
            <v>0.08</v>
          </cell>
          <cell r="BL292">
            <v>3</v>
          </cell>
          <cell r="BM292">
            <v>0</v>
          </cell>
          <cell r="BN292">
            <v>0.5</v>
          </cell>
          <cell r="BO292">
            <v>108.4</v>
          </cell>
          <cell r="BP292">
            <v>0</v>
          </cell>
          <cell r="BQ292">
            <v>0</v>
          </cell>
          <cell r="BR292">
            <v>13.8</v>
          </cell>
        </row>
        <row r="293">
          <cell r="A293">
            <v>39369</v>
          </cell>
          <cell r="B293">
            <v>0</v>
          </cell>
          <cell r="C293">
            <v>0</v>
          </cell>
          <cell r="D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39.14</v>
          </cell>
          <cell r="L293">
            <v>0</v>
          </cell>
          <cell r="M293">
            <v>21000</v>
          </cell>
          <cell r="N293">
            <v>6000</v>
          </cell>
          <cell r="O293">
            <v>0</v>
          </cell>
          <cell r="P293">
            <v>0</v>
          </cell>
          <cell r="Q293">
            <v>1581.66</v>
          </cell>
          <cell r="R293">
            <v>0</v>
          </cell>
          <cell r="S293">
            <v>0</v>
          </cell>
          <cell r="T293">
            <v>0</v>
          </cell>
          <cell r="U293">
            <v>33650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D293">
            <v>0</v>
          </cell>
          <cell r="AE293">
            <v>199.01</v>
          </cell>
          <cell r="AF293">
            <v>311.05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16850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6000</v>
          </cell>
          <cell r="BC293">
            <v>199.01</v>
          </cell>
          <cell r="BD293">
            <v>311.05</v>
          </cell>
          <cell r="BE293">
            <v>1581.66</v>
          </cell>
          <cell r="BF293">
            <v>0</v>
          </cell>
          <cell r="BG293">
            <v>39.14</v>
          </cell>
          <cell r="BH293">
            <v>0</v>
          </cell>
          <cell r="BI293">
            <v>71500</v>
          </cell>
          <cell r="BK293">
            <v>7.0000000000000007E-2</v>
          </cell>
          <cell r="BL293">
            <v>2.93</v>
          </cell>
          <cell r="BM293">
            <v>0</v>
          </cell>
          <cell r="BN293">
            <v>0.16</v>
          </cell>
          <cell r="BO293">
            <v>108.2</v>
          </cell>
          <cell r="BP293">
            <v>0</v>
          </cell>
          <cell r="BQ293">
            <v>1.5</v>
          </cell>
          <cell r="BR293">
            <v>12.3</v>
          </cell>
        </row>
        <row r="294">
          <cell r="A294">
            <v>39370</v>
          </cell>
          <cell r="B294">
            <v>0</v>
          </cell>
          <cell r="C294">
            <v>0</v>
          </cell>
          <cell r="D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20.309999999999999</v>
          </cell>
          <cell r="L294">
            <v>0</v>
          </cell>
          <cell r="M294">
            <v>21000</v>
          </cell>
          <cell r="N294">
            <v>0</v>
          </cell>
          <cell r="O294">
            <v>0</v>
          </cell>
          <cell r="P294">
            <v>0</v>
          </cell>
          <cell r="Q294">
            <v>1555.99</v>
          </cell>
          <cell r="R294">
            <v>0</v>
          </cell>
          <cell r="S294">
            <v>0</v>
          </cell>
          <cell r="T294">
            <v>0</v>
          </cell>
          <cell r="U294">
            <v>31950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D294">
            <v>0</v>
          </cell>
          <cell r="AE294">
            <v>529.04</v>
          </cell>
          <cell r="AF294">
            <v>529.94000000000005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15750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529.04</v>
          </cell>
          <cell r="BD294">
            <v>529.94000000000005</v>
          </cell>
          <cell r="BE294">
            <v>1555.99</v>
          </cell>
          <cell r="BF294">
            <v>0</v>
          </cell>
          <cell r="BG294">
            <v>20.309999999999999</v>
          </cell>
          <cell r="BH294">
            <v>0</v>
          </cell>
          <cell r="BI294">
            <v>68700</v>
          </cell>
          <cell r="BK294">
            <v>0.1</v>
          </cell>
          <cell r="BL294">
            <v>2.83</v>
          </cell>
          <cell r="BM294">
            <v>0</v>
          </cell>
          <cell r="BN294">
            <v>0.4</v>
          </cell>
          <cell r="BO294">
            <v>107.8</v>
          </cell>
          <cell r="BP294">
            <v>0</v>
          </cell>
          <cell r="BQ294">
            <v>1.3</v>
          </cell>
          <cell r="BR294">
            <v>10</v>
          </cell>
        </row>
        <row r="295">
          <cell r="A295">
            <v>39371</v>
          </cell>
          <cell r="B295">
            <v>0</v>
          </cell>
          <cell r="C295">
            <v>0</v>
          </cell>
          <cell r="D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39.24</v>
          </cell>
          <cell r="L295">
            <v>0</v>
          </cell>
          <cell r="M295">
            <v>20950</v>
          </cell>
          <cell r="N295">
            <v>0</v>
          </cell>
          <cell r="O295">
            <v>0</v>
          </cell>
          <cell r="P295">
            <v>0</v>
          </cell>
          <cell r="Q295">
            <v>1555.99</v>
          </cell>
          <cell r="R295">
            <v>0</v>
          </cell>
          <cell r="S295">
            <v>0</v>
          </cell>
          <cell r="T295">
            <v>0</v>
          </cell>
          <cell r="U295">
            <v>30400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D295">
            <v>0</v>
          </cell>
          <cell r="AE295">
            <v>524.53</v>
          </cell>
          <cell r="AF295">
            <v>522.41999999999996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14650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524.53</v>
          </cell>
          <cell r="BD295">
            <v>522.41999999999996</v>
          </cell>
          <cell r="BE295">
            <v>1555.99</v>
          </cell>
          <cell r="BF295">
            <v>0</v>
          </cell>
          <cell r="BG295">
            <v>39.24</v>
          </cell>
          <cell r="BH295">
            <v>0</v>
          </cell>
          <cell r="BI295">
            <v>66000</v>
          </cell>
          <cell r="BK295">
            <v>7.0000000000000007E-2</v>
          </cell>
          <cell r="BL295">
            <v>2.76</v>
          </cell>
          <cell r="BM295">
            <v>0</v>
          </cell>
          <cell r="BN295">
            <v>0.7</v>
          </cell>
          <cell r="BO295">
            <v>107.1</v>
          </cell>
          <cell r="BP295">
            <v>0</v>
          </cell>
          <cell r="BQ295">
            <v>1.5</v>
          </cell>
          <cell r="BR295">
            <v>8.5</v>
          </cell>
        </row>
        <row r="296">
          <cell r="A296">
            <v>39372</v>
          </cell>
          <cell r="B296">
            <v>0</v>
          </cell>
          <cell r="C296">
            <v>0</v>
          </cell>
          <cell r="D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43.16</v>
          </cell>
          <cell r="L296">
            <v>0</v>
          </cell>
          <cell r="M296">
            <v>20900</v>
          </cell>
          <cell r="N296">
            <v>0</v>
          </cell>
          <cell r="O296">
            <v>0</v>
          </cell>
          <cell r="P296">
            <v>0</v>
          </cell>
          <cell r="Q296">
            <v>1617.2</v>
          </cell>
          <cell r="R296">
            <v>0</v>
          </cell>
          <cell r="S296">
            <v>0</v>
          </cell>
          <cell r="T296">
            <v>0</v>
          </cell>
          <cell r="U296">
            <v>28750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D296">
            <v>0</v>
          </cell>
          <cell r="AE296">
            <v>519.12</v>
          </cell>
          <cell r="AF296">
            <v>535.44000000000005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13550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519.12</v>
          </cell>
          <cell r="BD296">
            <v>535.44000000000005</v>
          </cell>
          <cell r="BE296">
            <v>1617.2</v>
          </cell>
          <cell r="BF296">
            <v>0</v>
          </cell>
          <cell r="BG296">
            <v>43.16</v>
          </cell>
          <cell r="BH296">
            <v>0</v>
          </cell>
          <cell r="BI296">
            <v>63200</v>
          </cell>
          <cell r="BK296">
            <v>7.0000000000000007E-2</v>
          </cell>
          <cell r="BL296">
            <v>2.69</v>
          </cell>
          <cell r="BM296">
            <v>32.520000000000003</v>
          </cell>
          <cell r="BN296">
            <v>1</v>
          </cell>
          <cell r="BO296">
            <v>138.1</v>
          </cell>
          <cell r="BP296">
            <v>0</v>
          </cell>
          <cell r="BQ296">
            <v>1.9</v>
          </cell>
          <cell r="BR296">
            <v>6.6</v>
          </cell>
        </row>
        <row r="297">
          <cell r="A297">
            <v>39373</v>
          </cell>
          <cell r="B297">
            <v>0</v>
          </cell>
          <cell r="C297">
            <v>0</v>
          </cell>
          <cell r="D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24.04</v>
          </cell>
          <cell r="L297">
            <v>0</v>
          </cell>
          <cell r="M297">
            <v>20850</v>
          </cell>
          <cell r="N297">
            <v>0</v>
          </cell>
          <cell r="O297">
            <v>0</v>
          </cell>
          <cell r="P297">
            <v>0</v>
          </cell>
          <cell r="Q297">
            <v>1140.33</v>
          </cell>
          <cell r="R297">
            <v>0</v>
          </cell>
          <cell r="S297">
            <v>0</v>
          </cell>
          <cell r="T297">
            <v>0</v>
          </cell>
          <cell r="U297">
            <v>27600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D297">
            <v>0</v>
          </cell>
          <cell r="AE297">
            <v>520.41</v>
          </cell>
          <cell r="AF297">
            <v>502.79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12500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520.41</v>
          </cell>
          <cell r="BD297">
            <v>502.79</v>
          </cell>
          <cell r="BE297">
            <v>1140.33</v>
          </cell>
          <cell r="BF297">
            <v>0</v>
          </cell>
          <cell r="BG297">
            <v>24.04</v>
          </cell>
          <cell r="BH297">
            <v>0</v>
          </cell>
          <cell r="BI297">
            <v>60950</v>
          </cell>
          <cell r="BK297">
            <v>0.05</v>
          </cell>
          <cell r="BL297">
            <v>2.64</v>
          </cell>
          <cell r="BM297">
            <v>0</v>
          </cell>
          <cell r="BN297">
            <v>0.7</v>
          </cell>
          <cell r="BO297">
            <v>137.4</v>
          </cell>
          <cell r="BP297">
            <v>0</v>
          </cell>
          <cell r="BQ297">
            <v>4</v>
          </cell>
          <cell r="BR297">
            <v>1</v>
          </cell>
        </row>
        <row r="298">
          <cell r="A298">
            <v>39374</v>
          </cell>
          <cell r="B298">
            <v>0</v>
          </cell>
          <cell r="C298">
            <v>0</v>
          </cell>
          <cell r="D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66.709999999999994</v>
          </cell>
          <cell r="L298">
            <v>0</v>
          </cell>
          <cell r="M298">
            <v>20800</v>
          </cell>
          <cell r="N298">
            <v>0</v>
          </cell>
          <cell r="O298">
            <v>0</v>
          </cell>
          <cell r="P298">
            <v>0</v>
          </cell>
          <cell r="Q298">
            <v>855.99</v>
          </cell>
          <cell r="R298">
            <v>0</v>
          </cell>
          <cell r="S298">
            <v>0</v>
          </cell>
          <cell r="T298">
            <v>0</v>
          </cell>
          <cell r="U298">
            <v>26750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D298">
            <v>0</v>
          </cell>
          <cell r="AE298">
            <v>316.5</v>
          </cell>
          <cell r="AF298">
            <v>526.36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11600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316.5</v>
          </cell>
          <cell r="BD298">
            <v>526.36</v>
          </cell>
          <cell r="BE298">
            <v>855.99</v>
          </cell>
          <cell r="BF298">
            <v>0</v>
          </cell>
          <cell r="BG298">
            <v>66.709999999999994</v>
          </cell>
          <cell r="BH298">
            <v>0</v>
          </cell>
          <cell r="BI298">
            <v>59150</v>
          </cell>
          <cell r="BK298">
            <v>0.24</v>
          </cell>
          <cell r="BL298">
            <v>2.4</v>
          </cell>
          <cell r="BM298">
            <v>0</v>
          </cell>
          <cell r="BN298">
            <v>0.32</v>
          </cell>
          <cell r="BO298">
            <v>136.5</v>
          </cell>
          <cell r="BP298">
            <v>0</v>
          </cell>
          <cell r="BQ298">
            <v>2.1360000000000001</v>
          </cell>
          <cell r="BR298">
            <v>1</v>
          </cell>
        </row>
        <row r="299">
          <cell r="A299">
            <v>39375</v>
          </cell>
          <cell r="B299">
            <v>0</v>
          </cell>
          <cell r="C299">
            <v>0</v>
          </cell>
          <cell r="D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35.32</v>
          </cell>
          <cell r="L299">
            <v>0</v>
          </cell>
          <cell r="M299">
            <v>20750</v>
          </cell>
          <cell r="N299">
            <v>0</v>
          </cell>
          <cell r="O299">
            <v>0</v>
          </cell>
          <cell r="P299">
            <v>0</v>
          </cell>
          <cell r="Q299">
            <v>1627.07</v>
          </cell>
          <cell r="R299">
            <v>0</v>
          </cell>
          <cell r="S299">
            <v>0</v>
          </cell>
          <cell r="T299">
            <v>0</v>
          </cell>
          <cell r="U299">
            <v>25100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D299">
            <v>0</v>
          </cell>
          <cell r="AE299">
            <v>346.76</v>
          </cell>
          <cell r="AF299">
            <v>523.41999999999996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10700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346.76</v>
          </cell>
          <cell r="BD299">
            <v>523.41999999999996</v>
          </cell>
          <cell r="BE299">
            <v>1627.07</v>
          </cell>
          <cell r="BF299">
            <v>0</v>
          </cell>
          <cell r="BG299">
            <v>35.32</v>
          </cell>
          <cell r="BH299">
            <v>0</v>
          </cell>
          <cell r="BI299">
            <v>56550</v>
          </cell>
          <cell r="BK299">
            <v>7.0000000000000007E-2</v>
          </cell>
          <cell r="BL299">
            <v>2.33</v>
          </cell>
          <cell r="BM299">
            <v>0</v>
          </cell>
          <cell r="BN299">
            <v>0.8</v>
          </cell>
          <cell r="BO299">
            <v>135.69999999999999</v>
          </cell>
          <cell r="BP299">
            <v>0</v>
          </cell>
          <cell r="BQ299">
            <v>0</v>
          </cell>
          <cell r="BR299">
            <v>0</v>
          </cell>
        </row>
        <row r="300">
          <cell r="A300">
            <v>39376</v>
          </cell>
          <cell r="B300">
            <v>0</v>
          </cell>
          <cell r="C300">
            <v>0</v>
          </cell>
          <cell r="D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19.420000000000002</v>
          </cell>
          <cell r="L300">
            <v>0</v>
          </cell>
          <cell r="M300">
            <v>20750</v>
          </cell>
          <cell r="N300">
            <v>0</v>
          </cell>
          <cell r="O300">
            <v>0</v>
          </cell>
          <cell r="P300">
            <v>0</v>
          </cell>
          <cell r="Q300">
            <v>1616.21</v>
          </cell>
          <cell r="R300">
            <v>0</v>
          </cell>
          <cell r="S300">
            <v>0</v>
          </cell>
          <cell r="T300">
            <v>0</v>
          </cell>
          <cell r="U300">
            <v>23500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D300">
            <v>0</v>
          </cell>
          <cell r="AE300">
            <v>509.6</v>
          </cell>
          <cell r="AF300">
            <v>528.72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9600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509.6</v>
          </cell>
          <cell r="BD300">
            <v>528.72</v>
          </cell>
          <cell r="BE300">
            <v>1616.21</v>
          </cell>
          <cell r="BF300">
            <v>0</v>
          </cell>
          <cell r="BG300">
            <v>19.420000000000002</v>
          </cell>
          <cell r="BH300">
            <v>0</v>
          </cell>
          <cell r="BI300">
            <v>53850</v>
          </cell>
          <cell r="BK300">
            <v>0.13</v>
          </cell>
          <cell r="BL300">
            <v>2.2000000000000002</v>
          </cell>
          <cell r="BM300">
            <v>0</v>
          </cell>
          <cell r="BN300">
            <v>0.9</v>
          </cell>
          <cell r="BO300">
            <v>134.80000000000001</v>
          </cell>
        </row>
        <row r="301">
          <cell r="A301">
            <v>39377</v>
          </cell>
          <cell r="B301">
            <v>0</v>
          </cell>
          <cell r="C301">
            <v>0</v>
          </cell>
          <cell r="D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59.65</v>
          </cell>
          <cell r="L301">
            <v>159.07</v>
          </cell>
          <cell r="M301">
            <v>20550</v>
          </cell>
          <cell r="N301">
            <v>0</v>
          </cell>
          <cell r="O301">
            <v>0</v>
          </cell>
          <cell r="P301">
            <v>0</v>
          </cell>
          <cell r="Q301">
            <v>1636.94</v>
          </cell>
          <cell r="R301">
            <v>0</v>
          </cell>
          <cell r="S301">
            <v>0</v>
          </cell>
          <cell r="T301">
            <v>0</v>
          </cell>
          <cell r="U301">
            <v>21800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D301">
            <v>0</v>
          </cell>
          <cell r="AE301">
            <v>508.34</v>
          </cell>
          <cell r="AF301">
            <v>528.71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8550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508.34</v>
          </cell>
          <cell r="BD301">
            <v>528.71</v>
          </cell>
          <cell r="BE301">
            <v>1636.94</v>
          </cell>
          <cell r="BF301">
            <v>0</v>
          </cell>
          <cell r="BG301">
            <v>59.65</v>
          </cell>
          <cell r="BH301">
            <v>159.07</v>
          </cell>
          <cell r="BI301">
            <v>50900</v>
          </cell>
          <cell r="BK301">
            <v>0</v>
          </cell>
          <cell r="BL301">
            <v>2.2000000000000002</v>
          </cell>
          <cell r="BM301">
            <v>0</v>
          </cell>
          <cell r="BN301">
            <v>1.1000000000000001</v>
          </cell>
          <cell r="BO301">
            <v>133.69999999999999</v>
          </cell>
        </row>
        <row r="302">
          <cell r="A302">
            <v>39378</v>
          </cell>
          <cell r="B302">
            <v>0</v>
          </cell>
          <cell r="C302">
            <v>0</v>
          </cell>
          <cell r="D302">
            <v>0</v>
          </cell>
          <cell r="F302">
            <v>4200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26.49</v>
          </cell>
          <cell r="L302">
            <v>263.16000000000003</v>
          </cell>
          <cell r="M302">
            <v>24400</v>
          </cell>
          <cell r="N302">
            <v>0</v>
          </cell>
          <cell r="O302">
            <v>0</v>
          </cell>
          <cell r="P302">
            <v>0</v>
          </cell>
          <cell r="Q302">
            <v>1636.94</v>
          </cell>
          <cell r="R302">
            <v>0</v>
          </cell>
          <cell r="S302">
            <v>0</v>
          </cell>
          <cell r="T302">
            <v>0</v>
          </cell>
          <cell r="U302">
            <v>20200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D302">
            <v>0</v>
          </cell>
          <cell r="AE302">
            <v>347.1</v>
          </cell>
          <cell r="AF302">
            <v>382.04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7800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4200</v>
          </cell>
          <cell r="BC302">
            <v>347.1</v>
          </cell>
          <cell r="BD302">
            <v>382.04</v>
          </cell>
          <cell r="BE302">
            <v>1636.94</v>
          </cell>
          <cell r="BF302">
            <v>0</v>
          </cell>
          <cell r="BG302">
            <v>26.49</v>
          </cell>
          <cell r="BH302">
            <v>263.16000000000003</v>
          </cell>
          <cell r="BI302">
            <v>52400</v>
          </cell>
          <cell r="BK302">
            <v>0.05</v>
          </cell>
          <cell r="BL302">
            <v>2.15</v>
          </cell>
          <cell r="BM302">
            <v>0</v>
          </cell>
          <cell r="BN302">
            <v>0.8</v>
          </cell>
          <cell r="BO302">
            <v>132.9</v>
          </cell>
        </row>
        <row r="303">
          <cell r="A303">
            <v>39379</v>
          </cell>
          <cell r="B303">
            <v>0</v>
          </cell>
          <cell r="C303">
            <v>0</v>
          </cell>
          <cell r="D303">
            <v>0</v>
          </cell>
          <cell r="F303">
            <v>7500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11.77</v>
          </cell>
          <cell r="L303">
            <v>235.06</v>
          </cell>
          <cell r="M303">
            <v>31700</v>
          </cell>
          <cell r="N303">
            <v>0</v>
          </cell>
          <cell r="O303">
            <v>0</v>
          </cell>
          <cell r="P303">
            <v>0</v>
          </cell>
          <cell r="Q303">
            <v>1153.17</v>
          </cell>
          <cell r="R303">
            <v>0</v>
          </cell>
          <cell r="S303">
            <v>0</v>
          </cell>
          <cell r="T303">
            <v>0</v>
          </cell>
          <cell r="U303">
            <v>19000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D303">
            <v>0</v>
          </cell>
          <cell r="AE303">
            <v>298.58999999999997</v>
          </cell>
          <cell r="AF303">
            <v>286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7200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7500</v>
          </cell>
          <cell r="BC303">
            <v>298.58999999999997</v>
          </cell>
          <cell r="BD303">
            <v>286</v>
          </cell>
          <cell r="BE303">
            <v>1153.17</v>
          </cell>
          <cell r="BF303">
            <v>0</v>
          </cell>
          <cell r="BG303">
            <v>11.77</v>
          </cell>
          <cell r="BH303">
            <v>235.06</v>
          </cell>
          <cell r="BI303">
            <v>57900</v>
          </cell>
          <cell r="BK303">
            <v>0.05</v>
          </cell>
          <cell r="BL303">
            <v>2.1</v>
          </cell>
          <cell r="BM303">
            <v>32</v>
          </cell>
          <cell r="BN303">
            <v>0.7</v>
          </cell>
          <cell r="BO303">
            <v>162.1</v>
          </cell>
        </row>
        <row r="304">
          <cell r="A304">
            <v>39380</v>
          </cell>
          <cell r="B304">
            <v>0</v>
          </cell>
          <cell r="C304">
            <v>0</v>
          </cell>
          <cell r="D304">
            <v>0</v>
          </cell>
          <cell r="F304">
            <v>4500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264.16000000000003</v>
          </cell>
          <cell r="M304">
            <v>35900</v>
          </cell>
          <cell r="N304">
            <v>0</v>
          </cell>
          <cell r="O304">
            <v>0</v>
          </cell>
          <cell r="P304">
            <v>0</v>
          </cell>
          <cell r="Q304">
            <v>488.71</v>
          </cell>
          <cell r="R304">
            <v>0</v>
          </cell>
          <cell r="S304">
            <v>0</v>
          </cell>
          <cell r="T304">
            <v>0</v>
          </cell>
          <cell r="U304">
            <v>18550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D304">
            <v>0</v>
          </cell>
          <cell r="AE304">
            <v>472.56</v>
          </cell>
          <cell r="AF304">
            <v>526.79999999999995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6150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4500</v>
          </cell>
          <cell r="BC304">
            <v>472.56</v>
          </cell>
          <cell r="BD304">
            <v>526.79999999999995</v>
          </cell>
          <cell r="BE304">
            <v>488.71</v>
          </cell>
          <cell r="BF304">
            <v>0</v>
          </cell>
          <cell r="BG304">
            <v>0</v>
          </cell>
          <cell r="BH304">
            <v>264.16000000000003</v>
          </cell>
          <cell r="BI304">
            <v>60600</v>
          </cell>
          <cell r="BK304">
            <v>2.5000000000000001E-2</v>
          </cell>
          <cell r="BL304">
            <v>2.0750000000000002</v>
          </cell>
          <cell r="BM304">
            <v>0</v>
          </cell>
          <cell r="BN304">
            <v>0.17</v>
          </cell>
          <cell r="BO304">
            <v>161.4</v>
          </cell>
        </row>
        <row r="305">
          <cell r="A305">
            <v>39381</v>
          </cell>
          <cell r="B305">
            <v>0</v>
          </cell>
          <cell r="C305">
            <v>0</v>
          </cell>
          <cell r="D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64.75</v>
          </cell>
          <cell r="L305">
            <v>157.96</v>
          </cell>
          <cell r="M305">
            <v>35700</v>
          </cell>
          <cell r="N305">
            <v>0</v>
          </cell>
          <cell r="O305">
            <v>0</v>
          </cell>
          <cell r="P305">
            <v>0</v>
          </cell>
          <cell r="Q305">
            <v>1665.58</v>
          </cell>
          <cell r="R305">
            <v>0</v>
          </cell>
          <cell r="S305">
            <v>0</v>
          </cell>
          <cell r="T305">
            <v>0</v>
          </cell>
          <cell r="U305">
            <v>16850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D305">
            <v>0</v>
          </cell>
          <cell r="AE305">
            <v>505.47</v>
          </cell>
          <cell r="AF305">
            <v>534.26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5100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505.47</v>
          </cell>
          <cell r="BD305">
            <v>534.26</v>
          </cell>
          <cell r="BE305">
            <v>1665.58</v>
          </cell>
          <cell r="BF305">
            <v>0</v>
          </cell>
          <cell r="BG305">
            <v>64.75</v>
          </cell>
          <cell r="BH305">
            <v>157.96</v>
          </cell>
          <cell r="BI305">
            <v>57650</v>
          </cell>
          <cell r="BK305">
            <v>0.75</v>
          </cell>
          <cell r="BL305">
            <v>2</v>
          </cell>
          <cell r="BM305">
            <v>0</v>
          </cell>
          <cell r="BN305">
            <v>1.3</v>
          </cell>
          <cell r="BO305">
            <v>160.1</v>
          </cell>
        </row>
        <row r="306">
          <cell r="A306">
            <v>39382</v>
          </cell>
          <cell r="B306">
            <v>0</v>
          </cell>
          <cell r="C306">
            <v>0</v>
          </cell>
          <cell r="D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31.59</v>
          </cell>
          <cell r="L306">
            <v>0</v>
          </cell>
          <cell r="M306">
            <v>35700</v>
          </cell>
          <cell r="N306">
            <v>0</v>
          </cell>
          <cell r="O306">
            <v>0</v>
          </cell>
          <cell r="P306">
            <v>0</v>
          </cell>
          <cell r="Q306">
            <v>1781.09</v>
          </cell>
          <cell r="R306">
            <v>0</v>
          </cell>
          <cell r="S306">
            <v>0</v>
          </cell>
          <cell r="T306">
            <v>0</v>
          </cell>
          <cell r="U306">
            <v>15050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D306">
            <v>0</v>
          </cell>
          <cell r="AE306">
            <v>509.99</v>
          </cell>
          <cell r="AF306">
            <v>551.41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4000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509.99</v>
          </cell>
          <cell r="BD306">
            <v>551.41</v>
          </cell>
          <cell r="BE306">
            <v>1781.09</v>
          </cell>
          <cell r="BF306">
            <v>0</v>
          </cell>
          <cell r="BG306">
            <v>31.59</v>
          </cell>
          <cell r="BH306">
            <v>0</v>
          </cell>
          <cell r="BI306">
            <v>54750</v>
          </cell>
          <cell r="BK306">
            <v>7.4999999999999997E-2</v>
          </cell>
          <cell r="BL306">
            <v>1.925</v>
          </cell>
          <cell r="BM306">
            <v>0</v>
          </cell>
          <cell r="BN306">
            <v>1</v>
          </cell>
          <cell r="BO306">
            <v>159.1</v>
          </cell>
        </row>
        <row r="307">
          <cell r="A307">
            <v>39383</v>
          </cell>
          <cell r="B307">
            <v>0</v>
          </cell>
          <cell r="C307">
            <v>0</v>
          </cell>
          <cell r="D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86.33</v>
          </cell>
          <cell r="L307">
            <v>0</v>
          </cell>
          <cell r="M307">
            <v>35650</v>
          </cell>
          <cell r="N307">
            <v>0</v>
          </cell>
          <cell r="O307">
            <v>0</v>
          </cell>
          <cell r="P307">
            <v>0</v>
          </cell>
          <cell r="Q307">
            <v>1612.26</v>
          </cell>
          <cell r="R307">
            <v>0</v>
          </cell>
          <cell r="S307">
            <v>0</v>
          </cell>
          <cell r="T307">
            <v>0</v>
          </cell>
          <cell r="U307">
            <v>13400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D307">
            <v>0</v>
          </cell>
          <cell r="AE307">
            <v>486.88</v>
          </cell>
          <cell r="AF307">
            <v>530.67999999999995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2950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486.88</v>
          </cell>
          <cell r="BD307">
            <v>530.67999999999995</v>
          </cell>
          <cell r="BE307">
            <v>1612.26</v>
          </cell>
          <cell r="BF307">
            <v>0</v>
          </cell>
          <cell r="BG307">
            <v>86.33</v>
          </cell>
          <cell r="BH307">
            <v>0</v>
          </cell>
          <cell r="BI307">
            <v>52000</v>
          </cell>
          <cell r="BK307">
            <v>0.05</v>
          </cell>
          <cell r="BL307">
            <v>1.875</v>
          </cell>
          <cell r="BM307">
            <v>0</v>
          </cell>
          <cell r="BN307">
            <v>1</v>
          </cell>
          <cell r="BO307">
            <v>158.1</v>
          </cell>
        </row>
        <row r="308">
          <cell r="A308">
            <v>39384</v>
          </cell>
          <cell r="B308">
            <v>0</v>
          </cell>
          <cell r="C308">
            <v>0</v>
          </cell>
          <cell r="D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53.96</v>
          </cell>
          <cell r="L308">
            <v>202.8</v>
          </cell>
          <cell r="M308">
            <v>35400</v>
          </cell>
          <cell r="N308">
            <v>0</v>
          </cell>
          <cell r="O308">
            <v>0</v>
          </cell>
          <cell r="P308">
            <v>0</v>
          </cell>
          <cell r="Q308">
            <v>1657.68</v>
          </cell>
          <cell r="R308">
            <v>0</v>
          </cell>
          <cell r="S308">
            <v>0</v>
          </cell>
          <cell r="T308">
            <v>0</v>
          </cell>
          <cell r="U308">
            <v>11750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D308">
            <v>0</v>
          </cell>
          <cell r="AE308">
            <v>485.98</v>
          </cell>
          <cell r="AF308">
            <v>523.24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1200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485.98</v>
          </cell>
          <cell r="BD308">
            <v>523.24</v>
          </cell>
          <cell r="BE308">
            <v>1657.68</v>
          </cell>
          <cell r="BF308">
            <v>0</v>
          </cell>
          <cell r="BG308">
            <v>53.96</v>
          </cell>
          <cell r="BH308">
            <v>202.8</v>
          </cell>
          <cell r="BI308">
            <v>48350</v>
          </cell>
          <cell r="BK308">
            <v>7.4999999999999997E-2</v>
          </cell>
          <cell r="BL308">
            <v>1.8</v>
          </cell>
          <cell r="BM308">
            <v>0</v>
          </cell>
          <cell r="BN308">
            <v>1</v>
          </cell>
          <cell r="BO308">
            <v>157</v>
          </cell>
        </row>
        <row r="309">
          <cell r="A309">
            <v>39385</v>
          </cell>
          <cell r="B309">
            <v>0</v>
          </cell>
          <cell r="C309">
            <v>0</v>
          </cell>
          <cell r="D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19.62</v>
          </cell>
          <cell r="L309">
            <v>0</v>
          </cell>
          <cell r="M309">
            <v>35400</v>
          </cell>
          <cell r="N309">
            <v>0</v>
          </cell>
          <cell r="O309">
            <v>0</v>
          </cell>
          <cell r="P309">
            <v>0</v>
          </cell>
          <cell r="Q309">
            <v>1697.17</v>
          </cell>
          <cell r="R309">
            <v>0</v>
          </cell>
          <cell r="S309">
            <v>0</v>
          </cell>
          <cell r="T309">
            <v>0</v>
          </cell>
          <cell r="U309">
            <v>10000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D309">
            <v>0</v>
          </cell>
          <cell r="AE309">
            <v>477.35</v>
          </cell>
          <cell r="AF309">
            <v>498.24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200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477.35</v>
          </cell>
          <cell r="BD309">
            <v>498.24</v>
          </cell>
          <cell r="BE309">
            <v>1697.17</v>
          </cell>
          <cell r="BF309">
            <v>0</v>
          </cell>
          <cell r="BG309">
            <v>19.62</v>
          </cell>
          <cell r="BH309">
            <v>0</v>
          </cell>
          <cell r="BI309">
            <v>45600</v>
          </cell>
          <cell r="BK309">
            <v>0.05</v>
          </cell>
          <cell r="BL309">
            <v>1.7749999999999999</v>
          </cell>
          <cell r="BM309">
            <v>0</v>
          </cell>
          <cell r="BN309">
            <v>1.1000000000000001</v>
          </cell>
          <cell r="BO309">
            <v>156</v>
          </cell>
        </row>
        <row r="310">
          <cell r="A310">
            <v>39386</v>
          </cell>
          <cell r="B310">
            <v>0</v>
          </cell>
          <cell r="C310">
            <v>0</v>
          </cell>
          <cell r="D310">
            <v>0</v>
          </cell>
          <cell r="F310">
            <v>-1261</v>
          </cell>
          <cell r="G310">
            <v>0</v>
          </cell>
          <cell r="H310">
            <v>0</v>
          </cell>
          <cell r="I310">
            <v>0</v>
          </cell>
          <cell r="J310">
            <v>0.03</v>
          </cell>
          <cell r="K310">
            <v>81.42</v>
          </cell>
          <cell r="L310">
            <v>0.05</v>
          </cell>
          <cell r="M310">
            <v>35350</v>
          </cell>
          <cell r="N310">
            <v>-941</v>
          </cell>
          <cell r="O310">
            <v>93.740000000000009</v>
          </cell>
          <cell r="P310">
            <v>41.34</v>
          </cell>
          <cell r="Q310">
            <v>1595.48</v>
          </cell>
          <cell r="R310">
            <v>0</v>
          </cell>
          <cell r="S310">
            <v>0</v>
          </cell>
          <cell r="T310">
            <v>0</v>
          </cell>
          <cell r="U310">
            <v>9000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D310">
            <v>-533</v>
          </cell>
          <cell r="AE310">
            <v>74.36</v>
          </cell>
          <cell r="AF310">
            <v>98.58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656</v>
          </cell>
          <cell r="BC310">
            <v>125.4</v>
          </cell>
          <cell r="BD310">
            <v>98.58</v>
          </cell>
          <cell r="BE310">
            <v>1595.48</v>
          </cell>
          <cell r="BF310">
            <v>0</v>
          </cell>
          <cell r="BG310">
            <v>81.42</v>
          </cell>
          <cell r="BH310">
            <v>0.05</v>
          </cell>
          <cell r="BI310">
            <v>44350</v>
          </cell>
          <cell r="BJ310">
            <v>3</v>
          </cell>
          <cell r="BK310">
            <v>0.25</v>
          </cell>
          <cell r="BL310">
            <v>4.75</v>
          </cell>
          <cell r="BM310">
            <v>1.66</v>
          </cell>
          <cell r="BN310">
            <v>0.61499999999999999</v>
          </cell>
          <cell r="BO310">
            <v>155.1</v>
          </cell>
        </row>
        <row r="311">
          <cell r="A311">
            <v>39387</v>
          </cell>
          <cell r="B311">
            <v>0</v>
          </cell>
          <cell r="C311">
            <v>0</v>
          </cell>
          <cell r="D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53.96</v>
          </cell>
          <cell r="K311">
            <v>23.54</v>
          </cell>
          <cell r="L311">
            <v>0</v>
          </cell>
          <cell r="M311">
            <v>35300</v>
          </cell>
          <cell r="N311">
            <v>7500</v>
          </cell>
          <cell r="O311">
            <v>485.3</v>
          </cell>
          <cell r="P311">
            <v>309.32</v>
          </cell>
          <cell r="Q311">
            <v>1648.79</v>
          </cell>
          <cell r="R311">
            <v>0</v>
          </cell>
          <cell r="S311">
            <v>0</v>
          </cell>
          <cell r="T311">
            <v>0</v>
          </cell>
          <cell r="U311">
            <v>14000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7500</v>
          </cell>
          <cell r="BC311">
            <v>485.3</v>
          </cell>
          <cell r="BD311">
            <v>309.32</v>
          </cell>
          <cell r="BE311">
            <v>1648.79</v>
          </cell>
          <cell r="BF311">
            <v>53.96</v>
          </cell>
          <cell r="BG311">
            <v>23.54</v>
          </cell>
          <cell r="BH311">
            <v>0</v>
          </cell>
          <cell r="BI311">
            <v>49300</v>
          </cell>
          <cell r="BK311">
            <v>0.1</v>
          </cell>
          <cell r="BL311">
            <v>4.6500000000000004</v>
          </cell>
          <cell r="BM311">
            <v>0</v>
          </cell>
          <cell r="BN311">
            <v>0.9</v>
          </cell>
          <cell r="BO311">
            <v>154.19999999999999</v>
          </cell>
        </row>
        <row r="312">
          <cell r="A312">
            <v>39388</v>
          </cell>
          <cell r="B312">
            <v>0</v>
          </cell>
          <cell r="C312">
            <v>0</v>
          </cell>
          <cell r="D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1036.92</v>
          </cell>
          <cell r="K312">
            <v>59.84</v>
          </cell>
          <cell r="L312">
            <v>0</v>
          </cell>
          <cell r="M312">
            <v>34150</v>
          </cell>
          <cell r="N312">
            <v>7000</v>
          </cell>
          <cell r="O312">
            <v>501.16</v>
          </cell>
          <cell r="P312">
            <v>512.79999999999995</v>
          </cell>
          <cell r="Q312">
            <v>1655.7</v>
          </cell>
          <cell r="R312">
            <v>0</v>
          </cell>
          <cell r="S312">
            <v>0</v>
          </cell>
          <cell r="T312">
            <v>0</v>
          </cell>
          <cell r="U312">
            <v>18250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7000</v>
          </cell>
          <cell r="BC312">
            <v>501.16</v>
          </cell>
          <cell r="BD312">
            <v>512.79999999999995</v>
          </cell>
          <cell r="BE312">
            <v>1655.7</v>
          </cell>
          <cell r="BF312">
            <v>1036.92</v>
          </cell>
          <cell r="BG312">
            <v>59.84</v>
          </cell>
          <cell r="BH312">
            <v>0</v>
          </cell>
          <cell r="BI312">
            <v>52400</v>
          </cell>
          <cell r="BK312">
            <v>0.125</v>
          </cell>
          <cell r="BL312">
            <v>4.7</v>
          </cell>
          <cell r="BM312">
            <v>0</v>
          </cell>
          <cell r="BN312">
            <v>1</v>
          </cell>
          <cell r="BO312">
            <v>132</v>
          </cell>
        </row>
        <row r="313">
          <cell r="A313">
            <v>39389</v>
          </cell>
          <cell r="B313">
            <v>0</v>
          </cell>
          <cell r="C313">
            <v>0</v>
          </cell>
          <cell r="D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1658.87</v>
          </cell>
          <cell r="K313">
            <v>49.74</v>
          </cell>
          <cell r="L313">
            <v>0</v>
          </cell>
          <cell r="M313">
            <v>32400</v>
          </cell>
          <cell r="N313">
            <v>1000</v>
          </cell>
          <cell r="O313">
            <v>503.94</v>
          </cell>
          <cell r="P313">
            <v>525.84</v>
          </cell>
          <cell r="Q313">
            <v>1605.35</v>
          </cell>
          <cell r="R313">
            <v>0</v>
          </cell>
          <cell r="S313">
            <v>0</v>
          </cell>
          <cell r="T313">
            <v>0</v>
          </cell>
          <cell r="U313">
            <v>16613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1000</v>
          </cell>
          <cell r="BC313">
            <v>503.94</v>
          </cell>
          <cell r="BD313">
            <v>525.84</v>
          </cell>
          <cell r="BE313">
            <v>1605.35</v>
          </cell>
          <cell r="BF313">
            <v>1658.87</v>
          </cell>
          <cell r="BG313">
            <v>49.74</v>
          </cell>
          <cell r="BH313">
            <v>0</v>
          </cell>
          <cell r="BI313">
            <v>49013</v>
          </cell>
          <cell r="BK313">
            <v>0.15</v>
          </cell>
          <cell r="BL313">
            <v>4.55</v>
          </cell>
          <cell r="BM313">
            <v>0</v>
          </cell>
          <cell r="BN313">
            <v>1</v>
          </cell>
          <cell r="BO313">
            <v>131</v>
          </cell>
        </row>
        <row r="314">
          <cell r="A314">
            <v>39390</v>
          </cell>
          <cell r="B314">
            <v>0</v>
          </cell>
          <cell r="C314">
            <v>0</v>
          </cell>
          <cell r="D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1635.33</v>
          </cell>
          <cell r="K314">
            <v>4.42</v>
          </cell>
          <cell r="L314">
            <v>0</v>
          </cell>
          <cell r="M314">
            <v>30750</v>
          </cell>
          <cell r="N314">
            <v>0</v>
          </cell>
          <cell r="O314">
            <v>491.32</v>
          </cell>
          <cell r="P314">
            <v>503.71</v>
          </cell>
          <cell r="Q314">
            <v>958.67</v>
          </cell>
          <cell r="R314">
            <v>0</v>
          </cell>
          <cell r="S314">
            <v>0</v>
          </cell>
          <cell r="T314">
            <v>0</v>
          </cell>
          <cell r="U314">
            <v>14600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491.32</v>
          </cell>
          <cell r="BD314">
            <v>503.71</v>
          </cell>
          <cell r="BE314">
            <v>958.67</v>
          </cell>
          <cell r="BF314">
            <v>1635.33</v>
          </cell>
          <cell r="BG314">
            <v>4.42</v>
          </cell>
          <cell r="BH314">
            <v>0</v>
          </cell>
          <cell r="BI314">
            <v>45350</v>
          </cell>
          <cell r="BK314">
            <v>0.125</v>
          </cell>
          <cell r="BL314">
            <v>4.4249999999999998</v>
          </cell>
          <cell r="BM314">
            <v>0</v>
          </cell>
          <cell r="BN314">
            <v>0.8</v>
          </cell>
          <cell r="BO314">
            <v>132</v>
          </cell>
        </row>
        <row r="315">
          <cell r="A315">
            <v>39391</v>
          </cell>
          <cell r="B315">
            <v>0</v>
          </cell>
          <cell r="C315">
            <v>0</v>
          </cell>
          <cell r="D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1632.38</v>
          </cell>
          <cell r="K315">
            <v>0</v>
          </cell>
          <cell r="L315">
            <v>0</v>
          </cell>
          <cell r="M315">
            <v>29050</v>
          </cell>
          <cell r="N315">
            <v>0</v>
          </cell>
          <cell r="O315">
            <v>512.47</v>
          </cell>
          <cell r="P315">
            <v>450.49</v>
          </cell>
          <cell r="Q315">
            <v>420.59</v>
          </cell>
          <cell r="R315">
            <v>0</v>
          </cell>
          <cell r="S315">
            <v>0</v>
          </cell>
          <cell r="T315">
            <v>0</v>
          </cell>
          <cell r="U315">
            <v>13250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512.47</v>
          </cell>
          <cell r="BD315">
            <v>450.49</v>
          </cell>
          <cell r="BE315">
            <v>420.59</v>
          </cell>
          <cell r="BF315">
            <v>1632.38</v>
          </cell>
          <cell r="BG315">
            <v>0</v>
          </cell>
          <cell r="BH315">
            <v>0</v>
          </cell>
          <cell r="BI315">
            <v>42300</v>
          </cell>
          <cell r="BK315">
            <v>0.2</v>
          </cell>
          <cell r="BL315">
            <v>4.25</v>
          </cell>
          <cell r="BM315">
            <v>0</v>
          </cell>
          <cell r="BN315">
            <v>0.7</v>
          </cell>
          <cell r="BO315">
            <v>129.69999999999999</v>
          </cell>
        </row>
        <row r="316">
          <cell r="A316">
            <v>39392</v>
          </cell>
          <cell r="B316">
            <v>0</v>
          </cell>
          <cell r="C316">
            <v>0</v>
          </cell>
          <cell r="D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1526.44</v>
          </cell>
          <cell r="K316">
            <v>0</v>
          </cell>
          <cell r="L316">
            <v>0</v>
          </cell>
          <cell r="M316">
            <v>27500</v>
          </cell>
          <cell r="N316">
            <v>0</v>
          </cell>
          <cell r="O316">
            <v>0</v>
          </cell>
          <cell r="P316">
            <v>0</v>
          </cell>
          <cell r="Q316">
            <v>1638.92</v>
          </cell>
          <cell r="R316">
            <v>0</v>
          </cell>
          <cell r="S316">
            <v>0</v>
          </cell>
          <cell r="T316">
            <v>0</v>
          </cell>
          <cell r="U316">
            <v>11600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1638.92</v>
          </cell>
          <cell r="BF316">
            <v>1526.44</v>
          </cell>
          <cell r="BG316">
            <v>0</v>
          </cell>
          <cell r="BH316">
            <v>0</v>
          </cell>
          <cell r="BI316">
            <v>39100</v>
          </cell>
          <cell r="BJ316">
            <v>1</v>
          </cell>
          <cell r="BK316">
            <v>0.15</v>
          </cell>
          <cell r="BL316">
            <v>5.0999999999999996</v>
          </cell>
          <cell r="BM316">
            <v>0</v>
          </cell>
          <cell r="BN316">
            <v>0</v>
          </cell>
          <cell r="BO316">
            <v>125</v>
          </cell>
        </row>
        <row r="317">
          <cell r="A317">
            <v>39393</v>
          </cell>
          <cell r="B317">
            <v>0</v>
          </cell>
          <cell r="C317">
            <v>0</v>
          </cell>
          <cell r="D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1637.29</v>
          </cell>
          <cell r="K317">
            <v>0</v>
          </cell>
          <cell r="L317">
            <v>0</v>
          </cell>
          <cell r="M317">
            <v>25850</v>
          </cell>
          <cell r="N317">
            <v>6005</v>
          </cell>
          <cell r="O317">
            <v>0</v>
          </cell>
          <cell r="P317">
            <v>0</v>
          </cell>
          <cell r="Q317">
            <v>1619.17</v>
          </cell>
          <cell r="R317">
            <v>0</v>
          </cell>
          <cell r="S317">
            <v>0</v>
          </cell>
          <cell r="T317">
            <v>0</v>
          </cell>
          <cell r="U317">
            <v>15900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6005</v>
          </cell>
          <cell r="BC317">
            <v>0</v>
          </cell>
          <cell r="BD317">
            <v>0</v>
          </cell>
          <cell r="BE317">
            <v>1619.17</v>
          </cell>
          <cell r="BF317">
            <v>1637.29</v>
          </cell>
          <cell r="BG317">
            <v>0</v>
          </cell>
          <cell r="BH317">
            <v>0</v>
          </cell>
          <cell r="BI317">
            <v>41750</v>
          </cell>
          <cell r="BK317">
            <v>0.17499999999999999</v>
          </cell>
          <cell r="BL317">
            <v>4.9249999999999998</v>
          </cell>
          <cell r="BM317">
            <v>0</v>
          </cell>
          <cell r="BN317">
            <v>0</v>
          </cell>
          <cell r="BO317">
            <v>125</v>
          </cell>
          <cell r="BP317">
            <v>0</v>
          </cell>
          <cell r="BQ317">
            <v>0</v>
          </cell>
          <cell r="BR317">
            <v>0</v>
          </cell>
        </row>
        <row r="318">
          <cell r="A318">
            <v>39394</v>
          </cell>
          <cell r="B318">
            <v>0</v>
          </cell>
          <cell r="C318">
            <v>0</v>
          </cell>
          <cell r="D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1144.83</v>
          </cell>
          <cell r="K318">
            <v>13.24</v>
          </cell>
          <cell r="L318">
            <v>213.6</v>
          </cell>
          <cell r="M318">
            <v>24500</v>
          </cell>
          <cell r="N318">
            <v>7500</v>
          </cell>
          <cell r="O318">
            <v>0</v>
          </cell>
          <cell r="P318">
            <v>0</v>
          </cell>
          <cell r="Q318">
            <v>1608.31</v>
          </cell>
          <cell r="R318">
            <v>0</v>
          </cell>
          <cell r="S318">
            <v>0</v>
          </cell>
          <cell r="T318">
            <v>0</v>
          </cell>
          <cell r="U318">
            <v>21750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7500</v>
          </cell>
          <cell r="BC318">
            <v>0</v>
          </cell>
          <cell r="BD318">
            <v>0</v>
          </cell>
          <cell r="BE318">
            <v>1608.31</v>
          </cell>
          <cell r="BF318">
            <v>1144.83</v>
          </cell>
          <cell r="BG318">
            <v>13.24</v>
          </cell>
          <cell r="BH318">
            <v>213.6</v>
          </cell>
          <cell r="BI318">
            <v>46250</v>
          </cell>
          <cell r="BK318">
            <v>0.15</v>
          </cell>
          <cell r="BL318">
            <v>4.7750000000000004</v>
          </cell>
          <cell r="BM318">
            <v>0</v>
          </cell>
          <cell r="BN318">
            <v>0</v>
          </cell>
          <cell r="BO318">
            <v>125</v>
          </cell>
          <cell r="BP318">
            <v>0</v>
          </cell>
          <cell r="BQ318">
            <v>0</v>
          </cell>
          <cell r="BR318">
            <v>0</v>
          </cell>
        </row>
        <row r="319">
          <cell r="A319">
            <v>39395</v>
          </cell>
          <cell r="B319">
            <v>0</v>
          </cell>
          <cell r="C319">
            <v>0</v>
          </cell>
          <cell r="D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315.88</v>
          </cell>
          <cell r="M319">
            <v>24200</v>
          </cell>
          <cell r="N319">
            <v>2500</v>
          </cell>
          <cell r="O319">
            <v>0</v>
          </cell>
          <cell r="P319">
            <v>0</v>
          </cell>
          <cell r="Q319">
            <v>1568.82</v>
          </cell>
          <cell r="R319">
            <v>0</v>
          </cell>
          <cell r="S319">
            <v>0</v>
          </cell>
          <cell r="T319">
            <v>0</v>
          </cell>
          <cell r="U319">
            <v>22650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2500</v>
          </cell>
          <cell r="BC319">
            <v>0</v>
          </cell>
          <cell r="BD319">
            <v>0</v>
          </cell>
          <cell r="BE319">
            <v>1568.82</v>
          </cell>
          <cell r="BF319">
            <v>0</v>
          </cell>
          <cell r="BG319">
            <v>0</v>
          </cell>
          <cell r="BH319">
            <v>315.88</v>
          </cell>
          <cell r="BI319">
            <v>46850</v>
          </cell>
          <cell r="BK319">
            <v>0.1</v>
          </cell>
          <cell r="BL319">
            <v>4.6749999999999998</v>
          </cell>
          <cell r="BM319">
            <v>0</v>
          </cell>
          <cell r="BN319">
            <v>0</v>
          </cell>
          <cell r="BO319">
            <v>125</v>
          </cell>
          <cell r="BP319">
            <v>26</v>
          </cell>
          <cell r="BQ319">
            <v>0</v>
          </cell>
          <cell r="BR319">
            <v>26</v>
          </cell>
        </row>
        <row r="320">
          <cell r="A320">
            <v>39396</v>
          </cell>
          <cell r="B320">
            <v>0</v>
          </cell>
          <cell r="C320">
            <v>0</v>
          </cell>
          <cell r="D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1405.77</v>
          </cell>
          <cell r="K320">
            <v>0</v>
          </cell>
          <cell r="L320">
            <v>207.6</v>
          </cell>
          <cell r="M320">
            <v>22500</v>
          </cell>
          <cell r="N320">
            <v>0</v>
          </cell>
          <cell r="O320">
            <v>0</v>
          </cell>
          <cell r="P320">
            <v>0</v>
          </cell>
          <cell r="Q320">
            <v>1514.52</v>
          </cell>
          <cell r="R320">
            <v>0</v>
          </cell>
          <cell r="S320">
            <v>0</v>
          </cell>
          <cell r="T320">
            <v>0</v>
          </cell>
          <cell r="U320">
            <v>21100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D320">
            <v>7410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7400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7410</v>
          </cell>
          <cell r="BC320">
            <v>0</v>
          </cell>
          <cell r="BD320">
            <v>0</v>
          </cell>
          <cell r="BE320">
            <v>1514.52</v>
          </cell>
          <cell r="BF320">
            <v>1405.77</v>
          </cell>
          <cell r="BG320">
            <v>0</v>
          </cell>
          <cell r="BH320">
            <v>207.6</v>
          </cell>
          <cell r="BI320">
            <v>51000</v>
          </cell>
          <cell r="BK320">
            <v>0.2</v>
          </cell>
          <cell r="BL320">
            <v>4.4749999999999996</v>
          </cell>
          <cell r="BM320">
            <v>0</v>
          </cell>
          <cell r="BN320">
            <v>0</v>
          </cell>
          <cell r="BO320">
            <v>125</v>
          </cell>
          <cell r="BP320">
            <v>0</v>
          </cell>
          <cell r="BQ320">
            <v>0</v>
          </cell>
          <cell r="BR320">
            <v>26</v>
          </cell>
        </row>
        <row r="321">
          <cell r="A321">
            <v>39397</v>
          </cell>
          <cell r="B321">
            <v>0</v>
          </cell>
          <cell r="C321">
            <v>0</v>
          </cell>
          <cell r="D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22500</v>
          </cell>
          <cell r="N321">
            <v>0</v>
          </cell>
          <cell r="O321">
            <v>0</v>
          </cell>
          <cell r="P321">
            <v>0</v>
          </cell>
          <cell r="Q321">
            <v>1430.6</v>
          </cell>
          <cell r="R321">
            <v>1652.74</v>
          </cell>
          <cell r="S321">
            <v>0</v>
          </cell>
          <cell r="T321">
            <v>0</v>
          </cell>
          <cell r="U321">
            <v>17950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D321">
            <v>5815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13200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5815</v>
          </cell>
          <cell r="BC321">
            <v>0</v>
          </cell>
          <cell r="BD321">
            <v>0</v>
          </cell>
          <cell r="BE321">
            <v>1430.6</v>
          </cell>
          <cell r="BF321">
            <v>1652.74</v>
          </cell>
          <cell r="BG321">
            <v>0</v>
          </cell>
          <cell r="BH321">
            <v>0</v>
          </cell>
          <cell r="BI321">
            <v>53650</v>
          </cell>
          <cell r="BK321">
            <v>0.125</v>
          </cell>
          <cell r="BL321">
            <v>4.3499999999999996</v>
          </cell>
          <cell r="BM321">
            <v>0</v>
          </cell>
          <cell r="BN321">
            <v>0</v>
          </cell>
          <cell r="BO321">
            <v>125</v>
          </cell>
          <cell r="BP321">
            <v>0</v>
          </cell>
          <cell r="BQ321">
            <v>0</v>
          </cell>
          <cell r="BR321">
            <v>26</v>
          </cell>
        </row>
        <row r="322">
          <cell r="A322">
            <v>39398</v>
          </cell>
          <cell r="B322">
            <v>0</v>
          </cell>
          <cell r="C322">
            <v>0</v>
          </cell>
          <cell r="D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22500</v>
          </cell>
          <cell r="N322">
            <v>0</v>
          </cell>
          <cell r="O322">
            <v>0</v>
          </cell>
          <cell r="P322">
            <v>0</v>
          </cell>
          <cell r="Q322">
            <v>664.45</v>
          </cell>
          <cell r="R322">
            <v>1736.66</v>
          </cell>
          <cell r="S322">
            <v>0</v>
          </cell>
          <cell r="T322">
            <v>0</v>
          </cell>
          <cell r="U322">
            <v>15500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D322">
            <v>8500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21700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8500</v>
          </cell>
          <cell r="BC322">
            <v>0</v>
          </cell>
          <cell r="BD322">
            <v>0</v>
          </cell>
          <cell r="BE322">
            <v>664.45</v>
          </cell>
          <cell r="BF322">
            <v>1736.66</v>
          </cell>
          <cell r="BG322">
            <v>0</v>
          </cell>
          <cell r="BH322">
            <v>0</v>
          </cell>
          <cell r="BI322">
            <v>59700</v>
          </cell>
          <cell r="BK322">
            <v>0.125</v>
          </cell>
          <cell r="BL322">
            <v>4.2249999999999996</v>
          </cell>
          <cell r="BM322">
            <v>0</v>
          </cell>
          <cell r="BN322">
            <v>0</v>
          </cell>
          <cell r="BO322">
            <v>125</v>
          </cell>
          <cell r="BP322">
            <v>0</v>
          </cell>
          <cell r="BQ322">
            <v>0</v>
          </cell>
          <cell r="BR322">
            <v>26</v>
          </cell>
        </row>
        <row r="323">
          <cell r="A323">
            <v>39399</v>
          </cell>
          <cell r="B323">
            <v>0</v>
          </cell>
          <cell r="C323">
            <v>0</v>
          </cell>
          <cell r="D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22500</v>
          </cell>
          <cell r="N323">
            <v>0</v>
          </cell>
          <cell r="O323">
            <v>0</v>
          </cell>
          <cell r="P323">
            <v>0</v>
          </cell>
          <cell r="Q323">
            <v>442.31</v>
          </cell>
          <cell r="R323">
            <v>1735.67</v>
          </cell>
          <cell r="S323">
            <v>0</v>
          </cell>
          <cell r="T323">
            <v>0</v>
          </cell>
          <cell r="U323">
            <v>14600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D323">
            <v>4000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25725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4000</v>
          </cell>
          <cell r="BC323">
            <v>0</v>
          </cell>
          <cell r="BD323">
            <v>0</v>
          </cell>
          <cell r="BE323">
            <v>442.31</v>
          </cell>
          <cell r="BF323">
            <v>1735.67</v>
          </cell>
          <cell r="BG323">
            <v>0</v>
          </cell>
          <cell r="BH323">
            <v>0</v>
          </cell>
          <cell r="BI323">
            <v>62825</v>
          </cell>
          <cell r="BK323">
            <v>0.125</v>
          </cell>
          <cell r="BL323">
            <v>4.0999999999999996</v>
          </cell>
          <cell r="BM323">
            <v>0</v>
          </cell>
          <cell r="BN323">
            <v>0</v>
          </cell>
          <cell r="BO323">
            <v>125</v>
          </cell>
          <cell r="BP323">
            <v>0</v>
          </cell>
          <cell r="BQ323">
            <v>0</v>
          </cell>
          <cell r="BR323">
            <v>26</v>
          </cell>
        </row>
        <row r="324">
          <cell r="A324">
            <v>39400</v>
          </cell>
          <cell r="B324">
            <v>0</v>
          </cell>
          <cell r="C324">
            <v>0</v>
          </cell>
          <cell r="D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264.2</v>
          </cell>
          <cell r="M324">
            <v>22250</v>
          </cell>
          <cell r="N324">
            <v>0</v>
          </cell>
          <cell r="O324">
            <v>0</v>
          </cell>
          <cell r="P324">
            <v>0</v>
          </cell>
          <cell r="Q324">
            <v>1461.2</v>
          </cell>
          <cell r="R324">
            <v>1261.77</v>
          </cell>
          <cell r="S324">
            <v>0</v>
          </cell>
          <cell r="T324">
            <v>0</v>
          </cell>
          <cell r="U324">
            <v>11800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25725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1461.2</v>
          </cell>
          <cell r="BF324">
            <v>1261.77</v>
          </cell>
          <cell r="BG324">
            <v>0</v>
          </cell>
          <cell r="BH324">
            <v>264.2</v>
          </cell>
          <cell r="BI324">
            <v>59775</v>
          </cell>
          <cell r="BK324">
            <v>0.125</v>
          </cell>
          <cell r="BL324">
            <v>3.9750000000000001</v>
          </cell>
          <cell r="BM324">
            <v>0</v>
          </cell>
          <cell r="BN324">
            <v>0</v>
          </cell>
          <cell r="BO324">
            <v>125</v>
          </cell>
          <cell r="BP324">
            <v>0</v>
          </cell>
          <cell r="BQ324">
            <v>0</v>
          </cell>
          <cell r="BR324">
            <v>26</v>
          </cell>
        </row>
        <row r="325">
          <cell r="A325">
            <v>39401</v>
          </cell>
          <cell r="B325">
            <v>0</v>
          </cell>
          <cell r="C325">
            <v>0</v>
          </cell>
          <cell r="D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791.67</v>
          </cell>
          <cell r="K325">
            <v>10.4</v>
          </cell>
          <cell r="L325">
            <v>266</v>
          </cell>
          <cell r="M325">
            <v>21150</v>
          </cell>
          <cell r="N325">
            <v>0</v>
          </cell>
          <cell r="O325">
            <v>0</v>
          </cell>
          <cell r="P325">
            <v>0</v>
          </cell>
          <cell r="Q325">
            <v>961.63</v>
          </cell>
          <cell r="R325">
            <v>0</v>
          </cell>
          <cell r="S325">
            <v>0</v>
          </cell>
          <cell r="T325">
            <v>0</v>
          </cell>
          <cell r="U325">
            <v>10800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25725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961.63</v>
          </cell>
          <cell r="BF325">
            <v>791.67</v>
          </cell>
          <cell r="BG325">
            <v>10.4</v>
          </cell>
          <cell r="BH325">
            <v>266</v>
          </cell>
          <cell r="BI325">
            <v>57675</v>
          </cell>
          <cell r="BK325">
            <v>0.125</v>
          </cell>
          <cell r="BL325">
            <v>3.85</v>
          </cell>
          <cell r="BM325">
            <v>0</v>
          </cell>
          <cell r="BN325">
            <v>0.06</v>
          </cell>
          <cell r="BO325">
            <v>125</v>
          </cell>
          <cell r="BP325">
            <v>0</v>
          </cell>
          <cell r="BQ325">
            <v>0</v>
          </cell>
          <cell r="BR325">
            <v>26</v>
          </cell>
        </row>
        <row r="326">
          <cell r="A326">
            <v>39402</v>
          </cell>
          <cell r="B326">
            <v>0</v>
          </cell>
          <cell r="C326">
            <v>0</v>
          </cell>
          <cell r="D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1529.38</v>
          </cell>
          <cell r="K326">
            <v>0</v>
          </cell>
          <cell r="L326">
            <v>315</v>
          </cell>
          <cell r="M326">
            <v>19250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10800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25725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1529.38</v>
          </cell>
          <cell r="BG326">
            <v>0</v>
          </cell>
          <cell r="BH326">
            <v>315</v>
          </cell>
          <cell r="BI326">
            <v>55775</v>
          </cell>
          <cell r="BK326">
            <v>7.4999999999999997E-2</v>
          </cell>
          <cell r="BL326">
            <v>3.8</v>
          </cell>
          <cell r="BM326">
            <v>0</v>
          </cell>
          <cell r="BN326">
            <v>0</v>
          </cell>
          <cell r="BO326">
            <v>125</v>
          </cell>
          <cell r="BP326">
            <v>0</v>
          </cell>
          <cell r="BQ326">
            <v>0</v>
          </cell>
          <cell r="BR326">
            <v>26</v>
          </cell>
        </row>
        <row r="327">
          <cell r="A327">
            <v>39403</v>
          </cell>
          <cell r="B327">
            <v>0</v>
          </cell>
          <cell r="C327">
            <v>0</v>
          </cell>
          <cell r="D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1528.4</v>
          </cell>
          <cell r="K327">
            <v>64.75</v>
          </cell>
          <cell r="L327">
            <v>53.7</v>
          </cell>
          <cell r="M327">
            <v>17540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10800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25725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1528.4</v>
          </cell>
          <cell r="BG327">
            <v>64.75</v>
          </cell>
          <cell r="BH327">
            <v>53.7</v>
          </cell>
          <cell r="BI327">
            <v>54065</v>
          </cell>
          <cell r="BK327">
            <v>7.4999999999999997E-2</v>
          </cell>
          <cell r="BL327">
            <v>3.7</v>
          </cell>
          <cell r="BM327">
            <v>0</v>
          </cell>
          <cell r="BN327">
            <v>0.09</v>
          </cell>
          <cell r="BO327">
            <v>125</v>
          </cell>
          <cell r="BP327">
            <v>0</v>
          </cell>
          <cell r="BQ327">
            <v>0</v>
          </cell>
          <cell r="BR327">
            <v>26</v>
          </cell>
        </row>
        <row r="328">
          <cell r="A328">
            <v>39404</v>
          </cell>
          <cell r="B328">
            <v>0</v>
          </cell>
          <cell r="C328">
            <v>0</v>
          </cell>
          <cell r="D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1553.9</v>
          </cell>
          <cell r="K328">
            <v>38.26</v>
          </cell>
          <cell r="L328">
            <v>0</v>
          </cell>
          <cell r="M328">
            <v>15850</v>
          </cell>
          <cell r="N328">
            <v>5281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16100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25725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5281</v>
          </cell>
          <cell r="BC328">
            <v>0</v>
          </cell>
          <cell r="BD328">
            <v>0</v>
          </cell>
          <cell r="BE328">
            <v>0</v>
          </cell>
          <cell r="BF328">
            <v>1553.9</v>
          </cell>
          <cell r="BG328">
            <v>38.26</v>
          </cell>
          <cell r="BH328">
            <v>0</v>
          </cell>
          <cell r="BI328">
            <v>57675</v>
          </cell>
          <cell r="BK328">
            <v>7.4999999999999997E-2</v>
          </cell>
          <cell r="BL328">
            <v>3.625</v>
          </cell>
          <cell r="BM328">
            <v>0</v>
          </cell>
          <cell r="BN328">
            <v>0.09</v>
          </cell>
          <cell r="BO328">
            <v>125</v>
          </cell>
          <cell r="BP328">
            <v>0</v>
          </cell>
          <cell r="BQ328">
            <v>0</v>
          </cell>
          <cell r="BR328">
            <v>26</v>
          </cell>
        </row>
        <row r="329">
          <cell r="A329">
            <v>39405</v>
          </cell>
          <cell r="B329">
            <v>0</v>
          </cell>
          <cell r="C329">
            <v>0</v>
          </cell>
          <cell r="D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1593.14</v>
          </cell>
          <cell r="K329">
            <v>58.17</v>
          </cell>
          <cell r="L329">
            <v>269.39999999999998</v>
          </cell>
          <cell r="M329">
            <v>13800</v>
          </cell>
          <cell r="N329">
            <v>8000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24050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25725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8000</v>
          </cell>
          <cell r="BC329">
            <v>0</v>
          </cell>
          <cell r="BD329">
            <v>0</v>
          </cell>
          <cell r="BE329">
            <v>0</v>
          </cell>
          <cell r="BF329">
            <v>1593.14</v>
          </cell>
          <cell r="BG329">
            <v>58.17</v>
          </cell>
          <cell r="BH329">
            <v>269.39999999999998</v>
          </cell>
          <cell r="BI329">
            <v>63575</v>
          </cell>
          <cell r="BK329">
            <v>0.125</v>
          </cell>
          <cell r="BL329">
            <v>3.5</v>
          </cell>
          <cell r="BM329">
            <v>0</v>
          </cell>
          <cell r="BN329">
            <v>0.19</v>
          </cell>
          <cell r="BO329">
            <v>124.5</v>
          </cell>
          <cell r="BP329">
            <v>0</v>
          </cell>
          <cell r="BQ329">
            <v>0</v>
          </cell>
          <cell r="BR329">
            <v>26</v>
          </cell>
        </row>
        <row r="330">
          <cell r="A330">
            <v>39406</v>
          </cell>
          <cell r="B330">
            <v>0</v>
          </cell>
          <cell r="C330">
            <v>0</v>
          </cell>
          <cell r="D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1490.14</v>
          </cell>
          <cell r="K330">
            <v>43.16</v>
          </cell>
          <cell r="L330">
            <v>49.3</v>
          </cell>
          <cell r="M330">
            <v>12300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24050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25725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1490.14</v>
          </cell>
          <cell r="BG330">
            <v>43.16</v>
          </cell>
          <cell r="BH330">
            <v>49.3</v>
          </cell>
          <cell r="BI330">
            <v>62075</v>
          </cell>
          <cell r="BK330">
            <v>7.4999999999999997E-2</v>
          </cell>
          <cell r="BL330">
            <v>3.4249999999999998</v>
          </cell>
          <cell r="BM330">
            <v>0</v>
          </cell>
          <cell r="BN330">
            <v>0.13</v>
          </cell>
          <cell r="BO330">
            <v>124.4</v>
          </cell>
          <cell r="BP330">
            <v>0</v>
          </cell>
          <cell r="BQ330">
            <v>0</v>
          </cell>
          <cell r="BR330">
            <v>26</v>
          </cell>
        </row>
        <row r="331">
          <cell r="A331">
            <v>39407</v>
          </cell>
          <cell r="B331">
            <v>0</v>
          </cell>
          <cell r="C331">
            <v>0</v>
          </cell>
          <cell r="D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1137.96</v>
          </cell>
          <cell r="K331">
            <v>27.96</v>
          </cell>
          <cell r="L331">
            <v>228.58</v>
          </cell>
          <cell r="M331">
            <v>10900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24050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25725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1137.96</v>
          </cell>
          <cell r="BG331">
            <v>27.96</v>
          </cell>
          <cell r="BH331">
            <v>228.58</v>
          </cell>
          <cell r="BI331">
            <v>60675</v>
          </cell>
          <cell r="BK331">
            <v>0.05</v>
          </cell>
          <cell r="BL331">
            <v>3.375</v>
          </cell>
          <cell r="BM331">
            <v>0</v>
          </cell>
          <cell r="BN331">
            <v>7.0000000000000007E-2</v>
          </cell>
          <cell r="BO331">
            <v>124.3</v>
          </cell>
          <cell r="BP331">
            <v>0</v>
          </cell>
          <cell r="BQ331">
            <v>0</v>
          </cell>
          <cell r="BR331">
            <v>26</v>
          </cell>
        </row>
        <row r="332">
          <cell r="A332">
            <v>39408</v>
          </cell>
          <cell r="B332">
            <v>0</v>
          </cell>
          <cell r="C332">
            <v>0</v>
          </cell>
          <cell r="D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840.72</v>
          </cell>
          <cell r="K332">
            <v>0</v>
          </cell>
          <cell r="L332">
            <v>248.8</v>
          </cell>
          <cell r="M332">
            <v>9800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24050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25725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840.72</v>
          </cell>
          <cell r="BG332">
            <v>0</v>
          </cell>
          <cell r="BH332">
            <v>248.8</v>
          </cell>
          <cell r="BI332">
            <v>59575</v>
          </cell>
          <cell r="BK332">
            <v>0.05</v>
          </cell>
          <cell r="BL332">
            <v>3.37</v>
          </cell>
          <cell r="BM332">
            <v>0</v>
          </cell>
          <cell r="BN332">
            <v>0</v>
          </cell>
          <cell r="BO332">
            <v>124.3</v>
          </cell>
          <cell r="BP332">
            <v>0</v>
          </cell>
          <cell r="BQ332">
            <v>0</v>
          </cell>
          <cell r="BR332">
            <v>26</v>
          </cell>
        </row>
        <row r="333">
          <cell r="A333">
            <v>39409</v>
          </cell>
          <cell r="B333">
            <v>0</v>
          </cell>
          <cell r="C333">
            <v>0</v>
          </cell>
          <cell r="D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1088.9100000000001</v>
          </cell>
          <cell r="J333">
            <v>1468.56</v>
          </cell>
          <cell r="K333">
            <v>57</v>
          </cell>
          <cell r="L333">
            <v>261.16000000000003</v>
          </cell>
          <cell r="M333">
            <v>6850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24050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25725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1088.9100000000001</v>
          </cell>
          <cell r="BF333">
            <v>1468.56</v>
          </cell>
          <cell r="BG333">
            <v>57</v>
          </cell>
          <cell r="BH333">
            <v>261.16000000000003</v>
          </cell>
          <cell r="BI333">
            <v>56625</v>
          </cell>
          <cell r="BK333">
            <v>7.4999999999999997E-2</v>
          </cell>
          <cell r="BL333">
            <v>2.2949999999999999</v>
          </cell>
          <cell r="BM333">
            <v>0</v>
          </cell>
          <cell r="BN333">
            <v>2.4</v>
          </cell>
          <cell r="BO333">
            <v>121.9</v>
          </cell>
          <cell r="BP333">
            <v>0</v>
          </cell>
          <cell r="BQ333">
            <v>0</v>
          </cell>
          <cell r="BR333">
            <v>26</v>
          </cell>
        </row>
        <row r="334">
          <cell r="A334">
            <v>39410</v>
          </cell>
          <cell r="B334">
            <v>0</v>
          </cell>
          <cell r="C334">
            <v>0</v>
          </cell>
          <cell r="D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1368.5</v>
          </cell>
          <cell r="J334">
            <v>1516.63</v>
          </cell>
          <cell r="K334">
            <v>47.09</v>
          </cell>
          <cell r="M334">
            <v>3850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24050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25725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1368.5</v>
          </cell>
          <cell r="BF334">
            <v>1516.63</v>
          </cell>
          <cell r="BG334">
            <v>47.09</v>
          </cell>
          <cell r="BH334">
            <v>0</v>
          </cell>
          <cell r="BI334">
            <v>53625</v>
          </cell>
          <cell r="BK334">
            <v>0.1</v>
          </cell>
          <cell r="BL334">
            <v>2.1949999999999998</v>
          </cell>
          <cell r="BM334">
            <v>0</v>
          </cell>
          <cell r="BN334">
            <v>2.677</v>
          </cell>
          <cell r="BO334">
            <v>119.2</v>
          </cell>
          <cell r="BP334">
            <v>0</v>
          </cell>
          <cell r="BQ334">
            <v>0</v>
          </cell>
          <cell r="BR334">
            <v>26</v>
          </cell>
        </row>
        <row r="335">
          <cell r="A335">
            <v>39411</v>
          </cell>
          <cell r="B335">
            <v>0</v>
          </cell>
          <cell r="C335">
            <v>0</v>
          </cell>
          <cell r="D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1383.21</v>
          </cell>
          <cell r="J335">
            <v>1469.54</v>
          </cell>
          <cell r="K335">
            <v>30.02</v>
          </cell>
          <cell r="M335">
            <v>950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24050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25725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1383.21</v>
          </cell>
          <cell r="BF335">
            <v>1469.54</v>
          </cell>
          <cell r="BG335">
            <v>30.02</v>
          </cell>
          <cell r="BH335">
            <v>0</v>
          </cell>
          <cell r="BI335">
            <v>50725</v>
          </cell>
          <cell r="BK335">
            <v>0.1</v>
          </cell>
          <cell r="BL335">
            <v>2.0950000000000002</v>
          </cell>
          <cell r="BM335">
            <v>0</v>
          </cell>
          <cell r="BN335">
            <v>2.4500000000000002</v>
          </cell>
          <cell r="BO335">
            <v>116.8</v>
          </cell>
          <cell r="BP335">
            <v>0</v>
          </cell>
          <cell r="BQ335">
            <v>0</v>
          </cell>
          <cell r="BR335">
            <v>26</v>
          </cell>
        </row>
        <row r="336">
          <cell r="A336">
            <v>39412</v>
          </cell>
          <cell r="B336">
            <v>0</v>
          </cell>
          <cell r="C336">
            <v>0</v>
          </cell>
          <cell r="D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396.32</v>
          </cell>
          <cell r="J336">
            <v>743.6</v>
          </cell>
          <cell r="K336">
            <v>26.59</v>
          </cell>
          <cell r="M336">
            <v>300</v>
          </cell>
          <cell r="N336">
            <v>0</v>
          </cell>
          <cell r="O336">
            <v>0</v>
          </cell>
          <cell r="P336">
            <v>0</v>
          </cell>
          <cell r="Q336">
            <v>983.35</v>
          </cell>
          <cell r="R336">
            <v>674.33</v>
          </cell>
          <cell r="S336">
            <v>0</v>
          </cell>
          <cell r="T336">
            <v>0</v>
          </cell>
          <cell r="U336">
            <v>22450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25725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1379.67</v>
          </cell>
          <cell r="BF336">
            <v>1417.93</v>
          </cell>
          <cell r="BG336">
            <v>26.59</v>
          </cell>
          <cell r="BH336">
            <v>0</v>
          </cell>
          <cell r="BI336">
            <v>48475</v>
          </cell>
          <cell r="BK336">
            <v>0.15</v>
          </cell>
          <cell r="BL336">
            <v>1.9450000000000001</v>
          </cell>
          <cell r="BM336">
            <v>0</v>
          </cell>
          <cell r="BN336">
            <v>1.048</v>
          </cell>
          <cell r="BO336">
            <v>115.7</v>
          </cell>
          <cell r="BP336">
            <v>0</v>
          </cell>
          <cell r="BQ336">
            <v>0</v>
          </cell>
          <cell r="BR336">
            <v>26</v>
          </cell>
        </row>
        <row r="337">
          <cell r="A337">
            <v>39413</v>
          </cell>
          <cell r="B337">
            <v>0</v>
          </cell>
          <cell r="C337">
            <v>0</v>
          </cell>
          <cell r="D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75.540000000000006</v>
          </cell>
          <cell r="L337">
            <v>145.19999999999999</v>
          </cell>
          <cell r="M337">
            <v>70</v>
          </cell>
          <cell r="N337">
            <v>0</v>
          </cell>
          <cell r="O337">
            <v>0</v>
          </cell>
          <cell r="P337">
            <v>0</v>
          </cell>
          <cell r="Q337">
            <v>1434.55</v>
          </cell>
          <cell r="R337">
            <v>1385.18</v>
          </cell>
          <cell r="S337">
            <v>0</v>
          </cell>
          <cell r="T337">
            <v>0</v>
          </cell>
          <cell r="U337">
            <v>19550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25550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1434.55</v>
          </cell>
          <cell r="BF337">
            <v>1385.18</v>
          </cell>
          <cell r="BG337">
            <v>75.540000000000006</v>
          </cell>
          <cell r="BH337">
            <v>145.19999999999999</v>
          </cell>
          <cell r="BI337">
            <v>45170</v>
          </cell>
          <cell r="BK337">
            <v>0.17499999999999999</v>
          </cell>
          <cell r="BL337">
            <v>1.7649999999999999</v>
          </cell>
          <cell r="BM337">
            <v>0</v>
          </cell>
          <cell r="BN337">
            <v>0.19</v>
          </cell>
          <cell r="BO337">
            <v>115.5</v>
          </cell>
          <cell r="BP337">
            <v>0</v>
          </cell>
          <cell r="BQ337">
            <v>0</v>
          </cell>
          <cell r="BR337">
            <v>26</v>
          </cell>
        </row>
        <row r="338">
          <cell r="A338">
            <v>39414</v>
          </cell>
          <cell r="B338">
            <v>0</v>
          </cell>
          <cell r="C338">
            <v>0</v>
          </cell>
          <cell r="D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31.88</v>
          </cell>
          <cell r="M338">
            <v>330</v>
          </cell>
          <cell r="N338">
            <v>0</v>
          </cell>
          <cell r="O338">
            <v>0</v>
          </cell>
          <cell r="P338">
            <v>0</v>
          </cell>
          <cell r="Q338">
            <v>1547.1</v>
          </cell>
          <cell r="R338">
            <v>1656.69</v>
          </cell>
          <cell r="S338">
            <v>0</v>
          </cell>
          <cell r="T338">
            <v>0</v>
          </cell>
          <cell r="U338">
            <v>16300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25550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1547.1</v>
          </cell>
          <cell r="BF338">
            <v>1656.69</v>
          </cell>
          <cell r="BG338">
            <v>31.88</v>
          </cell>
          <cell r="BH338">
            <v>0</v>
          </cell>
          <cell r="BI338">
            <v>42180</v>
          </cell>
          <cell r="BK338">
            <v>0.17499999999999999</v>
          </cell>
          <cell r="BL338">
            <v>1.59</v>
          </cell>
          <cell r="BM338">
            <v>0</v>
          </cell>
          <cell r="BN338">
            <v>0.16</v>
          </cell>
          <cell r="BO338">
            <v>115.3</v>
          </cell>
          <cell r="BP338">
            <v>0</v>
          </cell>
          <cell r="BQ338">
            <v>0</v>
          </cell>
          <cell r="BR338">
            <v>26</v>
          </cell>
        </row>
        <row r="339">
          <cell r="A339">
            <v>39415</v>
          </cell>
          <cell r="B339">
            <v>0</v>
          </cell>
          <cell r="C339">
            <v>0</v>
          </cell>
          <cell r="D339">
            <v>0</v>
          </cell>
          <cell r="F339">
            <v>4865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47.09</v>
          </cell>
          <cell r="M339">
            <v>5100</v>
          </cell>
          <cell r="N339">
            <v>0</v>
          </cell>
          <cell r="O339">
            <v>0</v>
          </cell>
          <cell r="P339">
            <v>0</v>
          </cell>
          <cell r="Q339">
            <v>1597.45</v>
          </cell>
          <cell r="R339">
            <v>1178.8399999999999</v>
          </cell>
          <cell r="S339">
            <v>0</v>
          </cell>
          <cell r="T339">
            <v>0</v>
          </cell>
          <cell r="U339">
            <v>13500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25550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4865</v>
          </cell>
          <cell r="BC339">
            <v>0</v>
          </cell>
          <cell r="BD339">
            <v>0</v>
          </cell>
          <cell r="BE339">
            <v>1597.45</v>
          </cell>
          <cell r="BF339">
            <v>1178.8399999999999</v>
          </cell>
          <cell r="BG339">
            <v>47.09</v>
          </cell>
          <cell r="BH339">
            <v>0</v>
          </cell>
          <cell r="BI339">
            <v>44150</v>
          </cell>
          <cell r="BK339">
            <v>0.125</v>
          </cell>
          <cell r="BL339">
            <v>1.4650000000000001</v>
          </cell>
          <cell r="BM339">
            <v>0</v>
          </cell>
          <cell r="BN339">
            <v>0.5</v>
          </cell>
          <cell r="BO339">
            <v>114.8</v>
          </cell>
          <cell r="BP339">
            <v>0</v>
          </cell>
          <cell r="BQ339">
            <v>0</v>
          </cell>
          <cell r="BR339">
            <v>26</v>
          </cell>
        </row>
        <row r="340">
          <cell r="A340">
            <v>39416</v>
          </cell>
          <cell r="B340">
            <v>0</v>
          </cell>
          <cell r="C340">
            <v>0</v>
          </cell>
          <cell r="D340">
            <v>0</v>
          </cell>
          <cell r="F340">
            <v>9000</v>
          </cell>
          <cell r="G340">
            <v>0</v>
          </cell>
          <cell r="H340">
            <v>0</v>
          </cell>
          <cell r="I340">
            <v>0</v>
          </cell>
          <cell r="J340">
            <v>-1385</v>
          </cell>
          <cell r="K340">
            <v>198.774</v>
          </cell>
          <cell r="L340">
            <v>-0.94</v>
          </cell>
          <cell r="M340">
            <v>14100</v>
          </cell>
          <cell r="N340">
            <v>-1044.2829999999999</v>
          </cell>
          <cell r="O340">
            <v>0</v>
          </cell>
          <cell r="P340">
            <v>0</v>
          </cell>
          <cell r="Q340">
            <v>1625.1</v>
          </cell>
          <cell r="R340">
            <v>794.78</v>
          </cell>
          <cell r="S340">
            <v>0</v>
          </cell>
          <cell r="T340">
            <v>0</v>
          </cell>
          <cell r="U340">
            <v>11050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D340">
            <v>-741.87099999999998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25550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9000</v>
          </cell>
          <cell r="BC340">
            <v>0</v>
          </cell>
          <cell r="BD340">
            <v>0</v>
          </cell>
          <cell r="BE340">
            <v>1625.1</v>
          </cell>
          <cell r="BF340">
            <v>794.78</v>
          </cell>
          <cell r="BG340">
            <v>48.66</v>
          </cell>
          <cell r="BH340">
            <v>-0.94</v>
          </cell>
          <cell r="BI340">
            <v>50700</v>
          </cell>
          <cell r="BK340">
            <v>2.4999999999999994E-2</v>
          </cell>
          <cell r="BL340">
            <v>1.29</v>
          </cell>
          <cell r="BM340">
            <v>0</v>
          </cell>
          <cell r="BN340">
            <v>3.0247000000000002</v>
          </cell>
          <cell r="BO340">
            <v>114.6</v>
          </cell>
          <cell r="BP340">
            <v>0</v>
          </cell>
          <cell r="BQ340">
            <v>0</v>
          </cell>
          <cell r="BR340">
            <v>26</v>
          </cell>
        </row>
        <row r="341">
          <cell r="A341">
            <v>39417</v>
          </cell>
          <cell r="B341">
            <v>0</v>
          </cell>
          <cell r="C341">
            <v>0</v>
          </cell>
          <cell r="D341">
            <v>0</v>
          </cell>
          <cell r="F341">
            <v>8000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38.26</v>
          </cell>
          <cell r="M341">
            <v>22100</v>
          </cell>
          <cell r="N341">
            <v>0</v>
          </cell>
          <cell r="O341">
            <v>0</v>
          </cell>
          <cell r="P341">
            <v>0</v>
          </cell>
          <cell r="Q341">
            <v>1651.75</v>
          </cell>
          <cell r="R341">
            <v>1656.69</v>
          </cell>
          <cell r="S341">
            <v>0</v>
          </cell>
          <cell r="T341">
            <v>0</v>
          </cell>
          <cell r="U341">
            <v>7650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25550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8000</v>
          </cell>
          <cell r="BC341">
            <v>0</v>
          </cell>
          <cell r="BD341">
            <v>0</v>
          </cell>
          <cell r="BE341">
            <v>1651.75</v>
          </cell>
          <cell r="BF341">
            <v>1656.69</v>
          </cell>
          <cell r="BG341">
            <v>38.26</v>
          </cell>
          <cell r="BH341">
            <v>0</v>
          </cell>
          <cell r="BI341">
            <v>55300</v>
          </cell>
          <cell r="BK341">
            <v>0</v>
          </cell>
          <cell r="BL341">
            <v>1.3</v>
          </cell>
          <cell r="BM341">
            <v>0</v>
          </cell>
          <cell r="BN341">
            <v>0.12</v>
          </cell>
          <cell r="BO341">
            <v>114.6</v>
          </cell>
          <cell r="BP341">
            <v>0</v>
          </cell>
          <cell r="BQ341">
            <v>0</v>
          </cell>
          <cell r="BR341">
            <v>26</v>
          </cell>
        </row>
        <row r="342">
          <cell r="A342">
            <v>39418</v>
          </cell>
          <cell r="B342">
            <v>0</v>
          </cell>
          <cell r="C342">
            <v>0</v>
          </cell>
          <cell r="D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9.81</v>
          </cell>
          <cell r="M342">
            <v>22100</v>
          </cell>
          <cell r="N342">
            <v>5430</v>
          </cell>
          <cell r="O342">
            <v>0</v>
          </cell>
          <cell r="P342">
            <v>0</v>
          </cell>
          <cell r="Q342">
            <v>1609.3</v>
          </cell>
          <cell r="R342">
            <v>1628.06</v>
          </cell>
          <cell r="S342">
            <v>0</v>
          </cell>
          <cell r="T342">
            <v>0</v>
          </cell>
          <cell r="U342">
            <v>9800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25550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5430</v>
          </cell>
          <cell r="BC342">
            <v>0</v>
          </cell>
          <cell r="BD342">
            <v>0</v>
          </cell>
          <cell r="BE342">
            <v>1609.3</v>
          </cell>
          <cell r="BF342">
            <v>1628.06</v>
          </cell>
          <cell r="BG342">
            <v>9.81</v>
          </cell>
          <cell r="BH342">
            <v>0</v>
          </cell>
          <cell r="BI342">
            <v>57450</v>
          </cell>
          <cell r="BK342">
            <v>0.15</v>
          </cell>
          <cell r="BL342">
            <v>1.1399999999999999</v>
          </cell>
          <cell r="BM342">
            <v>0</v>
          </cell>
          <cell r="BN342">
            <v>0.1</v>
          </cell>
          <cell r="BO342">
            <v>114.5</v>
          </cell>
          <cell r="BP342">
            <v>0</v>
          </cell>
          <cell r="BQ342">
            <v>0</v>
          </cell>
          <cell r="BR342">
            <v>26</v>
          </cell>
        </row>
        <row r="343">
          <cell r="A343">
            <v>39419</v>
          </cell>
          <cell r="B343">
            <v>0</v>
          </cell>
          <cell r="C343">
            <v>0</v>
          </cell>
          <cell r="D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17.66</v>
          </cell>
          <cell r="M343">
            <v>22050</v>
          </cell>
          <cell r="N343">
            <v>8500</v>
          </cell>
          <cell r="O343">
            <v>0</v>
          </cell>
          <cell r="P343">
            <v>0</v>
          </cell>
          <cell r="Q343">
            <v>1096.8900000000001</v>
          </cell>
          <cell r="R343">
            <v>1217.3399999999999</v>
          </cell>
          <cell r="S343">
            <v>0</v>
          </cell>
          <cell r="T343">
            <v>0</v>
          </cell>
          <cell r="U343">
            <v>15950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25550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8500</v>
          </cell>
          <cell r="BC343">
            <v>0</v>
          </cell>
          <cell r="BD343">
            <v>0</v>
          </cell>
          <cell r="BE343">
            <v>1096.8900000000001</v>
          </cell>
          <cell r="BF343">
            <v>1217.3399999999999</v>
          </cell>
          <cell r="BG343">
            <v>17.66</v>
          </cell>
          <cell r="BH343">
            <v>0</v>
          </cell>
          <cell r="BI343">
            <v>63550</v>
          </cell>
          <cell r="BK343">
            <v>0.04</v>
          </cell>
          <cell r="BL343">
            <v>1.1000000000000001</v>
          </cell>
          <cell r="BM343">
            <v>0</v>
          </cell>
          <cell r="BN343">
            <v>0.06</v>
          </cell>
          <cell r="BO343">
            <v>114.5</v>
          </cell>
          <cell r="BP343">
            <v>0</v>
          </cell>
          <cell r="BQ343">
            <v>0</v>
          </cell>
          <cell r="BR343">
            <v>26</v>
          </cell>
        </row>
        <row r="344">
          <cell r="A344">
            <v>39420</v>
          </cell>
          <cell r="B344">
            <v>0</v>
          </cell>
          <cell r="C344">
            <v>0</v>
          </cell>
          <cell r="D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26.59</v>
          </cell>
          <cell r="M344">
            <v>22050</v>
          </cell>
          <cell r="N344">
            <v>1500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17450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25550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1500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26.59</v>
          </cell>
          <cell r="BH344">
            <v>0</v>
          </cell>
          <cell r="BI344">
            <v>65050</v>
          </cell>
          <cell r="BK344">
            <v>0</v>
          </cell>
          <cell r="BL344">
            <v>1.1000000000000001</v>
          </cell>
          <cell r="BM344">
            <v>0</v>
          </cell>
          <cell r="BN344">
            <v>0.04</v>
          </cell>
          <cell r="BO344">
            <v>114.5</v>
          </cell>
          <cell r="BP344">
            <v>0</v>
          </cell>
          <cell r="BQ344">
            <v>0</v>
          </cell>
          <cell r="BR344">
            <v>26</v>
          </cell>
        </row>
        <row r="345">
          <cell r="A345">
            <v>39421</v>
          </cell>
          <cell r="B345">
            <v>0</v>
          </cell>
          <cell r="C345">
            <v>0</v>
          </cell>
          <cell r="D345">
            <v>0</v>
          </cell>
          <cell r="F345">
            <v>8740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43.85</v>
          </cell>
          <cell r="M345">
            <v>30750</v>
          </cell>
          <cell r="N345">
            <v>0</v>
          </cell>
          <cell r="O345">
            <v>0</v>
          </cell>
          <cell r="P345">
            <v>0</v>
          </cell>
          <cell r="Q345">
            <v>1372.35</v>
          </cell>
          <cell r="R345">
            <v>0</v>
          </cell>
          <cell r="S345">
            <v>0</v>
          </cell>
          <cell r="T345">
            <v>0</v>
          </cell>
          <cell r="U345">
            <v>16050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25550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8740</v>
          </cell>
          <cell r="BC345">
            <v>0</v>
          </cell>
          <cell r="BD345">
            <v>0</v>
          </cell>
          <cell r="BE345">
            <v>1372.35</v>
          </cell>
          <cell r="BF345">
            <v>0</v>
          </cell>
          <cell r="BG345">
            <v>43.85</v>
          </cell>
          <cell r="BH345">
            <v>0</v>
          </cell>
          <cell r="BI345">
            <v>72350</v>
          </cell>
          <cell r="BK345">
            <v>7.4999999999999997E-2</v>
          </cell>
          <cell r="BL345">
            <v>1.0249999999999999</v>
          </cell>
          <cell r="BM345">
            <v>0</v>
          </cell>
          <cell r="BN345">
            <v>0.28000000000000003</v>
          </cell>
          <cell r="BO345">
            <v>114.2</v>
          </cell>
          <cell r="BP345">
            <v>0</v>
          </cell>
          <cell r="BQ345">
            <v>0</v>
          </cell>
          <cell r="BR345">
            <v>26</v>
          </cell>
        </row>
        <row r="346">
          <cell r="A346">
            <v>39422</v>
          </cell>
          <cell r="B346">
            <v>0</v>
          </cell>
          <cell r="C346">
            <v>0</v>
          </cell>
          <cell r="D346">
            <v>0</v>
          </cell>
          <cell r="F346">
            <v>9000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17.66</v>
          </cell>
          <cell r="M346">
            <v>39750</v>
          </cell>
          <cell r="N346">
            <v>0</v>
          </cell>
          <cell r="O346">
            <v>0</v>
          </cell>
          <cell r="P346">
            <v>0</v>
          </cell>
          <cell r="Q346">
            <v>1375.31</v>
          </cell>
          <cell r="R346">
            <v>0</v>
          </cell>
          <cell r="S346">
            <v>0</v>
          </cell>
          <cell r="T346">
            <v>0</v>
          </cell>
          <cell r="U346">
            <v>14650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25550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9000</v>
          </cell>
          <cell r="BC346">
            <v>0</v>
          </cell>
          <cell r="BD346">
            <v>0</v>
          </cell>
          <cell r="BE346">
            <v>1375.31</v>
          </cell>
          <cell r="BF346">
            <v>0</v>
          </cell>
          <cell r="BG346">
            <v>17.66</v>
          </cell>
          <cell r="BH346">
            <v>0</v>
          </cell>
          <cell r="BI346">
            <v>79950</v>
          </cell>
          <cell r="BJ346">
            <v>3</v>
          </cell>
          <cell r="BK346">
            <v>7.4999999999999997E-2</v>
          </cell>
          <cell r="BL346">
            <v>3.85</v>
          </cell>
          <cell r="BM346">
            <v>0</v>
          </cell>
          <cell r="BN346">
            <v>0.06</v>
          </cell>
          <cell r="BO346">
            <v>114.1</v>
          </cell>
          <cell r="BP346">
            <v>0</v>
          </cell>
          <cell r="BQ346">
            <v>0</v>
          </cell>
          <cell r="BR346">
            <v>26</v>
          </cell>
        </row>
        <row r="347">
          <cell r="A347">
            <v>39423</v>
          </cell>
          <cell r="B347">
            <v>0</v>
          </cell>
          <cell r="C347">
            <v>0</v>
          </cell>
          <cell r="D347">
            <v>0</v>
          </cell>
          <cell r="F347">
            <v>4000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59.84</v>
          </cell>
          <cell r="M347">
            <v>43700</v>
          </cell>
          <cell r="N347">
            <v>1705</v>
          </cell>
          <cell r="O347">
            <v>0</v>
          </cell>
          <cell r="P347">
            <v>0</v>
          </cell>
          <cell r="Q347">
            <v>1588.57</v>
          </cell>
          <cell r="R347">
            <v>0</v>
          </cell>
          <cell r="S347">
            <v>0</v>
          </cell>
          <cell r="T347">
            <v>0</v>
          </cell>
          <cell r="U347">
            <v>14750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25550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5705</v>
          </cell>
          <cell r="BC347">
            <v>0</v>
          </cell>
          <cell r="BD347">
            <v>0</v>
          </cell>
          <cell r="BE347">
            <v>1588.57</v>
          </cell>
          <cell r="BF347">
            <v>0</v>
          </cell>
          <cell r="BG347">
            <v>59.84</v>
          </cell>
          <cell r="BH347">
            <v>0</v>
          </cell>
          <cell r="BI347">
            <v>84000</v>
          </cell>
          <cell r="BK347">
            <v>0.1</v>
          </cell>
          <cell r="BL347">
            <v>3.84</v>
          </cell>
          <cell r="BM347">
            <v>0</v>
          </cell>
          <cell r="BN347">
            <v>0</v>
          </cell>
          <cell r="BO347">
            <v>114.1</v>
          </cell>
          <cell r="BP347">
            <v>0</v>
          </cell>
          <cell r="BQ347">
            <v>0</v>
          </cell>
          <cell r="BR347">
            <v>26</v>
          </cell>
        </row>
        <row r="348">
          <cell r="A348">
            <v>39424</v>
          </cell>
          <cell r="B348">
            <v>0</v>
          </cell>
          <cell r="C348">
            <v>0</v>
          </cell>
          <cell r="D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1441.09</v>
          </cell>
          <cell r="K348">
            <v>45.13</v>
          </cell>
          <cell r="M348">
            <v>42150</v>
          </cell>
          <cell r="N348">
            <v>8500</v>
          </cell>
          <cell r="O348">
            <v>0</v>
          </cell>
          <cell r="P348">
            <v>0</v>
          </cell>
          <cell r="Q348">
            <v>1600.41</v>
          </cell>
          <cell r="R348">
            <v>0</v>
          </cell>
          <cell r="S348">
            <v>0</v>
          </cell>
          <cell r="T348">
            <v>0</v>
          </cell>
          <cell r="U348">
            <v>21650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25550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8500</v>
          </cell>
          <cell r="BC348">
            <v>0</v>
          </cell>
          <cell r="BD348">
            <v>0</v>
          </cell>
          <cell r="BE348">
            <v>1600.41</v>
          </cell>
          <cell r="BF348">
            <v>1441.09</v>
          </cell>
          <cell r="BG348">
            <v>45.13</v>
          </cell>
          <cell r="BH348">
            <v>0</v>
          </cell>
          <cell r="BI348">
            <v>89350</v>
          </cell>
          <cell r="BK348">
            <v>0.1</v>
          </cell>
          <cell r="BL348">
            <v>3.86</v>
          </cell>
          <cell r="BM348">
            <v>0</v>
          </cell>
          <cell r="BN348">
            <v>0.1</v>
          </cell>
          <cell r="BO348">
            <v>114</v>
          </cell>
          <cell r="BP348">
            <v>0</v>
          </cell>
          <cell r="BQ348">
            <v>0</v>
          </cell>
          <cell r="BR348">
            <v>26</v>
          </cell>
        </row>
        <row r="349">
          <cell r="A349">
            <v>39425</v>
          </cell>
          <cell r="B349">
            <v>0</v>
          </cell>
          <cell r="C349">
            <v>0</v>
          </cell>
          <cell r="D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1571.56</v>
          </cell>
          <cell r="K349">
            <v>15.89</v>
          </cell>
          <cell r="M349">
            <v>40550</v>
          </cell>
          <cell r="N349">
            <v>5500</v>
          </cell>
          <cell r="O349">
            <v>421.14</v>
          </cell>
          <cell r="P349">
            <v>0</v>
          </cell>
          <cell r="Q349">
            <v>1545.12</v>
          </cell>
          <cell r="R349">
            <v>0</v>
          </cell>
          <cell r="S349">
            <v>0</v>
          </cell>
          <cell r="T349">
            <v>0</v>
          </cell>
          <cell r="U349">
            <v>25100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25550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5500</v>
          </cell>
          <cell r="BC349">
            <v>421.14</v>
          </cell>
          <cell r="BD349">
            <v>0</v>
          </cell>
          <cell r="BE349">
            <v>1545.12</v>
          </cell>
          <cell r="BF349">
            <v>1571.56</v>
          </cell>
          <cell r="BG349">
            <v>15.89</v>
          </cell>
          <cell r="BH349">
            <v>0</v>
          </cell>
          <cell r="BI349">
            <v>91200</v>
          </cell>
          <cell r="BK349">
            <v>0.1</v>
          </cell>
          <cell r="BL349">
            <v>3.82</v>
          </cell>
          <cell r="BM349">
            <v>0</v>
          </cell>
          <cell r="BN349">
            <v>0.04</v>
          </cell>
          <cell r="BO349">
            <v>114</v>
          </cell>
          <cell r="BP349">
            <v>0</v>
          </cell>
          <cell r="BQ349">
            <v>0</v>
          </cell>
          <cell r="BR349">
            <v>26</v>
          </cell>
        </row>
        <row r="350">
          <cell r="A350">
            <v>39426</v>
          </cell>
          <cell r="B350">
            <v>0</v>
          </cell>
          <cell r="C350">
            <v>0</v>
          </cell>
          <cell r="D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554.27</v>
          </cell>
          <cell r="K350">
            <v>23.54</v>
          </cell>
          <cell r="L350">
            <v>386.22</v>
          </cell>
          <cell r="M350">
            <v>38200</v>
          </cell>
          <cell r="N350">
            <v>283</v>
          </cell>
          <cell r="O350">
            <v>167.56</v>
          </cell>
          <cell r="P350">
            <v>0</v>
          </cell>
          <cell r="Q350">
            <v>542.03</v>
          </cell>
          <cell r="R350">
            <v>0</v>
          </cell>
          <cell r="S350">
            <v>0</v>
          </cell>
          <cell r="T350">
            <v>0</v>
          </cell>
          <cell r="U350">
            <v>29200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25560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283</v>
          </cell>
          <cell r="BC350">
            <v>167.56</v>
          </cell>
          <cell r="BD350">
            <v>0</v>
          </cell>
          <cell r="BE350">
            <v>542.03</v>
          </cell>
          <cell r="BF350">
            <v>554.27</v>
          </cell>
          <cell r="BG350">
            <v>23.54</v>
          </cell>
          <cell r="BH350">
            <v>386.22</v>
          </cell>
          <cell r="BI350">
            <v>92960</v>
          </cell>
          <cell r="BK350">
            <v>0.15</v>
          </cell>
          <cell r="BL350">
            <v>3.2850000000000001</v>
          </cell>
          <cell r="BM350">
            <v>0</v>
          </cell>
          <cell r="BN350">
            <v>0.09</v>
          </cell>
          <cell r="BO350">
            <v>118</v>
          </cell>
          <cell r="BP350">
            <v>0</v>
          </cell>
          <cell r="BQ350">
            <v>0</v>
          </cell>
          <cell r="BR350">
            <v>26</v>
          </cell>
        </row>
        <row r="351">
          <cell r="A351">
            <v>39427</v>
          </cell>
          <cell r="B351">
            <v>0</v>
          </cell>
          <cell r="C351">
            <v>0</v>
          </cell>
          <cell r="D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1609.82</v>
          </cell>
          <cell r="K351">
            <v>43.46</v>
          </cell>
          <cell r="L351">
            <v>284.22000000000003</v>
          </cell>
          <cell r="M351">
            <v>36250</v>
          </cell>
          <cell r="N351">
            <v>9000</v>
          </cell>
          <cell r="O351">
            <v>480.95</v>
          </cell>
          <cell r="P351">
            <v>0</v>
          </cell>
          <cell r="Q351">
            <v>887.58</v>
          </cell>
          <cell r="R351">
            <v>0</v>
          </cell>
          <cell r="S351">
            <v>0</v>
          </cell>
          <cell r="T351">
            <v>0</v>
          </cell>
          <cell r="U351">
            <v>36850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25560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9000</v>
          </cell>
          <cell r="BC351">
            <v>480.95</v>
          </cell>
          <cell r="BD351">
            <v>0</v>
          </cell>
          <cell r="BE351">
            <v>887.58</v>
          </cell>
          <cell r="BF351">
            <v>1609.82</v>
          </cell>
          <cell r="BG351">
            <v>43.46</v>
          </cell>
          <cell r="BH351">
            <v>284.22000000000003</v>
          </cell>
          <cell r="BI351">
            <v>98660</v>
          </cell>
          <cell r="BK351">
            <v>0.125</v>
          </cell>
          <cell r="BL351">
            <v>3.16</v>
          </cell>
          <cell r="BM351">
            <v>0</v>
          </cell>
          <cell r="BN351">
            <v>0.9</v>
          </cell>
          <cell r="BO351">
            <v>117.1</v>
          </cell>
          <cell r="BP351">
            <v>0</v>
          </cell>
          <cell r="BQ351">
            <v>0</v>
          </cell>
          <cell r="BR351">
            <v>26</v>
          </cell>
        </row>
        <row r="352">
          <cell r="A352">
            <v>39428</v>
          </cell>
          <cell r="B352">
            <v>0</v>
          </cell>
          <cell r="C352">
            <v>0</v>
          </cell>
          <cell r="D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1648.08</v>
          </cell>
          <cell r="K352">
            <v>35.32</v>
          </cell>
          <cell r="L352">
            <v>211.86</v>
          </cell>
          <cell r="M352">
            <v>34550</v>
          </cell>
          <cell r="N352">
            <v>1000</v>
          </cell>
          <cell r="O352">
            <v>501.65</v>
          </cell>
          <cell r="P352">
            <v>0</v>
          </cell>
          <cell r="Q352">
            <v>1610.29</v>
          </cell>
          <cell r="R352">
            <v>0</v>
          </cell>
          <cell r="S352">
            <v>0</v>
          </cell>
          <cell r="T352">
            <v>0</v>
          </cell>
          <cell r="U352">
            <v>35700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24950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1000</v>
          </cell>
          <cell r="BC352">
            <v>501.65</v>
          </cell>
          <cell r="BD352">
            <v>0</v>
          </cell>
          <cell r="BE352">
            <v>1610.29</v>
          </cell>
          <cell r="BF352">
            <v>1648.08</v>
          </cell>
          <cell r="BG352">
            <v>35.32</v>
          </cell>
          <cell r="BH352">
            <v>211.86</v>
          </cell>
          <cell r="BI352">
            <v>95200</v>
          </cell>
          <cell r="BK352">
            <v>0.2</v>
          </cell>
          <cell r="BL352">
            <v>2.96</v>
          </cell>
          <cell r="BM352">
            <v>0</v>
          </cell>
          <cell r="BN352">
            <v>0.6</v>
          </cell>
          <cell r="BO352">
            <v>116.5</v>
          </cell>
          <cell r="BP352">
            <v>0</v>
          </cell>
          <cell r="BQ352">
            <v>0</v>
          </cell>
          <cell r="BR352">
            <v>26</v>
          </cell>
        </row>
        <row r="353">
          <cell r="A353">
            <v>39429</v>
          </cell>
          <cell r="B353">
            <v>0</v>
          </cell>
          <cell r="C353">
            <v>0</v>
          </cell>
          <cell r="D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1654.95</v>
          </cell>
          <cell r="K353">
            <v>63.77</v>
          </cell>
          <cell r="L353">
            <v>101.7</v>
          </cell>
          <cell r="M353">
            <v>31550</v>
          </cell>
          <cell r="N353">
            <v>0</v>
          </cell>
          <cell r="O353">
            <v>210.1</v>
          </cell>
          <cell r="P353">
            <v>0</v>
          </cell>
          <cell r="Q353">
            <v>1450.35</v>
          </cell>
          <cell r="R353">
            <v>0</v>
          </cell>
          <cell r="S353">
            <v>0</v>
          </cell>
          <cell r="T353">
            <v>0</v>
          </cell>
          <cell r="U353">
            <v>34050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D353">
            <v>0</v>
          </cell>
          <cell r="AE353">
            <v>152.31</v>
          </cell>
          <cell r="AF353">
            <v>168.62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24550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362.41</v>
          </cell>
          <cell r="BD353">
            <v>168.62</v>
          </cell>
          <cell r="BE353">
            <v>1450.35</v>
          </cell>
          <cell r="BF353">
            <v>1654.95</v>
          </cell>
          <cell r="BG353">
            <v>63.77</v>
          </cell>
          <cell r="BH353">
            <v>101.7</v>
          </cell>
          <cell r="BI353">
            <v>90150</v>
          </cell>
          <cell r="BJ353">
            <v>1</v>
          </cell>
          <cell r="BK353">
            <v>0.15</v>
          </cell>
          <cell r="BL353">
            <v>3.07</v>
          </cell>
          <cell r="BM353">
            <v>0</v>
          </cell>
          <cell r="BN353">
            <v>0.8</v>
          </cell>
          <cell r="BO353">
            <v>115.7</v>
          </cell>
          <cell r="BP353">
            <v>0</v>
          </cell>
          <cell r="BQ353">
            <v>0</v>
          </cell>
          <cell r="BR353">
            <v>26</v>
          </cell>
        </row>
        <row r="354">
          <cell r="A354">
            <v>39430</v>
          </cell>
          <cell r="B354">
            <v>0</v>
          </cell>
          <cell r="C354">
            <v>0</v>
          </cell>
          <cell r="D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1662.8</v>
          </cell>
          <cell r="K354">
            <v>57.88</v>
          </cell>
          <cell r="M354">
            <v>29800</v>
          </cell>
          <cell r="N354">
            <v>0</v>
          </cell>
          <cell r="O354">
            <v>0</v>
          </cell>
          <cell r="P354">
            <v>0</v>
          </cell>
          <cell r="Q354">
            <v>1453.31</v>
          </cell>
          <cell r="R354">
            <v>0</v>
          </cell>
          <cell r="S354">
            <v>0</v>
          </cell>
          <cell r="T354">
            <v>0</v>
          </cell>
          <cell r="U354">
            <v>32550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D354">
            <v>0</v>
          </cell>
          <cell r="AE354">
            <v>517.53</v>
          </cell>
          <cell r="AF354">
            <v>401.31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23650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517.53</v>
          </cell>
          <cell r="BD354">
            <v>401.31</v>
          </cell>
          <cell r="BE354">
            <v>1453.31</v>
          </cell>
          <cell r="BF354">
            <v>1662.8</v>
          </cell>
          <cell r="BG354">
            <v>57.88</v>
          </cell>
          <cell r="BH354">
            <v>0</v>
          </cell>
          <cell r="BI354">
            <v>86000</v>
          </cell>
          <cell r="BK354">
            <v>0.15</v>
          </cell>
          <cell r="BL354">
            <v>2.93</v>
          </cell>
          <cell r="BM354">
            <v>0</v>
          </cell>
          <cell r="BN354">
            <v>0.9</v>
          </cell>
          <cell r="BO354">
            <v>114.8</v>
          </cell>
          <cell r="BP354">
            <v>0</v>
          </cell>
          <cell r="BQ354">
            <v>3.4</v>
          </cell>
          <cell r="BR354">
            <v>23.2</v>
          </cell>
        </row>
        <row r="355">
          <cell r="A355">
            <v>39431</v>
          </cell>
          <cell r="B355">
            <v>0</v>
          </cell>
          <cell r="C355">
            <v>0</v>
          </cell>
          <cell r="D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1660.83</v>
          </cell>
          <cell r="K355">
            <v>37.770000000000003</v>
          </cell>
          <cell r="M355">
            <v>28050</v>
          </cell>
          <cell r="N355">
            <v>0</v>
          </cell>
          <cell r="O355">
            <v>0</v>
          </cell>
          <cell r="P355">
            <v>0</v>
          </cell>
          <cell r="Q355">
            <v>1621.15</v>
          </cell>
          <cell r="R355">
            <v>0</v>
          </cell>
          <cell r="S355">
            <v>0</v>
          </cell>
          <cell r="T355">
            <v>0</v>
          </cell>
          <cell r="U355">
            <v>30900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D355">
            <v>0</v>
          </cell>
          <cell r="AE355">
            <v>26.49</v>
          </cell>
          <cell r="AF355">
            <v>527.15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23100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26.49</v>
          </cell>
          <cell r="BD355">
            <v>527.15</v>
          </cell>
          <cell r="BE355">
            <v>1621.15</v>
          </cell>
          <cell r="BF355">
            <v>1660.83</v>
          </cell>
          <cell r="BG355">
            <v>37.770000000000003</v>
          </cell>
          <cell r="BH355">
            <v>0</v>
          </cell>
          <cell r="BI355">
            <v>82050</v>
          </cell>
          <cell r="BK355">
            <v>0.17499999999999999</v>
          </cell>
          <cell r="BL355">
            <v>2.7549999999999999</v>
          </cell>
          <cell r="BM355">
            <v>0</v>
          </cell>
          <cell r="BN355">
            <v>0.5</v>
          </cell>
          <cell r="BO355">
            <v>114.3</v>
          </cell>
          <cell r="BP355">
            <v>0</v>
          </cell>
          <cell r="BQ355">
            <v>2</v>
          </cell>
          <cell r="BR355">
            <v>21.2</v>
          </cell>
        </row>
        <row r="356">
          <cell r="A356">
            <v>39432</v>
          </cell>
          <cell r="B356">
            <v>0</v>
          </cell>
          <cell r="C356">
            <v>0</v>
          </cell>
          <cell r="D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1653.97</v>
          </cell>
          <cell r="K356">
            <v>0</v>
          </cell>
          <cell r="M356">
            <v>26350</v>
          </cell>
          <cell r="N356">
            <v>0</v>
          </cell>
          <cell r="O356">
            <v>0</v>
          </cell>
          <cell r="P356">
            <v>0</v>
          </cell>
          <cell r="Q356">
            <v>1539.2</v>
          </cell>
          <cell r="R356">
            <v>0</v>
          </cell>
          <cell r="S356">
            <v>0</v>
          </cell>
          <cell r="T356">
            <v>0</v>
          </cell>
          <cell r="U356">
            <v>29350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D356">
            <v>0</v>
          </cell>
          <cell r="AE356">
            <v>0</v>
          </cell>
          <cell r="AF356">
            <v>528.12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22550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528.12</v>
          </cell>
          <cell r="BE356">
            <v>1539.2</v>
          </cell>
          <cell r="BF356">
            <v>1653.97</v>
          </cell>
          <cell r="BG356">
            <v>0</v>
          </cell>
          <cell r="BH356">
            <v>0</v>
          </cell>
          <cell r="BI356">
            <v>78250</v>
          </cell>
          <cell r="BK356">
            <v>0.15</v>
          </cell>
          <cell r="BL356">
            <v>2.6</v>
          </cell>
          <cell r="BM356">
            <v>0</v>
          </cell>
          <cell r="BN356">
            <v>0.4</v>
          </cell>
          <cell r="BO356">
            <v>113.9</v>
          </cell>
          <cell r="BP356">
            <v>0</v>
          </cell>
          <cell r="BQ356">
            <v>2</v>
          </cell>
          <cell r="BR356">
            <v>19.2</v>
          </cell>
        </row>
        <row r="357">
          <cell r="A357">
            <v>39433</v>
          </cell>
          <cell r="B357">
            <v>0</v>
          </cell>
          <cell r="C357">
            <v>0</v>
          </cell>
          <cell r="D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1643.18</v>
          </cell>
          <cell r="K357">
            <v>0</v>
          </cell>
          <cell r="M357">
            <v>24700</v>
          </cell>
          <cell r="N357">
            <v>1333</v>
          </cell>
          <cell r="O357">
            <v>0</v>
          </cell>
          <cell r="P357">
            <v>0</v>
          </cell>
          <cell r="Q357">
            <v>1085.04</v>
          </cell>
          <cell r="R357">
            <v>0</v>
          </cell>
          <cell r="S357">
            <v>0</v>
          </cell>
          <cell r="T357">
            <v>0</v>
          </cell>
          <cell r="U357">
            <v>29580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D357">
            <v>0</v>
          </cell>
          <cell r="AE357">
            <v>0</v>
          </cell>
          <cell r="AF357">
            <v>515.53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22000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1333</v>
          </cell>
          <cell r="BC357">
            <v>0</v>
          </cell>
          <cell r="BD357">
            <v>515.53</v>
          </cell>
          <cell r="BE357">
            <v>1085.04</v>
          </cell>
          <cell r="BF357">
            <v>1643.18</v>
          </cell>
          <cell r="BG357">
            <v>0</v>
          </cell>
          <cell r="BH357">
            <v>0</v>
          </cell>
          <cell r="BI357">
            <v>76280</v>
          </cell>
          <cell r="BJ357">
            <v>1</v>
          </cell>
          <cell r="BK357">
            <v>0.1</v>
          </cell>
          <cell r="BL357">
            <v>3.5</v>
          </cell>
          <cell r="BM357">
            <v>0</v>
          </cell>
          <cell r="BN357">
            <v>0.2</v>
          </cell>
          <cell r="BO357">
            <v>113.7</v>
          </cell>
          <cell r="BP357">
            <v>0</v>
          </cell>
          <cell r="BQ357">
            <v>2</v>
          </cell>
          <cell r="BR357">
            <v>17.2</v>
          </cell>
        </row>
        <row r="358">
          <cell r="A358">
            <v>39434</v>
          </cell>
          <cell r="B358">
            <v>0</v>
          </cell>
          <cell r="C358">
            <v>0</v>
          </cell>
          <cell r="D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1606.88</v>
          </cell>
          <cell r="K358">
            <v>0</v>
          </cell>
          <cell r="M358">
            <v>23050</v>
          </cell>
          <cell r="N358">
            <v>9000</v>
          </cell>
          <cell r="O358">
            <v>0</v>
          </cell>
          <cell r="P358">
            <v>0</v>
          </cell>
          <cell r="Q358">
            <v>889.56</v>
          </cell>
          <cell r="R358">
            <v>0</v>
          </cell>
          <cell r="S358">
            <v>0</v>
          </cell>
          <cell r="T358">
            <v>0</v>
          </cell>
          <cell r="U358">
            <v>37650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533.22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21450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9000</v>
          </cell>
          <cell r="BC358">
            <v>0</v>
          </cell>
          <cell r="BD358">
            <v>533.22</v>
          </cell>
          <cell r="BE358">
            <v>889.56</v>
          </cell>
          <cell r="BF358">
            <v>1606.88</v>
          </cell>
          <cell r="BG358">
            <v>0</v>
          </cell>
          <cell r="BH358">
            <v>0</v>
          </cell>
          <cell r="BI358">
            <v>82150</v>
          </cell>
          <cell r="BK358">
            <v>0.15</v>
          </cell>
          <cell r="BL358">
            <v>3.35</v>
          </cell>
          <cell r="BM358">
            <v>0</v>
          </cell>
          <cell r="BN358">
            <v>0.3</v>
          </cell>
          <cell r="BO358">
            <v>113.4</v>
          </cell>
          <cell r="BP358">
            <v>0</v>
          </cell>
          <cell r="BQ358">
            <v>2</v>
          </cell>
          <cell r="BR358">
            <v>15.2</v>
          </cell>
        </row>
        <row r="359">
          <cell r="A359">
            <v>39435</v>
          </cell>
          <cell r="B359">
            <v>0</v>
          </cell>
          <cell r="C359">
            <v>0</v>
          </cell>
          <cell r="D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1143.8499999999999</v>
          </cell>
          <cell r="K359">
            <v>0</v>
          </cell>
          <cell r="M359">
            <v>21900</v>
          </cell>
          <cell r="N359">
            <v>8500</v>
          </cell>
          <cell r="O359">
            <v>0</v>
          </cell>
          <cell r="P359">
            <v>0</v>
          </cell>
          <cell r="Q359">
            <v>1598.44</v>
          </cell>
          <cell r="R359">
            <v>0</v>
          </cell>
          <cell r="S359">
            <v>0</v>
          </cell>
          <cell r="T359">
            <v>0</v>
          </cell>
          <cell r="U359">
            <v>44550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D359">
            <v>0</v>
          </cell>
          <cell r="AE359">
            <v>0</v>
          </cell>
          <cell r="AF359">
            <v>503.64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20900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8500</v>
          </cell>
          <cell r="BC359">
            <v>0</v>
          </cell>
          <cell r="BD359">
            <v>503.64</v>
          </cell>
          <cell r="BE359">
            <v>1598.44</v>
          </cell>
          <cell r="BF359">
            <v>1143.8499999999999</v>
          </cell>
          <cell r="BG359">
            <v>0</v>
          </cell>
          <cell r="BH359">
            <v>0</v>
          </cell>
          <cell r="BI359">
            <v>87350</v>
          </cell>
          <cell r="BK359">
            <v>0.125</v>
          </cell>
          <cell r="BL359">
            <v>3.2250000000000001</v>
          </cell>
          <cell r="BM359">
            <v>0</v>
          </cell>
          <cell r="BN359">
            <v>0.2</v>
          </cell>
          <cell r="BO359">
            <v>113.2</v>
          </cell>
          <cell r="BP359">
            <v>0</v>
          </cell>
          <cell r="BQ359">
            <v>2</v>
          </cell>
          <cell r="BR359">
            <v>13.2</v>
          </cell>
        </row>
        <row r="360">
          <cell r="A360">
            <v>39436</v>
          </cell>
          <cell r="B360">
            <v>0</v>
          </cell>
          <cell r="C360">
            <v>0</v>
          </cell>
          <cell r="D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846.6</v>
          </cell>
          <cell r="K360">
            <v>0</v>
          </cell>
          <cell r="M360">
            <v>21000</v>
          </cell>
          <cell r="N360">
            <v>5000</v>
          </cell>
          <cell r="O360">
            <v>123.36</v>
          </cell>
          <cell r="P360">
            <v>0</v>
          </cell>
          <cell r="Q360">
            <v>1601.4</v>
          </cell>
          <cell r="R360">
            <v>0</v>
          </cell>
          <cell r="S360">
            <v>0</v>
          </cell>
          <cell r="T360">
            <v>0</v>
          </cell>
          <cell r="U360">
            <v>47850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D360">
            <v>0</v>
          </cell>
          <cell r="AE360">
            <v>133.36000000000001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20750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5000</v>
          </cell>
          <cell r="BC360">
            <v>256.72000000000003</v>
          </cell>
          <cell r="BD360">
            <v>0</v>
          </cell>
          <cell r="BE360">
            <v>1601.4</v>
          </cell>
          <cell r="BF360">
            <v>846.6</v>
          </cell>
          <cell r="BG360">
            <v>0</v>
          </cell>
          <cell r="BH360">
            <v>0</v>
          </cell>
          <cell r="BI360">
            <v>89600</v>
          </cell>
          <cell r="BK360">
            <v>0.125</v>
          </cell>
          <cell r="BL360">
            <v>3.1</v>
          </cell>
          <cell r="BM360">
            <v>0</v>
          </cell>
          <cell r="BN360">
            <v>0.16</v>
          </cell>
          <cell r="BO360">
            <v>113.04</v>
          </cell>
          <cell r="BP360">
            <v>0</v>
          </cell>
          <cell r="BQ360">
            <v>0</v>
          </cell>
          <cell r="BR360">
            <v>13.2</v>
          </cell>
        </row>
        <row r="361">
          <cell r="A361">
            <v>39437</v>
          </cell>
          <cell r="B361">
            <v>0</v>
          </cell>
          <cell r="C361">
            <v>0</v>
          </cell>
          <cell r="D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1652</v>
          </cell>
          <cell r="K361">
            <v>0</v>
          </cell>
          <cell r="M361">
            <v>19350</v>
          </cell>
          <cell r="N361">
            <v>0</v>
          </cell>
          <cell r="O361">
            <v>531.70000000000005</v>
          </cell>
          <cell r="P361">
            <v>239.12</v>
          </cell>
          <cell r="Q361">
            <v>1574.74</v>
          </cell>
          <cell r="R361">
            <v>0</v>
          </cell>
          <cell r="S361">
            <v>0</v>
          </cell>
          <cell r="T361">
            <v>0</v>
          </cell>
          <cell r="U361">
            <v>45450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20750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531.70000000000005</v>
          </cell>
          <cell r="BD361">
            <v>239.12</v>
          </cell>
          <cell r="BE361">
            <v>1574.74</v>
          </cell>
          <cell r="BF361">
            <v>1652</v>
          </cell>
          <cell r="BG361">
            <v>0</v>
          </cell>
          <cell r="BH361">
            <v>0</v>
          </cell>
          <cell r="BI361">
            <v>85550</v>
          </cell>
          <cell r="BK361">
            <v>0.15</v>
          </cell>
          <cell r="BL361">
            <v>2.95</v>
          </cell>
          <cell r="BM361">
            <v>0</v>
          </cell>
          <cell r="BN361">
            <v>0.7</v>
          </cell>
          <cell r="BO361">
            <v>112.3</v>
          </cell>
          <cell r="BP361">
            <v>0</v>
          </cell>
          <cell r="BQ361">
            <v>0</v>
          </cell>
          <cell r="BR361">
            <v>13.2</v>
          </cell>
        </row>
        <row r="362">
          <cell r="A362">
            <v>39438</v>
          </cell>
          <cell r="B362">
            <v>0</v>
          </cell>
          <cell r="C362">
            <v>0</v>
          </cell>
          <cell r="D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1652</v>
          </cell>
          <cell r="K362">
            <v>0</v>
          </cell>
          <cell r="M362">
            <v>17650</v>
          </cell>
          <cell r="N362">
            <v>0</v>
          </cell>
          <cell r="O362">
            <v>534.44000000000005</v>
          </cell>
          <cell r="P362">
            <v>464.56</v>
          </cell>
          <cell r="Q362">
            <v>1540.19</v>
          </cell>
          <cell r="R362">
            <v>0</v>
          </cell>
          <cell r="S362">
            <v>0</v>
          </cell>
          <cell r="T362">
            <v>0</v>
          </cell>
          <cell r="U362">
            <v>42900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20750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534.44000000000005</v>
          </cell>
          <cell r="BD362">
            <v>464.56</v>
          </cell>
          <cell r="BE362">
            <v>1540.19</v>
          </cell>
          <cell r="BF362">
            <v>1652</v>
          </cell>
          <cell r="BG362">
            <v>0</v>
          </cell>
          <cell r="BH362">
            <v>0</v>
          </cell>
          <cell r="BI362">
            <v>81300</v>
          </cell>
          <cell r="BK362">
            <v>0.125</v>
          </cell>
          <cell r="BL362">
            <v>2.8250000000000002</v>
          </cell>
          <cell r="BM362">
            <v>0</v>
          </cell>
          <cell r="BN362">
            <v>0.4</v>
          </cell>
          <cell r="BO362">
            <v>111.9</v>
          </cell>
          <cell r="BP362">
            <v>0</v>
          </cell>
          <cell r="BQ362">
            <v>0</v>
          </cell>
          <cell r="BR362">
            <v>13.2</v>
          </cell>
        </row>
        <row r="363">
          <cell r="A363">
            <v>39439</v>
          </cell>
          <cell r="B363">
            <v>0</v>
          </cell>
          <cell r="C363">
            <v>0</v>
          </cell>
          <cell r="D363">
            <v>0</v>
          </cell>
          <cell r="F363">
            <v>6690</v>
          </cell>
          <cell r="G363">
            <v>0</v>
          </cell>
          <cell r="H363">
            <v>0</v>
          </cell>
          <cell r="I363">
            <v>0</v>
          </cell>
          <cell r="J363">
            <v>1701.05</v>
          </cell>
          <cell r="K363">
            <v>0</v>
          </cell>
          <cell r="M363">
            <v>22600</v>
          </cell>
          <cell r="N363">
            <v>0</v>
          </cell>
          <cell r="O363">
            <v>497.38</v>
          </cell>
          <cell r="P363">
            <v>516.82000000000005</v>
          </cell>
          <cell r="Q363">
            <v>1124.54</v>
          </cell>
          <cell r="R363">
            <v>0</v>
          </cell>
          <cell r="S363">
            <v>0</v>
          </cell>
          <cell r="T363">
            <v>0</v>
          </cell>
          <cell r="U363">
            <v>40750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20750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6690</v>
          </cell>
          <cell r="BC363">
            <v>497.38</v>
          </cell>
          <cell r="BD363">
            <v>516.82000000000005</v>
          </cell>
          <cell r="BE363">
            <v>1124.54</v>
          </cell>
          <cell r="BF363">
            <v>1701.05</v>
          </cell>
          <cell r="BG363">
            <v>0</v>
          </cell>
          <cell r="BH363">
            <v>0</v>
          </cell>
          <cell r="BI363">
            <v>84100</v>
          </cell>
          <cell r="BK363">
            <v>0.125</v>
          </cell>
          <cell r="BL363">
            <v>2.7</v>
          </cell>
          <cell r="BM363">
            <v>0</v>
          </cell>
          <cell r="BN363">
            <v>0.8</v>
          </cell>
          <cell r="BO363">
            <v>111.1</v>
          </cell>
          <cell r="BP363">
            <v>0</v>
          </cell>
          <cell r="BQ363">
            <v>0</v>
          </cell>
          <cell r="BR363">
            <v>13.2</v>
          </cell>
        </row>
        <row r="364">
          <cell r="A364">
            <v>39440</v>
          </cell>
          <cell r="B364">
            <v>0</v>
          </cell>
          <cell r="C364">
            <v>0</v>
          </cell>
          <cell r="D364">
            <v>0</v>
          </cell>
          <cell r="F364">
            <v>7500</v>
          </cell>
          <cell r="G364">
            <v>0</v>
          </cell>
          <cell r="H364">
            <v>0</v>
          </cell>
          <cell r="I364">
            <v>0</v>
          </cell>
          <cell r="J364">
            <v>1641.21</v>
          </cell>
          <cell r="K364">
            <v>0</v>
          </cell>
          <cell r="M364">
            <v>28400</v>
          </cell>
          <cell r="N364">
            <v>0</v>
          </cell>
          <cell r="O364">
            <v>338.88</v>
          </cell>
          <cell r="P364">
            <v>510.87</v>
          </cell>
          <cell r="Q364">
            <v>803.66</v>
          </cell>
          <cell r="R364">
            <v>0</v>
          </cell>
          <cell r="S364">
            <v>0</v>
          </cell>
          <cell r="T364">
            <v>0</v>
          </cell>
          <cell r="U364">
            <v>39150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20750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7500</v>
          </cell>
          <cell r="BC364">
            <v>338.88</v>
          </cell>
          <cell r="BD364">
            <v>510.87</v>
          </cell>
          <cell r="BE364">
            <v>803.66</v>
          </cell>
          <cell r="BF364">
            <v>1641.21</v>
          </cell>
          <cell r="BG364">
            <v>0</v>
          </cell>
          <cell r="BH364">
            <v>0</v>
          </cell>
          <cell r="BI364">
            <v>88300</v>
          </cell>
          <cell r="BK364">
            <v>0.15</v>
          </cell>
          <cell r="BL364">
            <v>2.5499999999999998</v>
          </cell>
          <cell r="BM364">
            <v>0</v>
          </cell>
          <cell r="BN364">
            <v>0.5</v>
          </cell>
          <cell r="BO364">
            <v>110.6</v>
          </cell>
          <cell r="BP364">
            <v>0</v>
          </cell>
          <cell r="BQ364">
            <v>0</v>
          </cell>
          <cell r="BR364">
            <v>13.2</v>
          </cell>
        </row>
        <row r="365">
          <cell r="A365">
            <v>39441</v>
          </cell>
          <cell r="B365">
            <v>0</v>
          </cell>
          <cell r="C365">
            <v>0</v>
          </cell>
          <cell r="D365">
            <v>0</v>
          </cell>
          <cell r="F365">
            <v>7500</v>
          </cell>
          <cell r="G365">
            <v>0</v>
          </cell>
          <cell r="H365">
            <v>0</v>
          </cell>
          <cell r="I365">
            <v>0</v>
          </cell>
          <cell r="J365">
            <v>1655.93</v>
          </cell>
          <cell r="K365">
            <v>0</v>
          </cell>
          <cell r="M365">
            <v>34200</v>
          </cell>
          <cell r="N365">
            <v>0</v>
          </cell>
          <cell r="O365">
            <v>525.30999999999995</v>
          </cell>
          <cell r="P365">
            <v>506.9</v>
          </cell>
          <cell r="Q365">
            <v>1632.01</v>
          </cell>
          <cell r="R365">
            <v>0</v>
          </cell>
          <cell r="S365">
            <v>0</v>
          </cell>
          <cell r="T365">
            <v>0</v>
          </cell>
          <cell r="U365">
            <v>36450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20750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7500</v>
          </cell>
          <cell r="BC365">
            <v>525.30999999999995</v>
          </cell>
          <cell r="BD365">
            <v>506.9</v>
          </cell>
          <cell r="BE365">
            <v>1632.01</v>
          </cell>
          <cell r="BF365">
            <v>1655.93</v>
          </cell>
          <cell r="BG365">
            <v>0</v>
          </cell>
          <cell r="BH365">
            <v>0</v>
          </cell>
          <cell r="BI365">
            <v>91400</v>
          </cell>
          <cell r="BK365">
            <v>0.15</v>
          </cell>
          <cell r="BL365">
            <v>2.4</v>
          </cell>
          <cell r="BM365">
            <v>0</v>
          </cell>
          <cell r="BN365">
            <v>0.6</v>
          </cell>
          <cell r="BO365">
            <v>110</v>
          </cell>
          <cell r="BP365">
            <v>0</v>
          </cell>
          <cell r="BQ365">
            <v>0</v>
          </cell>
          <cell r="BR365">
            <v>13.2</v>
          </cell>
        </row>
        <row r="366">
          <cell r="A366">
            <v>39442</v>
          </cell>
          <cell r="B366">
            <v>0</v>
          </cell>
          <cell r="C366">
            <v>0</v>
          </cell>
          <cell r="D366">
            <v>0</v>
          </cell>
          <cell r="F366">
            <v>500</v>
          </cell>
          <cell r="G366">
            <v>0</v>
          </cell>
          <cell r="H366">
            <v>0</v>
          </cell>
          <cell r="I366">
            <v>0</v>
          </cell>
          <cell r="J366">
            <v>1179.1600000000001</v>
          </cell>
          <cell r="K366">
            <v>0</v>
          </cell>
          <cell r="M366">
            <v>33500</v>
          </cell>
          <cell r="N366">
            <v>0</v>
          </cell>
          <cell r="O366">
            <v>517.72</v>
          </cell>
          <cell r="P366">
            <v>521.5</v>
          </cell>
          <cell r="Q366">
            <v>1631.02</v>
          </cell>
          <cell r="R366">
            <v>0</v>
          </cell>
          <cell r="S366">
            <v>0</v>
          </cell>
          <cell r="T366">
            <v>0</v>
          </cell>
          <cell r="U366">
            <v>33750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20750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500</v>
          </cell>
          <cell r="BC366">
            <v>517.72</v>
          </cell>
          <cell r="BD366">
            <v>521.5</v>
          </cell>
          <cell r="BE366">
            <v>1631.02</v>
          </cell>
          <cell r="BF366">
            <v>1179.1600000000001</v>
          </cell>
          <cell r="BG366">
            <v>0</v>
          </cell>
          <cell r="BH366">
            <v>0</v>
          </cell>
          <cell r="BI366">
            <v>88000</v>
          </cell>
          <cell r="BK366">
            <v>0.15</v>
          </cell>
          <cell r="BL366">
            <v>2.25</v>
          </cell>
          <cell r="BM366">
            <v>0</v>
          </cell>
          <cell r="BN366">
            <v>0.6</v>
          </cell>
          <cell r="BO366">
            <v>109.4</v>
          </cell>
          <cell r="BP366">
            <v>0</v>
          </cell>
          <cell r="BQ366">
            <v>0</v>
          </cell>
          <cell r="BR366">
            <v>13.2</v>
          </cell>
        </row>
        <row r="367">
          <cell r="A367">
            <v>39443</v>
          </cell>
          <cell r="B367">
            <v>0</v>
          </cell>
          <cell r="C367">
            <v>0</v>
          </cell>
          <cell r="D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826</v>
          </cell>
          <cell r="K367">
            <v>0</v>
          </cell>
          <cell r="M367">
            <v>32660</v>
          </cell>
          <cell r="N367">
            <v>0</v>
          </cell>
          <cell r="O367">
            <v>353.91</v>
          </cell>
          <cell r="P367">
            <v>341.66</v>
          </cell>
          <cell r="Q367">
            <v>1633</v>
          </cell>
          <cell r="R367">
            <v>0</v>
          </cell>
          <cell r="S367">
            <v>0</v>
          </cell>
          <cell r="T367">
            <v>0</v>
          </cell>
          <cell r="U367">
            <v>31400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20750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353.91</v>
          </cell>
          <cell r="BD367">
            <v>341.66</v>
          </cell>
          <cell r="BE367">
            <v>1633</v>
          </cell>
          <cell r="BF367">
            <v>826</v>
          </cell>
          <cell r="BG367">
            <v>0</v>
          </cell>
          <cell r="BH367">
            <v>0</v>
          </cell>
          <cell r="BI367">
            <v>84810</v>
          </cell>
          <cell r="BJ367">
            <v>3</v>
          </cell>
          <cell r="BK367">
            <v>0.125</v>
          </cell>
          <cell r="BL367">
            <v>5.125</v>
          </cell>
          <cell r="BM367">
            <v>0</v>
          </cell>
          <cell r="BN367">
            <v>0.4</v>
          </cell>
          <cell r="BO367">
            <v>109</v>
          </cell>
          <cell r="BP367">
            <v>0</v>
          </cell>
          <cell r="BQ367">
            <v>0</v>
          </cell>
          <cell r="BR367">
            <v>13.2</v>
          </cell>
        </row>
        <row r="368">
          <cell r="A368">
            <v>39444</v>
          </cell>
          <cell r="B368">
            <v>0</v>
          </cell>
          <cell r="C368">
            <v>0</v>
          </cell>
          <cell r="D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1688.3</v>
          </cell>
          <cell r="K368">
            <v>0</v>
          </cell>
          <cell r="M368">
            <v>30950</v>
          </cell>
          <cell r="N368">
            <v>0</v>
          </cell>
          <cell r="O368">
            <v>282.86</v>
          </cell>
          <cell r="P368">
            <v>351.89</v>
          </cell>
          <cell r="Q368">
            <v>1655.7</v>
          </cell>
          <cell r="R368">
            <v>0</v>
          </cell>
          <cell r="S368">
            <v>0</v>
          </cell>
          <cell r="T368">
            <v>0</v>
          </cell>
          <cell r="U368">
            <v>29000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20750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282.86</v>
          </cell>
          <cell r="BD368">
            <v>351.89</v>
          </cell>
          <cell r="BE368">
            <v>1655.7</v>
          </cell>
          <cell r="BF368">
            <v>1688.3</v>
          </cell>
          <cell r="BG368">
            <v>0</v>
          </cell>
          <cell r="BH368">
            <v>0</v>
          </cell>
          <cell r="BI368">
            <v>80700</v>
          </cell>
          <cell r="BK368">
            <v>0.15</v>
          </cell>
          <cell r="BL368">
            <v>4.9749999999999996</v>
          </cell>
          <cell r="BM368">
            <v>0</v>
          </cell>
          <cell r="BN368">
            <v>0.6</v>
          </cell>
          <cell r="BO368">
            <v>108.4</v>
          </cell>
          <cell r="BP368">
            <v>0</v>
          </cell>
          <cell r="BQ368">
            <v>0</v>
          </cell>
          <cell r="BR368">
            <v>13.2</v>
          </cell>
        </row>
        <row r="369">
          <cell r="A369">
            <v>39445</v>
          </cell>
          <cell r="B369">
            <v>0</v>
          </cell>
          <cell r="C369">
            <v>0</v>
          </cell>
          <cell r="D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1664.76</v>
          </cell>
          <cell r="K369">
            <v>0</v>
          </cell>
          <cell r="M369">
            <v>29250</v>
          </cell>
          <cell r="N369">
            <v>0</v>
          </cell>
          <cell r="O369">
            <v>526.70000000000005</v>
          </cell>
          <cell r="P369">
            <v>509.84</v>
          </cell>
          <cell r="Q369">
            <v>1654.72</v>
          </cell>
          <cell r="R369">
            <v>0</v>
          </cell>
          <cell r="S369">
            <v>0</v>
          </cell>
          <cell r="T369">
            <v>0</v>
          </cell>
          <cell r="U369">
            <v>26250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20750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526.70000000000005</v>
          </cell>
          <cell r="BD369">
            <v>509.84</v>
          </cell>
          <cell r="BE369">
            <v>1654.72</v>
          </cell>
          <cell r="BF369">
            <v>1664.76</v>
          </cell>
          <cell r="BG369">
            <v>0</v>
          </cell>
          <cell r="BH369">
            <v>0</v>
          </cell>
          <cell r="BI369">
            <v>76250</v>
          </cell>
          <cell r="BK369">
            <v>0.17499999999999999</v>
          </cell>
          <cell r="BL369">
            <v>4.8</v>
          </cell>
          <cell r="BM369">
            <v>0</v>
          </cell>
          <cell r="BN369">
            <v>1</v>
          </cell>
          <cell r="BO369">
            <v>107.4</v>
          </cell>
          <cell r="BP369">
            <v>0</v>
          </cell>
          <cell r="BQ369">
            <v>0</v>
          </cell>
          <cell r="BR369">
            <v>13.2</v>
          </cell>
        </row>
        <row r="370">
          <cell r="A370">
            <v>39446</v>
          </cell>
          <cell r="B370">
            <v>0</v>
          </cell>
          <cell r="C370">
            <v>0</v>
          </cell>
          <cell r="D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1669.66</v>
          </cell>
          <cell r="K370">
            <v>0</v>
          </cell>
          <cell r="M370">
            <v>27550</v>
          </cell>
          <cell r="N370">
            <v>0</v>
          </cell>
          <cell r="O370">
            <v>536.85</v>
          </cell>
          <cell r="P370">
            <v>526.49</v>
          </cell>
          <cell r="Q370">
            <v>1661.63</v>
          </cell>
          <cell r="R370">
            <v>0</v>
          </cell>
          <cell r="S370">
            <v>0</v>
          </cell>
          <cell r="T370">
            <v>0</v>
          </cell>
          <cell r="U370">
            <v>23500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20750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536.85</v>
          </cell>
          <cell r="BD370">
            <v>526.49</v>
          </cell>
          <cell r="BE370">
            <v>1661.63</v>
          </cell>
          <cell r="BF370">
            <v>1669.66</v>
          </cell>
          <cell r="BG370">
            <v>0</v>
          </cell>
          <cell r="BH370">
            <v>0</v>
          </cell>
          <cell r="BI370">
            <v>71800</v>
          </cell>
          <cell r="BK370">
            <v>0.15</v>
          </cell>
          <cell r="BL370">
            <v>4.6500000000000004</v>
          </cell>
          <cell r="BM370">
            <v>0</v>
          </cell>
          <cell r="BN370">
            <v>0.8</v>
          </cell>
          <cell r="BO370">
            <v>106.6</v>
          </cell>
          <cell r="BP370">
            <v>0</v>
          </cell>
          <cell r="BQ370">
            <v>0</v>
          </cell>
          <cell r="BR370">
            <v>13.2</v>
          </cell>
        </row>
        <row r="371">
          <cell r="A371">
            <v>39447</v>
          </cell>
          <cell r="B371">
            <v>0</v>
          </cell>
          <cell r="C371">
            <v>0</v>
          </cell>
          <cell r="D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1814.85</v>
          </cell>
          <cell r="K371">
            <v>0</v>
          </cell>
          <cell r="M371">
            <v>25700</v>
          </cell>
          <cell r="N371">
            <v>0</v>
          </cell>
          <cell r="O371">
            <v>526.05999999999995</v>
          </cell>
          <cell r="P371">
            <v>520.78</v>
          </cell>
          <cell r="Q371">
            <v>1631.02</v>
          </cell>
          <cell r="R371">
            <v>0</v>
          </cell>
          <cell r="S371">
            <v>0</v>
          </cell>
          <cell r="T371">
            <v>0</v>
          </cell>
          <cell r="U371">
            <v>20800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20750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526.05999999999995</v>
          </cell>
          <cell r="BD371">
            <v>520.78</v>
          </cell>
          <cell r="BE371">
            <v>1631.02</v>
          </cell>
          <cell r="BF371">
            <v>1814.85</v>
          </cell>
          <cell r="BG371">
            <v>0</v>
          </cell>
          <cell r="BH371">
            <v>0</v>
          </cell>
          <cell r="BI371">
            <v>67250</v>
          </cell>
          <cell r="BK371">
            <v>0.15</v>
          </cell>
          <cell r="BL371">
            <v>4.5</v>
          </cell>
          <cell r="BM371">
            <v>0</v>
          </cell>
          <cell r="BN371">
            <v>0.6</v>
          </cell>
          <cell r="BO371">
            <v>106</v>
          </cell>
          <cell r="BP371">
            <v>0</v>
          </cell>
          <cell r="BQ371">
            <v>0</v>
          </cell>
          <cell r="BR371">
            <v>13.2</v>
          </cell>
        </row>
        <row r="372">
          <cell r="A372" t="str">
            <v>Suma</v>
          </cell>
          <cell r="B372">
            <v>0</v>
          </cell>
          <cell r="C372">
            <v>939</v>
          </cell>
          <cell r="D372">
            <v>2171.31</v>
          </cell>
          <cell r="E372">
            <v>0</v>
          </cell>
          <cell r="F372">
            <v>508253.973</v>
          </cell>
          <cell r="G372">
            <v>0</v>
          </cell>
          <cell r="H372">
            <v>0</v>
          </cell>
          <cell r="I372">
            <v>26452.532999999999</v>
          </cell>
          <cell r="J372">
            <v>434292.44579999993</v>
          </cell>
          <cell r="K372">
            <v>18089.393999999993</v>
          </cell>
          <cell r="L372">
            <v>26236.792000000009</v>
          </cell>
          <cell r="M372">
            <v>25700</v>
          </cell>
          <cell r="N372">
            <v>490937.321</v>
          </cell>
          <cell r="O372">
            <v>39318.369599999976</v>
          </cell>
          <cell r="P372">
            <v>39368.725999999995</v>
          </cell>
          <cell r="Q372">
            <v>399931.49799999996</v>
          </cell>
          <cell r="R372">
            <v>30226.75</v>
          </cell>
          <cell r="S372">
            <v>305</v>
          </cell>
          <cell r="T372">
            <v>0</v>
          </cell>
          <cell r="U372">
            <v>20800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184955.1</v>
          </cell>
          <cell r="AE372">
            <v>67062.714599999992</v>
          </cell>
          <cell r="AF372">
            <v>95924.039999999979</v>
          </cell>
          <cell r="AG372">
            <v>8437</v>
          </cell>
          <cell r="AH372">
            <v>0</v>
          </cell>
          <cell r="AI372">
            <v>214.70000000000002</v>
          </cell>
          <cell r="AJ372">
            <v>0</v>
          </cell>
          <cell r="AK372">
            <v>20750</v>
          </cell>
          <cell r="AL372">
            <v>0</v>
          </cell>
          <cell r="AM372">
            <v>7093.4119560000008</v>
          </cell>
          <cell r="AN372">
            <v>6470.9218519999995</v>
          </cell>
          <cell r="AO372">
            <v>0</v>
          </cell>
          <cell r="AP372">
            <v>14038.746192000001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1189681.8810000001</v>
          </cell>
          <cell r="BC372">
            <v>113254.44415600003</v>
          </cell>
          <cell r="BD372">
            <v>141555.18785199997</v>
          </cell>
          <cell r="BE372">
            <v>434341.38</v>
          </cell>
          <cell r="BF372">
            <v>479909.05499199993</v>
          </cell>
          <cell r="BG372">
            <v>18458.98</v>
          </cell>
          <cell r="BH372">
            <v>26236.792000000009</v>
          </cell>
          <cell r="BI372">
            <v>67250</v>
          </cell>
          <cell r="BJ372">
            <v>66.06</v>
          </cell>
          <cell r="BK372">
            <v>52.950000000000024</v>
          </cell>
          <cell r="BL372">
            <v>4.5</v>
          </cell>
          <cell r="BM372">
            <v>266.83999999999997</v>
          </cell>
          <cell r="BN372">
            <v>221.93269999999995</v>
          </cell>
          <cell r="BO372">
            <v>106</v>
          </cell>
          <cell r="BP372">
            <v>54.537999999999997</v>
          </cell>
          <cell r="BQ372">
            <v>36.536000000000001</v>
          </cell>
          <cell r="BR372">
            <v>13.2</v>
          </cell>
        </row>
        <row r="374">
          <cell r="B374">
            <v>0</v>
          </cell>
          <cell r="C374">
            <v>0</v>
          </cell>
          <cell r="D374">
            <v>2171.31</v>
          </cell>
          <cell r="F374">
            <v>45586.928</v>
          </cell>
          <cell r="J374">
            <v>33892.974799999996</v>
          </cell>
          <cell r="K374">
            <v>2396.1669999999999</v>
          </cell>
          <cell r="L374">
            <v>3698</v>
          </cell>
          <cell r="N374">
            <v>21143.769</v>
          </cell>
          <cell r="Q374">
            <v>40257.4</v>
          </cell>
          <cell r="T374">
            <v>0</v>
          </cell>
          <cell r="AD374">
            <v>33497.569000000003</v>
          </cell>
          <cell r="AE374">
            <v>8065.5646000000015</v>
          </cell>
          <cell r="AF374">
            <v>9286.89</v>
          </cell>
          <cell r="AJ374">
            <v>0</v>
          </cell>
          <cell r="AL374">
            <v>0</v>
          </cell>
          <cell r="AM374">
            <v>5571.4359560000012</v>
          </cell>
          <cell r="AN374">
            <v>4914.7938519999989</v>
          </cell>
          <cell r="AO374">
            <v>0</v>
          </cell>
          <cell r="AP374">
            <v>12569.850192</v>
          </cell>
          <cell r="AR374">
            <v>0</v>
          </cell>
          <cell r="BJ374">
            <v>6</v>
          </cell>
          <cell r="BK374">
            <v>5.125</v>
          </cell>
          <cell r="BM374">
            <v>0</v>
          </cell>
          <cell r="BN374">
            <v>19.891999999999999</v>
          </cell>
        </row>
        <row r="375">
          <cell r="A375" t="str">
            <v>STYCZEŃ</v>
          </cell>
          <cell r="B375">
            <v>0</v>
          </cell>
          <cell r="C375">
            <v>0</v>
          </cell>
          <cell r="D375">
            <v>0</v>
          </cell>
          <cell r="F375">
            <v>2.0000000004074536E-3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-7.1669999999999163</v>
          </cell>
          <cell r="L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-0.18400000000110595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B375">
            <v>100228.268</v>
          </cell>
          <cell r="BC375">
            <v>13637.000556000001</v>
          </cell>
          <cell r="BD375">
            <v>14201.683852</v>
          </cell>
          <cell r="BE375">
            <v>40257.216</v>
          </cell>
          <cell r="BF375">
            <v>46462.824991999994</v>
          </cell>
          <cell r="BG375">
            <v>2389</v>
          </cell>
          <cell r="BH375">
            <v>3698</v>
          </cell>
          <cell r="BJ375">
            <v>0</v>
          </cell>
          <cell r="BK375">
            <v>0</v>
          </cell>
          <cell r="BM375">
            <v>0</v>
          </cell>
          <cell r="BN375">
            <v>0</v>
          </cell>
          <cell r="BP375">
            <v>0</v>
          </cell>
          <cell r="BQ375">
            <v>0</v>
          </cell>
        </row>
        <row r="376">
          <cell r="B376">
            <v>0</v>
          </cell>
          <cell r="C376">
            <v>0</v>
          </cell>
          <cell r="D376">
            <v>2171.31</v>
          </cell>
          <cell r="F376">
            <v>45586.93</v>
          </cell>
          <cell r="G376">
            <v>0</v>
          </cell>
          <cell r="H376">
            <v>0</v>
          </cell>
          <cell r="I376">
            <v>0</v>
          </cell>
          <cell r="J376">
            <v>33892.974799999996</v>
          </cell>
          <cell r="K376">
            <v>2389</v>
          </cell>
          <cell r="L376">
            <v>3698</v>
          </cell>
          <cell r="N376">
            <v>21143.769</v>
          </cell>
          <cell r="O376">
            <v>0</v>
          </cell>
          <cell r="P376">
            <v>0</v>
          </cell>
          <cell r="Q376">
            <v>40257.216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D376">
            <v>33497.569000000003</v>
          </cell>
          <cell r="AE376">
            <v>8065.5646000000015</v>
          </cell>
          <cell r="AF376">
            <v>9286.89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L376">
            <v>0</v>
          </cell>
          <cell r="AM376">
            <v>5571.4359560000012</v>
          </cell>
          <cell r="AN376">
            <v>4914.7938519999989</v>
          </cell>
          <cell r="AO376">
            <v>0</v>
          </cell>
          <cell r="AP376">
            <v>12569.850192</v>
          </cell>
          <cell r="AQ376">
            <v>0</v>
          </cell>
          <cell r="AR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B376">
            <v>100228.268</v>
          </cell>
          <cell r="BC376">
            <v>13637.000556000001</v>
          </cell>
          <cell r="BD376">
            <v>14201.683852</v>
          </cell>
          <cell r="BE376">
            <v>40257.216</v>
          </cell>
          <cell r="BF376">
            <v>46462.824991999994</v>
          </cell>
          <cell r="BG376">
            <v>2389</v>
          </cell>
          <cell r="BH376">
            <v>3698</v>
          </cell>
          <cell r="BJ376">
            <v>6</v>
          </cell>
          <cell r="BK376">
            <v>5.1249999999999991</v>
          </cell>
          <cell r="BM376">
            <v>0</v>
          </cell>
          <cell r="BN376">
            <v>19.892000000000003</v>
          </cell>
          <cell r="BP376">
            <v>0</v>
          </cell>
          <cell r="BQ376">
            <v>0</v>
          </cell>
        </row>
        <row r="378">
          <cell r="F378">
            <v>34140.120999999999</v>
          </cell>
          <cell r="J378">
            <v>34818.300000000003</v>
          </cell>
          <cell r="K378">
            <v>1681.4</v>
          </cell>
          <cell r="N378">
            <v>25555.484</v>
          </cell>
          <cell r="AD378">
            <v>18188.919000000002</v>
          </cell>
          <cell r="AI378">
            <v>214.7</v>
          </cell>
          <cell r="AL378">
            <v>0</v>
          </cell>
          <cell r="AR378">
            <v>0</v>
          </cell>
          <cell r="BJ378">
            <v>1</v>
          </cell>
          <cell r="BK378">
            <v>4.4080000000000004</v>
          </cell>
          <cell r="BM378">
            <v>33.42</v>
          </cell>
          <cell r="BN378">
            <v>17.471</v>
          </cell>
        </row>
        <row r="379">
          <cell r="A379" t="str">
            <v>LUTY</v>
          </cell>
          <cell r="B379">
            <v>0</v>
          </cell>
          <cell r="C379">
            <v>0</v>
          </cell>
          <cell r="D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N379">
            <v>0</v>
          </cell>
          <cell r="O379">
            <v>2690.2536</v>
          </cell>
          <cell r="P379">
            <v>3740.2280000000001</v>
          </cell>
          <cell r="Q379">
            <v>25807.518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D379">
            <v>0</v>
          </cell>
          <cell r="AE379">
            <v>7672</v>
          </cell>
          <cell r="AF379">
            <v>3638</v>
          </cell>
          <cell r="AG379">
            <v>8437</v>
          </cell>
          <cell r="AH379">
            <v>0</v>
          </cell>
          <cell r="AI379">
            <v>0</v>
          </cell>
          <cell r="AJ379">
            <v>0</v>
          </cell>
          <cell r="AL379">
            <v>0</v>
          </cell>
          <cell r="AM379">
            <v>1521.9760000000001</v>
          </cell>
          <cell r="AN379">
            <v>1536.1280000000002</v>
          </cell>
          <cell r="AO379">
            <v>0</v>
          </cell>
          <cell r="AP379">
            <v>1468.8960000000002</v>
          </cell>
          <cell r="AQ379">
            <v>0</v>
          </cell>
          <cell r="AR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B379">
            <v>77884.524000000005</v>
          </cell>
          <cell r="BC379">
            <v>11884.229600000001</v>
          </cell>
          <cell r="BD379">
            <v>8914.3559999999998</v>
          </cell>
          <cell r="BE379">
            <v>34244.518000000004</v>
          </cell>
          <cell r="BF379">
            <v>36287.195999999996</v>
          </cell>
          <cell r="BG379">
            <v>1896.1</v>
          </cell>
          <cell r="BH379">
            <v>0</v>
          </cell>
          <cell r="BJ379">
            <v>0</v>
          </cell>
          <cell r="BK379">
            <v>0</v>
          </cell>
          <cell r="BM379">
            <v>-2.0000000000003126E-2</v>
          </cell>
          <cell r="BN379">
            <v>0</v>
          </cell>
          <cell r="BP379">
            <v>0</v>
          </cell>
          <cell r="BQ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F380">
            <v>34140.120999999999</v>
          </cell>
          <cell r="G380">
            <v>0</v>
          </cell>
          <cell r="H380">
            <v>0</v>
          </cell>
          <cell r="I380">
            <v>0</v>
          </cell>
          <cell r="J380">
            <v>34818.299999999996</v>
          </cell>
          <cell r="K380">
            <v>1681.3999999999999</v>
          </cell>
          <cell r="L380">
            <v>0</v>
          </cell>
          <cell r="N380">
            <v>25555.484</v>
          </cell>
          <cell r="O380">
            <v>2690.2536</v>
          </cell>
          <cell r="P380">
            <v>3740.2280000000001</v>
          </cell>
          <cell r="Q380">
            <v>25807.518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D380">
            <v>18188.919000000002</v>
          </cell>
          <cell r="AE380">
            <v>7672</v>
          </cell>
          <cell r="AF380">
            <v>3638</v>
          </cell>
          <cell r="AG380">
            <v>8437</v>
          </cell>
          <cell r="AH380">
            <v>0</v>
          </cell>
          <cell r="AI380">
            <v>214.70000000000002</v>
          </cell>
          <cell r="AJ380">
            <v>0</v>
          </cell>
          <cell r="AL380">
            <v>0</v>
          </cell>
          <cell r="AM380">
            <v>1521.9760000000001</v>
          </cell>
          <cell r="AN380">
            <v>1536.1280000000002</v>
          </cell>
          <cell r="AO380">
            <v>0</v>
          </cell>
          <cell r="AP380">
            <v>1468.8960000000002</v>
          </cell>
          <cell r="AQ380">
            <v>0</v>
          </cell>
          <cell r="AR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B380">
            <v>77884.524000000005</v>
          </cell>
          <cell r="BC380">
            <v>11884.229600000001</v>
          </cell>
          <cell r="BD380">
            <v>8914.3559999999998</v>
          </cell>
          <cell r="BE380">
            <v>34244.518000000004</v>
          </cell>
          <cell r="BF380">
            <v>36287.195999999996</v>
          </cell>
          <cell r="BG380">
            <v>1896.1</v>
          </cell>
          <cell r="BH380">
            <v>0</v>
          </cell>
          <cell r="BJ380">
            <v>1</v>
          </cell>
          <cell r="BK380">
            <v>4.4079999999999995</v>
          </cell>
          <cell r="BM380">
            <v>33.4</v>
          </cell>
          <cell r="BN380">
            <v>17.471</v>
          </cell>
          <cell r="BP380">
            <v>0</v>
          </cell>
          <cell r="BQ380">
            <v>0</v>
          </cell>
        </row>
        <row r="382">
          <cell r="F382">
            <v>48183</v>
          </cell>
          <cell r="J382">
            <v>45747</v>
          </cell>
          <cell r="K382">
            <v>1642</v>
          </cell>
          <cell r="L382">
            <v>3990.2</v>
          </cell>
          <cell r="N382">
            <v>77444</v>
          </cell>
          <cell r="Q382">
            <v>41178</v>
          </cell>
          <cell r="AD382">
            <v>17782</v>
          </cell>
          <cell r="AE382">
            <v>10012</v>
          </cell>
          <cell r="AF382">
            <v>13952</v>
          </cell>
          <cell r="BJ382">
            <v>22</v>
          </cell>
          <cell r="BK382">
            <v>5.3920000000000003</v>
          </cell>
          <cell r="BM382">
            <v>67</v>
          </cell>
          <cell r="BN382">
            <v>13.157</v>
          </cell>
        </row>
        <row r="383">
          <cell r="A383" t="str">
            <v>MARZEC</v>
          </cell>
          <cell r="B383">
            <v>0</v>
          </cell>
          <cell r="C383">
            <v>0</v>
          </cell>
          <cell r="D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3.999999999996362E-2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B383">
            <v>143409</v>
          </cell>
          <cell r="BC383">
            <v>10012</v>
          </cell>
          <cell r="BD383">
            <v>13952</v>
          </cell>
          <cell r="BE383">
            <v>41178</v>
          </cell>
          <cell r="BF383">
            <v>45747</v>
          </cell>
          <cell r="BG383">
            <v>1642</v>
          </cell>
          <cell r="BH383">
            <v>3990.24</v>
          </cell>
          <cell r="BJ383">
            <v>0</v>
          </cell>
          <cell r="BK383">
            <v>0</v>
          </cell>
          <cell r="BM383">
            <v>0</v>
          </cell>
          <cell r="BN383">
            <v>0</v>
          </cell>
          <cell r="BP383">
            <v>0</v>
          </cell>
          <cell r="BQ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F384">
            <v>48183</v>
          </cell>
          <cell r="G384">
            <v>0</v>
          </cell>
          <cell r="H384">
            <v>0</v>
          </cell>
          <cell r="I384">
            <v>0</v>
          </cell>
          <cell r="J384">
            <v>45747</v>
          </cell>
          <cell r="K384">
            <v>1642</v>
          </cell>
          <cell r="L384">
            <v>3990.24</v>
          </cell>
          <cell r="N384">
            <v>77444</v>
          </cell>
          <cell r="O384">
            <v>0</v>
          </cell>
          <cell r="P384">
            <v>0</v>
          </cell>
          <cell r="Q384">
            <v>41178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D384">
            <v>17782</v>
          </cell>
          <cell r="AE384">
            <v>10012</v>
          </cell>
          <cell r="AF384">
            <v>13952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B384">
            <v>143409</v>
          </cell>
          <cell r="BC384">
            <v>10012</v>
          </cell>
          <cell r="BD384">
            <v>13952</v>
          </cell>
          <cell r="BE384">
            <v>41178</v>
          </cell>
          <cell r="BF384">
            <v>45747</v>
          </cell>
          <cell r="BG384">
            <v>1642</v>
          </cell>
          <cell r="BH384">
            <v>3990.24</v>
          </cell>
          <cell r="BJ384">
            <v>22</v>
          </cell>
          <cell r="BK384">
            <v>5.3920000000000021</v>
          </cell>
          <cell r="BM384">
            <v>67</v>
          </cell>
          <cell r="BN384">
            <v>13.157000000000002</v>
          </cell>
          <cell r="BP384">
            <v>0</v>
          </cell>
          <cell r="BQ384">
            <v>0</v>
          </cell>
        </row>
        <row r="386">
          <cell r="F386">
            <v>61592.112999999998</v>
          </cell>
          <cell r="G386">
            <v>0</v>
          </cell>
          <cell r="H386">
            <v>0</v>
          </cell>
          <cell r="I386">
            <v>0</v>
          </cell>
          <cell r="J386">
            <v>43731.7</v>
          </cell>
          <cell r="K386">
            <v>839</v>
          </cell>
          <cell r="N386">
            <v>21638.06</v>
          </cell>
          <cell r="O386">
            <v>5401</v>
          </cell>
          <cell r="P386">
            <v>5130</v>
          </cell>
          <cell r="Q386">
            <v>37685.599999999999</v>
          </cell>
          <cell r="R386">
            <v>0</v>
          </cell>
          <cell r="S386">
            <v>0</v>
          </cell>
          <cell r="T386">
            <v>0</v>
          </cell>
          <cell r="AD386">
            <v>16090.040999999999</v>
          </cell>
          <cell r="AE386">
            <v>7850</v>
          </cell>
          <cell r="AF386">
            <v>8011.6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BJ386">
            <v>6</v>
          </cell>
          <cell r="BK386">
            <v>4.9249999999999998</v>
          </cell>
          <cell r="BM386">
            <v>32.68</v>
          </cell>
          <cell r="BN386">
            <v>14.898999999999999</v>
          </cell>
          <cell r="BP386">
            <v>28.538</v>
          </cell>
        </row>
        <row r="387">
          <cell r="A387" t="str">
            <v>KWIECIEŃ</v>
          </cell>
          <cell r="B387">
            <v>0</v>
          </cell>
          <cell r="C387">
            <v>0</v>
          </cell>
          <cell r="D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J387">
            <v>0</v>
          </cell>
          <cell r="BK387">
            <v>0</v>
          </cell>
          <cell r="BM387">
            <v>0</v>
          </cell>
          <cell r="BN387">
            <v>0</v>
          </cell>
          <cell r="BP387">
            <v>0</v>
          </cell>
          <cell r="BQ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F388">
            <v>61592.112999999998</v>
          </cell>
          <cell r="G388">
            <v>0</v>
          </cell>
          <cell r="H388">
            <v>0</v>
          </cell>
          <cell r="I388">
            <v>0</v>
          </cell>
          <cell r="J388">
            <v>43731.7</v>
          </cell>
          <cell r="K388">
            <v>838</v>
          </cell>
          <cell r="L388">
            <v>2866.6700000000005</v>
          </cell>
          <cell r="N388">
            <v>21638.06</v>
          </cell>
          <cell r="O388">
            <v>5401</v>
          </cell>
          <cell r="P388">
            <v>5130</v>
          </cell>
          <cell r="Q388">
            <v>37685.599999999999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D388">
            <v>16090.040999999999</v>
          </cell>
          <cell r="AE388">
            <v>7850</v>
          </cell>
          <cell r="AF388">
            <v>8011.6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B388">
            <v>99320.213999999993</v>
          </cell>
          <cell r="BC388">
            <v>13251</v>
          </cell>
          <cell r="BD388">
            <v>13141.6</v>
          </cell>
          <cell r="BE388">
            <v>37685.599999999999</v>
          </cell>
          <cell r="BF388">
            <v>43731.7</v>
          </cell>
          <cell r="BG388">
            <v>838</v>
          </cell>
          <cell r="BH388">
            <v>2866.6700000000005</v>
          </cell>
          <cell r="BJ388">
            <v>6</v>
          </cell>
          <cell r="BK388">
            <v>4.9249999999999989</v>
          </cell>
          <cell r="BM388">
            <v>32.68</v>
          </cell>
          <cell r="BN388">
            <v>14.899000000000001</v>
          </cell>
          <cell r="BP388">
            <v>28.538</v>
          </cell>
          <cell r="BQ388">
            <v>10.8</v>
          </cell>
        </row>
        <row r="390">
          <cell r="B390">
            <v>0</v>
          </cell>
          <cell r="C390">
            <v>395</v>
          </cell>
          <cell r="D390">
            <v>0</v>
          </cell>
          <cell r="F390">
            <v>55801.728999999999</v>
          </cell>
          <cell r="G390">
            <v>0</v>
          </cell>
          <cell r="H390">
            <v>0</v>
          </cell>
          <cell r="I390">
            <v>0</v>
          </cell>
          <cell r="J390">
            <v>45669.56</v>
          </cell>
          <cell r="K390">
            <v>1234</v>
          </cell>
          <cell r="L390">
            <v>0</v>
          </cell>
          <cell r="N390">
            <v>47018.006000000001</v>
          </cell>
          <cell r="O390">
            <v>8200</v>
          </cell>
          <cell r="P390">
            <v>8437</v>
          </cell>
          <cell r="Q390">
            <v>13777.923000000001</v>
          </cell>
          <cell r="R390">
            <v>0</v>
          </cell>
          <cell r="S390">
            <v>0</v>
          </cell>
          <cell r="T390">
            <v>0</v>
          </cell>
          <cell r="AD390">
            <v>0</v>
          </cell>
          <cell r="AE390">
            <v>5050</v>
          </cell>
          <cell r="AF390">
            <v>5106.9920000000002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BJ390">
            <v>2.2000000000000002</v>
          </cell>
          <cell r="BK390">
            <v>3.831</v>
          </cell>
          <cell r="BM390">
            <v>0</v>
          </cell>
          <cell r="BN390">
            <v>13.877000000000001</v>
          </cell>
          <cell r="BP390">
            <v>0</v>
          </cell>
          <cell r="BQ390">
            <v>0</v>
          </cell>
        </row>
        <row r="391">
          <cell r="A391" t="str">
            <v>MAJ</v>
          </cell>
          <cell r="B391">
            <v>0</v>
          </cell>
          <cell r="C391">
            <v>0</v>
          </cell>
          <cell r="D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B391">
            <v>102819.73499999999</v>
          </cell>
          <cell r="BC391">
            <v>13250</v>
          </cell>
          <cell r="BD391">
            <v>13543.992</v>
          </cell>
          <cell r="BE391">
            <v>13777.923000000001</v>
          </cell>
          <cell r="BF391">
            <v>45669.56</v>
          </cell>
          <cell r="BG391">
            <v>1234</v>
          </cell>
          <cell r="BH391">
            <v>0</v>
          </cell>
          <cell r="BJ391">
            <v>0</v>
          </cell>
          <cell r="BK391">
            <v>0</v>
          </cell>
          <cell r="BM391">
            <v>0</v>
          </cell>
          <cell r="BN391">
            <v>0</v>
          </cell>
          <cell r="BP391">
            <v>0</v>
          </cell>
          <cell r="BQ391">
            <v>0</v>
          </cell>
        </row>
        <row r="392">
          <cell r="B392">
            <v>0</v>
          </cell>
          <cell r="C392">
            <v>395</v>
          </cell>
          <cell r="D392">
            <v>0</v>
          </cell>
          <cell r="F392">
            <v>55801.728999999999</v>
          </cell>
          <cell r="G392">
            <v>0</v>
          </cell>
          <cell r="H392">
            <v>0</v>
          </cell>
          <cell r="I392">
            <v>0</v>
          </cell>
          <cell r="J392">
            <v>45669.56</v>
          </cell>
          <cell r="K392">
            <v>1234</v>
          </cell>
          <cell r="L392">
            <v>0</v>
          </cell>
          <cell r="N392">
            <v>47018.006000000001</v>
          </cell>
          <cell r="O392">
            <v>8200</v>
          </cell>
          <cell r="P392">
            <v>8437</v>
          </cell>
          <cell r="Q392">
            <v>13777.923000000001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D392">
            <v>0</v>
          </cell>
          <cell r="AE392">
            <v>5050</v>
          </cell>
          <cell r="AF392">
            <v>5106.9920000000002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B392">
            <v>102819.73499999999</v>
          </cell>
          <cell r="BC392">
            <v>13250</v>
          </cell>
          <cell r="BD392">
            <v>13543.992</v>
          </cell>
          <cell r="BE392">
            <v>13777.923000000001</v>
          </cell>
          <cell r="BF392">
            <v>45669.56</v>
          </cell>
          <cell r="BG392">
            <v>1234</v>
          </cell>
          <cell r="BH392">
            <v>0</v>
          </cell>
          <cell r="BJ392">
            <v>2.2000000000000002</v>
          </cell>
          <cell r="BK392">
            <v>3.8310000000000013</v>
          </cell>
          <cell r="BM392">
            <v>0</v>
          </cell>
          <cell r="BN392">
            <v>13.877000000000002</v>
          </cell>
          <cell r="BP392">
            <v>0</v>
          </cell>
          <cell r="BQ392">
            <v>0</v>
          </cell>
        </row>
        <row r="394">
          <cell r="F394">
            <v>47645.4</v>
          </cell>
          <cell r="G394">
            <v>0</v>
          </cell>
          <cell r="H394">
            <v>0</v>
          </cell>
          <cell r="N394">
            <v>44655.709000000003</v>
          </cell>
          <cell r="O394">
            <v>1455</v>
          </cell>
          <cell r="P394">
            <v>2600</v>
          </cell>
          <cell r="Q394">
            <v>22955.611000000001</v>
          </cell>
          <cell r="R394">
            <v>13648</v>
          </cell>
          <cell r="S394">
            <v>0</v>
          </cell>
          <cell r="T394">
            <v>0</v>
          </cell>
          <cell r="AD394">
            <v>14533.352000000001</v>
          </cell>
          <cell r="AE394">
            <v>10030</v>
          </cell>
          <cell r="AF394">
            <v>10602.518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L394">
            <v>0</v>
          </cell>
          <cell r="AM394">
            <v>0</v>
          </cell>
          <cell r="AN394">
            <v>20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BK394">
            <v>4.7039999999999997</v>
          </cell>
          <cell r="BM394">
            <v>0</v>
          </cell>
          <cell r="BN394">
            <v>30.922000000000001</v>
          </cell>
          <cell r="BP394">
            <v>0</v>
          </cell>
          <cell r="BQ394">
            <v>0</v>
          </cell>
        </row>
        <row r="395">
          <cell r="A395" t="str">
            <v>CZERWIEC</v>
          </cell>
          <cell r="B395">
            <v>0</v>
          </cell>
          <cell r="C395">
            <v>544</v>
          </cell>
          <cell r="D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9830</v>
          </cell>
          <cell r="J395">
            <v>24873</v>
          </cell>
          <cell r="K395">
            <v>2248.8599999999997</v>
          </cell>
          <cell r="L395">
            <v>926.20999999999992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305</v>
          </cell>
          <cell r="T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B395">
            <v>106834.461</v>
          </cell>
          <cell r="BC395">
            <v>11485</v>
          </cell>
          <cell r="BD395">
            <v>13222.518</v>
          </cell>
          <cell r="BE395">
            <v>32785.610999999997</v>
          </cell>
          <cell r="BF395">
            <v>38521</v>
          </cell>
          <cell r="BG395">
            <v>2553.8599999999997</v>
          </cell>
          <cell r="BH395">
            <v>926.20999999999992</v>
          </cell>
          <cell r="BJ395">
            <v>6</v>
          </cell>
          <cell r="BK395">
            <v>0</v>
          </cell>
          <cell r="BM395">
            <v>0</v>
          </cell>
          <cell r="BN395">
            <v>0</v>
          </cell>
          <cell r="BP395">
            <v>0</v>
          </cell>
          <cell r="BQ395">
            <v>0</v>
          </cell>
        </row>
        <row r="396">
          <cell r="B396">
            <v>0</v>
          </cell>
          <cell r="C396">
            <v>544</v>
          </cell>
          <cell r="D396">
            <v>0</v>
          </cell>
          <cell r="F396">
            <v>47645.4</v>
          </cell>
          <cell r="G396">
            <v>0</v>
          </cell>
          <cell r="H396">
            <v>0</v>
          </cell>
          <cell r="I396">
            <v>9830</v>
          </cell>
          <cell r="J396">
            <v>24873</v>
          </cell>
          <cell r="K396">
            <v>2248.8599999999997</v>
          </cell>
          <cell r="L396">
            <v>926.20999999999992</v>
          </cell>
          <cell r="N396">
            <v>44655.709000000003</v>
          </cell>
          <cell r="O396">
            <v>1455</v>
          </cell>
          <cell r="P396">
            <v>2600</v>
          </cell>
          <cell r="Q396">
            <v>22955.611000000001</v>
          </cell>
          <cell r="R396">
            <v>13648</v>
          </cell>
          <cell r="S396">
            <v>305</v>
          </cell>
          <cell r="T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D396">
            <v>14533.352000000001</v>
          </cell>
          <cell r="AE396">
            <v>10030</v>
          </cell>
          <cell r="AF396">
            <v>10602.518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L396">
            <v>0</v>
          </cell>
          <cell r="AM396">
            <v>0</v>
          </cell>
          <cell r="AN396">
            <v>20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B396">
            <v>106834.461</v>
          </cell>
          <cell r="BC396">
            <v>11485</v>
          </cell>
          <cell r="BD396">
            <v>13222.518</v>
          </cell>
          <cell r="BE396">
            <v>32785.610999999997</v>
          </cell>
          <cell r="BF396">
            <v>38521</v>
          </cell>
          <cell r="BG396">
            <v>2553.8599999999997</v>
          </cell>
          <cell r="BH396">
            <v>926.20999999999992</v>
          </cell>
          <cell r="BJ396">
            <v>6</v>
          </cell>
          <cell r="BK396">
            <v>4.7040000000000006</v>
          </cell>
          <cell r="BM396">
            <v>0</v>
          </cell>
          <cell r="BN396">
            <v>30.921999999999997</v>
          </cell>
          <cell r="BP396">
            <v>0</v>
          </cell>
          <cell r="BQ396">
            <v>0</v>
          </cell>
        </row>
        <row r="398">
          <cell r="F398">
            <v>53630.32</v>
          </cell>
          <cell r="J398">
            <v>39440.974000000002</v>
          </cell>
          <cell r="K398">
            <v>2849.16</v>
          </cell>
          <cell r="L398">
            <v>2844.26</v>
          </cell>
          <cell r="N398">
            <v>45083.288999999997</v>
          </cell>
          <cell r="O398">
            <v>3160.154</v>
          </cell>
          <cell r="P398">
            <v>3698.828</v>
          </cell>
          <cell r="Q398">
            <v>38292.982000000004</v>
          </cell>
          <cell r="AD398">
            <v>26584.09</v>
          </cell>
          <cell r="AE398">
            <v>1078.28</v>
          </cell>
          <cell r="AF398">
            <v>8443.0300000000007</v>
          </cell>
          <cell r="BJ398">
            <v>4.7</v>
          </cell>
          <cell r="BK398">
            <v>4.9500000000000011</v>
          </cell>
          <cell r="BM398">
            <v>67.58</v>
          </cell>
          <cell r="BN398">
            <v>11.93</v>
          </cell>
        </row>
        <row r="399">
          <cell r="A399" t="str">
            <v>LIPIEC</v>
          </cell>
          <cell r="B399">
            <v>0</v>
          </cell>
          <cell r="C399">
            <v>0</v>
          </cell>
          <cell r="D399">
            <v>0</v>
          </cell>
          <cell r="F399">
            <v>-1.9999999996798579E-2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1.9999999999527063E-3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B399">
            <v>125297.679</v>
          </cell>
          <cell r="BC399">
            <v>4238.4340000000002</v>
          </cell>
          <cell r="BD399">
            <v>12141.858</v>
          </cell>
          <cell r="BE399">
            <v>38292.982000000004</v>
          </cell>
          <cell r="BF399">
            <v>39440.974000000002</v>
          </cell>
          <cell r="BG399">
            <v>2849.1600000000003</v>
          </cell>
          <cell r="BH399">
            <v>2844.2620000000002</v>
          </cell>
          <cell r="BJ399">
            <v>0</v>
          </cell>
          <cell r="BK399">
            <v>0</v>
          </cell>
          <cell r="BM399">
            <v>0</v>
          </cell>
          <cell r="BN399">
            <v>0</v>
          </cell>
          <cell r="BP399">
            <v>0</v>
          </cell>
          <cell r="BQ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F400">
            <v>53630.3</v>
          </cell>
          <cell r="G400">
            <v>0</v>
          </cell>
          <cell r="H400">
            <v>0</v>
          </cell>
          <cell r="I400">
            <v>0</v>
          </cell>
          <cell r="J400">
            <v>39440.974000000002</v>
          </cell>
          <cell r="K400">
            <v>2849.1600000000003</v>
          </cell>
          <cell r="L400">
            <v>2844.2620000000002</v>
          </cell>
          <cell r="N400">
            <v>45083.288999999997</v>
          </cell>
          <cell r="O400">
            <v>3160.154</v>
          </cell>
          <cell r="P400">
            <v>3698.828</v>
          </cell>
          <cell r="Q400">
            <v>38292.982000000004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D400">
            <v>26584.09</v>
          </cell>
          <cell r="AE400">
            <v>1078.28</v>
          </cell>
          <cell r="AF400">
            <v>8443.0299999999988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B400">
            <v>125297.679</v>
          </cell>
          <cell r="BC400">
            <v>4238.4340000000002</v>
          </cell>
          <cell r="BD400">
            <v>12141.858</v>
          </cell>
          <cell r="BE400">
            <v>38292.982000000004</v>
          </cell>
          <cell r="BF400">
            <v>39440.974000000002</v>
          </cell>
          <cell r="BG400">
            <v>2849.1600000000003</v>
          </cell>
          <cell r="BH400">
            <v>2844.2620000000002</v>
          </cell>
          <cell r="BJ400">
            <v>4.7</v>
          </cell>
          <cell r="BK400">
            <v>4.950000000000002</v>
          </cell>
          <cell r="BM400">
            <v>67.58</v>
          </cell>
          <cell r="BN400">
            <v>11.930000000000003</v>
          </cell>
          <cell r="BP400">
            <v>0</v>
          </cell>
          <cell r="BQ400">
            <v>0</v>
          </cell>
        </row>
        <row r="402">
          <cell r="F402">
            <v>31728</v>
          </cell>
          <cell r="J402">
            <v>46367.64</v>
          </cell>
          <cell r="N402">
            <v>29090</v>
          </cell>
          <cell r="Q402">
            <v>43053.120000000003</v>
          </cell>
          <cell r="AD402">
            <v>16423</v>
          </cell>
          <cell r="AF402">
            <v>14471.6</v>
          </cell>
          <cell r="BK402">
            <v>4.54</v>
          </cell>
          <cell r="BN402">
            <v>10.33</v>
          </cell>
        </row>
        <row r="403">
          <cell r="A403" t="str">
            <v>SIERPIEŃ</v>
          </cell>
          <cell r="B403">
            <v>0</v>
          </cell>
          <cell r="C403">
            <v>0</v>
          </cell>
          <cell r="D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1297.2199999999998</v>
          </cell>
          <cell r="L403">
            <v>3261.83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B403">
            <v>77241</v>
          </cell>
          <cell r="BC403">
            <v>0</v>
          </cell>
          <cell r="BD403">
            <v>14471.599999999999</v>
          </cell>
          <cell r="BE403">
            <v>43053.119999999995</v>
          </cell>
          <cell r="BF403">
            <v>46367.64</v>
          </cell>
          <cell r="BG403">
            <v>1297.2199999999998</v>
          </cell>
          <cell r="BH403">
            <v>3261.83</v>
          </cell>
          <cell r="BJ403">
            <v>1</v>
          </cell>
          <cell r="BK403">
            <v>0</v>
          </cell>
          <cell r="BM403">
            <v>0</v>
          </cell>
          <cell r="BN403">
            <v>0</v>
          </cell>
          <cell r="BP403">
            <v>0</v>
          </cell>
          <cell r="BQ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F404">
            <v>31728</v>
          </cell>
          <cell r="G404">
            <v>0</v>
          </cell>
          <cell r="H404">
            <v>0</v>
          </cell>
          <cell r="I404">
            <v>0</v>
          </cell>
          <cell r="J404">
            <v>46367.64</v>
          </cell>
          <cell r="K404">
            <v>1297.2199999999998</v>
          </cell>
          <cell r="L404">
            <v>3261.83</v>
          </cell>
          <cell r="N404">
            <v>29090</v>
          </cell>
          <cell r="O404">
            <v>0</v>
          </cell>
          <cell r="P404">
            <v>0</v>
          </cell>
          <cell r="Q404">
            <v>43053.119999999995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D404">
            <v>16423</v>
          </cell>
          <cell r="AE404">
            <v>0</v>
          </cell>
          <cell r="AF404">
            <v>14471.599999999999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B404">
            <v>77241</v>
          </cell>
          <cell r="BC404">
            <v>0</v>
          </cell>
          <cell r="BD404">
            <v>14471.599999999999</v>
          </cell>
          <cell r="BE404">
            <v>43053.119999999995</v>
          </cell>
          <cell r="BF404">
            <v>46367.64</v>
          </cell>
          <cell r="BG404">
            <v>1297.2199999999998</v>
          </cell>
          <cell r="BH404">
            <v>3261.83</v>
          </cell>
          <cell r="BJ404">
            <v>1</v>
          </cell>
          <cell r="BK404">
            <v>4.54</v>
          </cell>
          <cell r="BM404">
            <v>0</v>
          </cell>
          <cell r="BN404">
            <v>10.329999999999998</v>
          </cell>
          <cell r="BP404">
            <v>0</v>
          </cell>
          <cell r="BQ404">
            <v>0</v>
          </cell>
        </row>
        <row r="406">
          <cell r="F406">
            <v>24812.38</v>
          </cell>
          <cell r="I406">
            <v>11500.532999999999</v>
          </cell>
          <cell r="J406">
            <v>39761.667000000001</v>
          </cell>
          <cell r="K406">
            <v>1575.19</v>
          </cell>
          <cell r="N406">
            <v>13350.287</v>
          </cell>
          <cell r="O406">
            <v>2929.502</v>
          </cell>
          <cell r="P406">
            <v>2641.12</v>
          </cell>
          <cell r="Q406">
            <v>29532.668000000001</v>
          </cell>
          <cell r="AE406">
            <v>8843.59</v>
          </cell>
          <cell r="AF406">
            <v>10793.72</v>
          </cell>
          <cell r="BK406">
            <v>3.99</v>
          </cell>
          <cell r="BM406">
            <v>0</v>
          </cell>
          <cell r="BN406">
            <v>33.369999999999997</v>
          </cell>
          <cell r="BP406">
            <v>0</v>
          </cell>
          <cell r="BQ406">
            <v>0</v>
          </cell>
        </row>
        <row r="407">
          <cell r="A407" t="str">
            <v>WRZESIEŃ</v>
          </cell>
          <cell r="B407">
            <v>0</v>
          </cell>
          <cell r="C407">
            <v>0</v>
          </cell>
          <cell r="D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2573.9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B407">
            <v>38521</v>
          </cell>
          <cell r="BC407">
            <v>11595.739999999998</v>
          </cell>
          <cell r="BD407">
            <v>13267.68</v>
          </cell>
          <cell r="BE407">
            <v>40553.550000000003</v>
          </cell>
          <cell r="BF407">
            <v>39727.81</v>
          </cell>
          <cell r="BG407">
            <v>1575.1899999999996</v>
          </cell>
          <cell r="BH407">
            <v>2573.9</v>
          </cell>
          <cell r="BJ407">
            <v>4.16</v>
          </cell>
          <cell r="BK407">
            <v>0</v>
          </cell>
          <cell r="BM407">
            <v>0</v>
          </cell>
          <cell r="BN407">
            <v>0</v>
          </cell>
          <cell r="BP407">
            <v>0</v>
          </cell>
          <cell r="BQ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F408">
            <v>24812.38</v>
          </cell>
          <cell r="G408">
            <v>0</v>
          </cell>
          <cell r="H408">
            <v>0</v>
          </cell>
          <cell r="I408">
            <v>11500.533000000001</v>
          </cell>
          <cell r="J408">
            <v>39761.667000000001</v>
          </cell>
          <cell r="K408">
            <v>1575.1899999999996</v>
          </cell>
          <cell r="L408">
            <v>2573.9</v>
          </cell>
          <cell r="N408">
            <v>13350.287</v>
          </cell>
          <cell r="O408">
            <v>2929.502</v>
          </cell>
          <cell r="P408">
            <v>2641.12</v>
          </cell>
          <cell r="Q408">
            <v>29532.668000000001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D408">
            <v>0</v>
          </cell>
          <cell r="AE408">
            <v>8843.59</v>
          </cell>
          <cell r="AF408">
            <v>10793.72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B408">
            <v>38521</v>
          </cell>
          <cell r="BC408">
            <v>11595.739999999998</v>
          </cell>
          <cell r="BD408">
            <v>13267.68</v>
          </cell>
          <cell r="BE408">
            <v>40553.550000000003</v>
          </cell>
          <cell r="BF408">
            <v>39727.81</v>
          </cell>
          <cell r="BG408">
            <v>1575.1899999999996</v>
          </cell>
          <cell r="BH408">
            <v>2573.9</v>
          </cell>
          <cell r="BJ408">
            <v>4.16</v>
          </cell>
          <cell r="BK408">
            <v>3.9899999999999998</v>
          </cell>
          <cell r="BM408">
            <v>0</v>
          </cell>
          <cell r="BN408">
            <v>33.369999999999997</v>
          </cell>
          <cell r="BP408">
            <v>0</v>
          </cell>
          <cell r="BQ408">
            <v>0</v>
          </cell>
        </row>
        <row r="410">
          <cell r="F410">
            <v>39339</v>
          </cell>
          <cell r="I410">
            <v>885.06</v>
          </cell>
          <cell r="J410">
            <v>18136.400000000001</v>
          </cell>
          <cell r="K410">
            <v>890.67</v>
          </cell>
          <cell r="L410">
            <v>2254.1999999999998</v>
          </cell>
          <cell r="N410">
            <v>56966</v>
          </cell>
          <cell r="O410">
            <v>5911.7</v>
          </cell>
          <cell r="P410">
            <v>5808.96</v>
          </cell>
          <cell r="Q410">
            <v>38344</v>
          </cell>
          <cell r="AD410">
            <v>16873</v>
          </cell>
          <cell r="AE410">
            <v>7631.59</v>
          </cell>
          <cell r="AF410">
            <v>8440.1</v>
          </cell>
          <cell r="BJ410">
            <v>4</v>
          </cell>
          <cell r="BK410">
            <v>3.6949999999999998</v>
          </cell>
          <cell r="BM410">
            <v>66.180000000000007</v>
          </cell>
          <cell r="BN410">
            <v>22.754999999999999</v>
          </cell>
          <cell r="BQ410">
            <v>12.336</v>
          </cell>
        </row>
        <row r="411">
          <cell r="A411" t="str">
            <v>PAŹDZIERNIK</v>
          </cell>
          <cell r="B411">
            <v>0</v>
          </cell>
          <cell r="C411">
            <v>0</v>
          </cell>
          <cell r="D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B411">
            <v>116569</v>
          </cell>
          <cell r="BC411">
            <v>13500.589999999998</v>
          </cell>
          <cell r="BD411">
            <v>14207.720000000001</v>
          </cell>
          <cell r="BE411">
            <v>39229.06</v>
          </cell>
          <cell r="BF411">
            <v>18136.370000000006</v>
          </cell>
          <cell r="BG411">
            <v>890.67000000000007</v>
          </cell>
          <cell r="BH411">
            <v>2254.2000000000003</v>
          </cell>
          <cell r="BJ411">
            <v>0</v>
          </cell>
          <cell r="BK411">
            <v>0</v>
          </cell>
          <cell r="BM411">
            <v>0</v>
          </cell>
          <cell r="BN411">
            <v>3.0000000000000036</v>
          </cell>
          <cell r="BP411">
            <v>0</v>
          </cell>
          <cell r="BQ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F412">
            <v>39339</v>
          </cell>
          <cell r="G412">
            <v>0</v>
          </cell>
          <cell r="H412">
            <v>0</v>
          </cell>
          <cell r="I412">
            <v>885.06</v>
          </cell>
          <cell r="J412">
            <v>18136.400000000005</v>
          </cell>
          <cell r="K412">
            <v>890.67000000000007</v>
          </cell>
          <cell r="L412">
            <v>2254.2000000000003</v>
          </cell>
          <cell r="N412">
            <v>56966</v>
          </cell>
          <cell r="O412">
            <v>5911.7</v>
          </cell>
          <cell r="P412">
            <v>5808.9600000000009</v>
          </cell>
          <cell r="Q412">
            <v>38344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D412">
            <v>16873</v>
          </cell>
          <cell r="AE412">
            <v>7631.5900000000011</v>
          </cell>
          <cell r="AF412">
            <v>8440.1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B412">
            <v>116569</v>
          </cell>
          <cell r="BC412">
            <v>13500.589999999998</v>
          </cell>
          <cell r="BD412">
            <v>14207.720000000001</v>
          </cell>
          <cell r="BE412">
            <v>39229.06</v>
          </cell>
          <cell r="BF412">
            <v>18136.370000000006</v>
          </cell>
          <cell r="BG412">
            <v>890.67000000000007</v>
          </cell>
          <cell r="BH412">
            <v>2254.2000000000003</v>
          </cell>
          <cell r="BJ412">
            <v>4</v>
          </cell>
          <cell r="BK412">
            <v>3.6950000000000003</v>
          </cell>
          <cell r="BM412">
            <v>66.180000000000007</v>
          </cell>
          <cell r="BN412">
            <v>25.755000000000003</v>
          </cell>
          <cell r="BP412">
            <v>0</v>
          </cell>
          <cell r="BQ412">
            <v>12.335999999999999</v>
          </cell>
        </row>
        <row r="414">
          <cell r="F414">
            <v>13865</v>
          </cell>
          <cell r="G414">
            <v>0</v>
          </cell>
          <cell r="H414">
            <v>0</v>
          </cell>
          <cell r="I414">
            <v>4236.9399999999996</v>
          </cell>
          <cell r="J414">
            <v>26010.538</v>
          </cell>
          <cell r="K414">
            <v>907.46400000000006</v>
          </cell>
          <cell r="L414">
            <v>2837.48</v>
          </cell>
          <cell r="N414">
            <v>43741.716999999997</v>
          </cell>
          <cell r="O414">
            <v>2494.19</v>
          </cell>
          <cell r="P414">
            <v>2302.16</v>
          </cell>
          <cell r="Q414">
            <v>26386.58</v>
          </cell>
          <cell r="R414">
            <v>12076.66</v>
          </cell>
          <cell r="S414">
            <v>0</v>
          </cell>
          <cell r="T414">
            <v>0</v>
          </cell>
          <cell r="AD414">
            <v>24983.129000000001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BK414">
            <v>3.5500000000000003</v>
          </cell>
          <cell r="BM414">
            <v>0</v>
          </cell>
          <cell r="BN414">
            <v>17.479700000000001</v>
          </cell>
        </row>
        <row r="415">
          <cell r="A415" t="str">
            <v>LISTOPAD</v>
          </cell>
          <cell r="B415">
            <v>0</v>
          </cell>
          <cell r="C415">
            <v>0</v>
          </cell>
          <cell r="D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-0.10800000000017462</v>
          </cell>
          <cell r="K415">
            <v>0</v>
          </cell>
          <cell r="L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B415">
            <v>84376</v>
          </cell>
          <cell r="BC415">
            <v>2494.19</v>
          </cell>
          <cell r="BD415">
            <v>2302.16</v>
          </cell>
          <cell r="BE415">
            <v>30623.519999999997</v>
          </cell>
          <cell r="BF415">
            <v>39472.090000000004</v>
          </cell>
          <cell r="BG415">
            <v>757.34999999999991</v>
          </cell>
          <cell r="BH415">
            <v>2837.48</v>
          </cell>
          <cell r="BJ415">
            <v>1</v>
          </cell>
          <cell r="BK415">
            <v>0</v>
          </cell>
          <cell r="BM415">
            <v>0</v>
          </cell>
          <cell r="BN415">
            <v>0</v>
          </cell>
          <cell r="BP415">
            <v>26</v>
          </cell>
          <cell r="BQ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F416">
            <v>13865</v>
          </cell>
          <cell r="G416">
            <v>0</v>
          </cell>
          <cell r="H416">
            <v>0</v>
          </cell>
          <cell r="I416">
            <v>4236.9399999999996</v>
          </cell>
          <cell r="J416">
            <v>26010.43</v>
          </cell>
          <cell r="K416">
            <v>907.46399999999994</v>
          </cell>
          <cell r="L416">
            <v>2837.48</v>
          </cell>
          <cell r="N416">
            <v>43741.716999999997</v>
          </cell>
          <cell r="O416">
            <v>2494.19</v>
          </cell>
          <cell r="P416">
            <v>2302.16</v>
          </cell>
          <cell r="Q416">
            <v>26386.579999999998</v>
          </cell>
          <cell r="R416">
            <v>12076.660000000002</v>
          </cell>
          <cell r="S416">
            <v>0</v>
          </cell>
          <cell r="T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D416">
            <v>24983.129000000001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B416">
            <v>84376</v>
          </cell>
          <cell r="BC416">
            <v>2494.19</v>
          </cell>
          <cell r="BD416">
            <v>2302.16</v>
          </cell>
          <cell r="BE416">
            <v>30623.519999999997</v>
          </cell>
          <cell r="BF416">
            <v>39472.090000000004</v>
          </cell>
          <cell r="BG416">
            <v>757.34999999999991</v>
          </cell>
          <cell r="BH416">
            <v>2837.48</v>
          </cell>
          <cell r="BJ416">
            <v>1</v>
          </cell>
          <cell r="BK416">
            <v>3.55</v>
          </cell>
          <cell r="BM416">
            <v>0</v>
          </cell>
          <cell r="BN416">
            <v>17.479699999999998</v>
          </cell>
          <cell r="BP416">
            <v>26</v>
          </cell>
          <cell r="BQ416">
            <v>0</v>
          </cell>
        </row>
        <row r="419">
          <cell r="A419" t="str">
            <v>GRUDZIEŃ</v>
          </cell>
          <cell r="B419">
            <v>0</v>
          </cell>
          <cell r="C419">
            <v>0</v>
          </cell>
          <cell r="D419">
            <v>0</v>
          </cell>
          <cell r="F419">
            <v>51930</v>
          </cell>
          <cell r="G419">
            <v>0</v>
          </cell>
          <cell r="H419">
            <v>0</v>
          </cell>
          <cell r="I419">
            <v>0</v>
          </cell>
          <cell r="J419">
            <v>35842.799999999996</v>
          </cell>
          <cell r="K419">
            <v>536.42999999999995</v>
          </cell>
          <cell r="L419">
            <v>984.00000000000011</v>
          </cell>
          <cell r="N419">
            <v>65251</v>
          </cell>
          <cell r="O419">
            <v>7076.57</v>
          </cell>
          <cell r="P419">
            <v>5010.4299999999994</v>
          </cell>
          <cell r="Q419">
            <v>42660.28</v>
          </cell>
          <cell r="R419">
            <v>4502.09</v>
          </cell>
          <cell r="S419">
            <v>0</v>
          </cell>
          <cell r="T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D419">
            <v>0</v>
          </cell>
          <cell r="AE419">
            <v>829.68999999999994</v>
          </cell>
          <cell r="AF419">
            <v>3177.5899999999997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B419">
            <v>117181</v>
          </cell>
          <cell r="BC419">
            <v>7906.26</v>
          </cell>
          <cell r="BD419">
            <v>8188.0199999999986</v>
          </cell>
          <cell r="BE419">
            <v>42660.28</v>
          </cell>
          <cell r="BF419">
            <v>40344.89</v>
          </cell>
          <cell r="BG419">
            <v>536.42999999999995</v>
          </cell>
          <cell r="BH419">
            <v>984.00000000000011</v>
          </cell>
          <cell r="BJ419">
            <v>8</v>
          </cell>
          <cell r="BK419">
            <v>3.839999999999999</v>
          </cell>
          <cell r="BM419">
            <v>0</v>
          </cell>
          <cell r="BN419">
            <v>12.850000000000001</v>
          </cell>
          <cell r="BP419">
            <v>0</v>
          </cell>
          <cell r="BQ419">
            <v>13.4</v>
          </cell>
        </row>
        <row r="420">
          <cell r="B420">
            <v>0</v>
          </cell>
          <cell r="C420">
            <v>0</v>
          </cell>
          <cell r="D420">
            <v>0</v>
          </cell>
          <cell r="F420">
            <v>51930</v>
          </cell>
          <cell r="G420">
            <v>0</v>
          </cell>
          <cell r="H420">
            <v>0</v>
          </cell>
          <cell r="I420">
            <v>0</v>
          </cell>
          <cell r="J420">
            <v>35842.799999999996</v>
          </cell>
          <cell r="K420">
            <v>536.42999999999995</v>
          </cell>
          <cell r="L420">
            <v>984.00000000000011</v>
          </cell>
          <cell r="N420">
            <v>65251</v>
          </cell>
          <cell r="O420">
            <v>7076.57</v>
          </cell>
          <cell r="P420">
            <v>5010.4299999999994</v>
          </cell>
          <cell r="Q420">
            <v>42660.28</v>
          </cell>
          <cell r="R420">
            <v>4502.09</v>
          </cell>
          <cell r="S420">
            <v>0</v>
          </cell>
          <cell r="T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D420">
            <v>0</v>
          </cell>
          <cell r="AE420">
            <v>829.68999999999994</v>
          </cell>
          <cell r="AF420">
            <v>3177.5899999999997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B420">
            <v>117181</v>
          </cell>
          <cell r="BC420">
            <v>7906.26</v>
          </cell>
          <cell r="BD420">
            <v>8188.0199999999986</v>
          </cell>
          <cell r="BE420">
            <v>42660.28</v>
          </cell>
          <cell r="BF420">
            <v>40344.89</v>
          </cell>
          <cell r="BG420">
            <v>536.42999999999995</v>
          </cell>
          <cell r="BH420">
            <v>984.00000000000011</v>
          </cell>
          <cell r="BJ420">
            <v>8</v>
          </cell>
          <cell r="BK420">
            <v>3.839999999999999</v>
          </cell>
          <cell r="BM420">
            <v>0</v>
          </cell>
          <cell r="BN420">
            <v>12.850000000000001</v>
          </cell>
          <cell r="BP420">
            <v>0</v>
          </cell>
          <cell r="BQ420">
            <v>13.4</v>
          </cell>
        </row>
      </sheetData>
      <sheetData sheetId="5">
        <row r="2">
          <cell r="G2" t="str">
            <v>Sól potasowa</v>
          </cell>
          <cell r="N2" t="str">
            <v>Magnezyt 40%</v>
          </cell>
          <cell r="T2" t="str">
            <v>Magnezyt 30%</v>
          </cell>
          <cell r="Z2" t="str">
            <v>Siarczan amonowy</v>
          </cell>
          <cell r="AF2" t="str">
            <v>SPowlek_NP</v>
          </cell>
          <cell r="AG2" t="str">
            <v>Środek powlekający wytwórnie NP</v>
          </cell>
          <cell r="AL2" t="str">
            <v>SPowlek_NPK1</v>
          </cell>
          <cell r="AM2" t="str">
            <v>Środek powlekający wytwórnie NPK I</v>
          </cell>
          <cell r="AR2" t="str">
            <v>SPowlek_Port</v>
          </cell>
          <cell r="AS2" t="str">
            <v>Środek powlekający Wieża, Port</v>
          </cell>
          <cell r="AX2" t="str">
            <v>SPowlek_NPK2</v>
          </cell>
          <cell r="AY2" t="str">
            <v>Środek powlekający NPK II</v>
          </cell>
          <cell r="BD2" t="str">
            <v>Kreda</v>
          </cell>
          <cell r="BJ2" t="str">
            <v>Polietylen</v>
          </cell>
          <cell r="BQ2" t="str">
            <v>Mikroelementy</v>
          </cell>
          <cell r="BV2" t="str">
            <v>K2SO4</v>
          </cell>
          <cell r="BW2" t="str">
            <v>Siarczan Potasu</v>
          </cell>
          <cell r="BY2" t="str">
            <v>NaCl</v>
          </cell>
          <cell r="CB2" t="str">
            <v>Borax</v>
          </cell>
        </row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  <cell r="T6">
            <v>20</v>
          </cell>
          <cell r="U6">
            <v>21</v>
          </cell>
          <cell r="V6">
            <v>22</v>
          </cell>
          <cell r="W6">
            <v>23</v>
          </cell>
          <cell r="X6">
            <v>24</v>
          </cell>
          <cell r="Y6">
            <v>25</v>
          </cell>
          <cell r="Z6">
            <v>26</v>
          </cell>
          <cell r="AA6">
            <v>27</v>
          </cell>
          <cell r="AB6">
            <v>28</v>
          </cell>
          <cell r="AC6">
            <v>29</v>
          </cell>
          <cell r="AD6">
            <v>30</v>
          </cell>
          <cell r="AE6">
            <v>31</v>
          </cell>
          <cell r="AF6">
            <v>32</v>
          </cell>
          <cell r="AG6">
            <v>33</v>
          </cell>
          <cell r="AH6">
            <v>34</v>
          </cell>
          <cell r="AI6">
            <v>35</v>
          </cell>
          <cell r="AJ6">
            <v>36</v>
          </cell>
          <cell r="AK6">
            <v>37</v>
          </cell>
          <cell r="AL6">
            <v>38</v>
          </cell>
          <cell r="AM6">
            <v>39</v>
          </cell>
          <cell r="AN6">
            <v>40</v>
          </cell>
          <cell r="AO6">
            <v>41</v>
          </cell>
          <cell r="AP6">
            <v>42</v>
          </cell>
          <cell r="AQ6">
            <v>43</v>
          </cell>
          <cell r="AR6">
            <v>44</v>
          </cell>
          <cell r="AS6">
            <v>45</v>
          </cell>
          <cell r="AT6">
            <v>46</v>
          </cell>
          <cell r="AU6">
            <v>47</v>
          </cell>
          <cell r="AV6">
            <v>48</v>
          </cell>
          <cell r="AW6">
            <v>49</v>
          </cell>
          <cell r="AX6">
            <v>50</v>
          </cell>
          <cell r="AY6">
            <v>51</v>
          </cell>
          <cell r="AZ6">
            <v>52</v>
          </cell>
          <cell r="BA6">
            <v>53</v>
          </cell>
          <cell r="BB6">
            <v>54</v>
          </cell>
          <cell r="BC6">
            <v>55</v>
          </cell>
          <cell r="BD6">
            <v>56</v>
          </cell>
          <cell r="BE6">
            <v>57</v>
          </cell>
          <cell r="BF6">
            <v>58</v>
          </cell>
          <cell r="BG6">
            <v>59</v>
          </cell>
          <cell r="BH6">
            <v>60</v>
          </cell>
          <cell r="BI6">
            <v>61</v>
          </cell>
          <cell r="BJ6">
            <v>62</v>
          </cell>
          <cell r="BK6">
            <v>63</v>
          </cell>
          <cell r="BL6">
            <v>64</v>
          </cell>
          <cell r="BM6">
            <v>65</v>
          </cell>
          <cell r="BN6">
            <v>66</v>
          </cell>
          <cell r="BO6">
            <v>67</v>
          </cell>
          <cell r="BP6">
            <v>68</v>
          </cell>
          <cell r="BQ6">
            <v>69</v>
          </cell>
          <cell r="BR6">
            <v>70</v>
          </cell>
          <cell r="BS6">
            <v>71</v>
          </cell>
          <cell r="BT6">
            <v>72</v>
          </cell>
          <cell r="BU6">
            <v>73</v>
          </cell>
          <cell r="BV6">
            <v>74</v>
          </cell>
          <cell r="BW6">
            <v>75</v>
          </cell>
          <cell r="BX6">
            <v>76</v>
          </cell>
          <cell r="BY6">
            <v>77</v>
          </cell>
          <cell r="BZ6">
            <v>78</v>
          </cell>
          <cell r="CA6">
            <v>79</v>
          </cell>
          <cell r="CB6">
            <v>80</v>
          </cell>
          <cell r="CC6">
            <v>81</v>
          </cell>
          <cell r="CD6">
            <v>82</v>
          </cell>
        </row>
        <row r="7">
          <cell r="A7">
            <v>39083</v>
          </cell>
          <cell r="H7">
            <v>0</v>
          </cell>
          <cell r="I7">
            <v>405</v>
          </cell>
          <cell r="J7">
            <v>346.8</v>
          </cell>
          <cell r="K7">
            <v>26200</v>
          </cell>
          <cell r="L7">
            <v>2700</v>
          </cell>
          <cell r="M7">
            <v>28900</v>
          </cell>
          <cell r="P7">
            <v>0</v>
          </cell>
          <cell r="S7">
            <v>230</v>
          </cell>
          <cell r="V7">
            <v>0</v>
          </cell>
          <cell r="X7">
            <v>69.8</v>
          </cell>
          <cell r="Y7">
            <v>3512.5</v>
          </cell>
          <cell r="AA7">
            <v>63.6</v>
          </cell>
          <cell r="AD7">
            <v>376.1</v>
          </cell>
          <cell r="AE7">
            <v>3100</v>
          </cell>
          <cell r="AI7">
            <v>0</v>
          </cell>
          <cell r="AJ7">
            <v>1.89</v>
          </cell>
          <cell r="AK7">
            <v>32.700000000000003</v>
          </cell>
          <cell r="AO7">
            <v>0</v>
          </cell>
          <cell r="AP7">
            <v>3.09</v>
          </cell>
          <cell r="AQ7">
            <v>58.2</v>
          </cell>
          <cell r="AU7">
            <v>0</v>
          </cell>
          <cell r="AV7">
            <v>0.36</v>
          </cell>
          <cell r="AW7">
            <v>66</v>
          </cell>
          <cell r="BA7">
            <v>0</v>
          </cell>
          <cell r="BB7">
            <v>2.5739999999999998</v>
          </cell>
          <cell r="BC7">
            <v>44</v>
          </cell>
          <cell r="BG7">
            <v>0</v>
          </cell>
          <cell r="BI7">
            <v>200</v>
          </cell>
          <cell r="BM7">
            <v>0</v>
          </cell>
          <cell r="BP7">
            <v>24</v>
          </cell>
          <cell r="BS7">
            <v>0</v>
          </cell>
          <cell r="CD7">
            <v>28</v>
          </cell>
        </row>
        <row r="8">
          <cell r="A8">
            <v>39084</v>
          </cell>
          <cell r="H8">
            <v>0</v>
          </cell>
          <cell r="I8">
            <v>537</v>
          </cell>
          <cell r="J8">
            <v>395.8</v>
          </cell>
          <cell r="K8">
            <v>25600</v>
          </cell>
          <cell r="L8">
            <v>2300</v>
          </cell>
          <cell r="M8">
            <v>27900</v>
          </cell>
          <cell r="P8">
            <v>0</v>
          </cell>
          <cell r="S8">
            <v>230</v>
          </cell>
          <cell r="T8">
            <v>440</v>
          </cell>
          <cell r="V8">
            <v>440</v>
          </cell>
          <cell r="X8">
            <v>185.1</v>
          </cell>
          <cell r="Y8">
            <v>3725.4</v>
          </cell>
          <cell r="Z8">
            <v>178</v>
          </cell>
          <cell r="AA8">
            <v>206.7</v>
          </cell>
          <cell r="AD8">
            <v>502.7</v>
          </cell>
          <cell r="AE8">
            <v>2800</v>
          </cell>
          <cell r="AI8">
            <v>0</v>
          </cell>
          <cell r="AJ8">
            <v>1.95</v>
          </cell>
          <cell r="AK8">
            <v>30.7</v>
          </cell>
          <cell r="AO8">
            <v>0</v>
          </cell>
          <cell r="AP8">
            <v>3.93</v>
          </cell>
          <cell r="AQ8">
            <v>54.3</v>
          </cell>
          <cell r="AU8">
            <v>0</v>
          </cell>
          <cell r="AV8">
            <v>0.95</v>
          </cell>
          <cell r="AW8">
            <v>65</v>
          </cell>
          <cell r="BA8">
            <v>0</v>
          </cell>
          <cell r="BB8">
            <v>2.79</v>
          </cell>
          <cell r="BC8">
            <v>40</v>
          </cell>
          <cell r="BG8">
            <v>0</v>
          </cell>
          <cell r="BI8">
            <v>200</v>
          </cell>
          <cell r="BM8">
            <v>0</v>
          </cell>
          <cell r="BN8">
            <v>30550</v>
          </cell>
          <cell r="BO8">
            <v>7.6</v>
          </cell>
          <cell r="BP8">
            <v>24</v>
          </cell>
          <cell r="BS8">
            <v>0</v>
          </cell>
          <cell r="CD8">
            <v>28</v>
          </cell>
        </row>
        <row r="9">
          <cell r="A9">
            <v>39085</v>
          </cell>
          <cell r="H9">
            <v>0</v>
          </cell>
          <cell r="I9">
            <v>464</v>
          </cell>
          <cell r="J9">
            <v>433.1</v>
          </cell>
          <cell r="K9">
            <v>25000</v>
          </cell>
          <cell r="L9">
            <v>2100</v>
          </cell>
          <cell r="M9">
            <v>27100</v>
          </cell>
          <cell r="P9">
            <v>0</v>
          </cell>
          <cell r="S9">
            <v>230</v>
          </cell>
          <cell r="T9">
            <v>222</v>
          </cell>
          <cell r="V9">
            <v>222</v>
          </cell>
          <cell r="X9">
            <v>139.5</v>
          </cell>
          <cell r="Y9">
            <v>3807.8</v>
          </cell>
          <cell r="Z9">
            <v>60</v>
          </cell>
          <cell r="AA9">
            <v>0</v>
          </cell>
          <cell r="AD9">
            <v>500</v>
          </cell>
          <cell r="AE9">
            <v>2400</v>
          </cell>
          <cell r="AI9">
            <v>0</v>
          </cell>
          <cell r="AJ9">
            <v>2.52</v>
          </cell>
          <cell r="AK9">
            <v>28.2</v>
          </cell>
          <cell r="AO9">
            <v>0</v>
          </cell>
          <cell r="AP9">
            <v>2.62</v>
          </cell>
          <cell r="AQ9">
            <v>51.7</v>
          </cell>
          <cell r="AU9">
            <v>0</v>
          </cell>
          <cell r="AV9">
            <v>1.07</v>
          </cell>
          <cell r="AW9">
            <v>63.9</v>
          </cell>
          <cell r="BA9">
            <v>0</v>
          </cell>
          <cell r="BB9">
            <v>3.0059999999999998</v>
          </cell>
          <cell r="BC9">
            <v>34</v>
          </cell>
          <cell r="BG9">
            <v>0</v>
          </cell>
          <cell r="BI9">
            <v>200</v>
          </cell>
          <cell r="BJ9">
            <v>48.1</v>
          </cell>
          <cell r="BM9">
            <v>48.1</v>
          </cell>
          <cell r="BN9">
            <v>40000</v>
          </cell>
          <cell r="BO9">
            <v>9.5</v>
          </cell>
          <cell r="BP9">
            <v>67</v>
          </cell>
          <cell r="BS9">
            <v>0</v>
          </cell>
          <cell r="CD9">
            <v>28</v>
          </cell>
        </row>
        <row r="10">
          <cell r="A10">
            <v>39086</v>
          </cell>
          <cell r="H10">
            <v>0</v>
          </cell>
          <cell r="I10">
            <v>467</v>
          </cell>
          <cell r="J10">
            <v>32.5</v>
          </cell>
          <cell r="K10">
            <v>24600</v>
          </cell>
          <cell r="L10">
            <v>2140</v>
          </cell>
          <cell r="M10">
            <v>26740</v>
          </cell>
          <cell r="P10">
            <v>0</v>
          </cell>
          <cell r="S10">
            <v>230</v>
          </cell>
          <cell r="T10">
            <v>375.4</v>
          </cell>
          <cell r="V10">
            <v>375.4</v>
          </cell>
          <cell r="X10">
            <v>54</v>
          </cell>
          <cell r="Y10">
            <v>4100</v>
          </cell>
          <cell r="Z10">
            <v>58</v>
          </cell>
          <cell r="AD10">
            <v>67</v>
          </cell>
          <cell r="AE10">
            <v>2300</v>
          </cell>
          <cell r="AI10">
            <v>0</v>
          </cell>
          <cell r="AJ10">
            <v>2.52</v>
          </cell>
          <cell r="AK10">
            <v>25.7</v>
          </cell>
          <cell r="AO10">
            <v>0</v>
          </cell>
          <cell r="AP10">
            <v>2.98</v>
          </cell>
          <cell r="AQ10">
            <v>48.7</v>
          </cell>
          <cell r="AU10">
            <v>0</v>
          </cell>
          <cell r="AV10">
            <v>0.12</v>
          </cell>
          <cell r="AW10">
            <v>63.8</v>
          </cell>
          <cell r="BA10">
            <v>0</v>
          </cell>
          <cell r="BB10">
            <v>0.22900000000000001</v>
          </cell>
          <cell r="BC10">
            <v>34</v>
          </cell>
          <cell r="BG10">
            <v>0</v>
          </cell>
          <cell r="BI10">
            <v>200</v>
          </cell>
          <cell r="BM10">
            <v>0</v>
          </cell>
          <cell r="BN10">
            <v>30000</v>
          </cell>
          <cell r="BO10">
            <v>12</v>
          </cell>
          <cell r="BP10">
            <v>55</v>
          </cell>
          <cell r="BS10">
            <v>0</v>
          </cell>
          <cell r="CD10">
            <v>28</v>
          </cell>
        </row>
        <row r="11">
          <cell r="A11">
            <v>39087</v>
          </cell>
          <cell r="H11">
            <v>0</v>
          </cell>
          <cell r="I11">
            <v>498</v>
          </cell>
          <cell r="J11">
            <v>141.19999999999999</v>
          </cell>
          <cell r="K11">
            <v>24000</v>
          </cell>
          <cell r="L11">
            <v>2000</v>
          </cell>
          <cell r="M11">
            <v>26000</v>
          </cell>
          <cell r="P11">
            <v>0</v>
          </cell>
          <cell r="S11">
            <v>230</v>
          </cell>
          <cell r="T11">
            <v>135.5</v>
          </cell>
          <cell r="V11">
            <v>135.5</v>
          </cell>
          <cell r="X11">
            <v>64</v>
          </cell>
          <cell r="Y11">
            <v>4200</v>
          </cell>
          <cell r="Z11">
            <v>286.5</v>
          </cell>
          <cell r="AA11">
            <v>71</v>
          </cell>
          <cell r="AD11">
            <v>76.400000000000006</v>
          </cell>
          <cell r="AE11">
            <v>2600</v>
          </cell>
          <cell r="AI11">
            <v>0</v>
          </cell>
          <cell r="AJ11">
            <v>2.41</v>
          </cell>
          <cell r="AK11">
            <v>23.3</v>
          </cell>
          <cell r="AO11">
            <v>0</v>
          </cell>
          <cell r="AP11">
            <v>4.05</v>
          </cell>
          <cell r="AQ11">
            <v>44.6</v>
          </cell>
          <cell r="AU11">
            <v>0</v>
          </cell>
          <cell r="AV11">
            <v>1.31</v>
          </cell>
          <cell r="AW11">
            <v>62.5</v>
          </cell>
          <cell r="BA11">
            <v>0</v>
          </cell>
          <cell r="BB11">
            <v>0.64800000000000002</v>
          </cell>
          <cell r="BC11">
            <v>33</v>
          </cell>
          <cell r="BG11">
            <v>0</v>
          </cell>
          <cell r="BI11">
            <v>200</v>
          </cell>
          <cell r="BJ11">
            <v>46.2</v>
          </cell>
          <cell r="BM11">
            <v>46.2</v>
          </cell>
          <cell r="BN11">
            <v>40000</v>
          </cell>
          <cell r="BO11">
            <v>11.3</v>
          </cell>
          <cell r="BP11">
            <v>90</v>
          </cell>
          <cell r="BS11">
            <v>0</v>
          </cell>
          <cell r="CD11">
            <v>28</v>
          </cell>
        </row>
        <row r="12">
          <cell r="A12">
            <v>39088</v>
          </cell>
          <cell r="H12">
            <v>0</v>
          </cell>
          <cell r="I12">
            <v>420</v>
          </cell>
          <cell r="J12">
            <v>496</v>
          </cell>
          <cell r="K12">
            <v>23500</v>
          </cell>
          <cell r="L12">
            <v>1500</v>
          </cell>
          <cell r="M12">
            <v>25000</v>
          </cell>
          <cell r="P12">
            <v>0</v>
          </cell>
          <cell r="S12">
            <v>230</v>
          </cell>
          <cell r="T12">
            <v>25</v>
          </cell>
          <cell r="V12">
            <v>25</v>
          </cell>
          <cell r="X12">
            <v>237</v>
          </cell>
          <cell r="Y12">
            <v>4000</v>
          </cell>
          <cell r="AA12">
            <v>509</v>
          </cell>
          <cell r="AD12">
            <v>127.4</v>
          </cell>
          <cell r="AE12">
            <v>3000</v>
          </cell>
          <cell r="AI12">
            <v>0</v>
          </cell>
          <cell r="AJ12">
            <v>2.29</v>
          </cell>
          <cell r="AK12">
            <v>21</v>
          </cell>
          <cell r="AO12">
            <v>0</v>
          </cell>
          <cell r="AP12">
            <v>3.96</v>
          </cell>
          <cell r="AQ12">
            <v>40.700000000000003</v>
          </cell>
          <cell r="AU12">
            <v>0</v>
          </cell>
          <cell r="AV12">
            <v>0.71</v>
          </cell>
          <cell r="AW12">
            <v>61.8</v>
          </cell>
          <cell r="BA12">
            <v>0</v>
          </cell>
          <cell r="BB12">
            <v>2.34</v>
          </cell>
          <cell r="BC12">
            <v>29</v>
          </cell>
          <cell r="BG12">
            <v>0</v>
          </cell>
          <cell r="BI12">
            <v>200</v>
          </cell>
          <cell r="BM12">
            <v>0</v>
          </cell>
          <cell r="BO12">
            <v>11</v>
          </cell>
          <cell r="BP12">
            <v>77</v>
          </cell>
          <cell r="BS12">
            <v>0</v>
          </cell>
          <cell r="CD12">
            <v>28</v>
          </cell>
        </row>
        <row r="13">
          <cell r="A13">
            <v>39089</v>
          </cell>
          <cell r="H13">
            <v>0</v>
          </cell>
          <cell r="I13">
            <v>532</v>
          </cell>
          <cell r="J13">
            <v>506.6</v>
          </cell>
          <cell r="K13">
            <v>22800</v>
          </cell>
          <cell r="L13">
            <v>990</v>
          </cell>
          <cell r="M13">
            <v>23790</v>
          </cell>
          <cell r="P13">
            <v>0</v>
          </cell>
          <cell r="S13">
            <v>230</v>
          </cell>
          <cell r="T13">
            <v>388.1</v>
          </cell>
          <cell r="V13">
            <v>388.1</v>
          </cell>
          <cell r="X13">
            <v>319</v>
          </cell>
          <cell r="Y13">
            <v>4000</v>
          </cell>
          <cell r="AD13">
            <v>140.69999999999999</v>
          </cell>
          <cell r="AE13">
            <v>2800</v>
          </cell>
          <cell r="AI13">
            <v>0</v>
          </cell>
          <cell r="AJ13">
            <v>2.41</v>
          </cell>
          <cell r="AK13">
            <v>18.600000000000001</v>
          </cell>
          <cell r="AO13">
            <v>0</v>
          </cell>
          <cell r="AP13">
            <v>4.13</v>
          </cell>
          <cell r="AQ13">
            <v>36.5</v>
          </cell>
          <cell r="AU13">
            <v>0</v>
          </cell>
          <cell r="AV13">
            <v>1.9</v>
          </cell>
          <cell r="AW13">
            <v>59.9</v>
          </cell>
          <cell r="BA13">
            <v>0</v>
          </cell>
          <cell r="BB13">
            <v>2.4569999999999999</v>
          </cell>
          <cell r="BC13">
            <v>26</v>
          </cell>
          <cell r="BG13">
            <v>0</v>
          </cell>
          <cell r="BI13">
            <v>200</v>
          </cell>
          <cell r="BM13">
            <v>0</v>
          </cell>
          <cell r="BO13">
            <v>10.5</v>
          </cell>
          <cell r="BP13">
            <v>67</v>
          </cell>
          <cell r="BS13">
            <v>0</v>
          </cell>
          <cell r="CD13">
            <v>28</v>
          </cell>
        </row>
        <row r="14">
          <cell r="A14">
            <v>39090</v>
          </cell>
          <cell r="G14">
            <v>1500</v>
          </cell>
          <cell r="H14">
            <v>0</v>
          </cell>
          <cell r="I14">
            <v>600</v>
          </cell>
          <cell r="J14">
            <v>576.79999999999995</v>
          </cell>
          <cell r="K14">
            <v>20700</v>
          </cell>
          <cell r="L14">
            <v>1920</v>
          </cell>
          <cell r="M14">
            <v>22620</v>
          </cell>
          <cell r="P14">
            <v>0</v>
          </cell>
          <cell r="S14">
            <v>230</v>
          </cell>
          <cell r="T14">
            <v>263</v>
          </cell>
          <cell r="V14">
            <v>263</v>
          </cell>
          <cell r="X14">
            <v>248.3</v>
          </cell>
          <cell r="Y14">
            <v>4000</v>
          </cell>
          <cell r="AD14">
            <v>78.7</v>
          </cell>
          <cell r="AE14">
            <v>2800</v>
          </cell>
          <cell r="AI14">
            <v>0</v>
          </cell>
          <cell r="AJ14">
            <v>1.26</v>
          </cell>
          <cell r="AK14">
            <v>17.32</v>
          </cell>
          <cell r="AO14">
            <v>0</v>
          </cell>
          <cell r="AP14">
            <v>4.05</v>
          </cell>
          <cell r="AQ14">
            <v>32.5</v>
          </cell>
          <cell r="AU14">
            <v>0</v>
          </cell>
          <cell r="AV14">
            <v>1.79</v>
          </cell>
          <cell r="AW14">
            <v>58.1</v>
          </cell>
          <cell r="BA14">
            <v>0</v>
          </cell>
          <cell r="BB14">
            <v>2.8940000000000001</v>
          </cell>
          <cell r="BC14">
            <v>22</v>
          </cell>
          <cell r="BG14">
            <v>0</v>
          </cell>
          <cell r="BI14">
            <v>200</v>
          </cell>
          <cell r="BM14">
            <v>0</v>
          </cell>
          <cell r="BN14">
            <v>40000</v>
          </cell>
          <cell r="BO14">
            <v>8.1999999999999993</v>
          </cell>
          <cell r="BP14">
            <v>60</v>
          </cell>
          <cell r="BS14">
            <v>0</v>
          </cell>
          <cell r="CD14">
            <v>28</v>
          </cell>
        </row>
        <row r="15">
          <cell r="A15">
            <v>39091</v>
          </cell>
          <cell r="B15">
            <v>1320</v>
          </cell>
          <cell r="H15">
            <v>1320</v>
          </cell>
          <cell r="I15">
            <v>757</v>
          </cell>
          <cell r="J15">
            <v>525.4</v>
          </cell>
          <cell r="K15">
            <v>20000</v>
          </cell>
          <cell r="L15">
            <v>2700</v>
          </cell>
          <cell r="M15">
            <v>22700</v>
          </cell>
          <cell r="P15">
            <v>0</v>
          </cell>
          <cell r="S15">
            <v>230</v>
          </cell>
          <cell r="T15">
            <v>218.6</v>
          </cell>
          <cell r="V15">
            <v>218.6</v>
          </cell>
          <cell r="X15">
            <v>245.2</v>
          </cell>
          <cell r="Y15">
            <v>4000</v>
          </cell>
          <cell r="AD15">
            <v>65.400000000000006</v>
          </cell>
          <cell r="AE15">
            <v>2730</v>
          </cell>
          <cell r="AI15">
            <v>0</v>
          </cell>
          <cell r="AJ15">
            <v>2.1800000000000002</v>
          </cell>
          <cell r="AK15">
            <v>15.1</v>
          </cell>
          <cell r="AO15">
            <v>0</v>
          </cell>
          <cell r="AP15">
            <v>4.17</v>
          </cell>
          <cell r="AQ15">
            <v>28.3</v>
          </cell>
          <cell r="AU15">
            <v>0</v>
          </cell>
          <cell r="AV15">
            <v>1.19</v>
          </cell>
          <cell r="AW15">
            <v>56.9</v>
          </cell>
          <cell r="AX15">
            <v>14.32</v>
          </cell>
          <cell r="BA15">
            <v>14.32</v>
          </cell>
          <cell r="BB15">
            <v>2.714</v>
          </cell>
          <cell r="BC15">
            <v>36</v>
          </cell>
          <cell r="BG15">
            <v>0</v>
          </cell>
          <cell r="BI15">
            <v>200</v>
          </cell>
          <cell r="BJ15">
            <v>24.1</v>
          </cell>
          <cell r="BM15">
            <v>24.1</v>
          </cell>
          <cell r="BN15">
            <v>30000</v>
          </cell>
          <cell r="BO15">
            <v>12.6</v>
          </cell>
          <cell r="BP15">
            <v>70</v>
          </cell>
          <cell r="BS15">
            <v>0</v>
          </cell>
          <cell r="CD15">
            <v>28</v>
          </cell>
        </row>
        <row r="16">
          <cell r="A16">
            <v>39092</v>
          </cell>
          <cell r="G16">
            <v>790</v>
          </cell>
          <cell r="H16">
            <v>0</v>
          </cell>
          <cell r="I16">
            <v>612</v>
          </cell>
          <cell r="J16">
            <v>410</v>
          </cell>
          <cell r="K16">
            <v>18600</v>
          </cell>
          <cell r="L16">
            <v>3100</v>
          </cell>
          <cell r="M16">
            <v>21700</v>
          </cell>
          <cell r="P16">
            <v>0</v>
          </cell>
          <cell r="S16">
            <v>230</v>
          </cell>
          <cell r="T16">
            <v>155.19999999999999</v>
          </cell>
          <cell r="V16">
            <v>155.19999999999999</v>
          </cell>
          <cell r="X16">
            <v>246.4</v>
          </cell>
          <cell r="Y16">
            <v>4000</v>
          </cell>
          <cell r="AA16">
            <v>487</v>
          </cell>
          <cell r="AD16">
            <v>40.700000000000003</v>
          </cell>
          <cell r="AE16">
            <v>3600</v>
          </cell>
          <cell r="AI16">
            <v>0</v>
          </cell>
          <cell r="AJ16">
            <v>1.26</v>
          </cell>
          <cell r="AK16">
            <v>13.9</v>
          </cell>
          <cell r="AL16">
            <v>24.24</v>
          </cell>
          <cell r="AO16">
            <v>24.24</v>
          </cell>
          <cell r="AP16">
            <v>3.69</v>
          </cell>
          <cell r="AQ16">
            <v>48.9</v>
          </cell>
          <cell r="AU16">
            <v>0</v>
          </cell>
          <cell r="AV16">
            <v>0.83</v>
          </cell>
          <cell r="AW16">
            <v>56.1</v>
          </cell>
          <cell r="BA16">
            <v>0</v>
          </cell>
          <cell r="BB16">
            <v>2.1309999999999998</v>
          </cell>
          <cell r="BC16">
            <v>34</v>
          </cell>
          <cell r="BG16">
            <v>0</v>
          </cell>
          <cell r="BI16">
            <v>200</v>
          </cell>
          <cell r="BM16">
            <v>0</v>
          </cell>
          <cell r="BN16">
            <v>40000</v>
          </cell>
          <cell r="BO16">
            <v>12</v>
          </cell>
          <cell r="BP16">
            <v>60</v>
          </cell>
          <cell r="BS16">
            <v>0</v>
          </cell>
          <cell r="CD16">
            <v>28</v>
          </cell>
        </row>
        <row r="17">
          <cell r="A17">
            <v>39093</v>
          </cell>
          <cell r="H17">
            <v>0</v>
          </cell>
          <cell r="I17">
            <v>445</v>
          </cell>
          <cell r="J17">
            <v>571.4</v>
          </cell>
          <cell r="K17">
            <v>18100</v>
          </cell>
          <cell r="L17">
            <v>2500</v>
          </cell>
          <cell r="M17">
            <v>20600</v>
          </cell>
          <cell r="P17">
            <v>0</v>
          </cell>
          <cell r="S17">
            <v>230</v>
          </cell>
          <cell r="T17">
            <v>139.6</v>
          </cell>
          <cell r="V17">
            <v>139.6</v>
          </cell>
          <cell r="X17">
            <v>237.1</v>
          </cell>
          <cell r="Y17">
            <v>3800</v>
          </cell>
          <cell r="AD17">
            <v>58.4</v>
          </cell>
          <cell r="AE17">
            <v>3600</v>
          </cell>
          <cell r="AI17">
            <v>0</v>
          </cell>
          <cell r="AJ17">
            <v>2.29</v>
          </cell>
          <cell r="AK17">
            <v>11.6</v>
          </cell>
          <cell r="AL17">
            <v>24.3</v>
          </cell>
          <cell r="AO17">
            <v>24.3</v>
          </cell>
          <cell r="AP17">
            <v>3.32</v>
          </cell>
          <cell r="AQ17">
            <v>69.900000000000006</v>
          </cell>
          <cell r="AU17">
            <v>0</v>
          </cell>
          <cell r="AV17">
            <v>0</v>
          </cell>
          <cell r="AW17">
            <v>56.1</v>
          </cell>
          <cell r="BA17">
            <v>0</v>
          </cell>
          <cell r="BB17">
            <v>2.8580000000000001</v>
          </cell>
          <cell r="BC17">
            <v>31</v>
          </cell>
          <cell r="BG17">
            <v>0</v>
          </cell>
          <cell r="BI17">
            <v>200</v>
          </cell>
          <cell r="BM17">
            <v>0</v>
          </cell>
          <cell r="BN17">
            <v>40000</v>
          </cell>
          <cell r="BO17">
            <v>12</v>
          </cell>
          <cell r="BP17">
            <v>48</v>
          </cell>
          <cell r="BS17">
            <v>0</v>
          </cell>
          <cell r="CD17">
            <v>28</v>
          </cell>
        </row>
        <row r="18">
          <cell r="A18">
            <v>39094</v>
          </cell>
          <cell r="H18">
            <v>0</v>
          </cell>
          <cell r="I18">
            <v>842</v>
          </cell>
          <cell r="J18">
            <v>533.79999999999995</v>
          </cell>
          <cell r="K18">
            <v>17300</v>
          </cell>
          <cell r="L18">
            <v>2000</v>
          </cell>
          <cell r="M18">
            <v>19300</v>
          </cell>
          <cell r="P18">
            <v>0</v>
          </cell>
          <cell r="S18">
            <v>230</v>
          </cell>
          <cell r="T18">
            <v>108.9</v>
          </cell>
          <cell r="V18">
            <v>108.9</v>
          </cell>
          <cell r="X18">
            <v>243.2</v>
          </cell>
          <cell r="Y18">
            <v>3700</v>
          </cell>
          <cell r="AD18">
            <v>36.299999999999997</v>
          </cell>
          <cell r="AE18">
            <v>4100</v>
          </cell>
          <cell r="AI18">
            <v>0</v>
          </cell>
          <cell r="AJ18">
            <v>2.64</v>
          </cell>
          <cell r="AK18">
            <v>8.94</v>
          </cell>
          <cell r="AO18">
            <v>0</v>
          </cell>
          <cell r="AP18">
            <v>4.76</v>
          </cell>
          <cell r="AQ18">
            <v>65.099999999999994</v>
          </cell>
          <cell r="AU18">
            <v>0</v>
          </cell>
          <cell r="AV18">
            <v>0</v>
          </cell>
          <cell r="AW18">
            <v>56.1</v>
          </cell>
          <cell r="BA18">
            <v>0</v>
          </cell>
          <cell r="BB18">
            <v>2.6960000000000002</v>
          </cell>
          <cell r="BC18">
            <v>28</v>
          </cell>
          <cell r="BG18">
            <v>0</v>
          </cell>
          <cell r="BI18">
            <v>200</v>
          </cell>
          <cell r="BM18">
            <v>0</v>
          </cell>
          <cell r="BN18">
            <v>40000</v>
          </cell>
          <cell r="BO18">
            <v>9.5</v>
          </cell>
          <cell r="BP18">
            <v>38</v>
          </cell>
          <cell r="BS18">
            <v>0</v>
          </cell>
          <cell r="CD18">
            <v>28</v>
          </cell>
        </row>
        <row r="19">
          <cell r="A19">
            <v>39095</v>
          </cell>
          <cell r="H19">
            <v>0</v>
          </cell>
          <cell r="I19">
            <v>821</v>
          </cell>
          <cell r="J19">
            <v>643.1</v>
          </cell>
          <cell r="K19">
            <v>16400</v>
          </cell>
          <cell r="L19">
            <v>1600</v>
          </cell>
          <cell r="M19">
            <v>18000</v>
          </cell>
          <cell r="P19">
            <v>0</v>
          </cell>
          <cell r="S19">
            <v>230</v>
          </cell>
          <cell r="V19">
            <v>0</v>
          </cell>
          <cell r="X19">
            <v>20.6</v>
          </cell>
          <cell r="Y19">
            <v>3700</v>
          </cell>
          <cell r="AD19">
            <v>5.9</v>
          </cell>
          <cell r="AE19">
            <v>4550</v>
          </cell>
          <cell r="AI19">
            <v>0</v>
          </cell>
          <cell r="AJ19">
            <v>2.29</v>
          </cell>
          <cell r="AK19">
            <v>6.45</v>
          </cell>
          <cell r="AO19">
            <v>0</v>
          </cell>
          <cell r="AP19">
            <v>7</v>
          </cell>
          <cell r="AQ19">
            <v>60.9</v>
          </cell>
          <cell r="AU19">
            <v>0</v>
          </cell>
          <cell r="AV19">
            <v>0</v>
          </cell>
          <cell r="AW19">
            <v>56.1</v>
          </cell>
          <cell r="BA19">
            <v>0</v>
          </cell>
          <cell r="BB19">
            <v>1.774</v>
          </cell>
          <cell r="BC19">
            <v>28</v>
          </cell>
          <cell r="BG19">
            <v>0</v>
          </cell>
          <cell r="BI19">
            <v>200</v>
          </cell>
          <cell r="BJ19">
            <v>23</v>
          </cell>
          <cell r="BM19">
            <v>23</v>
          </cell>
          <cell r="BO19">
            <v>5.7</v>
          </cell>
          <cell r="BP19">
            <v>55</v>
          </cell>
          <cell r="BS19">
            <v>0</v>
          </cell>
          <cell r="BV19">
            <v>450</v>
          </cell>
          <cell r="BX19">
            <v>450</v>
          </cell>
          <cell r="CD19">
            <v>28</v>
          </cell>
        </row>
        <row r="20">
          <cell r="A20">
            <v>39096</v>
          </cell>
          <cell r="H20">
            <v>0</v>
          </cell>
          <cell r="I20">
            <v>832</v>
          </cell>
          <cell r="J20">
            <v>383</v>
          </cell>
          <cell r="K20">
            <v>15600</v>
          </cell>
          <cell r="L20">
            <v>1600</v>
          </cell>
          <cell r="M20">
            <v>17200</v>
          </cell>
          <cell r="P20">
            <v>0</v>
          </cell>
          <cell r="S20">
            <v>230</v>
          </cell>
          <cell r="T20">
            <v>305.7</v>
          </cell>
          <cell r="V20">
            <v>305.7</v>
          </cell>
          <cell r="Y20">
            <v>4000</v>
          </cell>
          <cell r="AD20">
            <v>36.200000000000003</v>
          </cell>
          <cell r="AE20">
            <v>4500</v>
          </cell>
          <cell r="AI20">
            <v>0</v>
          </cell>
          <cell r="AJ20">
            <v>1.49</v>
          </cell>
          <cell r="AK20">
            <v>5.16</v>
          </cell>
          <cell r="AO20">
            <v>0</v>
          </cell>
          <cell r="AP20">
            <v>4.76</v>
          </cell>
          <cell r="AQ20">
            <v>56.2</v>
          </cell>
          <cell r="AU20">
            <v>0</v>
          </cell>
          <cell r="AV20">
            <v>0</v>
          </cell>
          <cell r="AW20">
            <v>56.1</v>
          </cell>
          <cell r="BA20">
            <v>0</v>
          </cell>
          <cell r="BB20">
            <v>2.8980000000000001</v>
          </cell>
          <cell r="BC20">
            <v>24</v>
          </cell>
          <cell r="BG20">
            <v>0</v>
          </cell>
          <cell r="BI20">
            <v>200</v>
          </cell>
          <cell r="BM20">
            <v>0</v>
          </cell>
          <cell r="BO20">
            <v>5.7</v>
          </cell>
          <cell r="BP20">
            <v>50</v>
          </cell>
          <cell r="BS20">
            <v>0</v>
          </cell>
          <cell r="BV20">
            <v>450</v>
          </cell>
          <cell r="BX20">
            <v>900</v>
          </cell>
          <cell r="CD20">
            <v>28</v>
          </cell>
        </row>
        <row r="21">
          <cell r="A21">
            <v>39097</v>
          </cell>
          <cell r="G21">
            <v>1500</v>
          </cell>
          <cell r="H21">
            <v>0</v>
          </cell>
          <cell r="I21">
            <v>827</v>
          </cell>
          <cell r="J21">
            <v>636.5</v>
          </cell>
          <cell r="K21">
            <v>13300</v>
          </cell>
          <cell r="L21">
            <v>1800</v>
          </cell>
          <cell r="M21">
            <v>15100</v>
          </cell>
          <cell r="P21">
            <v>0</v>
          </cell>
          <cell r="S21">
            <v>230</v>
          </cell>
          <cell r="T21">
            <v>138.19999999999999</v>
          </cell>
          <cell r="V21">
            <v>138.19999999999999</v>
          </cell>
          <cell r="Y21">
            <v>4100</v>
          </cell>
          <cell r="AD21">
            <v>51.099999999999994</v>
          </cell>
          <cell r="AE21">
            <v>4500</v>
          </cell>
          <cell r="AI21">
            <v>0</v>
          </cell>
          <cell r="AJ21">
            <v>1.38</v>
          </cell>
          <cell r="AK21">
            <v>3.78</v>
          </cell>
          <cell r="AO21">
            <v>0</v>
          </cell>
          <cell r="AP21">
            <v>5.36</v>
          </cell>
          <cell r="AQ21">
            <v>50.8</v>
          </cell>
          <cell r="AU21">
            <v>0</v>
          </cell>
          <cell r="AV21">
            <v>0</v>
          </cell>
          <cell r="AW21">
            <v>56.1</v>
          </cell>
          <cell r="BA21">
            <v>0</v>
          </cell>
          <cell r="BB21">
            <v>2.7810000000000001</v>
          </cell>
          <cell r="BC21">
            <v>24</v>
          </cell>
          <cell r="BG21">
            <v>0</v>
          </cell>
          <cell r="BI21">
            <v>200</v>
          </cell>
          <cell r="BM21">
            <v>0</v>
          </cell>
          <cell r="BN21">
            <v>40000</v>
          </cell>
          <cell r="BO21">
            <v>5.7</v>
          </cell>
          <cell r="BP21">
            <v>43</v>
          </cell>
          <cell r="BS21">
            <v>0</v>
          </cell>
          <cell r="BX21">
            <v>900</v>
          </cell>
          <cell r="CB21">
            <v>73.8</v>
          </cell>
          <cell r="CD21">
            <v>126</v>
          </cell>
        </row>
        <row r="22">
          <cell r="A22">
            <v>39098</v>
          </cell>
          <cell r="B22">
            <v>1321</v>
          </cell>
          <cell r="H22">
            <v>1321</v>
          </cell>
          <cell r="I22">
            <v>880</v>
          </cell>
          <cell r="J22">
            <v>712.3</v>
          </cell>
          <cell r="K22">
            <v>12400</v>
          </cell>
          <cell r="L22">
            <v>2400</v>
          </cell>
          <cell r="M22">
            <v>14800</v>
          </cell>
          <cell r="P22">
            <v>0</v>
          </cell>
          <cell r="S22">
            <v>230</v>
          </cell>
          <cell r="T22">
            <v>260</v>
          </cell>
          <cell r="V22">
            <v>260</v>
          </cell>
          <cell r="X22">
            <v>113.8</v>
          </cell>
          <cell r="Y22">
            <v>4200</v>
          </cell>
          <cell r="AD22">
            <v>66.699999999999989</v>
          </cell>
          <cell r="AE22">
            <v>4400</v>
          </cell>
          <cell r="AF22">
            <v>24.72</v>
          </cell>
          <cell r="AI22">
            <v>24.72</v>
          </cell>
          <cell r="AJ22">
            <v>0.75</v>
          </cell>
          <cell r="AK22">
            <v>27.8</v>
          </cell>
          <cell r="AL22">
            <v>24.18</v>
          </cell>
          <cell r="AO22">
            <v>24.18</v>
          </cell>
          <cell r="AP22">
            <v>3.59</v>
          </cell>
          <cell r="AQ22">
            <v>71.400000000000006</v>
          </cell>
          <cell r="AU22">
            <v>0</v>
          </cell>
          <cell r="AV22">
            <v>0.36</v>
          </cell>
          <cell r="AW22">
            <v>55.7</v>
          </cell>
          <cell r="AX22">
            <v>24.44</v>
          </cell>
          <cell r="BA22">
            <v>24.44</v>
          </cell>
          <cell r="BB22">
            <v>3.1459999999999999</v>
          </cell>
          <cell r="BC22">
            <v>56</v>
          </cell>
          <cell r="BG22">
            <v>0</v>
          </cell>
          <cell r="BI22">
            <v>200</v>
          </cell>
          <cell r="BJ22">
            <v>25.8</v>
          </cell>
          <cell r="BM22">
            <v>25.8</v>
          </cell>
          <cell r="BN22">
            <v>60000</v>
          </cell>
          <cell r="BO22">
            <v>10.4</v>
          </cell>
          <cell r="BP22">
            <v>59</v>
          </cell>
          <cell r="BS22">
            <v>0</v>
          </cell>
          <cell r="BX22">
            <v>900</v>
          </cell>
          <cell r="CB22">
            <v>48.3</v>
          </cell>
          <cell r="CD22">
            <v>175</v>
          </cell>
        </row>
        <row r="23">
          <cell r="A23">
            <v>39099</v>
          </cell>
          <cell r="H23">
            <v>0</v>
          </cell>
          <cell r="I23">
            <v>637</v>
          </cell>
          <cell r="J23">
            <v>717</v>
          </cell>
          <cell r="K23">
            <v>12700</v>
          </cell>
          <cell r="L23">
            <v>1720</v>
          </cell>
          <cell r="M23">
            <v>14420</v>
          </cell>
          <cell r="P23">
            <v>0</v>
          </cell>
          <cell r="S23">
            <v>230</v>
          </cell>
          <cell r="T23">
            <v>166.5</v>
          </cell>
          <cell r="V23">
            <v>166.5</v>
          </cell>
          <cell r="X23">
            <v>66.400000000000006</v>
          </cell>
          <cell r="Y23">
            <v>4400</v>
          </cell>
          <cell r="Z23">
            <v>56.5</v>
          </cell>
          <cell r="AD23">
            <v>35.6</v>
          </cell>
          <cell r="AE23">
            <v>4400</v>
          </cell>
          <cell r="AI23">
            <v>0</v>
          </cell>
          <cell r="AJ23">
            <v>2.1800000000000002</v>
          </cell>
          <cell r="AK23">
            <v>25.6</v>
          </cell>
          <cell r="AO23">
            <v>0</v>
          </cell>
          <cell r="AP23">
            <v>4.4000000000000004</v>
          </cell>
          <cell r="AQ23">
            <v>67</v>
          </cell>
          <cell r="AU23">
            <v>0</v>
          </cell>
          <cell r="AV23">
            <v>1.19</v>
          </cell>
          <cell r="AW23">
            <v>54.5</v>
          </cell>
          <cell r="BA23">
            <v>0</v>
          </cell>
          <cell r="BB23">
            <v>2.7610000000000001</v>
          </cell>
          <cell r="BC23">
            <v>50</v>
          </cell>
          <cell r="BG23">
            <v>0</v>
          </cell>
          <cell r="BI23">
            <v>200</v>
          </cell>
          <cell r="BM23">
            <v>0</v>
          </cell>
          <cell r="BN23">
            <v>53000</v>
          </cell>
          <cell r="BO23">
            <v>12</v>
          </cell>
          <cell r="BP23">
            <v>47</v>
          </cell>
          <cell r="BS23">
            <v>0</v>
          </cell>
          <cell r="BX23">
            <v>900</v>
          </cell>
          <cell r="CB23">
            <v>24</v>
          </cell>
          <cell r="CD23">
            <v>198</v>
          </cell>
        </row>
        <row r="24">
          <cell r="A24">
            <v>39100</v>
          </cell>
          <cell r="H24">
            <v>0</v>
          </cell>
          <cell r="I24">
            <v>331</v>
          </cell>
          <cell r="J24">
            <v>653.20000000000005</v>
          </cell>
          <cell r="K24">
            <v>11000</v>
          </cell>
          <cell r="L24">
            <v>1000</v>
          </cell>
          <cell r="M24">
            <v>12000</v>
          </cell>
          <cell r="P24">
            <v>0</v>
          </cell>
          <cell r="S24">
            <v>230</v>
          </cell>
          <cell r="T24">
            <v>139</v>
          </cell>
          <cell r="V24">
            <v>139</v>
          </cell>
          <cell r="X24">
            <v>93.2</v>
          </cell>
          <cell r="Y24">
            <v>4400</v>
          </cell>
          <cell r="Z24">
            <v>331</v>
          </cell>
          <cell r="AD24">
            <v>22.6</v>
          </cell>
          <cell r="AE24">
            <v>4700</v>
          </cell>
          <cell r="AI24">
            <v>0</v>
          </cell>
          <cell r="AJ24">
            <v>0.8</v>
          </cell>
          <cell r="AK24">
            <v>24.8</v>
          </cell>
          <cell r="AO24">
            <v>0</v>
          </cell>
          <cell r="AP24">
            <v>3.57</v>
          </cell>
          <cell r="AQ24">
            <v>63.4</v>
          </cell>
          <cell r="AU24">
            <v>0</v>
          </cell>
          <cell r="AW24">
            <v>54.5</v>
          </cell>
          <cell r="BA24">
            <v>0</v>
          </cell>
          <cell r="BB24">
            <v>2.516</v>
          </cell>
          <cell r="BC24">
            <v>45</v>
          </cell>
          <cell r="BG24">
            <v>0</v>
          </cell>
          <cell r="BI24">
            <v>200</v>
          </cell>
          <cell r="BM24">
            <v>0</v>
          </cell>
          <cell r="BN24">
            <v>35000</v>
          </cell>
          <cell r="BO24">
            <v>10.9</v>
          </cell>
          <cell r="BP24">
            <v>37</v>
          </cell>
          <cell r="BS24">
            <v>0</v>
          </cell>
          <cell r="BX24">
            <v>900</v>
          </cell>
          <cell r="CB24">
            <v>24</v>
          </cell>
          <cell r="CD24">
            <v>222</v>
          </cell>
        </row>
        <row r="25">
          <cell r="A25">
            <v>39101</v>
          </cell>
          <cell r="G25">
            <v>250</v>
          </cell>
          <cell r="H25">
            <v>0</v>
          </cell>
          <cell r="I25">
            <v>604</v>
          </cell>
          <cell r="J25">
            <v>584.9</v>
          </cell>
          <cell r="K25">
            <v>10800</v>
          </cell>
          <cell r="L25">
            <v>800</v>
          </cell>
          <cell r="M25">
            <v>11600</v>
          </cell>
          <cell r="P25">
            <v>0</v>
          </cell>
          <cell r="S25">
            <v>230</v>
          </cell>
          <cell r="T25">
            <v>194.9</v>
          </cell>
          <cell r="V25">
            <v>194.9</v>
          </cell>
          <cell r="X25">
            <v>184.9</v>
          </cell>
          <cell r="Y25">
            <v>4500</v>
          </cell>
          <cell r="Z25">
            <v>112.3</v>
          </cell>
          <cell r="AD25">
            <v>18.399999999999999</v>
          </cell>
          <cell r="AE25">
            <v>4800</v>
          </cell>
          <cell r="AI25">
            <v>0</v>
          </cell>
          <cell r="AJ25">
            <v>2.41</v>
          </cell>
          <cell r="AK25">
            <v>22.4</v>
          </cell>
          <cell r="AO25">
            <v>0</v>
          </cell>
          <cell r="AP25">
            <v>4.4000000000000004</v>
          </cell>
          <cell r="AQ25">
            <v>59</v>
          </cell>
          <cell r="AR25">
            <v>24.2</v>
          </cell>
          <cell r="AU25">
            <v>24.2</v>
          </cell>
          <cell r="AW25">
            <v>78.7</v>
          </cell>
          <cell r="BA25">
            <v>0</v>
          </cell>
          <cell r="BB25">
            <v>2.3759999999999999</v>
          </cell>
          <cell r="BC25">
            <v>40</v>
          </cell>
          <cell r="BG25">
            <v>0</v>
          </cell>
          <cell r="BI25">
            <v>200</v>
          </cell>
          <cell r="BM25">
            <v>0</v>
          </cell>
          <cell r="BN25">
            <v>40000</v>
          </cell>
          <cell r="BO25">
            <v>11.5</v>
          </cell>
          <cell r="BP25">
            <v>25</v>
          </cell>
          <cell r="BQ25">
            <v>21.2</v>
          </cell>
          <cell r="BS25">
            <v>21.2</v>
          </cell>
          <cell r="BU25">
            <v>21.2</v>
          </cell>
          <cell r="BX25">
            <v>900</v>
          </cell>
          <cell r="CB25">
            <v>24.5</v>
          </cell>
          <cell r="CD25">
            <v>247</v>
          </cell>
        </row>
        <row r="26">
          <cell r="A26">
            <v>39102</v>
          </cell>
          <cell r="E26">
            <v>3250.7</v>
          </cell>
          <cell r="G26">
            <v>595</v>
          </cell>
          <cell r="H26">
            <v>3250.7</v>
          </cell>
          <cell r="I26">
            <v>566</v>
          </cell>
          <cell r="J26">
            <v>552</v>
          </cell>
          <cell r="K26">
            <v>12200</v>
          </cell>
          <cell r="L26">
            <v>770</v>
          </cell>
          <cell r="M26">
            <v>12970</v>
          </cell>
          <cell r="P26">
            <v>0</v>
          </cell>
          <cell r="S26">
            <v>230</v>
          </cell>
          <cell r="V26">
            <v>0</v>
          </cell>
          <cell r="X26">
            <v>268.39999999999998</v>
          </cell>
          <cell r="Y26">
            <v>4200</v>
          </cell>
          <cell r="Z26">
            <v>114.5</v>
          </cell>
          <cell r="AD26">
            <v>26.89</v>
          </cell>
          <cell r="AE26">
            <v>4900</v>
          </cell>
          <cell r="AI26">
            <v>0</v>
          </cell>
          <cell r="AJ26">
            <v>1.49</v>
          </cell>
          <cell r="AK26">
            <v>20.9</v>
          </cell>
          <cell r="AO26">
            <v>0</v>
          </cell>
          <cell r="AP26">
            <v>5.36</v>
          </cell>
          <cell r="AQ26">
            <v>53.7</v>
          </cell>
          <cell r="AU26">
            <v>0</v>
          </cell>
          <cell r="AW26">
            <v>78.7</v>
          </cell>
          <cell r="BA26">
            <v>0</v>
          </cell>
          <cell r="BB26">
            <v>2.3380000000000001</v>
          </cell>
          <cell r="BC26">
            <v>35</v>
          </cell>
          <cell r="BG26">
            <v>0</v>
          </cell>
          <cell r="BI26">
            <v>200</v>
          </cell>
          <cell r="BM26">
            <v>0</v>
          </cell>
          <cell r="BN26">
            <v>20000</v>
          </cell>
          <cell r="BO26">
            <v>10.4</v>
          </cell>
          <cell r="BP26">
            <v>23</v>
          </cell>
          <cell r="BQ26">
            <v>21.4</v>
          </cell>
          <cell r="BS26">
            <v>21.4</v>
          </cell>
          <cell r="BU26">
            <v>42.6</v>
          </cell>
          <cell r="BX26">
            <v>900</v>
          </cell>
          <cell r="CB26">
            <v>9.9</v>
          </cell>
          <cell r="CD26">
            <v>257</v>
          </cell>
        </row>
        <row r="27">
          <cell r="A27">
            <v>39103</v>
          </cell>
          <cell r="G27">
            <v>260</v>
          </cell>
          <cell r="H27">
            <v>0</v>
          </cell>
          <cell r="I27">
            <v>521</v>
          </cell>
          <cell r="J27">
            <v>532.20000000000005</v>
          </cell>
          <cell r="K27">
            <v>11450</v>
          </cell>
          <cell r="L27">
            <v>500</v>
          </cell>
          <cell r="M27">
            <v>11950</v>
          </cell>
          <cell r="P27">
            <v>0</v>
          </cell>
          <cell r="S27">
            <v>230</v>
          </cell>
          <cell r="T27">
            <v>390.4</v>
          </cell>
          <cell r="V27">
            <v>390.4</v>
          </cell>
          <cell r="X27">
            <v>417.9</v>
          </cell>
          <cell r="Y27">
            <v>4200</v>
          </cell>
          <cell r="Z27">
            <v>58</v>
          </cell>
          <cell r="AD27">
            <v>29.8</v>
          </cell>
          <cell r="AE27">
            <v>4900</v>
          </cell>
          <cell r="AI27">
            <v>0</v>
          </cell>
          <cell r="AJ27">
            <v>2.29</v>
          </cell>
          <cell r="AK27">
            <v>18.600000000000001</v>
          </cell>
          <cell r="AO27">
            <v>0</v>
          </cell>
          <cell r="AP27">
            <v>3.21</v>
          </cell>
          <cell r="AQ27">
            <v>50.5</v>
          </cell>
          <cell r="AU27">
            <v>0</v>
          </cell>
          <cell r="AW27">
            <v>78.7</v>
          </cell>
          <cell r="BA27">
            <v>0</v>
          </cell>
          <cell r="BB27">
            <v>2.4300000000000002</v>
          </cell>
          <cell r="BC27">
            <v>32</v>
          </cell>
          <cell r="BG27">
            <v>0</v>
          </cell>
          <cell r="BI27">
            <v>200</v>
          </cell>
          <cell r="BM27">
            <v>0</v>
          </cell>
          <cell r="BO27">
            <v>6.8</v>
          </cell>
          <cell r="BP27">
            <v>16</v>
          </cell>
          <cell r="BS27">
            <v>0</v>
          </cell>
          <cell r="BU27">
            <v>42.6</v>
          </cell>
          <cell r="BX27">
            <v>900</v>
          </cell>
          <cell r="CD27">
            <v>257</v>
          </cell>
        </row>
        <row r="28">
          <cell r="A28">
            <v>39104</v>
          </cell>
          <cell r="G28">
            <v>300</v>
          </cell>
          <cell r="H28">
            <v>0</v>
          </cell>
          <cell r="I28">
            <v>595</v>
          </cell>
          <cell r="J28">
            <v>228.9</v>
          </cell>
          <cell r="K28">
            <v>10050</v>
          </cell>
          <cell r="L28">
            <v>500</v>
          </cell>
          <cell r="M28">
            <v>10550</v>
          </cell>
          <cell r="P28">
            <v>0</v>
          </cell>
          <cell r="S28">
            <v>230</v>
          </cell>
          <cell r="T28">
            <v>324.8</v>
          </cell>
          <cell r="V28">
            <v>324.8</v>
          </cell>
          <cell r="X28">
            <v>392.8</v>
          </cell>
          <cell r="Y28">
            <v>4200</v>
          </cell>
          <cell r="Z28">
            <v>111</v>
          </cell>
          <cell r="AD28">
            <v>36</v>
          </cell>
          <cell r="AE28">
            <v>5000</v>
          </cell>
          <cell r="AI28">
            <v>0</v>
          </cell>
          <cell r="AJ28">
            <v>0.8</v>
          </cell>
          <cell r="AK28">
            <v>17.8</v>
          </cell>
          <cell r="AO28">
            <v>0</v>
          </cell>
          <cell r="AP28">
            <v>4.28</v>
          </cell>
          <cell r="AQ28">
            <v>46.2</v>
          </cell>
          <cell r="AU28">
            <v>0</v>
          </cell>
          <cell r="AV28">
            <v>0.88</v>
          </cell>
          <cell r="AW28">
            <v>77.8</v>
          </cell>
          <cell r="BA28">
            <v>0</v>
          </cell>
          <cell r="BB28">
            <v>1.278</v>
          </cell>
          <cell r="BC28">
            <v>28</v>
          </cell>
          <cell r="BG28">
            <v>0</v>
          </cell>
          <cell r="BI28">
            <v>200</v>
          </cell>
          <cell r="BJ28">
            <v>23.8</v>
          </cell>
          <cell r="BM28">
            <v>23.8</v>
          </cell>
          <cell r="BN28">
            <v>40000</v>
          </cell>
          <cell r="BO28">
            <v>5.7</v>
          </cell>
          <cell r="BP28">
            <v>26</v>
          </cell>
          <cell r="BS28">
            <v>0</v>
          </cell>
          <cell r="BU28">
            <v>42.6</v>
          </cell>
          <cell r="BV28">
            <v>900</v>
          </cell>
          <cell r="BX28">
            <v>1800</v>
          </cell>
          <cell r="CB28">
            <v>24.6</v>
          </cell>
          <cell r="CD28">
            <v>281</v>
          </cell>
        </row>
        <row r="29">
          <cell r="A29">
            <v>39105</v>
          </cell>
          <cell r="B29">
            <v>1320</v>
          </cell>
          <cell r="G29">
            <v>250</v>
          </cell>
          <cell r="H29">
            <v>1320</v>
          </cell>
          <cell r="I29">
            <v>735</v>
          </cell>
          <cell r="J29">
            <v>186.2</v>
          </cell>
          <cell r="K29">
            <v>9500</v>
          </cell>
          <cell r="L29">
            <v>2000</v>
          </cell>
          <cell r="M29">
            <v>11500</v>
          </cell>
          <cell r="P29">
            <v>0</v>
          </cell>
          <cell r="S29">
            <v>230</v>
          </cell>
          <cell r="T29">
            <v>137.5</v>
          </cell>
          <cell r="V29">
            <v>137.5</v>
          </cell>
          <cell r="X29">
            <v>260.89999999999998</v>
          </cell>
          <cell r="Y29">
            <v>4200</v>
          </cell>
          <cell r="AD29">
            <v>22.01</v>
          </cell>
          <cell r="AE29">
            <v>5400</v>
          </cell>
          <cell r="AI29">
            <v>0</v>
          </cell>
          <cell r="AJ29">
            <v>2.29</v>
          </cell>
          <cell r="AK29">
            <v>15.5</v>
          </cell>
          <cell r="AL29">
            <v>23.92</v>
          </cell>
          <cell r="AO29">
            <v>23.92</v>
          </cell>
          <cell r="AP29">
            <v>4.76</v>
          </cell>
          <cell r="AQ29">
            <v>65.3</v>
          </cell>
          <cell r="AU29">
            <v>0</v>
          </cell>
          <cell r="AV29">
            <v>0.59</v>
          </cell>
          <cell r="AW29">
            <v>77.2</v>
          </cell>
          <cell r="AX29">
            <v>24.68</v>
          </cell>
          <cell r="BA29">
            <v>24.68</v>
          </cell>
          <cell r="BB29">
            <v>1.0489999999999999</v>
          </cell>
          <cell r="BC29">
            <v>56</v>
          </cell>
          <cell r="BG29">
            <v>0</v>
          </cell>
          <cell r="BI29">
            <v>200</v>
          </cell>
          <cell r="BM29">
            <v>0</v>
          </cell>
          <cell r="BN29">
            <v>37500</v>
          </cell>
          <cell r="BO29">
            <v>5.7</v>
          </cell>
          <cell r="BP29">
            <v>20</v>
          </cell>
          <cell r="BS29">
            <v>0</v>
          </cell>
          <cell r="BU29">
            <v>42.6</v>
          </cell>
          <cell r="BX29">
            <v>1800</v>
          </cell>
          <cell r="CD29">
            <v>281</v>
          </cell>
        </row>
        <row r="30">
          <cell r="A30">
            <v>39106</v>
          </cell>
          <cell r="H30">
            <v>0</v>
          </cell>
          <cell r="I30">
            <v>549</v>
          </cell>
          <cell r="J30">
            <v>348.3</v>
          </cell>
          <cell r="K30">
            <v>11000</v>
          </cell>
          <cell r="L30">
            <v>1600</v>
          </cell>
          <cell r="M30">
            <v>12600</v>
          </cell>
          <cell r="P30">
            <v>0</v>
          </cell>
          <cell r="S30">
            <v>230</v>
          </cell>
          <cell r="T30">
            <v>81.900000000000006</v>
          </cell>
          <cell r="V30">
            <v>81.900000000000006</v>
          </cell>
          <cell r="X30">
            <v>65.599999999999994</v>
          </cell>
          <cell r="Y30">
            <v>4000</v>
          </cell>
          <cell r="Z30">
            <v>119</v>
          </cell>
          <cell r="AD30">
            <v>32.954999999999998</v>
          </cell>
          <cell r="AE30">
            <v>6000</v>
          </cell>
          <cell r="AI30">
            <v>0</v>
          </cell>
          <cell r="AJ30">
            <v>2.1800000000000002</v>
          </cell>
          <cell r="AK30">
            <v>13.3</v>
          </cell>
          <cell r="AO30">
            <v>0</v>
          </cell>
          <cell r="AP30">
            <v>4.76</v>
          </cell>
          <cell r="AQ30">
            <v>60.6</v>
          </cell>
          <cell r="AU30">
            <v>0</v>
          </cell>
          <cell r="AW30">
            <v>77.2</v>
          </cell>
          <cell r="BA30">
            <v>0</v>
          </cell>
          <cell r="BB30">
            <v>1.323</v>
          </cell>
          <cell r="BC30">
            <v>53</v>
          </cell>
          <cell r="BG30">
            <v>0</v>
          </cell>
          <cell r="BI30">
            <v>200</v>
          </cell>
          <cell r="BJ30">
            <v>24.1</v>
          </cell>
          <cell r="BM30">
            <v>24.1</v>
          </cell>
          <cell r="BN30">
            <v>40000</v>
          </cell>
          <cell r="BO30">
            <v>8.8000000000000007</v>
          </cell>
          <cell r="BP30">
            <v>35</v>
          </cell>
          <cell r="BQ30">
            <v>21.12</v>
          </cell>
          <cell r="BS30">
            <v>21.12</v>
          </cell>
          <cell r="BU30">
            <v>63.72</v>
          </cell>
          <cell r="BX30">
            <v>1800</v>
          </cell>
          <cell r="CD30">
            <v>281</v>
          </cell>
        </row>
        <row r="31">
          <cell r="A31">
            <v>39107</v>
          </cell>
          <cell r="E31">
            <v>2857.9</v>
          </cell>
          <cell r="H31">
            <v>2857.9</v>
          </cell>
          <cell r="I31">
            <v>374</v>
          </cell>
          <cell r="J31">
            <v>224.5</v>
          </cell>
          <cell r="K31">
            <v>11500</v>
          </cell>
          <cell r="L31">
            <v>1400</v>
          </cell>
          <cell r="M31">
            <v>12900</v>
          </cell>
          <cell r="P31">
            <v>0</v>
          </cell>
          <cell r="S31">
            <v>230</v>
          </cell>
          <cell r="T31">
            <v>249.5</v>
          </cell>
          <cell r="V31">
            <v>249.5</v>
          </cell>
          <cell r="X31">
            <v>36.4</v>
          </cell>
          <cell r="Y31">
            <v>4200</v>
          </cell>
          <cell r="AD31">
            <v>53.152000000000008</v>
          </cell>
          <cell r="AE31">
            <v>6100</v>
          </cell>
          <cell r="AI31">
            <v>0</v>
          </cell>
          <cell r="AJ31">
            <v>1.26</v>
          </cell>
          <cell r="AK31">
            <v>12</v>
          </cell>
          <cell r="AL31">
            <v>23.02</v>
          </cell>
          <cell r="AO31">
            <v>23.02</v>
          </cell>
          <cell r="AP31">
            <v>2.91</v>
          </cell>
          <cell r="AQ31">
            <v>80.7</v>
          </cell>
          <cell r="AU31">
            <v>0</v>
          </cell>
          <cell r="AW31">
            <v>77.2</v>
          </cell>
          <cell r="BA31">
            <v>0</v>
          </cell>
          <cell r="BB31">
            <v>1.1559999999999999</v>
          </cell>
          <cell r="BC31">
            <v>52</v>
          </cell>
          <cell r="BG31">
            <v>0</v>
          </cell>
          <cell r="BI31">
            <v>200</v>
          </cell>
          <cell r="BM31">
            <v>0</v>
          </cell>
          <cell r="BN31">
            <v>40000</v>
          </cell>
          <cell r="BO31">
            <v>12.6</v>
          </cell>
          <cell r="BP31">
            <v>23</v>
          </cell>
          <cell r="BQ31">
            <v>20</v>
          </cell>
          <cell r="BS31">
            <v>20</v>
          </cell>
          <cell r="BT31">
            <v>3.9</v>
          </cell>
          <cell r="BU31">
            <v>79.819999999999993</v>
          </cell>
          <cell r="BX31">
            <v>1800</v>
          </cell>
          <cell r="CD31">
            <v>281</v>
          </cell>
        </row>
        <row r="32">
          <cell r="A32">
            <v>39108</v>
          </cell>
          <cell r="E32">
            <v>3130.3</v>
          </cell>
          <cell r="H32">
            <v>3130.3</v>
          </cell>
          <cell r="I32">
            <v>627</v>
          </cell>
          <cell r="J32">
            <v>94.9</v>
          </cell>
          <cell r="K32">
            <v>13450</v>
          </cell>
          <cell r="L32">
            <v>1300</v>
          </cell>
          <cell r="M32">
            <v>14750</v>
          </cell>
          <cell r="P32">
            <v>0</v>
          </cell>
          <cell r="R32">
            <v>89.3</v>
          </cell>
          <cell r="S32">
            <v>230</v>
          </cell>
          <cell r="T32">
            <v>55.1</v>
          </cell>
          <cell r="V32">
            <v>55.1</v>
          </cell>
          <cell r="X32">
            <v>89.5</v>
          </cell>
          <cell r="Y32">
            <v>4200</v>
          </cell>
          <cell r="Z32">
            <v>57.5</v>
          </cell>
          <cell r="AA32">
            <v>200.8</v>
          </cell>
          <cell r="AD32">
            <v>227.83600000000001</v>
          </cell>
          <cell r="AE32">
            <v>6100</v>
          </cell>
          <cell r="AI32">
            <v>0</v>
          </cell>
          <cell r="AJ32">
            <v>3.67</v>
          </cell>
          <cell r="AK32">
            <v>8.4</v>
          </cell>
          <cell r="AO32">
            <v>0</v>
          </cell>
          <cell r="AP32">
            <v>3.86</v>
          </cell>
          <cell r="AQ32">
            <v>76.8</v>
          </cell>
          <cell r="AU32">
            <v>0</v>
          </cell>
          <cell r="AV32">
            <v>0.48</v>
          </cell>
          <cell r="AW32">
            <v>76.8</v>
          </cell>
          <cell r="BA32">
            <v>0</v>
          </cell>
          <cell r="BB32">
            <v>1.966</v>
          </cell>
          <cell r="BC32">
            <v>50</v>
          </cell>
          <cell r="BG32">
            <v>0</v>
          </cell>
          <cell r="BI32">
            <v>200</v>
          </cell>
          <cell r="BJ32">
            <v>24.5</v>
          </cell>
          <cell r="BM32">
            <v>24.5</v>
          </cell>
          <cell r="BN32">
            <v>40000</v>
          </cell>
          <cell r="BO32">
            <v>6.3</v>
          </cell>
          <cell r="BP32">
            <v>41</v>
          </cell>
          <cell r="BS32">
            <v>0</v>
          </cell>
          <cell r="BT32">
            <v>12</v>
          </cell>
          <cell r="BU32">
            <v>67.819999999999993</v>
          </cell>
          <cell r="BW32">
            <v>203.5</v>
          </cell>
          <cell r="BX32">
            <v>1745</v>
          </cell>
          <cell r="CC32">
            <v>8.6999999999999993</v>
          </cell>
          <cell r="CD32">
            <v>273</v>
          </cell>
        </row>
        <row r="33">
          <cell r="A33">
            <v>39109</v>
          </cell>
          <cell r="H33">
            <v>0</v>
          </cell>
          <cell r="I33">
            <v>738</v>
          </cell>
          <cell r="J33">
            <v>157.1</v>
          </cell>
          <cell r="K33">
            <v>13200</v>
          </cell>
          <cell r="L33">
            <v>1100</v>
          </cell>
          <cell r="M33">
            <v>14300</v>
          </cell>
          <cell r="P33">
            <v>0</v>
          </cell>
          <cell r="R33">
            <v>92.3</v>
          </cell>
          <cell r="S33">
            <v>230</v>
          </cell>
          <cell r="V33">
            <v>0</v>
          </cell>
          <cell r="X33">
            <v>82.9</v>
          </cell>
          <cell r="Y33">
            <v>4100</v>
          </cell>
          <cell r="AA33">
            <v>322.89999999999998</v>
          </cell>
          <cell r="AD33">
            <v>253.4</v>
          </cell>
          <cell r="AE33">
            <v>6200</v>
          </cell>
          <cell r="AI33">
            <v>0</v>
          </cell>
          <cell r="AJ33">
            <v>0.92</v>
          </cell>
          <cell r="AK33">
            <v>7.5</v>
          </cell>
          <cell r="AO33">
            <v>0</v>
          </cell>
          <cell r="AP33">
            <v>4.68</v>
          </cell>
          <cell r="AQ33">
            <v>72.099999999999994</v>
          </cell>
          <cell r="AU33">
            <v>0</v>
          </cell>
          <cell r="AV33">
            <v>1.43</v>
          </cell>
          <cell r="AW33">
            <v>75.3</v>
          </cell>
          <cell r="BA33">
            <v>0</v>
          </cell>
          <cell r="BB33">
            <v>2.484</v>
          </cell>
          <cell r="BC33">
            <v>47</v>
          </cell>
          <cell r="BG33">
            <v>0</v>
          </cell>
          <cell r="BI33">
            <v>200</v>
          </cell>
          <cell r="BM33">
            <v>0</v>
          </cell>
          <cell r="BO33">
            <v>5.7</v>
          </cell>
          <cell r="BP33">
            <v>35</v>
          </cell>
          <cell r="BS33">
            <v>0</v>
          </cell>
          <cell r="BT33">
            <v>12.6</v>
          </cell>
          <cell r="BU33">
            <v>55.22</v>
          </cell>
          <cell r="BW33">
            <v>221</v>
          </cell>
          <cell r="BX33">
            <v>1320</v>
          </cell>
          <cell r="CC33">
            <v>12.5</v>
          </cell>
          <cell r="CD33">
            <v>260</v>
          </cell>
        </row>
        <row r="34">
          <cell r="A34">
            <v>39110</v>
          </cell>
          <cell r="G34">
            <v>340</v>
          </cell>
          <cell r="H34">
            <v>0</v>
          </cell>
          <cell r="I34">
            <v>626</v>
          </cell>
          <cell r="J34">
            <v>143.6</v>
          </cell>
          <cell r="K34">
            <v>12200</v>
          </cell>
          <cell r="L34">
            <v>1300</v>
          </cell>
          <cell r="M34">
            <v>13500</v>
          </cell>
          <cell r="N34">
            <v>110.2</v>
          </cell>
          <cell r="P34">
            <v>110.2</v>
          </cell>
          <cell r="R34">
            <v>92.9</v>
          </cell>
          <cell r="S34">
            <v>200</v>
          </cell>
          <cell r="T34">
            <v>195.6</v>
          </cell>
          <cell r="V34">
            <v>195.6</v>
          </cell>
          <cell r="X34">
            <v>123.3</v>
          </cell>
          <cell r="Y34">
            <v>4100</v>
          </cell>
          <cell r="Z34">
            <v>56.5</v>
          </cell>
          <cell r="AA34">
            <v>196.4</v>
          </cell>
          <cell r="AD34">
            <v>264</v>
          </cell>
          <cell r="AE34">
            <v>6200</v>
          </cell>
          <cell r="AI34">
            <v>0</v>
          </cell>
          <cell r="AJ34">
            <v>2.87</v>
          </cell>
          <cell r="AK34">
            <v>4.5999999999999996</v>
          </cell>
          <cell r="AO34">
            <v>0</v>
          </cell>
          <cell r="AP34">
            <v>4.28</v>
          </cell>
          <cell r="AQ34">
            <v>67.8</v>
          </cell>
          <cell r="AU34">
            <v>0</v>
          </cell>
          <cell r="AV34">
            <v>0.71</v>
          </cell>
          <cell r="AW34">
            <v>74.599999999999994</v>
          </cell>
          <cell r="BA34">
            <v>0</v>
          </cell>
          <cell r="BB34">
            <v>2.5110000000000001</v>
          </cell>
          <cell r="BC34">
            <v>47</v>
          </cell>
          <cell r="BG34">
            <v>0</v>
          </cell>
          <cell r="BI34">
            <v>200</v>
          </cell>
          <cell r="BM34">
            <v>0</v>
          </cell>
          <cell r="BO34">
            <v>5.8</v>
          </cell>
          <cell r="BP34">
            <v>30</v>
          </cell>
          <cell r="BS34">
            <v>0</v>
          </cell>
          <cell r="BT34">
            <v>12.7</v>
          </cell>
          <cell r="BU34">
            <v>42.52</v>
          </cell>
          <cell r="BW34">
            <v>223.2</v>
          </cell>
          <cell r="BX34">
            <v>1320</v>
          </cell>
          <cell r="CC34">
            <v>15.3</v>
          </cell>
          <cell r="CD34">
            <v>245</v>
          </cell>
        </row>
        <row r="35">
          <cell r="A35">
            <v>39111</v>
          </cell>
          <cell r="H35">
            <v>0</v>
          </cell>
          <cell r="I35">
            <v>514</v>
          </cell>
          <cell r="J35">
            <v>163.6</v>
          </cell>
          <cell r="K35">
            <v>11900</v>
          </cell>
          <cell r="L35">
            <v>1150</v>
          </cell>
          <cell r="M35">
            <v>13050</v>
          </cell>
          <cell r="N35">
            <v>55.5</v>
          </cell>
          <cell r="P35">
            <v>55.5</v>
          </cell>
          <cell r="R35">
            <v>89.9</v>
          </cell>
          <cell r="S35">
            <v>160</v>
          </cell>
          <cell r="T35">
            <v>83.8</v>
          </cell>
          <cell r="V35">
            <v>83.8</v>
          </cell>
          <cell r="X35">
            <v>83.2</v>
          </cell>
          <cell r="Y35">
            <v>4100</v>
          </cell>
          <cell r="Z35">
            <v>114</v>
          </cell>
          <cell r="AA35">
            <v>89.1</v>
          </cell>
          <cell r="AD35">
            <v>277.10000000000002</v>
          </cell>
          <cell r="AE35">
            <v>6100</v>
          </cell>
          <cell r="AI35">
            <v>0</v>
          </cell>
          <cell r="AJ35">
            <v>1.7</v>
          </cell>
          <cell r="AK35">
            <v>2.9</v>
          </cell>
          <cell r="AO35">
            <v>0</v>
          </cell>
          <cell r="AP35">
            <v>3.96</v>
          </cell>
          <cell r="AQ35">
            <v>64.099999999999994</v>
          </cell>
          <cell r="AU35">
            <v>0</v>
          </cell>
          <cell r="AV35">
            <v>0.59</v>
          </cell>
          <cell r="AW35">
            <v>74.2</v>
          </cell>
          <cell r="BA35">
            <v>0</v>
          </cell>
          <cell r="BB35">
            <v>2.6440000000000001</v>
          </cell>
          <cell r="BC35">
            <v>42</v>
          </cell>
          <cell r="BG35">
            <v>0</v>
          </cell>
          <cell r="BI35">
            <v>200</v>
          </cell>
          <cell r="BJ35">
            <v>49.5</v>
          </cell>
          <cell r="BM35">
            <v>49.5</v>
          </cell>
          <cell r="BN35">
            <v>40000</v>
          </cell>
          <cell r="BO35">
            <v>5.4</v>
          </cell>
          <cell r="BP35">
            <v>74</v>
          </cell>
          <cell r="BS35">
            <v>0</v>
          </cell>
          <cell r="BT35">
            <v>12.2</v>
          </cell>
          <cell r="BU35">
            <v>30.32</v>
          </cell>
          <cell r="BW35">
            <v>223.1</v>
          </cell>
          <cell r="BX35">
            <v>875</v>
          </cell>
          <cell r="CC35">
            <v>17.8</v>
          </cell>
          <cell r="CD35">
            <v>227</v>
          </cell>
        </row>
        <row r="36">
          <cell r="A36">
            <v>39112</v>
          </cell>
          <cell r="B36">
            <v>1320</v>
          </cell>
          <cell r="H36">
            <v>1320</v>
          </cell>
          <cell r="I36">
            <v>486</v>
          </cell>
          <cell r="J36">
            <v>173.1</v>
          </cell>
          <cell r="K36">
            <v>11400</v>
          </cell>
          <cell r="L36">
            <v>2300</v>
          </cell>
          <cell r="M36">
            <v>13700</v>
          </cell>
          <cell r="N36">
            <v>83.8</v>
          </cell>
          <cell r="P36">
            <v>83.8</v>
          </cell>
          <cell r="R36">
            <v>92.7</v>
          </cell>
          <cell r="S36">
            <v>100</v>
          </cell>
          <cell r="T36">
            <v>83.7</v>
          </cell>
          <cell r="V36">
            <v>83.7</v>
          </cell>
          <cell r="X36">
            <v>94.8</v>
          </cell>
          <cell r="Y36">
            <v>4100</v>
          </cell>
          <cell r="Z36">
            <v>89.3</v>
          </cell>
          <cell r="AD36">
            <v>290.39999999999998</v>
          </cell>
          <cell r="AE36">
            <v>5800</v>
          </cell>
          <cell r="AI36">
            <v>0</v>
          </cell>
          <cell r="AJ36">
            <v>1.47</v>
          </cell>
          <cell r="AK36">
            <v>1.4</v>
          </cell>
          <cell r="AO36">
            <v>0</v>
          </cell>
          <cell r="AP36">
            <v>2.86</v>
          </cell>
          <cell r="AQ36">
            <v>61.3</v>
          </cell>
          <cell r="AU36">
            <v>0</v>
          </cell>
          <cell r="AV36">
            <v>0.48</v>
          </cell>
          <cell r="AW36">
            <v>73.5</v>
          </cell>
          <cell r="AX36">
            <v>14.34</v>
          </cell>
          <cell r="BA36">
            <v>14.34</v>
          </cell>
          <cell r="BB36">
            <v>2.7490000000000001</v>
          </cell>
          <cell r="BC36">
            <v>55</v>
          </cell>
          <cell r="BG36">
            <v>0</v>
          </cell>
          <cell r="BI36">
            <v>200</v>
          </cell>
          <cell r="BJ36">
            <v>23.8</v>
          </cell>
          <cell r="BM36">
            <v>23.8</v>
          </cell>
          <cell r="BN36">
            <v>38900</v>
          </cell>
          <cell r="BO36">
            <v>12</v>
          </cell>
          <cell r="BP36">
            <v>86</v>
          </cell>
          <cell r="BQ36">
            <v>17.04</v>
          </cell>
          <cell r="BS36">
            <v>17.04</v>
          </cell>
          <cell r="BT36">
            <v>12.2</v>
          </cell>
          <cell r="BU36">
            <v>18.12</v>
          </cell>
          <cell r="BW36">
            <v>234</v>
          </cell>
          <cell r="BX36">
            <v>875</v>
          </cell>
          <cell r="CC36">
            <v>17.3</v>
          </cell>
          <cell r="CD36">
            <v>227</v>
          </cell>
        </row>
        <row r="37">
          <cell r="A37">
            <v>39113</v>
          </cell>
          <cell r="B37">
            <v>-3.38</v>
          </cell>
          <cell r="E37">
            <v>0.3</v>
          </cell>
          <cell r="H37">
            <v>-3.08</v>
          </cell>
          <cell r="I37">
            <v>1297</v>
          </cell>
          <cell r="J37">
            <v>-343.738</v>
          </cell>
          <cell r="K37">
            <v>11400</v>
          </cell>
          <cell r="L37">
            <v>2100</v>
          </cell>
          <cell r="M37">
            <v>13500</v>
          </cell>
          <cell r="N37">
            <v>-0.02</v>
          </cell>
          <cell r="P37">
            <v>-0.02</v>
          </cell>
          <cell r="R37">
            <v>120.188</v>
          </cell>
          <cell r="S37">
            <v>50</v>
          </cell>
          <cell r="T37">
            <v>316.60000000000002</v>
          </cell>
          <cell r="V37">
            <v>316.60000000000002</v>
          </cell>
          <cell r="W37">
            <v>2866.002</v>
          </cell>
          <cell r="X37">
            <v>-2112.3000000000002</v>
          </cell>
          <cell r="Y37">
            <v>4200</v>
          </cell>
          <cell r="Z37">
            <v>-447.05</v>
          </cell>
          <cell r="AA37">
            <v>-314.75</v>
          </cell>
          <cell r="AB37">
            <v>584</v>
          </cell>
          <cell r="AD37">
            <v>-1695.546</v>
          </cell>
          <cell r="AE37">
            <v>5600</v>
          </cell>
          <cell r="AF37">
            <v>25.16</v>
          </cell>
          <cell r="AI37">
            <v>25.16</v>
          </cell>
          <cell r="AJ37">
            <v>1.41</v>
          </cell>
          <cell r="AK37">
            <v>25.2</v>
          </cell>
          <cell r="AO37">
            <v>0</v>
          </cell>
          <cell r="AP37">
            <v>-8.7000000000000011</v>
          </cell>
          <cell r="AQ37">
            <v>57.6</v>
          </cell>
          <cell r="AU37">
            <v>0</v>
          </cell>
          <cell r="AV37">
            <v>-11.56</v>
          </cell>
          <cell r="AW37">
            <v>72.7</v>
          </cell>
          <cell r="BA37">
            <v>0</v>
          </cell>
          <cell r="BB37">
            <v>9.7959999999999994</v>
          </cell>
          <cell r="BC37">
            <v>50</v>
          </cell>
          <cell r="BG37">
            <v>0</v>
          </cell>
          <cell r="BI37">
            <v>200</v>
          </cell>
          <cell r="BJ37">
            <v>24.7</v>
          </cell>
          <cell r="BM37">
            <v>24.7</v>
          </cell>
          <cell r="BO37">
            <v>11.1</v>
          </cell>
          <cell r="BP37">
            <v>99</v>
          </cell>
          <cell r="BQ37">
            <v>-0.86</v>
          </cell>
          <cell r="BS37">
            <v>-0.86</v>
          </cell>
          <cell r="BT37">
            <v>29.299999999999997</v>
          </cell>
          <cell r="BU37">
            <v>5.22</v>
          </cell>
          <cell r="BV37">
            <v>-6.32</v>
          </cell>
          <cell r="BW37">
            <v>267.34000000000003</v>
          </cell>
          <cell r="BX37">
            <v>410</v>
          </cell>
          <cell r="CB37">
            <v>23.88</v>
          </cell>
          <cell r="CC37">
            <v>28.86</v>
          </cell>
          <cell r="CD37">
            <v>195</v>
          </cell>
        </row>
        <row r="38">
          <cell r="A38">
            <v>39114</v>
          </cell>
          <cell r="H38">
            <v>0</v>
          </cell>
          <cell r="I38">
            <v>609</v>
          </cell>
          <cell r="J38">
            <v>33.6</v>
          </cell>
          <cell r="K38">
            <v>12900</v>
          </cell>
          <cell r="L38">
            <v>2100</v>
          </cell>
          <cell r="M38">
            <v>15000</v>
          </cell>
          <cell r="N38">
            <v>26.6</v>
          </cell>
          <cell r="P38">
            <v>26.6</v>
          </cell>
          <cell r="R38">
            <v>26.6</v>
          </cell>
          <cell r="S38">
            <v>75</v>
          </cell>
          <cell r="T38">
            <v>53.3</v>
          </cell>
          <cell r="V38">
            <v>53.3</v>
          </cell>
          <cell r="X38">
            <v>8.8000000000000007</v>
          </cell>
          <cell r="Y38">
            <v>4282.2</v>
          </cell>
          <cell r="Z38">
            <v>284</v>
          </cell>
          <cell r="AA38">
            <v>155.1</v>
          </cell>
          <cell r="AD38">
            <v>68</v>
          </cell>
          <cell r="AE38">
            <v>5800</v>
          </cell>
          <cell r="AI38">
            <v>0</v>
          </cell>
          <cell r="AJ38">
            <v>0.11</v>
          </cell>
          <cell r="AK38">
            <v>25.1</v>
          </cell>
          <cell r="AO38">
            <v>0</v>
          </cell>
          <cell r="AP38">
            <v>3.57</v>
          </cell>
          <cell r="AQ38">
            <v>54</v>
          </cell>
          <cell r="AU38">
            <v>0</v>
          </cell>
          <cell r="AV38">
            <v>0.6</v>
          </cell>
          <cell r="AW38">
            <v>72.099999999999994</v>
          </cell>
          <cell r="BA38">
            <v>0</v>
          </cell>
          <cell r="BB38">
            <v>0.623</v>
          </cell>
          <cell r="BC38">
            <v>50</v>
          </cell>
          <cell r="BG38">
            <v>0</v>
          </cell>
          <cell r="BI38">
            <v>200</v>
          </cell>
          <cell r="BJ38">
            <v>24.5</v>
          </cell>
          <cell r="BM38">
            <v>24.5</v>
          </cell>
          <cell r="BN38">
            <v>40000</v>
          </cell>
          <cell r="BO38">
            <v>10</v>
          </cell>
          <cell r="BP38">
            <v>113</v>
          </cell>
          <cell r="BS38">
            <v>0</v>
          </cell>
          <cell r="BT38">
            <v>3.76</v>
          </cell>
          <cell r="BU38">
            <v>0</v>
          </cell>
          <cell r="BW38">
            <v>56.2</v>
          </cell>
          <cell r="BX38">
            <v>360</v>
          </cell>
          <cell r="CC38">
            <v>3.3</v>
          </cell>
          <cell r="CD38">
            <v>191</v>
          </cell>
        </row>
        <row r="39">
          <cell r="A39">
            <v>39115</v>
          </cell>
          <cell r="E39">
            <v>3158.8</v>
          </cell>
          <cell r="H39">
            <v>3158.8</v>
          </cell>
          <cell r="I39">
            <v>669</v>
          </cell>
          <cell r="J39">
            <v>206.9</v>
          </cell>
          <cell r="K39">
            <v>12700</v>
          </cell>
          <cell r="L39">
            <v>1900</v>
          </cell>
          <cell r="M39">
            <v>14600</v>
          </cell>
          <cell r="N39">
            <v>48.9</v>
          </cell>
          <cell r="P39">
            <v>48.9</v>
          </cell>
          <cell r="R39">
            <v>38.6</v>
          </cell>
          <cell r="S39">
            <v>75</v>
          </cell>
          <cell r="T39">
            <v>28.2</v>
          </cell>
          <cell r="V39">
            <v>28.2</v>
          </cell>
          <cell r="X39">
            <v>92.1</v>
          </cell>
          <cell r="Y39">
            <v>4115.3</v>
          </cell>
          <cell r="Z39">
            <v>295.3</v>
          </cell>
          <cell r="AA39">
            <v>92.2</v>
          </cell>
          <cell r="AD39">
            <v>192.3</v>
          </cell>
          <cell r="AE39">
            <v>6000</v>
          </cell>
          <cell r="AI39">
            <v>0</v>
          </cell>
          <cell r="AJ39">
            <v>0.92</v>
          </cell>
          <cell r="AK39">
            <v>24.2</v>
          </cell>
          <cell r="AO39">
            <v>0</v>
          </cell>
          <cell r="AP39">
            <v>3.93</v>
          </cell>
          <cell r="AQ39">
            <v>50.1</v>
          </cell>
          <cell r="AU39">
            <v>0</v>
          </cell>
          <cell r="AV39">
            <v>0.12</v>
          </cell>
          <cell r="AW39">
            <v>72</v>
          </cell>
          <cell r="BA39">
            <v>0</v>
          </cell>
          <cell r="BB39">
            <v>2.5219999999999998</v>
          </cell>
          <cell r="BC39">
            <v>50</v>
          </cell>
          <cell r="BG39">
            <v>0</v>
          </cell>
          <cell r="BI39">
            <v>200</v>
          </cell>
          <cell r="BJ39">
            <v>23.7</v>
          </cell>
          <cell r="BM39">
            <v>23.7</v>
          </cell>
          <cell r="BN39">
            <v>35000</v>
          </cell>
          <cell r="BO39">
            <v>9.5</v>
          </cell>
          <cell r="BP39">
            <v>128</v>
          </cell>
          <cell r="BS39">
            <v>0</v>
          </cell>
          <cell r="BW39">
            <v>83</v>
          </cell>
          <cell r="BX39">
            <v>250</v>
          </cell>
          <cell r="CC39">
            <v>19</v>
          </cell>
          <cell r="CD39">
            <v>172</v>
          </cell>
        </row>
        <row r="40">
          <cell r="A40">
            <v>39116</v>
          </cell>
          <cell r="H40">
            <v>0</v>
          </cell>
          <cell r="I40">
            <v>804</v>
          </cell>
          <cell r="J40">
            <v>168.4</v>
          </cell>
          <cell r="K40">
            <v>11900</v>
          </cell>
          <cell r="L40">
            <v>1700</v>
          </cell>
          <cell r="M40">
            <v>13600</v>
          </cell>
          <cell r="P40">
            <v>0</v>
          </cell>
          <cell r="S40">
            <v>10</v>
          </cell>
          <cell r="V40">
            <v>0</v>
          </cell>
          <cell r="X40">
            <v>55.3</v>
          </cell>
          <cell r="Y40">
            <v>4060</v>
          </cell>
          <cell r="Z40">
            <v>290</v>
          </cell>
          <cell r="AA40">
            <v>97.2</v>
          </cell>
          <cell r="AD40">
            <v>201.6</v>
          </cell>
          <cell r="AE40">
            <v>6200</v>
          </cell>
          <cell r="AI40">
            <v>0</v>
          </cell>
          <cell r="AJ40">
            <v>1.8</v>
          </cell>
          <cell r="AK40">
            <v>22.4</v>
          </cell>
          <cell r="AO40">
            <v>0</v>
          </cell>
          <cell r="AP40">
            <v>4.82</v>
          </cell>
          <cell r="AQ40">
            <v>45.3</v>
          </cell>
          <cell r="AU40">
            <v>0</v>
          </cell>
          <cell r="AW40">
            <v>72</v>
          </cell>
          <cell r="BA40">
            <v>0</v>
          </cell>
          <cell r="BB40">
            <v>2.6120000000000001</v>
          </cell>
          <cell r="BC40">
            <v>50</v>
          </cell>
          <cell r="BG40">
            <v>0</v>
          </cell>
          <cell r="BI40">
            <v>200</v>
          </cell>
          <cell r="BM40">
            <v>0</v>
          </cell>
          <cell r="BO40">
            <v>10.1</v>
          </cell>
          <cell r="BP40">
            <v>118</v>
          </cell>
          <cell r="BS40">
            <v>0</v>
          </cell>
          <cell r="BX40">
            <v>250</v>
          </cell>
          <cell r="CC40">
            <v>14.7</v>
          </cell>
          <cell r="CD40">
            <v>158</v>
          </cell>
        </row>
        <row r="41">
          <cell r="A41">
            <v>39117</v>
          </cell>
          <cell r="H41">
            <v>0</v>
          </cell>
          <cell r="I41">
            <v>823</v>
          </cell>
          <cell r="J41">
            <v>171.4</v>
          </cell>
          <cell r="K41">
            <v>11100</v>
          </cell>
          <cell r="L41">
            <v>1600</v>
          </cell>
          <cell r="M41">
            <v>12700</v>
          </cell>
          <cell r="P41">
            <v>0</v>
          </cell>
          <cell r="S41">
            <v>10</v>
          </cell>
          <cell r="V41">
            <v>0</v>
          </cell>
          <cell r="X41">
            <v>57.7</v>
          </cell>
          <cell r="Y41">
            <v>4002.3</v>
          </cell>
          <cell r="AD41">
            <v>192.8</v>
          </cell>
          <cell r="AE41">
            <v>6100</v>
          </cell>
          <cell r="AI41">
            <v>0</v>
          </cell>
          <cell r="AJ41">
            <v>3.02</v>
          </cell>
          <cell r="AK41">
            <v>19.399999999999999</v>
          </cell>
          <cell r="AO41">
            <v>0</v>
          </cell>
          <cell r="AP41">
            <v>5.78</v>
          </cell>
          <cell r="AQ41">
            <v>39.5</v>
          </cell>
          <cell r="AU41">
            <v>0</v>
          </cell>
          <cell r="AV41">
            <v>2.86</v>
          </cell>
          <cell r="AW41">
            <v>69.099999999999994</v>
          </cell>
          <cell r="BA41">
            <v>0</v>
          </cell>
          <cell r="BB41">
            <v>2.5649999999999999</v>
          </cell>
          <cell r="BC41">
            <v>80</v>
          </cell>
          <cell r="BG41">
            <v>0</v>
          </cell>
          <cell r="BI41">
            <v>200</v>
          </cell>
          <cell r="BM41">
            <v>0</v>
          </cell>
          <cell r="BO41">
            <v>9.6999999999999993</v>
          </cell>
          <cell r="BP41">
            <v>108</v>
          </cell>
          <cell r="BS41">
            <v>0</v>
          </cell>
          <cell r="BX41">
            <v>250</v>
          </cell>
          <cell r="CC41">
            <v>14.8</v>
          </cell>
          <cell r="CD41">
            <v>142</v>
          </cell>
        </row>
        <row r="42">
          <cell r="A42">
            <v>39118</v>
          </cell>
          <cell r="G42">
            <v>350</v>
          </cell>
          <cell r="H42">
            <v>0</v>
          </cell>
          <cell r="I42">
            <v>858</v>
          </cell>
          <cell r="J42">
            <v>151.30000000000001</v>
          </cell>
          <cell r="K42">
            <v>11600</v>
          </cell>
          <cell r="L42">
            <v>1770</v>
          </cell>
          <cell r="M42">
            <v>13370</v>
          </cell>
          <cell r="N42">
            <v>27.8</v>
          </cell>
          <cell r="P42">
            <v>27.8</v>
          </cell>
          <cell r="S42">
            <v>40</v>
          </cell>
          <cell r="T42">
            <v>82.1</v>
          </cell>
          <cell r="V42">
            <v>82.1</v>
          </cell>
          <cell r="X42">
            <v>53.1</v>
          </cell>
          <cell r="Y42">
            <v>4000</v>
          </cell>
          <cell r="AA42">
            <v>500.26</v>
          </cell>
          <cell r="AD42">
            <v>173.85</v>
          </cell>
          <cell r="AE42">
            <v>6400</v>
          </cell>
          <cell r="AI42">
            <v>0</v>
          </cell>
          <cell r="AJ42">
            <v>1.1499999999999999</v>
          </cell>
          <cell r="AK42">
            <v>18.2</v>
          </cell>
          <cell r="AO42">
            <v>0</v>
          </cell>
          <cell r="AP42">
            <v>5.24</v>
          </cell>
          <cell r="AQ42">
            <v>34.299999999999997</v>
          </cell>
          <cell r="AU42">
            <v>0</v>
          </cell>
          <cell r="AV42">
            <v>0.71</v>
          </cell>
          <cell r="AW42">
            <v>68.400000000000006</v>
          </cell>
          <cell r="BA42">
            <v>0</v>
          </cell>
          <cell r="BB42">
            <v>2.2789999999999999</v>
          </cell>
          <cell r="BC42">
            <v>34</v>
          </cell>
          <cell r="BG42">
            <v>0</v>
          </cell>
          <cell r="BI42">
            <v>200</v>
          </cell>
          <cell r="BM42">
            <v>0</v>
          </cell>
          <cell r="BN42">
            <v>25000</v>
          </cell>
          <cell r="BO42">
            <v>10.1</v>
          </cell>
          <cell r="BP42">
            <v>98</v>
          </cell>
          <cell r="BS42">
            <v>0</v>
          </cell>
          <cell r="BX42">
            <v>250</v>
          </cell>
          <cell r="CC42">
            <v>13.6</v>
          </cell>
          <cell r="CD42">
            <v>92</v>
          </cell>
        </row>
        <row r="43">
          <cell r="A43">
            <v>39119</v>
          </cell>
          <cell r="B43">
            <v>660</v>
          </cell>
          <cell r="E43">
            <v>2939.4</v>
          </cell>
          <cell r="H43">
            <v>3599.4</v>
          </cell>
          <cell r="I43">
            <v>811</v>
          </cell>
          <cell r="J43">
            <v>35.1</v>
          </cell>
          <cell r="K43">
            <v>12000</v>
          </cell>
          <cell r="L43">
            <v>2400</v>
          </cell>
          <cell r="M43">
            <v>14400</v>
          </cell>
          <cell r="P43">
            <v>0</v>
          </cell>
          <cell r="S43">
            <v>10</v>
          </cell>
          <cell r="T43">
            <v>83.9</v>
          </cell>
          <cell r="V43">
            <v>83.9</v>
          </cell>
          <cell r="X43">
            <v>26.5</v>
          </cell>
          <cell r="Y43">
            <v>4000</v>
          </cell>
          <cell r="AA43">
            <v>218.9</v>
          </cell>
          <cell r="AD43">
            <v>84</v>
          </cell>
          <cell r="AE43">
            <v>6400</v>
          </cell>
          <cell r="AI43">
            <v>0</v>
          </cell>
          <cell r="AJ43">
            <v>1.51</v>
          </cell>
          <cell r="AK43">
            <v>16.600000000000001</v>
          </cell>
          <cell r="AO43">
            <v>0</v>
          </cell>
          <cell r="AP43">
            <v>4.05</v>
          </cell>
          <cell r="AQ43">
            <v>30.2</v>
          </cell>
          <cell r="AU43">
            <v>0</v>
          </cell>
          <cell r="AW43">
            <v>68.400000000000006</v>
          </cell>
          <cell r="BA43">
            <v>0</v>
          </cell>
          <cell r="BB43">
            <v>1.6180000000000001</v>
          </cell>
          <cell r="BC43">
            <v>34</v>
          </cell>
          <cell r="BG43">
            <v>0</v>
          </cell>
          <cell r="BI43">
            <v>200</v>
          </cell>
          <cell r="BJ43">
            <v>22.8</v>
          </cell>
          <cell r="BM43">
            <v>22.8</v>
          </cell>
          <cell r="BN43">
            <v>40000</v>
          </cell>
          <cell r="BO43">
            <v>11.4</v>
          </cell>
          <cell r="BP43">
            <v>109</v>
          </cell>
          <cell r="BS43">
            <v>0</v>
          </cell>
          <cell r="BX43">
            <v>250</v>
          </cell>
          <cell r="CC43">
            <v>3</v>
          </cell>
          <cell r="CD43">
            <v>90</v>
          </cell>
        </row>
        <row r="44">
          <cell r="A44">
            <v>39120</v>
          </cell>
          <cell r="B44">
            <v>660.1</v>
          </cell>
          <cell r="E44">
            <v>3170.1</v>
          </cell>
          <cell r="H44">
            <v>3830.2</v>
          </cell>
          <cell r="I44">
            <v>550</v>
          </cell>
          <cell r="J44">
            <v>151.1</v>
          </cell>
          <cell r="K44">
            <v>14650</v>
          </cell>
          <cell r="L44">
            <v>2900</v>
          </cell>
          <cell r="M44">
            <v>17550</v>
          </cell>
          <cell r="P44">
            <v>0</v>
          </cell>
          <cell r="S44">
            <v>10</v>
          </cell>
          <cell r="T44">
            <v>51</v>
          </cell>
          <cell r="V44">
            <v>51</v>
          </cell>
          <cell r="X44">
            <v>64.900000000000006</v>
          </cell>
          <cell r="Y44">
            <v>4000</v>
          </cell>
          <cell r="Z44">
            <v>116.5</v>
          </cell>
          <cell r="AA44">
            <v>166.3</v>
          </cell>
          <cell r="AD44">
            <v>186.9</v>
          </cell>
          <cell r="AE44">
            <v>6500</v>
          </cell>
          <cell r="AI44">
            <v>0</v>
          </cell>
          <cell r="AJ44">
            <v>1.8</v>
          </cell>
          <cell r="AK44">
            <v>14.8</v>
          </cell>
          <cell r="AL44">
            <v>24.16</v>
          </cell>
          <cell r="AO44">
            <v>24.16</v>
          </cell>
          <cell r="AP44">
            <v>3.3</v>
          </cell>
          <cell r="AQ44">
            <v>51.1</v>
          </cell>
          <cell r="AU44">
            <v>0</v>
          </cell>
          <cell r="AW44">
            <v>68.400000000000006</v>
          </cell>
          <cell r="AX44">
            <v>24.84</v>
          </cell>
          <cell r="BA44">
            <v>24.84</v>
          </cell>
          <cell r="BB44">
            <v>2.516</v>
          </cell>
          <cell r="BC44">
            <v>76.5</v>
          </cell>
          <cell r="BG44">
            <v>0</v>
          </cell>
          <cell r="BI44">
            <v>200</v>
          </cell>
          <cell r="BM44">
            <v>0</v>
          </cell>
          <cell r="BN44">
            <v>40000</v>
          </cell>
          <cell r="BO44">
            <v>11.4</v>
          </cell>
          <cell r="BP44">
            <v>98</v>
          </cell>
          <cell r="BS44">
            <v>0</v>
          </cell>
          <cell r="BX44">
            <v>250</v>
          </cell>
          <cell r="CB44">
            <v>49.4</v>
          </cell>
          <cell r="CC44">
            <v>12.6</v>
          </cell>
          <cell r="CD44">
            <v>124</v>
          </cell>
        </row>
        <row r="45">
          <cell r="A45">
            <v>39121</v>
          </cell>
          <cell r="H45">
            <v>0</v>
          </cell>
          <cell r="I45">
            <v>360</v>
          </cell>
          <cell r="J45">
            <v>157.6</v>
          </cell>
          <cell r="K45">
            <v>16400</v>
          </cell>
          <cell r="L45">
            <v>2750</v>
          </cell>
          <cell r="M45">
            <v>19150</v>
          </cell>
          <cell r="P45">
            <v>0</v>
          </cell>
          <cell r="S45">
            <v>10</v>
          </cell>
          <cell r="T45">
            <v>83.8</v>
          </cell>
          <cell r="V45">
            <v>83.8</v>
          </cell>
          <cell r="X45">
            <v>62.6</v>
          </cell>
          <cell r="Y45">
            <v>4000</v>
          </cell>
          <cell r="AD45">
            <v>105.7</v>
          </cell>
          <cell r="AE45">
            <v>6350</v>
          </cell>
          <cell r="AI45">
            <v>0</v>
          </cell>
          <cell r="AJ45">
            <v>1.9</v>
          </cell>
          <cell r="AK45">
            <v>12.9</v>
          </cell>
          <cell r="AL45">
            <v>22.42</v>
          </cell>
          <cell r="AO45">
            <v>22.42</v>
          </cell>
          <cell r="AP45">
            <v>2.2000000000000002</v>
          </cell>
          <cell r="AQ45">
            <v>71.400000000000006</v>
          </cell>
          <cell r="AU45">
            <v>0</v>
          </cell>
          <cell r="AV45">
            <v>0.7</v>
          </cell>
          <cell r="AW45">
            <v>67.7</v>
          </cell>
          <cell r="BA45">
            <v>0</v>
          </cell>
          <cell r="BB45">
            <v>2.4569999999999999</v>
          </cell>
          <cell r="BC45">
            <v>74.3</v>
          </cell>
          <cell r="BG45">
            <v>0</v>
          </cell>
          <cell r="BI45">
            <v>200</v>
          </cell>
          <cell r="BJ45">
            <v>23.9</v>
          </cell>
          <cell r="BM45">
            <v>23.9</v>
          </cell>
          <cell r="BN45">
            <v>38600</v>
          </cell>
          <cell r="BO45">
            <v>9</v>
          </cell>
          <cell r="BP45">
            <v>110</v>
          </cell>
          <cell r="BS45">
            <v>0</v>
          </cell>
          <cell r="BX45">
            <v>250</v>
          </cell>
          <cell r="CC45">
            <v>14.5</v>
          </cell>
          <cell r="CD45">
            <v>110</v>
          </cell>
        </row>
        <row r="46">
          <cell r="A46">
            <v>39122</v>
          </cell>
          <cell r="E46">
            <v>2845</v>
          </cell>
          <cell r="H46">
            <v>2845</v>
          </cell>
          <cell r="I46">
            <v>190</v>
          </cell>
          <cell r="J46">
            <v>117</v>
          </cell>
          <cell r="K46">
            <v>16940</v>
          </cell>
          <cell r="L46">
            <v>2620</v>
          </cell>
          <cell r="M46">
            <v>19560</v>
          </cell>
          <cell r="P46">
            <v>0</v>
          </cell>
          <cell r="S46">
            <v>10</v>
          </cell>
          <cell r="T46">
            <v>83.8</v>
          </cell>
          <cell r="V46">
            <v>83.8</v>
          </cell>
          <cell r="X46">
            <v>50.7</v>
          </cell>
          <cell r="Y46">
            <v>4000</v>
          </cell>
          <cell r="Z46">
            <v>164</v>
          </cell>
          <cell r="AD46">
            <v>192.70000000000002</v>
          </cell>
          <cell r="AE46">
            <v>6400</v>
          </cell>
          <cell r="AI46">
            <v>0</v>
          </cell>
          <cell r="AJ46">
            <v>1.9</v>
          </cell>
          <cell r="AK46">
            <v>11</v>
          </cell>
          <cell r="AO46">
            <v>0</v>
          </cell>
          <cell r="AP46">
            <v>2</v>
          </cell>
          <cell r="AQ46">
            <v>69.400000000000006</v>
          </cell>
          <cell r="AU46">
            <v>0</v>
          </cell>
          <cell r="AW46">
            <v>67.7</v>
          </cell>
          <cell r="BA46">
            <v>0</v>
          </cell>
          <cell r="BB46">
            <v>2.306</v>
          </cell>
          <cell r="BC46">
            <v>72</v>
          </cell>
          <cell r="BG46">
            <v>0</v>
          </cell>
          <cell r="BI46">
            <v>200</v>
          </cell>
          <cell r="BJ46">
            <v>25.2</v>
          </cell>
          <cell r="BM46">
            <v>25.2</v>
          </cell>
          <cell r="BN46">
            <v>40000</v>
          </cell>
          <cell r="BO46">
            <v>7.5</v>
          </cell>
          <cell r="BP46">
            <v>130</v>
          </cell>
          <cell r="BS46">
            <v>0</v>
          </cell>
          <cell r="BX46">
            <v>190</v>
          </cell>
          <cell r="CC46">
            <v>10.1</v>
          </cell>
          <cell r="CD46">
            <v>100</v>
          </cell>
        </row>
        <row r="47">
          <cell r="A47">
            <v>39123</v>
          </cell>
          <cell r="B47">
            <v>640</v>
          </cell>
          <cell r="E47">
            <v>2904</v>
          </cell>
          <cell r="H47">
            <v>3544</v>
          </cell>
          <cell r="I47">
            <v>500</v>
          </cell>
          <cell r="J47">
            <v>142.30000000000001</v>
          </cell>
          <cell r="K47">
            <v>17950</v>
          </cell>
          <cell r="L47">
            <v>3100</v>
          </cell>
          <cell r="M47">
            <v>21050</v>
          </cell>
          <cell r="P47">
            <v>0</v>
          </cell>
          <cell r="S47">
            <v>10</v>
          </cell>
          <cell r="V47">
            <v>0</v>
          </cell>
          <cell r="X47">
            <v>65.7</v>
          </cell>
          <cell r="Y47">
            <v>4000</v>
          </cell>
          <cell r="AD47">
            <v>195</v>
          </cell>
          <cell r="AE47">
            <v>6200</v>
          </cell>
          <cell r="AI47">
            <v>0</v>
          </cell>
          <cell r="AJ47">
            <v>1.8</v>
          </cell>
          <cell r="AK47">
            <v>9.1999999999999993</v>
          </cell>
          <cell r="AO47">
            <v>0</v>
          </cell>
          <cell r="AP47">
            <v>3.8</v>
          </cell>
          <cell r="AQ47">
            <v>65.5</v>
          </cell>
          <cell r="AU47">
            <v>0</v>
          </cell>
          <cell r="AW47">
            <v>67.7</v>
          </cell>
          <cell r="BA47">
            <v>0</v>
          </cell>
          <cell r="BB47">
            <v>2.4950000000000001</v>
          </cell>
          <cell r="BC47">
            <v>69.5</v>
          </cell>
          <cell r="BG47">
            <v>0</v>
          </cell>
          <cell r="BI47">
            <v>200</v>
          </cell>
          <cell r="BM47">
            <v>0</v>
          </cell>
          <cell r="BO47">
            <v>8.8000000000000007</v>
          </cell>
          <cell r="BP47">
            <v>121</v>
          </cell>
          <cell r="BS47">
            <v>0</v>
          </cell>
          <cell r="BX47">
            <v>190</v>
          </cell>
          <cell r="CC47">
            <v>12.5</v>
          </cell>
          <cell r="CD47">
            <v>88.5</v>
          </cell>
        </row>
        <row r="48">
          <cell r="A48">
            <v>39124</v>
          </cell>
          <cell r="B48">
            <v>800</v>
          </cell>
          <cell r="H48">
            <v>800</v>
          </cell>
          <cell r="I48">
            <v>710</v>
          </cell>
          <cell r="J48">
            <v>125.4</v>
          </cell>
          <cell r="K48">
            <v>19260</v>
          </cell>
          <cell r="L48">
            <v>3700</v>
          </cell>
          <cell r="M48">
            <v>22960</v>
          </cell>
          <cell r="P48">
            <v>0</v>
          </cell>
          <cell r="S48">
            <v>10</v>
          </cell>
          <cell r="V48">
            <v>0</v>
          </cell>
          <cell r="X48">
            <v>62.1</v>
          </cell>
          <cell r="Y48">
            <v>4000</v>
          </cell>
          <cell r="AD48">
            <v>177.9</v>
          </cell>
          <cell r="AE48">
            <v>6000</v>
          </cell>
          <cell r="AI48">
            <v>0</v>
          </cell>
          <cell r="AJ48">
            <v>1.9</v>
          </cell>
          <cell r="AK48">
            <v>7.3</v>
          </cell>
          <cell r="AO48">
            <v>0</v>
          </cell>
          <cell r="AP48">
            <v>5.2</v>
          </cell>
          <cell r="AQ48">
            <v>60.3</v>
          </cell>
          <cell r="AU48">
            <v>0</v>
          </cell>
          <cell r="AW48">
            <v>67.7</v>
          </cell>
          <cell r="BA48">
            <v>0</v>
          </cell>
          <cell r="BB48">
            <v>2.2810000000000001</v>
          </cell>
          <cell r="BC48">
            <v>67</v>
          </cell>
          <cell r="BG48">
            <v>0</v>
          </cell>
          <cell r="BI48">
            <v>200</v>
          </cell>
          <cell r="BM48">
            <v>0</v>
          </cell>
          <cell r="BO48">
            <v>9.1</v>
          </cell>
          <cell r="BP48">
            <v>121</v>
          </cell>
          <cell r="BS48">
            <v>0</v>
          </cell>
          <cell r="BX48">
            <v>190</v>
          </cell>
          <cell r="CC48">
            <v>11.2</v>
          </cell>
          <cell r="CD48">
            <v>77</v>
          </cell>
        </row>
        <row r="49">
          <cell r="A49">
            <v>39125</v>
          </cell>
          <cell r="E49">
            <v>2874.7</v>
          </cell>
          <cell r="H49">
            <v>2874.7</v>
          </cell>
          <cell r="I49">
            <v>660</v>
          </cell>
          <cell r="J49">
            <v>155.4</v>
          </cell>
          <cell r="K49">
            <v>19400</v>
          </cell>
          <cell r="L49">
            <v>3600</v>
          </cell>
          <cell r="M49">
            <v>23000</v>
          </cell>
          <cell r="P49">
            <v>0</v>
          </cell>
          <cell r="S49">
            <v>10</v>
          </cell>
          <cell r="T49">
            <v>55.5</v>
          </cell>
          <cell r="V49">
            <v>55.5</v>
          </cell>
          <cell r="X49">
            <v>97</v>
          </cell>
          <cell r="Y49">
            <v>4000</v>
          </cell>
          <cell r="Z49">
            <v>113</v>
          </cell>
          <cell r="AD49">
            <v>186.9</v>
          </cell>
          <cell r="AE49">
            <v>6000</v>
          </cell>
          <cell r="AI49">
            <v>0</v>
          </cell>
          <cell r="AJ49">
            <v>1.9</v>
          </cell>
          <cell r="AK49">
            <v>5.4</v>
          </cell>
          <cell r="AO49">
            <v>0</v>
          </cell>
          <cell r="AP49">
            <v>4.5</v>
          </cell>
          <cell r="AQ49">
            <v>55.8</v>
          </cell>
          <cell r="AU49">
            <v>0</v>
          </cell>
          <cell r="AV49">
            <v>0.8</v>
          </cell>
          <cell r="AW49">
            <v>66.900000000000006</v>
          </cell>
          <cell r="BA49">
            <v>0</v>
          </cell>
          <cell r="BB49">
            <v>2.5270000000000001</v>
          </cell>
          <cell r="BC49">
            <v>64.5</v>
          </cell>
          <cell r="BG49">
            <v>0</v>
          </cell>
          <cell r="BI49">
            <v>200</v>
          </cell>
          <cell r="BM49">
            <v>0</v>
          </cell>
          <cell r="BO49">
            <v>11.5</v>
          </cell>
          <cell r="BP49">
            <v>101</v>
          </cell>
          <cell r="BS49">
            <v>0</v>
          </cell>
          <cell r="BX49">
            <v>190</v>
          </cell>
          <cell r="CC49">
            <v>12</v>
          </cell>
          <cell r="CD49">
            <v>65</v>
          </cell>
        </row>
        <row r="50">
          <cell r="A50">
            <v>39126</v>
          </cell>
          <cell r="B50">
            <v>1320</v>
          </cell>
          <cell r="H50">
            <v>1320</v>
          </cell>
          <cell r="I50">
            <v>810</v>
          </cell>
          <cell r="J50">
            <v>48.4</v>
          </cell>
          <cell r="K50">
            <v>20840</v>
          </cell>
          <cell r="L50">
            <v>4900</v>
          </cell>
          <cell r="M50">
            <v>25740</v>
          </cell>
          <cell r="P50">
            <v>0</v>
          </cell>
          <cell r="S50">
            <v>10</v>
          </cell>
          <cell r="T50">
            <v>55.8</v>
          </cell>
          <cell r="V50">
            <v>55.8</v>
          </cell>
          <cell r="X50">
            <v>96.7</v>
          </cell>
          <cell r="Y50">
            <v>3900</v>
          </cell>
          <cell r="Z50">
            <v>172</v>
          </cell>
          <cell r="AD50">
            <v>186.6</v>
          </cell>
          <cell r="AE50">
            <v>6000</v>
          </cell>
          <cell r="AF50">
            <v>25.06</v>
          </cell>
          <cell r="AI50">
            <v>25.06</v>
          </cell>
          <cell r="AJ50">
            <v>1.9</v>
          </cell>
          <cell r="AK50">
            <v>28.5</v>
          </cell>
          <cell r="AL50">
            <v>23.26</v>
          </cell>
          <cell r="AO50">
            <v>23.26</v>
          </cell>
          <cell r="AP50">
            <v>4.5</v>
          </cell>
          <cell r="AQ50">
            <v>74.5</v>
          </cell>
          <cell r="AU50">
            <v>0</v>
          </cell>
          <cell r="AV50">
            <v>1.1000000000000001</v>
          </cell>
          <cell r="AW50">
            <v>65.8</v>
          </cell>
          <cell r="BA50">
            <v>0</v>
          </cell>
          <cell r="BB50">
            <v>2.0270000000000001</v>
          </cell>
          <cell r="BC50">
            <v>62.5</v>
          </cell>
          <cell r="BG50">
            <v>0</v>
          </cell>
          <cell r="BI50">
            <v>200</v>
          </cell>
          <cell r="BM50">
            <v>0</v>
          </cell>
          <cell r="BN50">
            <v>15000</v>
          </cell>
          <cell r="BO50">
            <v>10.1</v>
          </cell>
          <cell r="BP50">
            <v>91</v>
          </cell>
          <cell r="BS50">
            <v>0</v>
          </cell>
          <cell r="BX50">
            <v>190</v>
          </cell>
          <cell r="CC50">
            <v>4.0999999999999996</v>
          </cell>
          <cell r="CD50">
            <v>60</v>
          </cell>
        </row>
        <row r="51">
          <cell r="A51">
            <v>39127</v>
          </cell>
          <cell r="E51">
            <v>2942.2</v>
          </cell>
          <cell r="G51">
            <v>400</v>
          </cell>
          <cell r="H51">
            <v>2942.2</v>
          </cell>
          <cell r="I51">
            <v>460</v>
          </cell>
          <cell r="J51">
            <v>226.6</v>
          </cell>
          <cell r="K51">
            <v>20400</v>
          </cell>
          <cell r="L51">
            <v>5400</v>
          </cell>
          <cell r="M51">
            <v>25800</v>
          </cell>
          <cell r="P51">
            <v>0</v>
          </cell>
          <cell r="S51">
            <v>10</v>
          </cell>
          <cell r="T51">
            <v>55</v>
          </cell>
          <cell r="V51">
            <v>55</v>
          </cell>
          <cell r="X51">
            <v>103.4</v>
          </cell>
          <cell r="Y51">
            <v>3800</v>
          </cell>
          <cell r="AD51">
            <v>413.3</v>
          </cell>
          <cell r="AE51">
            <v>5500</v>
          </cell>
          <cell r="AI51">
            <v>0</v>
          </cell>
          <cell r="AJ51">
            <v>2</v>
          </cell>
          <cell r="AK51">
            <v>26.5</v>
          </cell>
          <cell r="AO51">
            <v>0</v>
          </cell>
          <cell r="AP51">
            <v>2.2999999999999998</v>
          </cell>
          <cell r="AQ51">
            <v>72.2</v>
          </cell>
          <cell r="AU51">
            <v>0</v>
          </cell>
          <cell r="AV51">
            <v>3.9</v>
          </cell>
          <cell r="AW51">
            <v>61.9</v>
          </cell>
          <cell r="AX51">
            <v>14.2</v>
          </cell>
          <cell r="BA51">
            <v>14.2</v>
          </cell>
          <cell r="BB51">
            <v>2.5939999999999999</v>
          </cell>
          <cell r="BC51">
            <v>62.5</v>
          </cell>
          <cell r="BG51">
            <v>0</v>
          </cell>
          <cell r="BI51">
            <v>200</v>
          </cell>
          <cell r="BM51">
            <v>0</v>
          </cell>
          <cell r="BN51">
            <v>40000</v>
          </cell>
          <cell r="BO51">
            <v>12</v>
          </cell>
          <cell r="BP51">
            <v>79</v>
          </cell>
          <cell r="BS51">
            <v>0</v>
          </cell>
          <cell r="BX51">
            <v>190</v>
          </cell>
          <cell r="CD51">
            <v>60</v>
          </cell>
        </row>
        <row r="52">
          <cell r="A52">
            <v>39128</v>
          </cell>
          <cell r="E52">
            <v>2930.8</v>
          </cell>
          <cell r="G52">
            <v>190</v>
          </cell>
          <cell r="H52">
            <v>2930.8</v>
          </cell>
          <cell r="I52">
            <v>560</v>
          </cell>
          <cell r="J52">
            <v>279.5</v>
          </cell>
          <cell r="K52">
            <v>22630</v>
          </cell>
          <cell r="L52">
            <v>5300</v>
          </cell>
          <cell r="M52">
            <v>27930</v>
          </cell>
          <cell r="P52">
            <v>0</v>
          </cell>
          <cell r="S52">
            <v>10</v>
          </cell>
          <cell r="T52">
            <v>158.30000000000001</v>
          </cell>
          <cell r="V52">
            <v>158.30000000000001</v>
          </cell>
          <cell r="X52">
            <v>130.6</v>
          </cell>
          <cell r="Y52">
            <v>3800</v>
          </cell>
          <cell r="Z52">
            <v>120</v>
          </cell>
          <cell r="AD52">
            <v>482.7</v>
          </cell>
          <cell r="AE52">
            <v>5200</v>
          </cell>
          <cell r="AI52">
            <v>0</v>
          </cell>
          <cell r="AJ52">
            <v>2</v>
          </cell>
          <cell r="AK52">
            <v>24.6</v>
          </cell>
          <cell r="AO52">
            <v>0</v>
          </cell>
          <cell r="AP52">
            <v>3.1</v>
          </cell>
          <cell r="AQ52">
            <v>69.5</v>
          </cell>
          <cell r="AR52">
            <v>24.54</v>
          </cell>
          <cell r="AU52">
            <v>24.54</v>
          </cell>
          <cell r="AV52">
            <v>0.2</v>
          </cell>
          <cell r="AW52">
            <v>86.4</v>
          </cell>
          <cell r="BA52">
            <v>0</v>
          </cell>
          <cell r="BB52">
            <v>2.8889999999999998</v>
          </cell>
          <cell r="BC52">
            <v>71.400000000000006</v>
          </cell>
          <cell r="BG52">
            <v>0</v>
          </cell>
          <cell r="BI52">
            <v>200</v>
          </cell>
          <cell r="BJ52">
            <v>22.6</v>
          </cell>
          <cell r="BM52">
            <v>22.6</v>
          </cell>
          <cell r="BN52">
            <v>35000</v>
          </cell>
          <cell r="BO52">
            <v>11.4</v>
          </cell>
          <cell r="BP52">
            <v>90</v>
          </cell>
          <cell r="BS52">
            <v>0</v>
          </cell>
          <cell r="BX52">
            <v>190</v>
          </cell>
          <cell r="CD52">
            <v>60</v>
          </cell>
        </row>
        <row r="53">
          <cell r="A53">
            <v>39129</v>
          </cell>
          <cell r="H53">
            <v>0</v>
          </cell>
          <cell r="I53">
            <v>790</v>
          </cell>
          <cell r="J53">
            <v>385</v>
          </cell>
          <cell r="K53">
            <v>21800</v>
          </cell>
          <cell r="L53">
            <v>5000</v>
          </cell>
          <cell r="M53">
            <v>26800</v>
          </cell>
          <cell r="P53">
            <v>0</v>
          </cell>
          <cell r="S53">
            <v>10</v>
          </cell>
          <cell r="T53">
            <v>82.8</v>
          </cell>
          <cell r="V53">
            <v>82.8</v>
          </cell>
          <cell r="X53">
            <v>229.6</v>
          </cell>
          <cell r="Y53">
            <v>3700</v>
          </cell>
          <cell r="Z53">
            <v>57</v>
          </cell>
          <cell r="AD53">
            <v>517.9</v>
          </cell>
          <cell r="AE53">
            <v>4700</v>
          </cell>
          <cell r="AI53">
            <v>0</v>
          </cell>
          <cell r="AJ53">
            <v>2</v>
          </cell>
          <cell r="AK53">
            <v>22.7</v>
          </cell>
          <cell r="AO53">
            <v>0</v>
          </cell>
          <cell r="AP53">
            <v>4.9000000000000004</v>
          </cell>
          <cell r="AQ53">
            <v>64.400000000000006</v>
          </cell>
          <cell r="AU53">
            <v>0</v>
          </cell>
          <cell r="AV53">
            <v>0.2</v>
          </cell>
          <cell r="AW53">
            <v>86.2</v>
          </cell>
          <cell r="BA53">
            <v>0</v>
          </cell>
          <cell r="BB53">
            <v>3.1459999999999999</v>
          </cell>
          <cell r="BC53">
            <v>71.400000000000006</v>
          </cell>
          <cell r="BG53">
            <v>0</v>
          </cell>
          <cell r="BI53">
            <v>200</v>
          </cell>
          <cell r="BM53">
            <v>0</v>
          </cell>
          <cell r="BN53">
            <v>30000</v>
          </cell>
          <cell r="BO53">
            <v>10.6</v>
          </cell>
          <cell r="BP53">
            <v>80</v>
          </cell>
          <cell r="BS53">
            <v>0</v>
          </cell>
          <cell r="BX53">
            <v>190</v>
          </cell>
          <cell r="CD53">
            <v>60</v>
          </cell>
        </row>
        <row r="54">
          <cell r="A54">
            <v>39130</v>
          </cell>
          <cell r="G54">
            <v>150</v>
          </cell>
          <cell r="H54">
            <v>0</v>
          </cell>
          <cell r="I54">
            <v>580</v>
          </cell>
          <cell r="J54">
            <v>415.1</v>
          </cell>
          <cell r="K54">
            <v>21100</v>
          </cell>
          <cell r="L54">
            <v>4700</v>
          </cell>
          <cell r="M54">
            <v>25800</v>
          </cell>
          <cell r="P54">
            <v>0</v>
          </cell>
          <cell r="S54">
            <v>10</v>
          </cell>
          <cell r="T54">
            <v>56.3</v>
          </cell>
          <cell r="V54">
            <v>56.3</v>
          </cell>
          <cell r="X54">
            <v>255.9</v>
          </cell>
          <cell r="Y54">
            <v>3550</v>
          </cell>
          <cell r="Z54">
            <v>59</v>
          </cell>
          <cell r="AD54">
            <v>473.5</v>
          </cell>
          <cell r="AE54">
            <v>4400</v>
          </cell>
          <cell r="AI54">
            <v>0</v>
          </cell>
          <cell r="AJ54">
            <v>2</v>
          </cell>
          <cell r="AK54">
            <v>20.8</v>
          </cell>
          <cell r="AO54">
            <v>0</v>
          </cell>
          <cell r="AP54">
            <v>3.1</v>
          </cell>
          <cell r="AQ54">
            <v>61.3</v>
          </cell>
          <cell r="AU54">
            <v>0</v>
          </cell>
          <cell r="AV54">
            <v>4.2</v>
          </cell>
          <cell r="AW54">
            <v>82</v>
          </cell>
          <cell r="BA54">
            <v>0</v>
          </cell>
          <cell r="BB54">
            <v>2.7669999999999999</v>
          </cell>
          <cell r="BC54">
            <v>65.8</v>
          </cell>
          <cell r="BG54">
            <v>0</v>
          </cell>
          <cell r="BI54">
            <v>200</v>
          </cell>
          <cell r="BJ54">
            <v>23.1</v>
          </cell>
          <cell r="BM54">
            <v>23.1</v>
          </cell>
          <cell r="BO54">
            <v>6.6</v>
          </cell>
          <cell r="BP54">
            <v>96</v>
          </cell>
          <cell r="BS54">
            <v>0</v>
          </cell>
          <cell r="BX54">
            <v>190</v>
          </cell>
          <cell r="CD54">
            <v>60</v>
          </cell>
        </row>
        <row r="55">
          <cell r="A55">
            <v>39131</v>
          </cell>
          <cell r="G55">
            <v>140</v>
          </cell>
          <cell r="H55">
            <v>0</v>
          </cell>
          <cell r="I55">
            <v>670</v>
          </cell>
          <cell r="J55">
            <v>304.3</v>
          </cell>
          <cell r="K55">
            <v>22400</v>
          </cell>
          <cell r="L55">
            <v>4600</v>
          </cell>
          <cell r="M55">
            <v>27000</v>
          </cell>
          <cell r="P55">
            <v>0</v>
          </cell>
          <cell r="S55">
            <v>10</v>
          </cell>
          <cell r="T55">
            <v>112.6</v>
          </cell>
          <cell r="V55">
            <v>112.6</v>
          </cell>
          <cell r="X55">
            <v>241.1</v>
          </cell>
          <cell r="Y55">
            <v>3400</v>
          </cell>
          <cell r="Z55">
            <v>165.5</v>
          </cell>
          <cell r="AD55">
            <v>271.5</v>
          </cell>
          <cell r="AE55">
            <v>4300</v>
          </cell>
          <cell r="AI55">
            <v>0</v>
          </cell>
          <cell r="AJ55">
            <v>1.9</v>
          </cell>
          <cell r="AK55">
            <v>18.899999999999999</v>
          </cell>
          <cell r="AO55">
            <v>0</v>
          </cell>
          <cell r="AP55">
            <v>4.2</v>
          </cell>
          <cell r="AQ55">
            <v>57.1</v>
          </cell>
          <cell r="AU55">
            <v>0</v>
          </cell>
          <cell r="AV55">
            <v>4.3</v>
          </cell>
          <cell r="AW55">
            <v>77.7</v>
          </cell>
          <cell r="BA55">
            <v>0</v>
          </cell>
          <cell r="BB55">
            <v>2.0739999999999998</v>
          </cell>
          <cell r="BC55">
            <v>63.7</v>
          </cell>
          <cell r="BG55">
            <v>0</v>
          </cell>
          <cell r="BI55">
            <v>200</v>
          </cell>
          <cell r="BM55">
            <v>0</v>
          </cell>
          <cell r="BO55">
            <v>4.8</v>
          </cell>
          <cell r="BP55">
            <v>91</v>
          </cell>
          <cell r="BS55">
            <v>0</v>
          </cell>
          <cell r="BX55">
            <v>190</v>
          </cell>
          <cell r="CD55">
            <v>60</v>
          </cell>
        </row>
        <row r="56">
          <cell r="A56">
            <v>39132</v>
          </cell>
          <cell r="E56">
            <v>2927.9</v>
          </cell>
          <cell r="G56">
            <v>240</v>
          </cell>
          <cell r="H56">
            <v>2927.9</v>
          </cell>
          <cell r="I56">
            <v>680</v>
          </cell>
          <cell r="J56">
            <v>134.80000000000001</v>
          </cell>
          <cell r="K56">
            <v>22360</v>
          </cell>
          <cell r="L56">
            <v>4600</v>
          </cell>
          <cell r="M56">
            <v>26960</v>
          </cell>
          <cell r="P56">
            <v>0</v>
          </cell>
          <cell r="S56">
            <v>10</v>
          </cell>
          <cell r="T56">
            <v>193.1</v>
          </cell>
          <cell r="V56">
            <v>193.1</v>
          </cell>
          <cell r="X56">
            <v>246.2</v>
          </cell>
          <cell r="Y56">
            <v>3400</v>
          </cell>
          <cell r="Z56">
            <v>172.5</v>
          </cell>
          <cell r="AD56">
            <v>261.89999999999998</v>
          </cell>
          <cell r="AE56">
            <v>4100</v>
          </cell>
          <cell r="AI56">
            <v>0</v>
          </cell>
          <cell r="AJ56">
            <v>1.6</v>
          </cell>
          <cell r="AK56">
            <v>17.2</v>
          </cell>
          <cell r="AO56">
            <v>0</v>
          </cell>
          <cell r="AP56">
            <v>4.2</v>
          </cell>
          <cell r="AQ56">
            <v>53</v>
          </cell>
          <cell r="AU56">
            <v>0</v>
          </cell>
          <cell r="AV56">
            <v>1.7</v>
          </cell>
          <cell r="AW56">
            <v>76</v>
          </cell>
          <cell r="BA56">
            <v>0</v>
          </cell>
          <cell r="BB56">
            <v>1.361</v>
          </cell>
          <cell r="BC56">
            <v>63.7</v>
          </cell>
          <cell r="BG56">
            <v>0</v>
          </cell>
          <cell r="BI56">
            <v>200</v>
          </cell>
          <cell r="BM56">
            <v>0</v>
          </cell>
          <cell r="BN56">
            <v>45000</v>
          </cell>
          <cell r="BO56">
            <v>6.7</v>
          </cell>
          <cell r="BP56">
            <v>84</v>
          </cell>
          <cell r="BS56">
            <v>0</v>
          </cell>
          <cell r="BX56">
            <v>190</v>
          </cell>
          <cell r="CD56">
            <v>60</v>
          </cell>
        </row>
        <row r="57">
          <cell r="A57">
            <v>39133</v>
          </cell>
          <cell r="B57">
            <v>1320.1</v>
          </cell>
          <cell r="H57">
            <v>1320.1</v>
          </cell>
          <cell r="I57">
            <v>710</v>
          </cell>
          <cell r="J57">
            <v>175.7</v>
          </cell>
          <cell r="K57">
            <v>21450</v>
          </cell>
          <cell r="L57">
            <v>5800</v>
          </cell>
          <cell r="M57">
            <v>27250</v>
          </cell>
          <cell r="P57">
            <v>0</v>
          </cell>
          <cell r="S57">
            <v>10</v>
          </cell>
          <cell r="T57">
            <v>109.1</v>
          </cell>
          <cell r="V57">
            <v>109.1</v>
          </cell>
          <cell r="X57">
            <v>332.1</v>
          </cell>
          <cell r="Y57">
            <v>3100</v>
          </cell>
          <cell r="AD57">
            <v>111.435</v>
          </cell>
          <cell r="AE57">
            <v>4100</v>
          </cell>
          <cell r="AI57">
            <v>0</v>
          </cell>
          <cell r="AJ57">
            <v>1.4</v>
          </cell>
          <cell r="AK57">
            <v>15.9</v>
          </cell>
          <cell r="AO57">
            <v>0</v>
          </cell>
          <cell r="AP57">
            <v>4.2</v>
          </cell>
          <cell r="AQ57">
            <v>48.8</v>
          </cell>
          <cell r="AU57">
            <v>0</v>
          </cell>
          <cell r="AV57">
            <v>0.48</v>
          </cell>
          <cell r="AW57">
            <v>75.599999999999994</v>
          </cell>
          <cell r="BA57">
            <v>0</v>
          </cell>
          <cell r="BB57">
            <v>1.1830000000000001</v>
          </cell>
          <cell r="BC57">
            <v>61.2</v>
          </cell>
          <cell r="BG57">
            <v>0</v>
          </cell>
          <cell r="BI57">
            <v>200</v>
          </cell>
          <cell r="BJ57">
            <v>24.5</v>
          </cell>
          <cell r="BM57">
            <v>24.5</v>
          </cell>
          <cell r="BN57">
            <v>40000</v>
          </cell>
          <cell r="BO57">
            <v>10.5</v>
          </cell>
          <cell r="BP57">
            <v>96</v>
          </cell>
          <cell r="BS57">
            <v>0</v>
          </cell>
          <cell r="BX57">
            <v>190</v>
          </cell>
          <cell r="CD57">
            <v>60</v>
          </cell>
        </row>
        <row r="58">
          <cell r="A58">
            <v>39134</v>
          </cell>
          <cell r="H58">
            <v>0</v>
          </cell>
          <cell r="I58">
            <v>550</v>
          </cell>
          <cell r="J58">
            <v>207.1</v>
          </cell>
          <cell r="K58">
            <v>20900</v>
          </cell>
          <cell r="L58">
            <v>5600</v>
          </cell>
          <cell r="M58">
            <v>26500</v>
          </cell>
          <cell r="P58">
            <v>0</v>
          </cell>
          <cell r="S58">
            <v>10</v>
          </cell>
          <cell r="T58">
            <v>134.4</v>
          </cell>
          <cell r="V58">
            <v>134.4</v>
          </cell>
          <cell r="X58">
            <v>291.3</v>
          </cell>
          <cell r="Y58">
            <v>3000</v>
          </cell>
          <cell r="AD58">
            <v>27.35</v>
          </cell>
          <cell r="AE58">
            <v>4050</v>
          </cell>
          <cell r="AI58">
            <v>0</v>
          </cell>
          <cell r="AJ58">
            <v>2</v>
          </cell>
          <cell r="AK58">
            <v>13.9</v>
          </cell>
          <cell r="AO58">
            <v>0</v>
          </cell>
          <cell r="AP58">
            <v>3.4</v>
          </cell>
          <cell r="AQ58">
            <v>45.4</v>
          </cell>
          <cell r="AU58">
            <v>0</v>
          </cell>
          <cell r="AW58">
            <v>75.599999999999994</v>
          </cell>
          <cell r="AX58">
            <v>23.7</v>
          </cell>
          <cell r="BA58">
            <v>23.7</v>
          </cell>
          <cell r="BB58">
            <v>1.2330000000000001</v>
          </cell>
          <cell r="BC58">
            <v>61.2</v>
          </cell>
          <cell r="BG58">
            <v>0</v>
          </cell>
          <cell r="BI58">
            <v>200</v>
          </cell>
          <cell r="BJ58">
            <v>49.6</v>
          </cell>
          <cell r="BM58">
            <v>49.6</v>
          </cell>
          <cell r="BN58">
            <v>40000</v>
          </cell>
          <cell r="BO58">
            <v>11.4</v>
          </cell>
          <cell r="BP58">
            <v>136</v>
          </cell>
          <cell r="BS58">
            <v>0</v>
          </cell>
          <cell r="BX58">
            <v>190</v>
          </cell>
          <cell r="CD58">
            <v>60</v>
          </cell>
        </row>
        <row r="59">
          <cell r="A59">
            <v>39135</v>
          </cell>
          <cell r="H59">
            <v>0</v>
          </cell>
          <cell r="I59">
            <v>550</v>
          </cell>
          <cell r="J59">
            <v>225.2</v>
          </cell>
          <cell r="K59">
            <v>21000</v>
          </cell>
          <cell r="L59">
            <v>5400</v>
          </cell>
          <cell r="M59">
            <v>26400</v>
          </cell>
          <cell r="P59">
            <v>0</v>
          </cell>
          <cell r="S59">
            <v>10</v>
          </cell>
          <cell r="T59">
            <v>164.2</v>
          </cell>
          <cell r="V59">
            <v>164.2</v>
          </cell>
          <cell r="X59">
            <v>286.3</v>
          </cell>
          <cell r="Y59">
            <v>2800</v>
          </cell>
          <cell r="AD59">
            <v>22.75</v>
          </cell>
          <cell r="AE59">
            <v>4500</v>
          </cell>
          <cell r="AI59">
            <v>0</v>
          </cell>
          <cell r="AJ59">
            <v>2</v>
          </cell>
          <cell r="AK59">
            <v>12</v>
          </cell>
          <cell r="AL59">
            <v>24.06</v>
          </cell>
          <cell r="AO59">
            <v>24.06</v>
          </cell>
          <cell r="AP59">
            <v>3.3</v>
          </cell>
          <cell r="AQ59">
            <v>66.099999999999994</v>
          </cell>
          <cell r="AU59">
            <v>0</v>
          </cell>
          <cell r="AW59">
            <v>75.5</v>
          </cell>
          <cell r="BA59">
            <v>0</v>
          </cell>
          <cell r="BB59">
            <v>1.3049999999999999</v>
          </cell>
          <cell r="BC59">
            <v>61.2</v>
          </cell>
          <cell r="BG59">
            <v>0</v>
          </cell>
          <cell r="BI59">
            <v>200</v>
          </cell>
          <cell r="BM59">
            <v>0</v>
          </cell>
          <cell r="BN59">
            <v>40000</v>
          </cell>
          <cell r="BO59">
            <v>11.4</v>
          </cell>
          <cell r="BP59">
            <v>125</v>
          </cell>
          <cell r="BS59">
            <v>0</v>
          </cell>
          <cell r="BX59">
            <v>190</v>
          </cell>
          <cell r="CD59">
            <v>60</v>
          </cell>
        </row>
        <row r="60">
          <cell r="A60">
            <v>39136</v>
          </cell>
          <cell r="H60">
            <v>0</v>
          </cell>
          <cell r="I60">
            <v>570</v>
          </cell>
          <cell r="J60">
            <v>231</v>
          </cell>
          <cell r="K60">
            <v>19800</v>
          </cell>
          <cell r="L60">
            <v>5100</v>
          </cell>
          <cell r="M60">
            <v>24900</v>
          </cell>
          <cell r="P60">
            <v>0</v>
          </cell>
          <cell r="S60">
            <v>10</v>
          </cell>
          <cell r="T60">
            <v>56.3</v>
          </cell>
          <cell r="V60">
            <v>56.3</v>
          </cell>
          <cell r="X60">
            <v>278</v>
          </cell>
          <cell r="Y60">
            <v>2640</v>
          </cell>
          <cell r="Z60">
            <v>116.5</v>
          </cell>
          <cell r="AD60">
            <v>31.8</v>
          </cell>
          <cell r="AE60">
            <v>5100</v>
          </cell>
          <cell r="AF60">
            <v>24.94</v>
          </cell>
          <cell r="AI60">
            <v>24.94</v>
          </cell>
          <cell r="AJ60">
            <v>2</v>
          </cell>
          <cell r="AK60">
            <v>34.9</v>
          </cell>
          <cell r="AO60">
            <v>0</v>
          </cell>
          <cell r="AP60">
            <v>3.5</v>
          </cell>
          <cell r="AQ60">
            <v>62.6</v>
          </cell>
          <cell r="AU60">
            <v>0</v>
          </cell>
          <cell r="AV60">
            <v>0.5</v>
          </cell>
          <cell r="AW60">
            <v>75.099999999999994</v>
          </cell>
          <cell r="BA60">
            <v>0</v>
          </cell>
          <cell r="BB60">
            <v>1.321</v>
          </cell>
          <cell r="BC60">
            <v>81.05</v>
          </cell>
          <cell r="BG60">
            <v>0</v>
          </cell>
          <cell r="BI60">
            <v>200</v>
          </cell>
          <cell r="BM60">
            <v>0</v>
          </cell>
          <cell r="BN60">
            <v>40000</v>
          </cell>
          <cell r="BO60">
            <v>6.9</v>
          </cell>
          <cell r="BP60">
            <v>118</v>
          </cell>
          <cell r="BS60">
            <v>0</v>
          </cell>
          <cell r="BX60">
            <v>190</v>
          </cell>
          <cell r="CD60">
            <v>60</v>
          </cell>
        </row>
        <row r="61">
          <cell r="A61">
            <v>39137</v>
          </cell>
          <cell r="H61">
            <v>0</v>
          </cell>
          <cell r="I61">
            <v>670</v>
          </cell>
          <cell r="J61">
            <v>456</v>
          </cell>
          <cell r="K61">
            <v>19100</v>
          </cell>
          <cell r="L61">
            <v>4700</v>
          </cell>
          <cell r="M61">
            <v>23800</v>
          </cell>
          <cell r="P61">
            <v>0</v>
          </cell>
          <cell r="S61">
            <v>10</v>
          </cell>
          <cell r="T61">
            <v>58.5</v>
          </cell>
          <cell r="V61">
            <v>58.5</v>
          </cell>
          <cell r="X61">
            <v>267.8</v>
          </cell>
          <cell r="Y61">
            <v>2400</v>
          </cell>
          <cell r="AD61">
            <v>31.152000000000001</v>
          </cell>
          <cell r="AE61">
            <v>5480</v>
          </cell>
          <cell r="AI61">
            <v>0</v>
          </cell>
          <cell r="AJ61">
            <v>1.5</v>
          </cell>
          <cell r="AK61">
            <v>33.4</v>
          </cell>
          <cell r="AO61">
            <v>0</v>
          </cell>
          <cell r="AP61">
            <v>4.3</v>
          </cell>
          <cell r="AQ61">
            <v>58.4</v>
          </cell>
          <cell r="AU61">
            <v>0</v>
          </cell>
          <cell r="AV61">
            <v>0.5</v>
          </cell>
          <cell r="AW61">
            <v>74.599999999999994</v>
          </cell>
          <cell r="BA61">
            <v>0</v>
          </cell>
          <cell r="BB61">
            <v>1.863</v>
          </cell>
          <cell r="BC61">
            <v>79.099999999999994</v>
          </cell>
          <cell r="BG61">
            <v>0</v>
          </cell>
          <cell r="BI61">
            <v>200</v>
          </cell>
          <cell r="BJ61">
            <v>23.9</v>
          </cell>
          <cell r="BM61">
            <v>23.9</v>
          </cell>
          <cell r="BO61">
            <v>4.4000000000000004</v>
          </cell>
          <cell r="BP61">
            <v>137</v>
          </cell>
          <cell r="BS61">
            <v>0</v>
          </cell>
          <cell r="BX61">
            <v>190</v>
          </cell>
          <cell r="CD61">
            <v>60</v>
          </cell>
        </row>
        <row r="62">
          <cell r="A62">
            <v>39138</v>
          </cell>
          <cell r="H62">
            <v>0</v>
          </cell>
          <cell r="I62">
            <v>630</v>
          </cell>
          <cell r="J62">
            <v>408.1</v>
          </cell>
          <cell r="K62">
            <v>18500</v>
          </cell>
          <cell r="L62">
            <v>4300</v>
          </cell>
          <cell r="M62">
            <v>22800</v>
          </cell>
          <cell r="P62">
            <v>0</v>
          </cell>
          <cell r="S62">
            <v>10</v>
          </cell>
          <cell r="T62">
            <v>166.8</v>
          </cell>
          <cell r="V62">
            <v>166.8</v>
          </cell>
          <cell r="X62">
            <v>168.4</v>
          </cell>
          <cell r="Y62">
            <v>2400</v>
          </cell>
          <cell r="AB62">
            <v>53</v>
          </cell>
          <cell r="AD62">
            <v>86.58</v>
          </cell>
          <cell r="AE62">
            <v>5400</v>
          </cell>
          <cell r="AI62">
            <v>0</v>
          </cell>
          <cell r="AJ62">
            <v>2</v>
          </cell>
          <cell r="AK62">
            <v>31.4</v>
          </cell>
          <cell r="AO62">
            <v>0</v>
          </cell>
          <cell r="AP62">
            <v>5.0999999999999996</v>
          </cell>
          <cell r="AQ62">
            <v>53.4</v>
          </cell>
          <cell r="AU62">
            <v>0</v>
          </cell>
          <cell r="AV62">
            <v>1</v>
          </cell>
          <cell r="AW62">
            <v>73.599999999999994</v>
          </cell>
          <cell r="BA62">
            <v>0</v>
          </cell>
          <cell r="BB62">
            <v>1.9750000000000001</v>
          </cell>
          <cell r="BC62">
            <v>77.2</v>
          </cell>
          <cell r="BG62">
            <v>0</v>
          </cell>
          <cell r="BI62">
            <v>200</v>
          </cell>
          <cell r="BM62">
            <v>0</v>
          </cell>
          <cell r="BO62">
            <v>4.4000000000000004</v>
          </cell>
          <cell r="BP62">
            <v>133</v>
          </cell>
          <cell r="BS62">
            <v>0</v>
          </cell>
          <cell r="BX62">
            <v>190</v>
          </cell>
          <cell r="CD62">
            <v>60</v>
          </cell>
        </row>
        <row r="63">
          <cell r="A63">
            <v>39139</v>
          </cell>
          <cell r="H63">
            <v>0</v>
          </cell>
          <cell r="I63">
            <v>520</v>
          </cell>
          <cell r="J63">
            <v>464.6</v>
          </cell>
          <cell r="K63">
            <v>17800</v>
          </cell>
          <cell r="L63">
            <v>3800</v>
          </cell>
          <cell r="M63">
            <v>21600</v>
          </cell>
          <cell r="P63">
            <v>0</v>
          </cell>
          <cell r="S63">
            <v>10</v>
          </cell>
          <cell r="T63">
            <v>187.7</v>
          </cell>
          <cell r="V63">
            <v>187.7</v>
          </cell>
          <cell r="X63">
            <v>113.3</v>
          </cell>
          <cell r="Y63">
            <v>2500</v>
          </cell>
          <cell r="Z63">
            <v>232.2</v>
          </cell>
          <cell r="AB63">
            <v>31</v>
          </cell>
          <cell r="AD63">
            <v>444.72</v>
          </cell>
          <cell r="AE63">
            <v>5190</v>
          </cell>
          <cell r="AI63">
            <v>0</v>
          </cell>
          <cell r="AJ63">
            <v>1.9</v>
          </cell>
          <cell r="AK63">
            <v>29.4</v>
          </cell>
          <cell r="AO63">
            <v>0</v>
          </cell>
          <cell r="AP63">
            <v>3.8</v>
          </cell>
          <cell r="AQ63">
            <v>48.7</v>
          </cell>
          <cell r="AU63">
            <v>0</v>
          </cell>
          <cell r="AV63">
            <v>1.2</v>
          </cell>
          <cell r="AW63">
            <v>73.2</v>
          </cell>
          <cell r="BA63">
            <v>0</v>
          </cell>
          <cell r="BB63">
            <v>2.7810000000000001</v>
          </cell>
          <cell r="BC63">
            <v>74.5</v>
          </cell>
          <cell r="BG63">
            <v>0</v>
          </cell>
          <cell r="BI63">
            <v>200</v>
          </cell>
          <cell r="BM63">
            <v>0</v>
          </cell>
          <cell r="BN63">
            <v>40000</v>
          </cell>
          <cell r="BO63">
            <v>5.5</v>
          </cell>
          <cell r="BP63">
            <v>126</v>
          </cell>
          <cell r="BS63">
            <v>0</v>
          </cell>
          <cell r="BX63">
            <v>190</v>
          </cell>
          <cell r="CD63">
            <v>60</v>
          </cell>
        </row>
        <row r="64">
          <cell r="A64">
            <v>39140</v>
          </cell>
          <cell r="G64">
            <v>270</v>
          </cell>
          <cell r="H64">
            <v>0</v>
          </cell>
          <cell r="I64">
            <v>550</v>
          </cell>
          <cell r="J64">
            <v>468.7</v>
          </cell>
          <cell r="K64">
            <v>17500</v>
          </cell>
          <cell r="L64">
            <v>3600</v>
          </cell>
          <cell r="M64">
            <v>21100</v>
          </cell>
          <cell r="P64">
            <v>0</v>
          </cell>
          <cell r="S64">
            <v>10</v>
          </cell>
          <cell r="T64">
            <v>136.19999999999999</v>
          </cell>
          <cell r="V64">
            <v>136.19999999999999</v>
          </cell>
          <cell r="X64">
            <v>68.400000000000006</v>
          </cell>
          <cell r="Y64">
            <v>2500</v>
          </cell>
          <cell r="Z64">
            <v>58</v>
          </cell>
          <cell r="AD64">
            <v>418</v>
          </cell>
          <cell r="AE64">
            <v>4800</v>
          </cell>
          <cell r="AI64">
            <v>0</v>
          </cell>
          <cell r="AJ64">
            <v>1.4</v>
          </cell>
          <cell r="AK64">
            <v>28</v>
          </cell>
          <cell r="AL64">
            <v>25.04</v>
          </cell>
          <cell r="AO64">
            <v>25.04</v>
          </cell>
          <cell r="AP64">
            <v>3.3</v>
          </cell>
          <cell r="AQ64">
            <v>70.400000000000006</v>
          </cell>
          <cell r="AU64">
            <v>0</v>
          </cell>
          <cell r="AV64">
            <v>1.9</v>
          </cell>
          <cell r="AW64">
            <v>71.2</v>
          </cell>
          <cell r="AX64">
            <v>14.12</v>
          </cell>
          <cell r="BA64">
            <v>14.12</v>
          </cell>
          <cell r="BB64">
            <v>2.835</v>
          </cell>
          <cell r="BC64">
            <v>74.5</v>
          </cell>
          <cell r="BG64">
            <v>0</v>
          </cell>
          <cell r="BI64">
            <v>200</v>
          </cell>
          <cell r="BJ64">
            <v>26.2</v>
          </cell>
          <cell r="BM64">
            <v>26.2</v>
          </cell>
          <cell r="BN64">
            <v>35000</v>
          </cell>
          <cell r="BO64">
            <v>5.4</v>
          </cell>
          <cell r="BP64">
            <v>148</v>
          </cell>
          <cell r="BS64">
            <v>0</v>
          </cell>
          <cell r="BX64">
            <v>190</v>
          </cell>
          <cell r="CD64">
            <v>60</v>
          </cell>
        </row>
        <row r="65">
          <cell r="A65">
            <v>39141</v>
          </cell>
          <cell r="B65">
            <v>-129.26</v>
          </cell>
          <cell r="C65">
            <v>5775.1</v>
          </cell>
          <cell r="E65">
            <v>-5678.6</v>
          </cell>
          <cell r="H65">
            <v>-32.760000000000218</v>
          </cell>
          <cell r="I65">
            <v>-363.58300000000008</v>
          </cell>
          <cell r="J65">
            <v>106.56200000000001</v>
          </cell>
          <cell r="K65">
            <v>16700</v>
          </cell>
          <cell r="L65">
            <v>4400</v>
          </cell>
          <cell r="M65">
            <v>21100</v>
          </cell>
          <cell r="N65">
            <v>81.12</v>
          </cell>
          <cell r="P65">
            <v>81.12</v>
          </cell>
          <cell r="R65">
            <v>32.509</v>
          </cell>
          <cell r="S65">
            <v>10</v>
          </cell>
          <cell r="T65">
            <v>492.47</v>
          </cell>
          <cell r="V65">
            <v>492.47</v>
          </cell>
          <cell r="W65">
            <v>2585.3029999999999</v>
          </cell>
          <cell r="X65">
            <v>-1638.914</v>
          </cell>
          <cell r="Y65">
            <v>2300</v>
          </cell>
          <cell r="Z65">
            <v>671.41</v>
          </cell>
          <cell r="AA65">
            <v>671.41</v>
          </cell>
          <cell r="AD65">
            <v>793.35899999999992</v>
          </cell>
          <cell r="AE65">
            <v>4800</v>
          </cell>
          <cell r="AI65">
            <v>0</v>
          </cell>
          <cell r="AJ65">
            <v>-0.11999999999999988</v>
          </cell>
          <cell r="AK65">
            <v>26.9</v>
          </cell>
          <cell r="AO65">
            <v>0</v>
          </cell>
          <cell r="AP65">
            <v>-17.32</v>
          </cell>
          <cell r="AQ65">
            <v>65</v>
          </cell>
          <cell r="AU65">
            <v>0</v>
          </cell>
          <cell r="AV65">
            <v>-21.919999999999998</v>
          </cell>
          <cell r="AW65">
            <v>70.400000000000006</v>
          </cell>
          <cell r="BA65">
            <v>0</v>
          </cell>
          <cell r="BB65">
            <v>3.335</v>
          </cell>
          <cell r="BC65">
            <v>83.046999999999997</v>
          </cell>
          <cell r="BG65">
            <v>0</v>
          </cell>
          <cell r="BI65">
            <v>200</v>
          </cell>
          <cell r="BJ65">
            <v>0.4</v>
          </cell>
          <cell r="BM65">
            <v>0.4</v>
          </cell>
          <cell r="BN65">
            <v>40000</v>
          </cell>
          <cell r="BO65">
            <v>4.84</v>
          </cell>
          <cell r="BP65">
            <v>144</v>
          </cell>
          <cell r="BS65">
            <v>0</v>
          </cell>
          <cell r="BW65">
            <v>18.106999999999999</v>
          </cell>
          <cell r="BX65">
            <v>190</v>
          </cell>
          <cell r="BY65">
            <v>113.04</v>
          </cell>
          <cell r="BZ65">
            <v>72.599999999999994</v>
          </cell>
          <cell r="CB65">
            <v>-1.4</v>
          </cell>
          <cell r="CC65">
            <v>-13.46</v>
          </cell>
          <cell r="CD65">
            <v>60</v>
          </cell>
        </row>
        <row r="66">
          <cell r="A66">
            <v>39142</v>
          </cell>
          <cell r="H66">
            <v>0</v>
          </cell>
          <cell r="I66">
            <v>645</v>
          </cell>
          <cell r="J66">
            <v>563.1</v>
          </cell>
          <cell r="K66">
            <v>16010</v>
          </cell>
          <cell r="L66">
            <v>4000</v>
          </cell>
          <cell r="M66">
            <v>20010</v>
          </cell>
          <cell r="P66">
            <v>0</v>
          </cell>
          <cell r="S66">
            <v>10</v>
          </cell>
          <cell r="T66">
            <v>135.4</v>
          </cell>
          <cell r="V66">
            <v>135.4</v>
          </cell>
          <cell r="X66">
            <v>281.8</v>
          </cell>
          <cell r="Y66">
            <v>2000</v>
          </cell>
          <cell r="AB66">
            <v>73.89</v>
          </cell>
          <cell r="AD66">
            <v>308.89999999999998</v>
          </cell>
          <cell r="AE66">
            <v>4300</v>
          </cell>
          <cell r="AI66">
            <v>0</v>
          </cell>
          <cell r="AJ66">
            <v>1.7</v>
          </cell>
          <cell r="AK66">
            <v>25.6</v>
          </cell>
          <cell r="AO66">
            <v>0</v>
          </cell>
          <cell r="AP66">
            <v>3.7</v>
          </cell>
          <cell r="AQ66">
            <v>63.8</v>
          </cell>
          <cell r="AU66">
            <v>0</v>
          </cell>
          <cell r="AV66">
            <v>0.1</v>
          </cell>
          <cell r="AW66">
            <v>70.3</v>
          </cell>
          <cell r="BA66">
            <v>0</v>
          </cell>
          <cell r="BB66">
            <v>2.7040000000000002</v>
          </cell>
          <cell r="BC66">
            <v>80.400000000000006</v>
          </cell>
          <cell r="BG66">
            <v>0</v>
          </cell>
          <cell r="BI66">
            <v>200</v>
          </cell>
          <cell r="BJ66">
            <v>24.5</v>
          </cell>
          <cell r="BM66">
            <v>24.5</v>
          </cell>
          <cell r="BN66">
            <v>4000</v>
          </cell>
          <cell r="BO66">
            <v>10</v>
          </cell>
          <cell r="BP66">
            <v>158</v>
          </cell>
          <cell r="BS66">
            <v>0</v>
          </cell>
          <cell r="BX66">
            <v>190</v>
          </cell>
          <cell r="CC66">
            <v>3.3</v>
          </cell>
          <cell r="CD66">
            <v>60</v>
          </cell>
        </row>
        <row r="67">
          <cell r="A67">
            <v>39143</v>
          </cell>
          <cell r="G67">
            <v>90</v>
          </cell>
          <cell r="H67">
            <v>0</v>
          </cell>
          <cell r="I67">
            <v>470</v>
          </cell>
          <cell r="J67">
            <v>530.9</v>
          </cell>
          <cell r="K67">
            <v>15600</v>
          </cell>
          <cell r="L67">
            <v>3500</v>
          </cell>
          <cell r="M67">
            <v>19100</v>
          </cell>
          <cell r="P67">
            <v>0</v>
          </cell>
          <cell r="R67">
            <v>97.6</v>
          </cell>
          <cell r="S67">
            <v>100</v>
          </cell>
          <cell r="T67">
            <v>161.69999999999999</v>
          </cell>
          <cell r="V67">
            <v>161.69999999999999</v>
          </cell>
          <cell r="X67">
            <v>137.80000000000001</v>
          </cell>
          <cell r="Y67">
            <v>1600</v>
          </cell>
          <cell r="Z67">
            <v>60</v>
          </cell>
          <cell r="AB67">
            <v>118</v>
          </cell>
          <cell r="AD67">
            <v>244.4</v>
          </cell>
          <cell r="AE67">
            <v>3300</v>
          </cell>
          <cell r="AI67">
            <v>0</v>
          </cell>
          <cell r="AJ67">
            <v>1.8</v>
          </cell>
          <cell r="AK67">
            <v>23.3</v>
          </cell>
          <cell r="AO67">
            <v>0</v>
          </cell>
          <cell r="AP67">
            <v>4.3</v>
          </cell>
          <cell r="AQ67">
            <v>59.5</v>
          </cell>
          <cell r="AU67">
            <v>0</v>
          </cell>
          <cell r="AV67">
            <v>0.7</v>
          </cell>
          <cell r="AW67">
            <v>69.599999999999994</v>
          </cell>
          <cell r="BA67">
            <v>0</v>
          </cell>
          <cell r="BB67">
            <v>2.7429999999999999</v>
          </cell>
          <cell r="BC67">
            <v>77.599999999999994</v>
          </cell>
          <cell r="BG67">
            <v>0</v>
          </cell>
          <cell r="BI67">
            <v>200</v>
          </cell>
          <cell r="BM67">
            <v>0</v>
          </cell>
          <cell r="BN67">
            <v>37000</v>
          </cell>
          <cell r="BO67">
            <v>6</v>
          </cell>
          <cell r="BP67">
            <v>156</v>
          </cell>
          <cell r="BS67">
            <v>0</v>
          </cell>
          <cell r="BX67">
            <v>190</v>
          </cell>
          <cell r="CC67">
            <v>8.1</v>
          </cell>
          <cell r="CD67">
            <v>84</v>
          </cell>
        </row>
        <row r="68">
          <cell r="A68">
            <v>39144</v>
          </cell>
          <cell r="G68">
            <v>220</v>
          </cell>
          <cell r="H68">
            <v>0</v>
          </cell>
          <cell r="I68">
            <v>520</v>
          </cell>
          <cell r="J68">
            <v>689.3</v>
          </cell>
          <cell r="K68">
            <v>16800</v>
          </cell>
          <cell r="L68">
            <v>3500</v>
          </cell>
          <cell r="M68">
            <v>20300</v>
          </cell>
          <cell r="P68">
            <v>0</v>
          </cell>
          <cell r="S68">
            <v>100</v>
          </cell>
          <cell r="T68">
            <v>25.3</v>
          </cell>
          <cell r="V68">
            <v>25.3</v>
          </cell>
          <cell r="X68">
            <v>122.3</v>
          </cell>
          <cell r="Y68">
            <v>1600</v>
          </cell>
          <cell r="AB68">
            <v>40</v>
          </cell>
          <cell r="AD68">
            <v>22.1</v>
          </cell>
          <cell r="AE68">
            <v>3300</v>
          </cell>
          <cell r="AI68">
            <v>0</v>
          </cell>
          <cell r="AJ68">
            <v>1.8</v>
          </cell>
          <cell r="AK68">
            <v>21.3</v>
          </cell>
          <cell r="AO68">
            <v>0</v>
          </cell>
          <cell r="AP68">
            <v>4.5</v>
          </cell>
          <cell r="AQ68">
            <v>55</v>
          </cell>
          <cell r="AU68">
            <v>0</v>
          </cell>
          <cell r="AV68">
            <v>1.9</v>
          </cell>
          <cell r="AW68">
            <v>67.7</v>
          </cell>
          <cell r="BA68">
            <v>0</v>
          </cell>
          <cell r="BB68">
            <v>2.4119999999999999</v>
          </cell>
          <cell r="BC68">
            <v>77.599999999999994</v>
          </cell>
          <cell r="BG68">
            <v>0</v>
          </cell>
          <cell r="BI68">
            <v>200</v>
          </cell>
          <cell r="BM68">
            <v>0</v>
          </cell>
          <cell r="BO68">
            <v>5.4</v>
          </cell>
          <cell r="BP68">
            <v>156</v>
          </cell>
          <cell r="BS68">
            <v>0</v>
          </cell>
          <cell r="BX68">
            <v>190</v>
          </cell>
          <cell r="CC68">
            <v>7.4</v>
          </cell>
          <cell r="CD68">
            <v>84</v>
          </cell>
        </row>
        <row r="69">
          <cell r="A69">
            <v>39145</v>
          </cell>
          <cell r="E69">
            <v>2890.9</v>
          </cell>
          <cell r="G69">
            <v>815</v>
          </cell>
          <cell r="H69">
            <v>2890.9</v>
          </cell>
          <cell r="I69">
            <v>100</v>
          </cell>
          <cell r="J69">
            <v>412.8</v>
          </cell>
          <cell r="K69">
            <v>16800</v>
          </cell>
          <cell r="L69">
            <v>3400</v>
          </cell>
          <cell r="M69">
            <v>20200</v>
          </cell>
          <cell r="P69">
            <v>0</v>
          </cell>
          <cell r="S69">
            <v>100</v>
          </cell>
          <cell r="T69">
            <v>224.8</v>
          </cell>
          <cell r="V69">
            <v>224.8</v>
          </cell>
          <cell r="X69">
            <v>43.7</v>
          </cell>
          <cell r="Y69">
            <v>1600</v>
          </cell>
          <cell r="AB69">
            <v>158</v>
          </cell>
          <cell r="AD69">
            <v>155.9</v>
          </cell>
          <cell r="AE69">
            <v>3300</v>
          </cell>
          <cell r="AI69">
            <v>0</v>
          </cell>
          <cell r="AJ69">
            <v>2</v>
          </cell>
          <cell r="AK69">
            <v>19.399999999999999</v>
          </cell>
          <cell r="AO69">
            <v>0</v>
          </cell>
          <cell r="AP69">
            <v>4.8</v>
          </cell>
          <cell r="AQ69">
            <v>50.2</v>
          </cell>
          <cell r="AU69">
            <v>0</v>
          </cell>
          <cell r="AV69">
            <v>2.6</v>
          </cell>
          <cell r="AW69">
            <v>65.099999999999994</v>
          </cell>
          <cell r="BA69">
            <v>0</v>
          </cell>
          <cell r="BB69">
            <v>2.4750000000000001</v>
          </cell>
          <cell r="BC69">
            <v>72.7</v>
          </cell>
          <cell r="BG69">
            <v>0</v>
          </cell>
          <cell r="BI69">
            <v>200</v>
          </cell>
          <cell r="BM69">
            <v>0</v>
          </cell>
          <cell r="BO69">
            <v>6</v>
          </cell>
          <cell r="BP69">
            <v>145</v>
          </cell>
          <cell r="BS69">
            <v>0</v>
          </cell>
          <cell r="BX69">
            <v>190</v>
          </cell>
          <cell r="CC69">
            <v>2.5</v>
          </cell>
          <cell r="CD69">
            <v>74</v>
          </cell>
        </row>
        <row r="70">
          <cell r="A70">
            <v>39146</v>
          </cell>
          <cell r="G70">
            <v>432</v>
          </cell>
          <cell r="H70">
            <v>0</v>
          </cell>
          <cell r="I70">
            <v>0</v>
          </cell>
          <cell r="J70">
            <v>340.6</v>
          </cell>
          <cell r="K70">
            <v>18600</v>
          </cell>
          <cell r="L70">
            <v>3500</v>
          </cell>
          <cell r="M70">
            <v>22100</v>
          </cell>
          <cell r="P70">
            <v>0</v>
          </cell>
          <cell r="S70">
            <v>100</v>
          </cell>
          <cell r="T70">
            <v>137.80000000000001</v>
          </cell>
          <cell r="V70">
            <v>137.80000000000001</v>
          </cell>
          <cell r="X70">
            <v>15.1</v>
          </cell>
          <cell r="Y70">
            <v>1700</v>
          </cell>
          <cell r="AB70">
            <v>176</v>
          </cell>
          <cell r="AD70">
            <v>230.1</v>
          </cell>
          <cell r="AE70">
            <v>2700</v>
          </cell>
          <cell r="AI70">
            <v>0</v>
          </cell>
          <cell r="AJ70">
            <v>1.1000000000000001</v>
          </cell>
          <cell r="AK70">
            <v>18.2</v>
          </cell>
          <cell r="AO70">
            <v>0</v>
          </cell>
          <cell r="AP70">
            <v>6.7</v>
          </cell>
          <cell r="AQ70">
            <v>43.5</v>
          </cell>
          <cell r="AU70">
            <v>0</v>
          </cell>
          <cell r="AV70">
            <v>1.6</v>
          </cell>
          <cell r="AW70">
            <v>63.5</v>
          </cell>
          <cell r="BA70">
            <v>0</v>
          </cell>
          <cell r="BB70">
            <v>2.8839999999999999</v>
          </cell>
          <cell r="BC70">
            <v>69.900000000000006</v>
          </cell>
          <cell r="BG70">
            <v>0</v>
          </cell>
          <cell r="BI70">
            <v>200</v>
          </cell>
          <cell r="BM70">
            <v>0</v>
          </cell>
          <cell r="BN70">
            <v>40000</v>
          </cell>
          <cell r="BO70">
            <v>5.4</v>
          </cell>
          <cell r="BP70">
            <v>140</v>
          </cell>
          <cell r="BS70">
            <v>0</v>
          </cell>
          <cell r="BX70">
            <v>190</v>
          </cell>
          <cell r="CD70">
            <v>74</v>
          </cell>
        </row>
        <row r="71">
          <cell r="A71">
            <v>39147</v>
          </cell>
          <cell r="B71">
            <v>1318</v>
          </cell>
          <cell r="E71">
            <v>2999.6</v>
          </cell>
          <cell r="G71">
            <v>280</v>
          </cell>
          <cell r="H71">
            <v>4317.6000000000004</v>
          </cell>
          <cell r="I71">
            <v>0</v>
          </cell>
          <cell r="J71">
            <v>292.5</v>
          </cell>
          <cell r="K71">
            <v>19100</v>
          </cell>
          <cell r="L71">
            <v>4800</v>
          </cell>
          <cell r="M71">
            <v>23900</v>
          </cell>
          <cell r="P71">
            <v>0</v>
          </cell>
          <cell r="S71">
            <v>100</v>
          </cell>
          <cell r="T71">
            <v>106.5</v>
          </cell>
          <cell r="V71">
            <v>106.5</v>
          </cell>
          <cell r="X71">
            <v>10.3</v>
          </cell>
          <cell r="Y71">
            <v>1800</v>
          </cell>
          <cell r="AB71">
            <v>136</v>
          </cell>
          <cell r="AD71">
            <v>222.1</v>
          </cell>
          <cell r="AE71">
            <v>2400</v>
          </cell>
          <cell r="AF71">
            <v>25.38</v>
          </cell>
          <cell r="AI71">
            <v>25.38</v>
          </cell>
          <cell r="AJ71">
            <v>1.8</v>
          </cell>
          <cell r="AK71">
            <v>41.8</v>
          </cell>
          <cell r="AL71">
            <v>24.2</v>
          </cell>
          <cell r="AO71">
            <v>24.2</v>
          </cell>
          <cell r="AP71">
            <v>6</v>
          </cell>
          <cell r="AQ71">
            <v>61.8</v>
          </cell>
          <cell r="AU71">
            <v>0</v>
          </cell>
          <cell r="AV71">
            <v>1.2</v>
          </cell>
          <cell r="AW71">
            <v>62.4</v>
          </cell>
          <cell r="BA71">
            <v>0</v>
          </cell>
          <cell r="BB71">
            <v>2.5630000000000002</v>
          </cell>
          <cell r="BC71">
            <v>67.3</v>
          </cell>
          <cell r="BG71">
            <v>0</v>
          </cell>
          <cell r="BI71">
            <v>200</v>
          </cell>
          <cell r="BM71">
            <v>0</v>
          </cell>
          <cell r="BN71">
            <v>35000</v>
          </cell>
          <cell r="BO71">
            <v>6</v>
          </cell>
          <cell r="BP71">
            <v>133</v>
          </cell>
          <cell r="BS71">
            <v>0</v>
          </cell>
          <cell r="BX71">
            <v>190</v>
          </cell>
          <cell r="CD71">
            <v>74</v>
          </cell>
        </row>
        <row r="72">
          <cell r="A72">
            <v>39148</v>
          </cell>
          <cell r="H72">
            <v>0</v>
          </cell>
          <cell r="I72">
            <v>0</v>
          </cell>
          <cell r="J72">
            <v>369.5</v>
          </cell>
          <cell r="K72">
            <v>20360</v>
          </cell>
          <cell r="L72">
            <v>4450</v>
          </cell>
          <cell r="M72">
            <v>24810</v>
          </cell>
          <cell r="P72">
            <v>0</v>
          </cell>
          <cell r="S72">
            <v>100</v>
          </cell>
          <cell r="T72">
            <v>131.69999999999999</v>
          </cell>
          <cell r="V72">
            <v>131.69999999999999</v>
          </cell>
          <cell r="X72">
            <v>47.4</v>
          </cell>
          <cell r="Y72">
            <v>1900</v>
          </cell>
          <cell r="Z72">
            <v>230</v>
          </cell>
          <cell r="AB72">
            <v>79</v>
          </cell>
          <cell r="AD72">
            <v>224.3</v>
          </cell>
          <cell r="AE72">
            <v>2350</v>
          </cell>
          <cell r="AI72">
            <v>0</v>
          </cell>
          <cell r="AJ72">
            <v>2</v>
          </cell>
          <cell r="AK72">
            <v>39.9</v>
          </cell>
          <cell r="AO72">
            <v>0</v>
          </cell>
          <cell r="AP72">
            <v>5.8</v>
          </cell>
          <cell r="AQ72">
            <v>57.7</v>
          </cell>
          <cell r="AU72">
            <v>0</v>
          </cell>
          <cell r="AV72">
            <v>0.8</v>
          </cell>
          <cell r="AW72">
            <v>61.5</v>
          </cell>
          <cell r="BA72">
            <v>0</v>
          </cell>
          <cell r="BB72">
            <v>3.0640000000000001</v>
          </cell>
          <cell r="BC72">
            <v>64.3</v>
          </cell>
          <cell r="BG72">
            <v>0</v>
          </cell>
          <cell r="BI72">
            <v>200</v>
          </cell>
          <cell r="BM72">
            <v>0</v>
          </cell>
          <cell r="BN72">
            <v>40000</v>
          </cell>
          <cell r="BO72">
            <v>6</v>
          </cell>
          <cell r="BP72">
            <v>128</v>
          </cell>
          <cell r="BS72">
            <v>0</v>
          </cell>
          <cell r="BX72">
            <v>190</v>
          </cell>
          <cell r="CD72">
            <v>74</v>
          </cell>
        </row>
        <row r="73">
          <cell r="A73">
            <v>39149</v>
          </cell>
          <cell r="G73">
            <v>329</v>
          </cell>
          <cell r="H73">
            <v>0</v>
          </cell>
          <cell r="I73">
            <v>0</v>
          </cell>
          <cell r="J73">
            <v>365.8</v>
          </cell>
          <cell r="K73">
            <v>21300</v>
          </cell>
          <cell r="L73">
            <v>4400</v>
          </cell>
          <cell r="M73">
            <v>25700</v>
          </cell>
          <cell r="P73">
            <v>0</v>
          </cell>
          <cell r="S73">
            <v>100</v>
          </cell>
          <cell r="T73">
            <v>221.6</v>
          </cell>
          <cell r="V73">
            <v>221.6</v>
          </cell>
          <cell r="X73">
            <v>55.3</v>
          </cell>
          <cell r="Y73">
            <v>2100</v>
          </cell>
          <cell r="Z73">
            <v>60</v>
          </cell>
          <cell r="AB73">
            <v>100</v>
          </cell>
          <cell r="AD73">
            <v>247.7</v>
          </cell>
          <cell r="AE73">
            <v>2100</v>
          </cell>
          <cell r="AI73">
            <v>0</v>
          </cell>
          <cell r="AJ73">
            <v>1.8</v>
          </cell>
          <cell r="AK73">
            <v>38.1</v>
          </cell>
          <cell r="AO73">
            <v>0</v>
          </cell>
          <cell r="AP73">
            <v>5.8</v>
          </cell>
          <cell r="AQ73">
            <v>52.3</v>
          </cell>
          <cell r="AU73">
            <v>0</v>
          </cell>
          <cell r="AW73">
            <v>61.4</v>
          </cell>
          <cell r="BA73">
            <v>0</v>
          </cell>
          <cell r="BB73">
            <v>2.9390000000000001</v>
          </cell>
          <cell r="BC73">
            <v>61.3</v>
          </cell>
          <cell r="BG73">
            <v>0</v>
          </cell>
          <cell r="BI73">
            <v>200</v>
          </cell>
          <cell r="BJ73">
            <v>24.3</v>
          </cell>
          <cell r="BM73">
            <v>24.3</v>
          </cell>
          <cell r="BN73">
            <v>35000</v>
          </cell>
          <cell r="BO73">
            <v>10.8</v>
          </cell>
          <cell r="BP73">
            <v>140</v>
          </cell>
          <cell r="BS73">
            <v>0</v>
          </cell>
          <cell r="BX73">
            <v>190</v>
          </cell>
          <cell r="CD73">
            <v>74</v>
          </cell>
        </row>
        <row r="74">
          <cell r="A74">
            <v>39150</v>
          </cell>
          <cell r="C74">
            <v>3178.4</v>
          </cell>
          <cell r="H74">
            <v>3178.4</v>
          </cell>
          <cell r="I74">
            <v>0</v>
          </cell>
          <cell r="J74">
            <v>305.89999999999998</v>
          </cell>
          <cell r="K74">
            <v>23200</v>
          </cell>
          <cell r="L74">
            <v>4100</v>
          </cell>
          <cell r="M74">
            <v>27300</v>
          </cell>
          <cell r="P74">
            <v>0</v>
          </cell>
          <cell r="S74">
            <v>100</v>
          </cell>
          <cell r="T74">
            <v>57</v>
          </cell>
          <cell r="V74">
            <v>57</v>
          </cell>
          <cell r="X74">
            <v>55.6</v>
          </cell>
          <cell r="Y74">
            <v>2100</v>
          </cell>
          <cell r="AB74">
            <v>94</v>
          </cell>
          <cell r="AD74">
            <v>117.8</v>
          </cell>
          <cell r="AE74">
            <v>1800</v>
          </cell>
          <cell r="AI74">
            <v>0</v>
          </cell>
          <cell r="AJ74">
            <v>2.2000000000000002</v>
          </cell>
          <cell r="AK74">
            <v>36</v>
          </cell>
          <cell r="AO74">
            <v>0</v>
          </cell>
          <cell r="AP74">
            <v>1</v>
          </cell>
          <cell r="AQ74">
            <v>51.4</v>
          </cell>
          <cell r="AU74">
            <v>0</v>
          </cell>
          <cell r="AW74">
            <v>61.4</v>
          </cell>
          <cell r="BA74">
            <v>0</v>
          </cell>
          <cell r="BB74">
            <v>2.8130000000000002</v>
          </cell>
          <cell r="BC74">
            <v>58.5</v>
          </cell>
          <cell r="BG74">
            <v>0</v>
          </cell>
          <cell r="BI74">
            <v>200</v>
          </cell>
          <cell r="BM74">
            <v>0</v>
          </cell>
          <cell r="BN74">
            <v>37400</v>
          </cell>
          <cell r="BO74">
            <v>11.4</v>
          </cell>
          <cell r="BP74">
            <v>128</v>
          </cell>
          <cell r="BS74">
            <v>0</v>
          </cell>
          <cell r="BX74">
            <v>190</v>
          </cell>
          <cell r="CD74">
            <v>74</v>
          </cell>
        </row>
        <row r="75">
          <cell r="A75">
            <v>39151</v>
          </cell>
          <cell r="G75">
            <v>550</v>
          </cell>
          <cell r="H75">
            <v>0</v>
          </cell>
          <cell r="I75">
            <v>0</v>
          </cell>
          <cell r="J75">
            <v>388.8</v>
          </cell>
          <cell r="K75">
            <v>22600</v>
          </cell>
          <cell r="L75">
            <v>4200</v>
          </cell>
          <cell r="M75">
            <v>26800</v>
          </cell>
          <cell r="P75">
            <v>0</v>
          </cell>
          <cell r="S75">
            <v>100</v>
          </cell>
          <cell r="V75">
            <v>0</v>
          </cell>
          <cell r="X75">
            <v>89.1</v>
          </cell>
          <cell r="Y75">
            <v>2000</v>
          </cell>
          <cell r="Z75">
            <v>119.5</v>
          </cell>
          <cell r="AB75">
            <v>99</v>
          </cell>
          <cell r="AD75">
            <v>149.69999999999999</v>
          </cell>
          <cell r="AE75">
            <v>1600</v>
          </cell>
          <cell r="AI75">
            <v>0</v>
          </cell>
          <cell r="AJ75">
            <v>2</v>
          </cell>
          <cell r="AK75">
            <v>34</v>
          </cell>
          <cell r="AO75">
            <v>0</v>
          </cell>
          <cell r="AP75">
            <v>3.9</v>
          </cell>
          <cell r="AQ75">
            <v>47.5</v>
          </cell>
          <cell r="AU75">
            <v>0</v>
          </cell>
          <cell r="AW75">
            <v>61.4</v>
          </cell>
          <cell r="BA75">
            <v>0</v>
          </cell>
          <cell r="BB75">
            <v>3.145</v>
          </cell>
          <cell r="BC75">
            <v>55.4</v>
          </cell>
          <cell r="BG75">
            <v>0</v>
          </cell>
          <cell r="BI75">
            <v>200</v>
          </cell>
          <cell r="BM75">
            <v>0</v>
          </cell>
          <cell r="BO75">
            <v>10.1</v>
          </cell>
          <cell r="BP75">
            <v>119</v>
          </cell>
          <cell r="BS75">
            <v>0</v>
          </cell>
          <cell r="BX75">
            <v>190</v>
          </cell>
          <cell r="CD75">
            <v>74</v>
          </cell>
        </row>
        <row r="76">
          <cell r="A76">
            <v>39152</v>
          </cell>
          <cell r="G76">
            <v>500</v>
          </cell>
          <cell r="H76">
            <v>0</v>
          </cell>
          <cell r="I76">
            <v>0</v>
          </cell>
          <cell r="J76">
            <v>390.2</v>
          </cell>
          <cell r="K76">
            <v>22100</v>
          </cell>
          <cell r="L76">
            <v>4300</v>
          </cell>
          <cell r="M76">
            <v>26400</v>
          </cell>
          <cell r="P76">
            <v>0</v>
          </cell>
          <cell r="S76">
            <v>100</v>
          </cell>
          <cell r="T76">
            <v>248.2</v>
          </cell>
          <cell r="V76">
            <v>248.2</v>
          </cell>
          <cell r="X76">
            <v>82.1</v>
          </cell>
          <cell r="Y76">
            <v>2100</v>
          </cell>
          <cell r="Z76">
            <v>282</v>
          </cell>
          <cell r="AB76">
            <v>137</v>
          </cell>
          <cell r="AD76">
            <v>206.4</v>
          </cell>
          <cell r="AE76">
            <v>1500</v>
          </cell>
          <cell r="AI76">
            <v>0</v>
          </cell>
          <cell r="AJ76">
            <v>2</v>
          </cell>
          <cell r="AK76">
            <v>32</v>
          </cell>
          <cell r="AO76">
            <v>0</v>
          </cell>
          <cell r="AP76">
            <v>4.5999999999999996</v>
          </cell>
          <cell r="AQ76">
            <v>43</v>
          </cell>
          <cell r="AU76">
            <v>0</v>
          </cell>
          <cell r="AW76">
            <v>61.4</v>
          </cell>
          <cell r="BA76">
            <v>0</v>
          </cell>
          <cell r="BB76">
            <v>2.9750000000000001</v>
          </cell>
          <cell r="BC76">
            <v>52.4</v>
          </cell>
          <cell r="BG76">
            <v>0</v>
          </cell>
          <cell r="BI76">
            <v>200</v>
          </cell>
          <cell r="BM76">
            <v>0</v>
          </cell>
          <cell r="BO76">
            <v>10.1</v>
          </cell>
          <cell r="BP76">
            <v>109</v>
          </cell>
          <cell r="BS76">
            <v>0</v>
          </cell>
          <cell r="BX76">
            <v>190</v>
          </cell>
          <cell r="CD76">
            <v>74</v>
          </cell>
        </row>
        <row r="77">
          <cell r="A77">
            <v>39153</v>
          </cell>
          <cell r="G77">
            <v>300</v>
          </cell>
          <cell r="H77">
            <v>0</v>
          </cell>
          <cell r="I77">
            <v>0</v>
          </cell>
          <cell r="J77">
            <v>399.3</v>
          </cell>
          <cell r="K77">
            <v>21800</v>
          </cell>
          <cell r="L77">
            <v>4300</v>
          </cell>
          <cell r="M77">
            <v>26100</v>
          </cell>
          <cell r="P77">
            <v>0</v>
          </cell>
          <cell r="S77">
            <v>100</v>
          </cell>
          <cell r="T77">
            <v>164.3</v>
          </cell>
          <cell r="V77">
            <v>164.3</v>
          </cell>
          <cell r="X77">
            <v>87.8</v>
          </cell>
          <cell r="Y77">
            <v>2200</v>
          </cell>
          <cell r="Z77">
            <v>242.2</v>
          </cell>
          <cell r="AB77">
            <v>122.3</v>
          </cell>
          <cell r="AD77">
            <v>219.7</v>
          </cell>
          <cell r="AE77">
            <v>1600</v>
          </cell>
          <cell r="AI77">
            <v>0</v>
          </cell>
          <cell r="AJ77">
            <v>1.6</v>
          </cell>
          <cell r="AK77">
            <v>30.4</v>
          </cell>
          <cell r="AO77">
            <v>0</v>
          </cell>
          <cell r="AP77">
            <v>7.6</v>
          </cell>
          <cell r="AQ77">
            <v>35.299999999999997</v>
          </cell>
          <cell r="AU77">
            <v>0</v>
          </cell>
          <cell r="AW77">
            <v>61.4</v>
          </cell>
          <cell r="BA77">
            <v>0</v>
          </cell>
          <cell r="BB77">
            <v>2.8730000000000002</v>
          </cell>
          <cell r="BC77">
            <v>49.5</v>
          </cell>
          <cell r="BG77">
            <v>0</v>
          </cell>
          <cell r="BI77">
            <v>200</v>
          </cell>
          <cell r="BM77">
            <v>0</v>
          </cell>
          <cell r="BN77">
            <v>36000</v>
          </cell>
          <cell r="BO77">
            <v>9.6999999999999993</v>
          </cell>
          <cell r="BP77">
            <v>100</v>
          </cell>
          <cell r="BS77">
            <v>0</v>
          </cell>
          <cell r="BX77">
            <v>190</v>
          </cell>
          <cell r="CD77">
            <v>74</v>
          </cell>
        </row>
        <row r="78">
          <cell r="A78">
            <v>39154</v>
          </cell>
          <cell r="B78">
            <v>1317</v>
          </cell>
          <cell r="H78">
            <v>1317</v>
          </cell>
          <cell r="I78">
            <v>0</v>
          </cell>
          <cell r="J78">
            <v>356.5</v>
          </cell>
          <cell r="K78">
            <v>21800</v>
          </cell>
          <cell r="L78">
            <v>5200</v>
          </cell>
          <cell r="M78">
            <v>27000</v>
          </cell>
          <cell r="P78">
            <v>0</v>
          </cell>
          <cell r="S78">
            <v>100</v>
          </cell>
          <cell r="T78">
            <v>359.5</v>
          </cell>
          <cell r="V78">
            <v>359.5</v>
          </cell>
          <cell r="X78">
            <v>73.3</v>
          </cell>
          <cell r="Y78">
            <v>2500</v>
          </cell>
          <cell r="Z78">
            <v>93.9</v>
          </cell>
          <cell r="AB78">
            <v>128</v>
          </cell>
          <cell r="AD78">
            <v>120.1</v>
          </cell>
          <cell r="AE78">
            <v>1460</v>
          </cell>
          <cell r="AI78">
            <v>0</v>
          </cell>
          <cell r="AJ78">
            <v>1.6</v>
          </cell>
          <cell r="AK78">
            <v>28.8</v>
          </cell>
          <cell r="AL78">
            <v>23.22</v>
          </cell>
          <cell r="AO78">
            <v>23.22</v>
          </cell>
          <cell r="AP78">
            <v>5.8</v>
          </cell>
          <cell r="AQ78">
            <v>52.7</v>
          </cell>
          <cell r="AU78">
            <v>0</v>
          </cell>
          <cell r="AV78">
            <v>2.5</v>
          </cell>
          <cell r="AW78">
            <v>58.9</v>
          </cell>
          <cell r="BA78">
            <v>0</v>
          </cell>
          <cell r="BB78">
            <v>2.21</v>
          </cell>
          <cell r="BC78">
            <v>47</v>
          </cell>
          <cell r="BG78">
            <v>0</v>
          </cell>
          <cell r="BI78">
            <v>200</v>
          </cell>
          <cell r="BM78">
            <v>0</v>
          </cell>
          <cell r="BN78">
            <v>40000</v>
          </cell>
          <cell r="BO78">
            <v>12.2</v>
          </cell>
          <cell r="BP78">
            <v>87</v>
          </cell>
          <cell r="BS78">
            <v>0</v>
          </cell>
          <cell r="BX78">
            <v>190</v>
          </cell>
          <cell r="CD78">
            <v>74</v>
          </cell>
        </row>
        <row r="79">
          <cell r="A79">
            <v>39155</v>
          </cell>
          <cell r="H79">
            <v>0</v>
          </cell>
          <cell r="I79">
            <v>0</v>
          </cell>
          <cell r="J79">
            <v>422.4</v>
          </cell>
          <cell r="K79">
            <v>20000</v>
          </cell>
          <cell r="L79">
            <v>4800</v>
          </cell>
          <cell r="M79">
            <v>24800</v>
          </cell>
          <cell r="P79">
            <v>0</v>
          </cell>
          <cell r="S79">
            <v>100</v>
          </cell>
          <cell r="T79">
            <v>299</v>
          </cell>
          <cell r="V79">
            <v>299</v>
          </cell>
          <cell r="X79">
            <v>54.1</v>
          </cell>
          <cell r="Y79">
            <v>2500</v>
          </cell>
          <cell r="Z79">
            <v>277.5</v>
          </cell>
          <cell r="AB79">
            <v>86.2</v>
          </cell>
          <cell r="AD79">
            <v>213.3</v>
          </cell>
          <cell r="AE79">
            <v>1440</v>
          </cell>
          <cell r="AI79">
            <v>0</v>
          </cell>
          <cell r="AJ79">
            <v>2.5</v>
          </cell>
          <cell r="AK79">
            <v>26.4</v>
          </cell>
          <cell r="AO79">
            <v>0</v>
          </cell>
          <cell r="AP79">
            <v>3.6</v>
          </cell>
          <cell r="AQ79">
            <v>49.1</v>
          </cell>
          <cell r="AU79">
            <v>0</v>
          </cell>
          <cell r="AV79">
            <v>3</v>
          </cell>
          <cell r="AW79">
            <v>55.9</v>
          </cell>
          <cell r="AX79">
            <v>25.12</v>
          </cell>
          <cell r="BA79">
            <v>25.12</v>
          </cell>
          <cell r="BB79">
            <v>3.0009999999999999</v>
          </cell>
          <cell r="BC79">
            <v>47</v>
          </cell>
          <cell r="BG79">
            <v>0</v>
          </cell>
          <cell r="BI79">
            <v>200</v>
          </cell>
          <cell r="BM79">
            <v>0</v>
          </cell>
          <cell r="BN79">
            <v>35000</v>
          </cell>
          <cell r="BO79">
            <v>9</v>
          </cell>
          <cell r="BP79">
            <v>87</v>
          </cell>
          <cell r="BS79">
            <v>0</v>
          </cell>
          <cell r="BX79">
            <v>190</v>
          </cell>
          <cell r="CD79">
            <v>74</v>
          </cell>
        </row>
        <row r="80">
          <cell r="A80">
            <v>39156</v>
          </cell>
          <cell r="C80">
            <v>2953.9</v>
          </cell>
          <cell r="G80">
            <v>250</v>
          </cell>
          <cell r="H80">
            <v>2953.9</v>
          </cell>
          <cell r="I80">
            <v>0</v>
          </cell>
          <cell r="J80">
            <v>437</v>
          </cell>
          <cell r="K80">
            <v>23700</v>
          </cell>
          <cell r="L80">
            <v>4600</v>
          </cell>
          <cell r="M80">
            <v>28300</v>
          </cell>
          <cell r="P80">
            <v>0</v>
          </cell>
          <cell r="S80">
            <v>100</v>
          </cell>
          <cell r="T80">
            <v>248.2</v>
          </cell>
          <cell r="V80">
            <v>248.2</v>
          </cell>
          <cell r="X80">
            <v>112.5</v>
          </cell>
          <cell r="Y80">
            <v>2800</v>
          </cell>
          <cell r="AB80">
            <v>102</v>
          </cell>
          <cell r="AD80">
            <v>22.8</v>
          </cell>
          <cell r="AE80">
            <v>1700</v>
          </cell>
          <cell r="AI80">
            <v>0</v>
          </cell>
          <cell r="AJ80">
            <v>2.1</v>
          </cell>
          <cell r="AK80">
            <v>24.3</v>
          </cell>
          <cell r="AL80">
            <v>9.16</v>
          </cell>
          <cell r="AO80">
            <v>9.16</v>
          </cell>
          <cell r="AP80">
            <v>3.16</v>
          </cell>
          <cell r="AQ80">
            <v>55.2</v>
          </cell>
          <cell r="AR80">
            <v>15</v>
          </cell>
          <cell r="AU80">
            <v>15</v>
          </cell>
          <cell r="AV80">
            <v>2.4</v>
          </cell>
          <cell r="AW80">
            <v>68.5</v>
          </cell>
          <cell r="BA80">
            <v>0</v>
          </cell>
          <cell r="BB80">
            <v>1.6850000000000001</v>
          </cell>
          <cell r="BC80">
            <v>67</v>
          </cell>
          <cell r="BG80">
            <v>0</v>
          </cell>
          <cell r="BI80">
            <v>200</v>
          </cell>
          <cell r="BJ80">
            <v>25</v>
          </cell>
          <cell r="BM80">
            <v>25</v>
          </cell>
          <cell r="BO80">
            <v>6</v>
          </cell>
          <cell r="BP80">
            <v>87</v>
          </cell>
          <cell r="BS80">
            <v>0</v>
          </cell>
          <cell r="BX80">
            <v>190</v>
          </cell>
          <cell r="CD80">
            <v>74</v>
          </cell>
        </row>
        <row r="81">
          <cell r="A81">
            <v>39157</v>
          </cell>
          <cell r="H81">
            <v>0</v>
          </cell>
          <cell r="I81">
            <v>0</v>
          </cell>
          <cell r="J81">
            <v>278.7</v>
          </cell>
          <cell r="K81">
            <v>23700</v>
          </cell>
          <cell r="L81">
            <v>4300</v>
          </cell>
          <cell r="M81">
            <v>28000</v>
          </cell>
          <cell r="P81">
            <v>0</v>
          </cell>
          <cell r="S81">
            <v>100</v>
          </cell>
          <cell r="T81">
            <v>159.9</v>
          </cell>
          <cell r="V81">
            <v>159.9</v>
          </cell>
          <cell r="X81">
            <v>205</v>
          </cell>
          <cell r="Y81">
            <v>2800</v>
          </cell>
          <cell r="AB81">
            <v>167</v>
          </cell>
          <cell r="AE81">
            <v>2140</v>
          </cell>
          <cell r="AF81">
            <v>24.1</v>
          </cell>
          <cell r="AI81">
            <v>24.1</v>
          </cell>
          <cell r="AJ81">
            <v>2.2999999999999998</v>
          </cell>
          <cell r="AK81">
            <v>46</v>
          </cell>
          <cell r="AO81">
            <v>0</v>
          </cell>
          <cell r="AP81">
            <v>6.2</v>
          </cell>
          <cell r="AQ81">
            <v>49</v>
          </cell>
          <cell r="AU81">
            <v>0</v>
          </cell>
          <cell r="AV81">
            <v>2.2999999999999998</v>
          </cell>
          <cell r="AW81">
            <v>66.3</v>
          </cell>
          <cell r="BA81">
            <v>0</v>
          </cell>
          <cell r="BB81">
            <v>1.26</v>
          </cell>
          <cell r="BC81">
            <v>66.5</v>
          </cell>
          <cell r="BG81">
            <v>0</v>
          </cell>
          <cell r="BI81">
            <v>200</v>
          </cell>
          <cell r="BJ81">
            <v>26.8</v>
          </cell>
          <cell r="BM81">
            <v>26.8</v>
          </cell>
          <cell r="BN81">
            <v>30000</v>
          </cell>
          <cell r="BO81">
            <v>5.5</v>
          </cell>
          <cell r="BP81">
            <v>119</v>
          </cell>
          <cell r="BS81">
            <v>0</v>
          </cell>
          <cell r="BX81">
            <v>190</v>
          </cell>
          <cell r="CD81">
            <v>74</v>
          </cell>
        </row>
        <row r="82">
          <cell r="A82">
            <v>39158</v>
          </cell>
          <cell r="H82">
            <v>0</v>
          </cell>
          <cell r="I82">
            <v>0</v>
          </cell>
          <cell r="J82">
            <v>58.4</v>
          </cell>
          <cell r="K82">
            <v>23700</v>
          </cell>
          <cell r="L82">
            <v>4300</v>
          </cell>
          <cell r="M82">
            <v>28000</v>
          </cell>
          <cell r="P82">
            <v>0</v>
          </cell>
          <cell r="S82">
            <v>100</v>
          </cell>
          <cell r="T82">
            <v>54.3</v>
          </cell>
          <cell r="V82">
            <v>54.3</v>
          </cell>
          <cell r="X82">
            <v>103.6</v>
          </cell>
          <cell r="Y82">
            <v>2800</v>
          </cell>
          <cell r="AB82">
            <v>173</v>
          </cell>
          <cell r="AD82">
            <v>95.474999999999994</v>
          </cell>
          <cell r="AE82">
            <v>2100</v>
          </cell>
          <cell r="AI82">
            <v>0</v>
          </cell>
          <cell r="AJ82">
            <v>2.2999999999999998</v>
          </cell>
          <cell r="AK82">
            <v>43.7</v>
          </cell>
          <cell r="AO82">
            <v>0</v>
          </cell>
          <cell r="AP82">
            <v>6</v>
          </cell>
          <cell r="AQ82">
            <v>43.1</v>
          </cell>
          <cell r="AU82">
            <v>0</v>
          </cell>
          <cell r="AV82">
            <v>2.5</v>
          </cell>
          <cell r="AW82">
            <v>63.8</v>
          </cell>
          <cell r="BA82">
            <v>0</v>
          </cell>
          <cell r="BB82">
            <v>0.95799999999999996</v>
          </cell>
          <cell r="BC82">
            <v>65.5</v>
          </cell>
          <cell r="BG82">
            <v>0</v>
          </cell>
          <cell r="BI82">
            <v>200</v>
          </cell>
          <cell r="BM82">
            <v>0</v>
          </cell>
          <cell r="BO82">
            <v>5</v>
          </cell>
          <cell r="BP82">
            <v>114</v>
          </cell>
          <cell r="BS82">
            <v>0</v>
          </cell>
          <cell r="BX82">
            <v>190</v>
          </cell>
          <cell r="CD82">
            <v>74</v>
          </cell>
        </row>
        <row r="83">
          <cell r="A83">
            <v>39159</v>
          </cell>
          <cell r="H83">
            <v>0</v>
          </cell>
          <cell r="I83">
            <v>0</v>
          </cell>
          <cell r="J83">
            <v>194.7</v>
          </cell>
          <cell r="K83">
            <v>23700</v>
          </cell>
          <cell r="L83">
            <v>4100</v>
          </cell>
          <cell r="M83">
            <v>27800</v>
          </cell>
          <cell r="P83">
            <v>0</v>
          </cell>
          <cell r="S83">
            <v>100</v>
          </cell>
          <cell r="T83">
            <v>471.7</v>
          </cell>
          <cell r="V83">
            <v>471.7</v>
          </cell>
          <cell r="X83">
            <v>256.2</v>
          </cell>
          <cell r="Y83">
            <v>3000</v>
          </cell>
          <cell r="AB83">
            <v>170</v>
          </cell>
          <cell r="AD83">
            <v>228.1</v>
          </cell>
          <cell r="AE83">
            <v>1600</v>
          </cell>
          <cell r="AI83">
            <v>0</v>
          </cell>
          <cell r="AJ83">
            <v>2.5</v>
          </cell>
          <cell r="AK83">
            <v>41.3</v>
          </cell>
          <cell r="AO83">
            <v>0</v>
          </cell>
          <cell r="AP83">
            <v>4.9000000000000004</v>
          </cell>
          <cell r="AQ83">
            <v>38.200000000000003</v>
          </cell>
          <cell r="AU83">
            <v>0</v>
          </cell>
          <cell r="AV83">
            <v>0</v>
          </cell>
          <cell r="AW83">
            <v>63.8</v>
          </cell>
          <cell r="BA83">
            <v>0</v>
          </cell>
          <cell r="BB83">
            <v>2.52</v>
          </cell>
          <cell r="BC83">
            <v>63</v>
          </cell>
          <cell r="BG83">
            <v>0</v>
          </cell>
          <cell r="BI83">
            <v>200</v>
          </cell>
          <cell r="BM83">
            <v>0</v>
          </cell>
          <cell r="BO83">
            <v>8.1999999999999993</v>
          </cell>
          <cell r="BP83">
            <v>105</v>
          </cell>
          <cell r="BS83">
            <v>0</v>
          </cell>
          <cell r="BX83">
            <v>190</v>
          </cell>
          <cell r="CD83">
            <v>74</v>
          </cell>
        </row>
        <row r="84">
          <cell r="A84">
            <v>39160</v>
          </cell>
          <cell r="G84">
            <v>160</v>
          </cell>
          <cell r="H84">
            <v>0</v>
          </cell>
          <cell r="I84">
            <v>320</v>
          </cell>
          <cell r="J84">
            <v>235.9</v>
          </cell>
          <cell r="K84">
            <v>23300</v>
          </cell>
          <cell r="L84">
            <v>4000</v>
          </cell>
          <cell r="M84">
            <v>27300</v>
          </cell>
          <cell r="P84">
            <v>0</v>
          </cell>
          <cell r="S84">
            <v>100</v>
          </cell>
          <cell r="T84">
            <v>274.7</v>
          </cell>
          <cell r="V84">
            <v>274.7</v>
          </cell>
          <cell r="X84">
            <v>320.2</v>
          </cell>
          <cell r="Y84">
            <v>3000</v>
          </cell>
          <cell r="AB84">
            <v>65.599999999999994</v>
          </cell>
          <cell r="AD84">
            <v>217.9</v>
          </cell>
          <cell r="AE84">
            <v>1300</v>
          </cell>
          <cell r="AI84">
            <v>0</v>
          </cell>
          <cell r="AJ84">
            <v>1.4</v>
          </cell>
          <cell r="AK84">
            <v>39.9</v>
          </cell>
          <cell r="AO84">
            <v>0</v>
          </cell>
          <cell r="AP84">
            <v>3</v>
          </cell>
          <cell r="AQ84">
            <v>35.200000000000003</v>
          </cell>
          <cell r="AU84">
            <v>0</v>
          </cell>
          <cell r="AV84">
            <v>1.4</v>
          </cell>
          <cell r="AW84">
            <v>62.3</v>
          </cell>
          <cell r="BA84">
            <v>0</v>
          </cell>
          <cell r="BB84">
            <v>2.6059999999999999</v>
          </cell>
          <cell r="BC84">
            <v>60</v>
          </cell>
          <cell r="BG84">
            <v>0</v>
          </cell>
          <cell r="BI84">
            <v>200</v>
          </cell>
          <cell r="BM84">
            <v>0</v>
          </cell>
          <cell r="BN84">
            <v>25600</v>
          </cell>
          <cell r="BO84">
            <v>11.2</v>
          </cell>
          <cell r="BP84">
            <v>94</v>
          </cell>
          <cell r="BS84">
            <v>0</v>
          </cell>
          <cell r="BX84">
            <v>190</v>
          </cell>
          <cell r="CD84">
            <v>74</v>
          </cell>
        </row>
        <row r="85">
          <cell r="A85">
            <v>39161</v>
          </cell>
          <cell r="B85">
            <v>1318</v>
          </cell>
          <cell r="H85">
            <v>1318</v>
          </cell>
          <cell r="I85">
            <v>900</v>
          </cell>
          <cell r="J85">
            <v>230.3</v>
          </cell>
          <cell r="K85">
            <v>24600</v>
          </cell>
          <cell r="L85">
            <v>5100</v>
          </cell>
          <cell r="M85">
            <v>29700</v>
          </cell>
          <cell r="P85">
            <v>0</v>
          </cell>
          <cell r="S85">
            <v>100</v>
          </cell>
          <cell r="T85">
            <v>270.3</v>
          </cell>
          <cell r="V85">
            <v>270.3</v>
          </cell>
          <cell r="X85">
            <v>300.5</v>
          </cell>
          <cell r="Y85">
            <v>3000</v>
          </cell>
          <cell r="AD85">
            <v>258.7</v>
          </cell>
          <cell r="AE85">
            <v>1050</v>
          </cell>
          <cell r="AI85">
            <v>0</v>
          </cell>
          <cell r="AJ85">
            <v>1.6</v>
          </cell>
          <cell r="AK85">
            <v>38.299999999999997</v>
          </cell>
          <cell r="AO85">
            <v>0</v>
          </cell>
          <cell r="AP85">
            <v>4.8</v>
          </cell>
          <cell r="AQ85">
            <v>30.5</v>
          </cell>
          <cell r="AU85">
            <v>0</v>
          </cell>
          <cell r="AW85">
            <v>62.3</v>
          </cell>
          <cell r="BA85">
            <v>0</v>
          </cell>
          <cell r="BB85">
            <v>2.7490000000000001</v>
          </cell>
          <cell r="BC85">
            <v>57.7</v>
          </cell>
          <cell r="BG85">
            <v>0</v>
          </cell>
          <cell r="BI85">
            <v>200</v>
          </cell>
          <cell r="BM85">
            <v>0</v>
          </cell>
          <cell r="BN85">
            <v>40000</v>
          </cell>
          <cell r="BO85">
            <v>10.8</v>
          </cell>
          <cell r="BP85">
            <v>83</v>
          </cell>
          <cell r="BS85">
            <v>0</v>
          </cell>
          <cell r="BX85">
            <v>190</v>
          </cell>
          <cell r="CD85">
            <v>74</v>
          </cell>
        </row>
        <row r="86">
          <cell r="A86">
            <v>39162</v>
          </cell>
          <cell r="C86">
            <v>3011.3</v>
          </cell>
          <cell r="H86">
            <v>3011.3</v>
          </cell>
          <cell r="I86">
            <v>770</v>
          </cell>
          <cell r="J86">
            <v>207.2</v>
          </cell>
          <cell r="K86">
            <v>24640</v>
          </cell>
          <cell r="L86">
            <v>4800</v>
          </cell>
          <cell r="M86">
            <v>29440</v>
          </cell>
          <cell r="N86">
            <v>55.9</v>
          </cell>
          <cell r="P86">
            <v>55.9</v>
          </cell>
          <cell r="S86">
            <v>230</v>
          </cell>
          <cell r="T86">
            <v>137.69999999999999</v>
          </cell>
          <cell r="V86">
            <v>137.69999999999999</v>
          </cell>
          <cell r="X86">
            <v>230.1</v>
          </cell>
          <cell r="Y86">
            <v>3000</v>
          </cell>
          <cell r="AD86">
            <v>268.3</v>
          </cell>
          <cell r="AE86">
            <v>800</v>
          </cell>
          <cell r="AI86">
            <v>0</v>
          </cell>
          <cell r="AJ86">
            <v>2.4</v>
          </cell>
          <cell r="AK86">
            <v>35.9</v>
          </cell>
          <cell r="AO86">
            <v>0</v>
          </cell>
          <cell r="AP86">
            <v>4.0999999999999996</v>
          </cell>
          <cell r="AQ86">
            <v>50.3</v>
          </cell>
          <cell r="AU86">
            <v>0</v>
          </cell>
          <cell r="AW86">
            <v>62.4</v>
          </cell>
          <cell r="BA86">
            <v>0</v>
          </cell>
          <cell r="BB86">
            <v>2.5939999999999999</v>
          </cell>
          <cell r="BC86">
            <v>55</v>
          </cell>
          <cell r="BG86">
            <v>0</v>
          </cell>
          <cell r="BI86">
            <v>200</v>
          </cell>
          <cell r="BM86">
            <v>0</v>
          </cell>
          <cell r="BN86">
            <v>30000</v>
          </cell>
          <cell r="BO86">
            <v>10.5</v>
          </cell>
          <cell r="BP86">
            <v>73</v>
          </cell>
          <cell r="BS86">
            <v>0</v>
          </cell>
          <cell r="BX86">
            <v>190</v>
          </cell>
          <cell r="CD86">
            <v>74</v>
          </cell>
        </row>
        <row r="87">
          <cell r="A87">
            <v>39163</v>
          </cell>
          <cell r="H87">
            <v>0</v>
          </cell>
          <cell r="I87">
            <v>560</v>
          </cell>
          <cell r="J87">
            <v>344.2</v>
          </cell>
          <cell r="K87">
            <v>24000</v>
          </cell>
          <cell r="L87">
            <v>4500</v>
          </cell>
          <cell r="M87">
            <v>28500</v>
          </cell>
          <cell r="N87">
            <v>27.7</v>
          </cell>
          <cell r="P87">
            <v>27.7</v>
          </cell>
          <cell r="S87">
            <v>250</v>
          </cell>
          <cell r="T87">
            <v>186.4</v>
          </cell>
          <cell r="V87">
            <v>186.4</v>
          </cell>
          <cell r="X87">
            <v>37</v>
          </cell>
          <cell r="Y87">
            <v>3000</v>
          </cell>
          <cell r="Z87">
            <v>227.5</v>
          </cell>
          <cell r="AD87">
            <v>270.84699999999998</v>
          </cell>
          <cell r="AE87">
            <v>800</v>
          </cell>
          <cell r="AI87">
            <v>0</v>
          </cell>
          <cell r="AJ87">
            <v>2.2000000000000002</v>
          </cell>
          <cell r="AK87">
            <v>33.700000000000003</v>
          </cell>
          <cell r="AO87">
            <v>0</v>
          </cell>
          <cell r="AP87">
            <v>3.8</v>
          </cell>
          <cell r="AQ87">
            <v>46.5</v>
          </cell>
          <cell r="AU87">
            <v>0</v>
          </cell>
          <cell r="AW87">
            <v>62.4</v>
          </cell>
          <cell r="BA87">
            <v>0</v>
          </cell>
          <cell r="BB87">
            <v>3.0489999999999999</v>
          </cell>
          <cell r="BC87">
            <v>52</v>
          </cell>
          <cell r="BG87">
            <v>0</v>
          </cell>
          <cell r="BI87">
            <v>200</v>
          </cell>
          <cell r="BJ87">
            <v>25</v>
          </cell>
          <cell r="BM87">
            <v>25</v>
          </cell>
          <cell r="BN87">
            <v>17800</v>
          </cell>
          <cell r="BO87">
            <v>10.9</v>
          </cell>
          <cell r="BP87">
            <v>111</v>
          </cell>
          <cell r="BQ87">
            <v>24</v>
          </cell>
          <cell r="BS87">
            <v>24</v>
          </cell>
          <cell r="BU87">
            <v>24</v>
          </cell>
          <cell r="BX87">
            <v>190</v>
          </cell>
          <cell r="CD87">
            <v>74</v>
          </cell>
        </row>
        <row r="88">
          <cell r="A88">
            <v>39164</v>
          </cell>
          <cell r="H88">
            <v>0</v>
          </cell>
          <cell r="I88">
            <v>300</v>
          </cell>
          <cell r="J88">
            <v>325.3</v>
          </cell>
          <cell r="K88">
            <v>23500</v>
          </cell>
          <cell r="L88">
            <v>4200</v>
          </cell>
          <cell r="M88">
            <v>27700</v>
          </cell>
          <cell r="P88">
            <v>0</v>
          </cell>
          <cell r="S88">
            <v>270</v>
          </cell>
          <cell r="T88">
            <v>133.4</v>
          </cell>
          <cell r="V88">
            <v>133.4</v>
          </cell>
          <cell r="X88">
            <v>60.7</v>
          </cell>
          <cell r="Y88">
            <v>3100</v>
          </cell>
          <cell r="Z88">
            <v>115.2</v>
          </cell>
          <cell r="AD88">
            <v>220.4</v>
          </cell>
          <cell r="AE88">
            <v>700</v>
          </cell>
          <cell r="AI88">
            <v>0</v>
          </cell>
          <cell r="AJ88">
            <v>2.2000000000000002</v>
          </cell>
          <cell r="AK88">
            <v>31.5</v>
          </cell>
          <cell r="AO88">
            <v>0</v>
          </cell>
          <cell r="AP88">
            <v>2.1</v>
          </cell>
          <cell r="AQ88">
            <v>44.3</v>
          </cell>
          <cell r="AU88">
            <v>0</v>
          </cell>
          <cell r="AW88">
            <v>62.4</v>
          </cell>
          <cell r="BA88">
            <v>0</v>
          </cell>
          <cell r="BB88">
            <v>2.8889999999999998</v>
          </cell>
          <cell r="BC88">
            <v>49</v>
          </cell>
          <cell r="BG88">
            <v>0</v>
          </cell>
          <cell r="BI88">
            <v>200</v>
          </cell>
          <cell r="BM88">
            <v>0</v>
          </cell>
          <cell r="BN88">
            <v>28600</v>
          </cell>
          <cell r="BO88">
            <v>11.4</v>
          </cell>
          <cell r="BP88">
            <v>101</v>
          </cell>
          <cell r="BS88">
            <v>0</v>
          </cell>
          <cell r="BU88">
            <v>24</v>
          </cell>
          <cell r="BX88">
            <v>190</v>
          </cell>
          <cell r="CD88">
            <v>74</v>
          </cell>
        </row>
        <row r="89">
          <cell r="A89">
            <v>39165</v>
          </cell>
          <cell r="H89">
            <v>0</v>
          </cell>
          <cell r="I89">
            <v>460</v>
          </cell>
          <cell r="J89">
            <v>345.8</v>
          </cell>
          <cell r="K89">
            <v>22400</v>
          </cell>
          <cell r="L89">
            <v>3800</v>
          </cell>
          <cell r="M89">
            <v>26200</v>
          </cell>
          <cell r="P89">
            <v>0</v>
          </cell>
          <cell r="S89">
            <v>270</v>
          </cell>
          <cell r="V89">
            <v>0</v>
          </cell>
          <cell r="X89">
            <v>125</v>
          </cell>
          <cell r="Y89">
            <v>3000</v>
          </cell>
          <cell r="AD89">
            <v>249.5</v>
          </cell>
          <cell r="AE89">
            <v>700</v>
          </cell>
          <cell r="AI89">
            <v>0</v>
          </cell>
          <cell r="AJ89">
            <v>2.1</v>
          </cell>
          <cell r="AK89">
            <v>29.4</v>
          </cell>
          <cell r="AO89">
            <v>0</v>
          </cell>
          <cell r="AP89">
            <v>3.7</v>
          </cell>
          <cell r="AQ89">
            <v>40.6</v>
          </cell>
          <cell r="AU89">
            <v>0</v>
          </cell>
          <cell r="AV89">
            <v>1.1000000000000001</v>
          </cell>
          <cell r="AW89">
            <v>61.2</v>
          </cell>
          <cell r="BA89">
            <v>0</v>
          </cell>
          <cell r="BB89">
            <v>3.0019999999999998</v>
          </cell>
          <cell r="BC89">
            <v>46</v>
          </cell>
          <cell r="BG89">
            <v>0</v>
          </cell>
          <cell r="BI89">
            <v>200</v>
          </cell>
          <cell r="BM89">
            <v>0</v>
          </cell>
          <cell r="BO89">
            <v>11.1</v>
          </cell>
          <cell r="BP89">
            <v>90</v>
          </cell>
          <cell r="BS89">
            <v>0</v>
          </cell>
          <cell r="BU89">
            <v>24</v>
          </cell>
          <cell r="BX89">
            <v>190</v>
          </cell>
          <cell r="CD89">
            <v>74</v>
          </cell>
        </row>
        <row r="90">
          <cell r="A90">
            <v>39166</v>
          </cell>
          <cell r="H90">
            <v>0</v>
          </cell>
          <cell r="I90">
            <v>600</v>
          </cell>
          <cell r="J90">
            <v>380</v>
          </cell>
          <cell r="K90">
            <v>22100</v>
          </cell>
          <cell r="L90">
            <v>4000</v>
          </cell>
          <cell r="M90">
            <v>26100</v>
          </cell>
          <cell r="N90">
            <v>110.2</v>
          </cell>
          <cell r="P90">
            <v>110.2</v>
          </cell>
          <cell r="S90">
            <v>300</v>
          </cell>
          <cell r="T90">
            <v>385.3</v>
          </cell>
          <cell r="V90">
            <v>385.3</v>
          </cell>
          <cell r="X90">
            <v>210</v>
          </cell>
          <cell r="Y90">
            <v>3100</v>
          </cell>
          <cell r="AD90">
            <v>258.3</v>
          </cell>
          <cell r="AE90">
            <v>700</v>
          </cell>
          <cell r="AI90">
            <v>0</v>
          </cell>
          <cell r="AJ90">
            <v>2.2000000000000002</v>
          </cell>
          <cell r="AK90">
            <v>27.2</v>
          </cell>
          <cell r="AO90">
            <v>0</v>
          </cell>
          <cell r="AP90">
            <v>4.3</v>
          </cell>
          <cell r="AQ90">
            <v>36.299999999999997</v>
          </cell>
          <cell r="AU90">
            <v>0</v>
          </cell>
          <cell r="AW90">
            <v>61.2</v>
          </cell>
          <cell r="BA90">
            <v>0</v>
          </cell>
          <cell r="BB90">
            <v>3.0369999999999999</v>
          </cell>
          <cell r="BC90">
            <v>43</v>
          </cell>
          <cell r="BG90">
            <v>0</v>
          </cell>
          <cell r="BI90">
            <v>200</v>
          </cell>
          <cell r="BM90">
            <v>0</v>
          </cell>
          <cell r="BO90">
            <v>7.5</v>
          </cell>
          <cell r="BP90">
            <v>82</v>
          </cell>
          <cell r="BQ90">
            <v>24</v>
          </cell>
          <cell r="BS90">
            <v>24</v>
          </cell>
          <cell r="BU90">
            <v>48</v>
          </cell>
          <cell r="BV90">
            <v>475</v>
          </cell>
          <cell r="BX90">
            <v>1070</v>
          </cell>
          <cell r="CD90">
            <v>74</v>
          </cell>
        </row>
        <row r="91">
          <cell r="A91">
            <v>39167</v>
          </cell>
          <cell r="C91">
            <v>3031.8</v>
          </cell>
          <cell r="G91">
            <v>280</v>
          </cell>
          <cell r="H91">
            <v>3031.8</v>
          </cell>
          <cell r="I91">
            <v>600</v>
          </cell>
          <cell r="J91">
            <v>398</v>
          </cell>
          <cell r="K91">
            <v>23500</v>
          </cell>
          <cell r="L91">
            <v>5000</v>
          </cell>
          <cell r="M91">
            <v>28500</v>
          </cell>
          <cell r="N91">
            <v>27.6</v>
          </cell>
          <cell r="P91">
            <v>27.6</v>
          </cell>
          <cell r="S91">
            <v>330</v>
          </cell>
          <cell r="T91">
            <v>136.1</v>
          </cell>
          <cell r="V91">
            <v>136.1</v>
          </cell>
          <cell r="X91">
            <v>241.9</v>
          </cell>
          <cell r="Y91">
            <v>3000</v>
          </cell>
          <cell r="Z91">
            <v>58</v>
          </cell>
          <cell r="AD91">
            <v>114.9</v>
          </cell>
          <cell r="AE91">
            <v>600</v>
          </cell>
          <cell r="AI91">
            <v>0</v>
          </cell>
          <cell r="AJ91">
            <v>2.5</v>
          </cell>
          <cell r="AK91">
            <v>24.6</v>
          </cell>
          <cell r="AO91">
            <v>0</v>
          </cell>
          <cell r="AP91">
            <v>3.6</v>
          </cell>
          <cell r="AQ91">
            <v>32.700000000000003</v>
          </cell>
          <cell r="AU91">
            <v>0</v>
          </cell>
          <cell r="AW91">
            <v>61.2</v>
          </cell>
          <cell r="BA91">
            <v>0</v>
          </cell>
          <cell r="BB91">
            <v>2.1059999999999999</v>
          </cell>
          <cell r="BC91">
            <v>41</v>
          </cell>
          <cell r="BG91">
            <v>0</v>
          </cell>
          <cell r="BI91">
            <v>200</v>
          </cell>
          <cell r="BM91">
            <v>0</v>
          </cell>
          <cell r="BO91">
            <v>5.5</v>
          </cell>
          <cell r="BP91">
            <v>77</v>
          </cell>
          <cell r="BS91">
            <v>0</v>
          </cell>
          <cell r="BU91">
            <v>48</v>
          </cell>
          <cell r="BX91">
            <v>1070</v>
          </cell>
          <cell r="CD91">
            <v>74</v>
          </cell>
        </row>
        <row r="92">
          <cell r="A92">
            <v>39168</v>
          </cell>
          <cell r="B92">
            <v>1319</v>
          </cell>
          <cell r="H92">
            <v>1319</v>
          </cell>
          <cell r="I92">
            <v>560</v>
          </cell>
          <cell r="J92">
            <v>460.3</v>
          </cell>
          <cell r="K92">
            <v>23000</v>
          </cell>
          <cell r="L92">
            <v>5800</v>
          </cell>
          <cell r="M92">
            <v>28800</v>
          </cell>
          <cell r="N92">
            <v>109.8</v>
          </cell>
          <cell r="P92">
            <v>109.8</v>
          </cell>
          <cell r="S92">
            <v>370</v>
          </cell>
          <cell r="T92">
            <v>318.5</v>
          </cell>
          <cell r="V92">
            <v>318.5</v>
          </cell>
          <cell r="X92">
            <v>196.7</v>
          </cell>
          <cell r="Y92">
            <v>3100</v>
          </cell>
          <cell r="Z92">
            <v>58</v>
          </cell>
          <cell r="AE92">
            <v>1000</v>
          </cell>
          <cell r="AF92">
            <v>24</v>
          </cell>
          <cell r="AI92">
            <v>24</v>
          </cell>
          <cell r="AJ92">
            <v>2</v>
          </cell>
          <cell r="AK92">
            <v>46.66</v>
          </cell>
          <cell r="AL92">
            <v>24.26</v>
          </cell>
          <cell r="AO92">
            <v>24.26</v>
          </cell>
          <cell r="AP92">
            <v>3.8</v>
          </cell>
          <cell r="AQ92">
            <v>53.2</v>
          </cell>
          <cell r="AU92">
            <v>0</v>
          </cell>
          <cell r="AV92">
            <v>1.3</v>
          </cell>
          <cell r="AW92">
            <v>59.9</v>
          </cell>
          <cell r="BA92">
            <v>0</v>
          </cell>
          <cell r="BB92">
            <v>1.631</v>
          </cell>
          <cell r="BC92">
            <v>39</v>
          </cell>
          <cell r="BG92">
            <v>0</v>
          </cell>
          <cell r="BI92">
            <v>200</v>
          </cell>
          <cell r="BM92">
            <v>0</v>
          </cell>
          <cell r="BO92">
            <v>5.4</v>
          </cell>
          <cell r="BP92">
            <v>71</v>
          </cell>
          <cell r="BQ92">
            <v>24</v>
          </cell>
          <cell r="BS92">
            <v>24</v>
          </cell>
          <cell r="BU92">
            <v>70</v>
          </cell>
          <cell r="BX92">
            <v>1070</v>
          </cell>
          <cell r="CD92">
            <v>74</v>
          </cell>
        </row>
        <row r="93">
          <cell r="A93">
            <v>39169</v>
          </cell>
          <cell r="H93">
            <v>0</v>
          </cell>
          <cell r="I93">
            <v>560</v>
          </cell>
          <cell r="J93">
            <v>442.5</v>
          </cell>
          <cell r="K93">
            <v>22500</v>
          </cell>
          <cell r="L93">
            <v>5400</v>
          </cell>
          <cell r="M93">
            <v>27900</v>
          </cell>
          <cell r="N93">
            <v>27.3</v>
          </cell>
          <cell r="P93">
            <v>27.3</v>
          </cell>
          <cell r="S93">
            <v>370</v>
          </cell>
          <cell r="T93">
            <v>299.89999999999998</v>
          </cell>
          <cell r="V93">
            <v>299.89999999999998</v>
          </cell>
          <cell r="X93">
            <v>81.599999999999994</v>
          </cell>
          <cell r="Y93">
            <v>3300</v>
          </cell>
          <cell r="AE93">
            <v>1000</v>
          </cell>
          <cell r="AI93">
            <v>0</v>
          </cell>
          <cell r="AJ93">
            <v>1.9</v>
          </cell>
          <cell r="AK93">
            <v>44.7</v>
          </cell>
          <cell r="AO93">
            <v>0</v>
          </cell>
          <cell r="AP93">
            <v>2.4</v>
          </cell>
          <cell r="AQ93">
            <v>50.8</v>
          </cell>
          <cell r="AU93">
            <v>0</v>
          </cell>
          <cell r="AV93">
            <v>0.5</v>
          </cell>
          <cell r="AW93">
            <v>59.4</v>
          </cell>
          <cell r="BA93">
            <v>0</v>
          </cell>
          <cell r="BB93">
            <v>1.548</v>
          </cell>
          <cell r="BC93">
            <v>38</v>
          </cell>
          <cell r="BG93">
            <v>0</v>
          </cell>
          <cell r="BI93">
            <v>200</v>
          </cell>
          <cell r="BJ93">
            <v>24.8</v>
          </cell>
          <cell r="BM93">
            <v>24.8</v>
          </cell>
          <cell r="BO93">
            <v>4.8</v>
          </cell>
          <cell r="BP93">
            <v>91</v>
          </cell>
          <cell r="BS93">
            <v>0</v>
          </cell>
          <cell r="BU93">
            <v>70</v>
          </cell>
          <cell r="BX93">
            <v>1070</v>
          </cell>
          <cell r="CD93">
            <v>74</v>
          </cell>
        </row>
        <row r="94">
          <cell r="A94">
            <v>39170</v>
          </cell>
          <cell r="G94">
            <v>66.3</v>
          </cell>
          <cell r="H94">
            <v>0</v>
          </cell>
          <cell r="I94">
            <v>460</v>
          </cell>
          <cell r="J94">
            <v>538.20000000000005</v>
          </cell>
          <cell r="K94">
            <v>21600</v>
          </cell>
          <cell r="L94">
            <v>4800</v>
          </cell>
          <cell r="M94">
            <v>26400</v>
          </cell>
          <cell r="P94">
            <v>0</v>
          </cell>
          <cell r="S94">
            <v>370</v>
          </cell>
          <cell r="T94">
            <v>220.7</v>
          </cell>
          <cell r="V94">
            <v>220.7</v>
          </cell>
          <cell r="X94">
            <v>138.30000000000001</v>
          </cell>
          <cell r="Y94">
            <v>3400</v>
          </cell>
          <cell r="AD94">
            <v>15.34</v>
          </cell>
          <cell r="AE94">
            <v>1000</v>
          </cell>
          <cell r="AI94">
            <v>0</v>
          </cell>
          <cell r="AJ94">
            <v>2.2999999999999998</v>
          </cell>
          <cell r="AK94">
            <v>42.4</v>
          </cell>
          <cell r="AO94">
            <v>0</v>
          </cell>
          <cell r="AP94">
            <v>2.7</v>
          </cell>
          <cell r="AQ94">
            <v>73.400000000000006</v>
          </cell>
          <cell r="AU94">
            <v>0</v>
          </cell>
          <cell r="AW94">
            <v>59.4</v>
          </cell>
          <cell r="BA94">
            <v>0</v>
          </cell>
          <cell r="BB94">
            <v>1.9510000000000001</v>
          </cell>
          <cell r="BC94">
            <v>38</v>
          </cell>
          <cell r="BG94">
            <v>0</v>
          </cell>
          <cell r="BI94">
            <v>200</v>
          </cell>
          <cell r="BJ94">
            <v>23.4</v>
          </cell>
          <cell r="BM94">
            <v>23.4</v>
          </cell>
          <cell r="BO94">
            <v>6</v>
          </cell>
          <cell r="BP94">
            <v>109</v>
          </cell>
          <cell r="BS94">
            <v>0</v>
          </cell>
          <cell r="BU94">
            <v>70</v>
          </cell>
          <cell r="BX94">
            <v>1070</v>
          </cell>
          <cell r="CD94">
            <v>74</v>
          </cell>
        </row>
        <row r="95">
          <cell r="A95">
            <v>39171</v>
          </cell>
          <cell r="H95">
            <v>0</v>
          </cell>
          <cell r="I95">
            <v>350</v>
          </cell>
          <cell r="J95">
            <v>715.4</v>
          </cell>
          <cell r="K95">
            <v>21200</v>
          </cell>
          <cell r="L95">
            <v>4200</v>
          </cell>
          <cell r="M95">
            <v>25400</v>
          </cell>
          <cell r="P95">
            <v>0</v>
          </cell>
          <cell r="S95">
            <v>370</v>
          </cell>
          <cell r="T95">
            <v>160.6</v>
          </cell>
          <cell r="V95">
            <v>160.6</v>
          </cell>
          <cell r="X95">
            <v>188</v>
          </cell>
          <cell r="Y95">
            <v>3400</v>
          </cell>
          <cell r="AD95">
            <v>46.9</v>
          </cell>
          <cell r="AE95">
            <v>800</v>
          </cell>
          <cell r="AI95">
            <v>0</v>
          </cell>
          <cell r="AJ95">
            <v>2.2000000000000002</v>
          </cell>
          <cell r="AK95">
            <v>40.200000000000003</v>
          </cell>
          <cell r="AO95">
            <v>0</v>
          </cell>
          <cell r="AP95">
            <v>2.5</v>
          </cell>
          <cell r="AQ95">
            <v>70.900000000000006</v>
          </cell>
          <cell r="AU95">
            <v>0</v>
          </cell>
          <cell r="AV95">
            <v>0.7</v>
          </cell>
          <cell r="AW95">
            <v>58.6</v>
          </cell>
          <cell r="BA95">
            <v>0</v>
          </cell>
          <cell r="BB95">
            <v>2.875</v>
          </cell>
          <cell r="BC95">
            <v>38</v>
          </cell>
          <cell r="BG95">
            <v>0</v>
          </cell>
          <cell r="BI95">
            <v>200</v>
          </cell>
          <cell r="BM95">
            <v>0</v>
          </cell>
          <cell r="BN95">
            <v>20400</v>
          </cell>
          <cell r="BO95">
            <v>5</v>
          </cell>
          <cell r="BP95">
            <v>104</v>
          </cell>
          <cell r="BS95">
            <v>0</v>
          </cell>
          <cell r="BU95">
            <v>70</v>
          </cell>
          <cell r="BX95">
            <v>1070</v>
          </cell>
          <cell r="CD95">
            <v>74.5</v>
          </cell>
        </row>
        <row r="96">
          <cell r="A96">
            <v>39172</v>
          </cell>
          <cell r="H96">
            <v>0</v>
          </cell>
          <cell r="I96">
            <v>42.740000000000009</v>
          </cell>
          <cell r="J96">
            <v>-111.68299999999999</v>
          </cell>
          <cell r="K96">
            <v>20600</v>
          </cell>
          <cell r="L96">
            <v>3520</v>
          </cell>
          <cell r="M96">
            <v>24120</v>
          </cell>
          <cell r="N96">
            <v>110.88</v>
          </cell>
          <cell r="P96">
            <v>110.88</v>
          </cell>
          <cell r="R96">
            <v>5.9530000000000003</v>
          </cell>
          <cell r="S96">
            <v>370</v>
          </cell>
          <cell r="T96">
            <v>547</v>
          </cell>
          <cell r="V96">
            <v>547</v>
          </cell>
          <cell r="X96">
            <v>909.38100000000009</v>
          </cell>
          <cell r="Y96">
            <v>3220</v>
          </cell>
          <cell r="Z96">
            <v>436</v>
          </cell>
          <cell r="AB96">
            <v>-135.19</v>
          </cell>
          <cell r="AD96">
            <v>53.947000000000003</v>
          </cell>
          <cell r="AE96">
            <v>800</v>
          </cell>
          <cell r="AF96">
            <v>1.62</v>
          </cell>
          <cell r="AI96">
            <v>1.62</v>
          </cell>
          <cell r="AJ96">
            <v>-1.6799999999999997</v>
          </cell>
          <cell r="AK96">
            <v>38</v>
          </cell>
          <cell r="AL96">
            <v>50</v>
          </cell>
          <cell r="AO96">
            <v>50</v>
          </cell>
          <cell r="AP96">
            <v>3.0900000000000003</v>
          </cell>
          <cell r="AQ96">
            <v>66.5</v>
          </cell>
          <cell r="AU96">
            <v>0</v>
          </cell>
          <cell r="AW96">
            <v>58.7</v>
          </cell>
          <cell r="AX96">
            <v>21.92</v>
          </cell>
          <cell r="BA96">
            <v>21.92</v>
          </cell>
          <cell r="BB96">
            <v>0.8490000000000002</v>
          </cell>
          <cell r="BC96">
            <v>30.292000000000002</v>
          </cell>
          <cell r="BG96">
            <v>0</v>
          </cell>
          <cell r="BH96">
            <v>207</v>
          </cell>
          <cell r="BI96">
            <v>200</v>
          </cell>
          <cell r="BJ96">
            <v>25.3</v>
          </cell>
          <cell r="BM96">
            <v>25.3</v>
          </cell>
          <cell r="BP96">
            <v>104</v>
          </cell>
          <cell r="BQ96">
            <v>-2</v>
          </cell>
          <cell r="BS96">
            <v>-2</v>
          </cell>
          <cell r="BU96">
            <v>70</v>
          </cell>
          <cell r="BV96">
            <v>422.38</v>
          </cell>
          <cell r="BX96">
            <v>1070</v>
          </cell>
          <cell r="CC96">
            <v>-4.7</v>
          </cell>
          <cell r="CD96">
            <v>74.5</v>
          </cell>
        </row>
        <row r="97">
          <cell r="A97">
            <v>39173</v>
          </cell>
          <cell r="H97">
            <v>0</v>
          </cell>
          <cell r="I97">
            <v>655</v>
          </cell>
          <cell r="J97">
            <v>314.8</v>
          </cell>
          <cell r="K97">
            <v>20000</v>
          </cell>
          <cell r="L97">
            <v>3200</v>
          </cell>
          <cell r="M97">
            <v>23200</v>
          </cell>
          <cell r="P97">
            <v>0</v>
          </cell>
          <cell r="R97">
            <v>78.7</v>
          </cell>
          <cell r="S97">
            <v>300</v>
          </cell>
          <cell r="T97">
            <v>495.7</v>
          </cell>
          <cell r="V97">
            <v>495.7</v>
          </cell>
          <cell r="X97">
            <v>74.099999999999994</v>
          </cell>
          <cell r="Y97">
            <v>3600</v>
          </cell>
          <cell r="Z97">
            <v>114</v>
          </cell>
          <cell r="AD97">
            <v>211.1</v>
          </cell>
          <cell r="AE97">
            <v>550</v>
          </cell>
          <cell r="AI97">
            <v>0</v>
          </cell>
          <cell r="AJ97">
            <v>2.6</v>
          </cell>
          <cell r="AK97">
            <v>35.299999999999997</v>
          </cell>
          <cell r="AO97">
            <v>0</v>
          </cell>
          <cell r="AP97">
            <v>5.4</v>
          </cell>
          <cell r="AQ97">
            <v>61.2</v>
          </cell>
          <cell r="AU97">
            <v>0</v>
          </cell>
          <cell r="AW97">
            <v>58.7</v>
          </cell>
          <cell r="BA97">
            <v>0</v>
          </cell>
          <cell r="BB97">
            <v>2.4249999999999998</v>
          </cell>
          <cell r="BC97">
            <v>27.867999999999999</v>
          </cell>
          <cell r="BG97">
            <v>0</v>
          </cell>
          <cell r="BI97">
            <v>200</v>
          </cell>
          <cell r="BM97">
            <v>0</v>
          </cell>
          <cell r="BO97">
            <v>6.2</v>
          </cell>
          <cell r="BP97">
            <v>98</v>
          </cell>
          <cell r="BS97">
            <v>0</v>
          </cell>
          <cell r="BT97">
            <v>11.795999999999999</v>
          </cell>
          <cell r="BU97">
            <v>58.204000000000001</v>
          </cell>
          <cell r="BW97">
            <v>165.5</v>
          </cell>
          <cell r="BX97">
            <v>900</v>
          </cell>
          <cell r="CD97">
            <v>74.5</v>
          </cell>
        </row>
        <row r="98">
          <cell r="A98">
            <v>39174</v>
          </cell>
          <cell r="H98">
            <v>0</v>
          </cell>
          <cell r="I98">
            <v>580</v>
          </cell>
          <cell r="J98">
            <v>338.8</v>
          </cell>
          <cell r="K98">
            <v>19400</v>
          </cell>
          <cell r="L98">
            <v>3000</v>
          </cell>
          <cell r="M98">
            <v>22400</v>
          </cell>
          <cell r="P98">
            <v>0</v>
          </cell>
          <cell r="R98">
            <v>81</v>
          </cell>
          <cell r="S98">
            <v>250</v>
          </cell>
          <cell r="T98">
            <v>485.3</v>
          </cell>
          <cell r="V98">
            <v>485.3</v>
          </cell>
          <cell r="X98">
            <v>71.8</v>
          </cell>
          <cell r="Y98">
            <v>4000</v>
          </cell>
          <cell r="AD98">
            <v>253.9</v>
          </cell>
          <cell r="AE98">
            <v>750</v>
          </cell>
          <cell r="AI98">
            <v>0</v>
          </cell>
          <cell r="AJ98">
            <v>2.2000000000000002</v>
          </cell>
          <cell r="AK98">
            <v>33.1</v>
          </cell>
          <cell r="AO98">
            <v>0</v>
          </cell>
          <cell r="AP98">
            <v>1.7</v>
          </cell>
          <cell r="AQ98">
            <v>59.5</v>
          </cell>
          <cell r="AU98">
            <v>0</v>
          </cell>
          <cell r="AW98">
            <v>58.7</v>
          </cell>
          <cell r="BA98">
            <v>0</v>
          </cell>
          <cell r="BB98">
            <v>2.738</v>
          </cell>
          <cell r="BC98">
            <v>25.13</v>
          </cell>
          <cell r="BG98">
            <v>0</v>
          </cell>
          <cell r="BI98">
            <v>200</v>
          </cell>
          <cell r="BM98">
            <v>0</v>
          </cell>
          <cell r="BN98">
            <v>15000</v>
          </cell>
          <cell r="BO98">
            <v>11.4</v>
          </cell>
          <cell r="BP98">
            <v>86</v>
          </cell>
          <cell r="BS98">
            <v>0</v>
          </cell>
          <cell r="BT98">
            <v>12.1</v>
          </cell>
          <cell r="BU98">
            <v>46.103999999999999</v>
          </cell>
          <cell r="BW98">
            <v>188.1</v>
          </cell>
          <cell r="BX98">
            <v>710</v>
          </cell>
          <cell r="CD98">
            <v>74.5</v>
          </cell>
        </row>
        <row r="99">
          <cell r="A99">
            <v>39175</v>
          </cell>
          <cell r="B99">
            <v>1320.2</v>
          </cell>
          <cell r="H99">
            <v>1320.2</v>
          </cell>
          <cell r="I99">
            <v>660</v>
          </cell>
          <cell r="J99">
            <v>315</v>
          </cell>
          <cell r="K99">
            <v>18700</v>
          </cell>
          <cell r="L99">
            <v>3800</v>
          </cell>
          <cell r="M99">
            <v>22500</v>
          </cell>
          <cell r="P99">
            <v>0</v>
          </cell>
          <cell r="R99">
            <v>50.7</v>
          </cell>
          <cell r="S99">
            <v>200</v>
          </cell>
          <cell r="T99">
            <v>274.7</v>
          </cell>
          <cell r="V99">
            <v>274.7</v>
          </cell>
          <cell r="X99">
            <v>50</v>
          </cell>
          <cell r="Y99">
            <v>3700</v>
          </cell>
          <cell r="Z99">
            <v>59.5</v>
          </cell>
          <cell r="AD99">
            <v>149.4</v>
          </cell>
          <cell r="AE99">
            <v>1100</v>
          </cell>
          <cell r="AI99">
            <v>0</v>
          </cell>
          <cell r="AJ99">
            <v>1.5</v>
          </cell>
          <cell r="AK99">
            <v>31.6</v>
          </cell>
          <cell r="AO99">
            <v>0</v>
          </cell>
          <cell r="AP99">
            <v>4</v>
          </cell>
          <cell r="AQ99">
            <v>55.4</v>
          </cell>
          <cell r="AU99">
            <v>0</v>
          </cell>
          <cell r="AV99">
            <v>0.4</v>
          </cell>
          <cell r="AW99">
            <v>58.3</v>
          </cell>
          <cell r="BA99">
            <v>0</v>
          </cell>
          <cell r="BB99">
            <v>2.1850000000000001</v>
          </cell>
          <cell r="BC99">
            <v>22.94</v>
          </cell>
          <cell r="BG99">
            <v>0</v>
          </cell>
          <cell r="BI99">
            <v>200</v>
          </cell>
          <cell r="BM99">
            <v>0</v>
          </cell>
          <cell r="BN99">
            <v>35000</v>
          </cell>
          <cell r="BO99">
            <v>11.4</v>
          </cell>
          <cell r="BP99">
            <v>75</v>
          </cell>
          <cell r="BS99">
            <v>0</v>
          </cell>
          <cell r="BT99">
            <v>7.6</v>
          </cell>
          <cell r="BU99">
            <v>38.503999999999998</v>
          </cell>
          <cell r="BW99">
            <v>128.19999999999999</v>
          </cell>
          <cell r="BX99">
            <v>600</v>
          </cell>
          <cell r="CD99">
            <v>74.5</v>
          </cell>
        </row>
        <row r="100">
          <cell r="A100">
            <v>39176</v>
          </cell>
          <cell r="H100">
            <v>0</v>
          </cell>
          <cell r="I100">
            <v>510</v>
          </cell>
          <cell r="J100">
            <v>67.8</v>
          </cell>
          <cell r="K100">
            <v>18200</v>
          </cell>
          <cell r="L100">
            <v>3800</v>
          </cell>
          <cell r="M100">
            <v>22000</v>
          </cell>
          <cell r="P100">
            <v>0</v>
          </cell>
          <cell r="R100">
            <v>68.900000000000006</v>
          </cell>
          <cell r="S100">
            <v>150</v>
          </cell>
          <cell r="T100">
            <v>214.8</v>
          </cell>
          <cell r="V100">
            <v>214.8</v>
          </cell>
          <cell r="X100">
            <v>41.7</v>
          </cell>
          <cell r="Y100">
            <v>3500</v>
          </cell>
          <cell r="Z100">
            <v>54</v>
          </cell>
          <cell r="AA100">
            <v>522.9</v>
          </cell>
          <cell r="AD100">
            <v>244.85</v>
          </cell>
          <cell r="AE100">
            <v>1700</v>
          </cell>
          <cell r="AI100">
            <v>0</v>
          </cell>
          <cell r="AJ100">
            <v>1.3</v>
          </cell>
          <cell r="AK100">
            <v>30.4</v>
          </cell>
          <cell r="AL100">
            <v>23.84</v>
          </cell>
          <cell r="AO100">
            <v>23.84</v>
          </cell>
          <cell r="AP100">
            <v>4</v>
          </cell>
          <cell r="AQ100">
            <v>74.8</v>
          </cell>
          <cell r="AU100">
            <v>0</v>
          </cell>
          <cell r="AV100">
            <v>1.2</v>
          </cell>
          <cell r="AW100">
            <v>57.1</v>
          </cell>
          <cell r="AX100">
            <v>25.16</v>
          </cell>
          <cell r="BA100">
            <v>25.16</v>
          </cell>
          <cell r="BB100">
            <v>1.8540000000000001</v>
          </cell>
          <cell r="BC100">
            <v>46.250999999999998</v>
          </cell>
          <cell r="BG100">
            <v>0</v>
          </cell>
          <cell r="BI100">
            <v>200</v>
          </cell>
          <cell r="BM100">
            <v>0</v>
          </cell>
          <cell r="BN100">
            <v>35000</v>
          </cell>
          <cell r="BO100">
            <v>10.199999999999999</v>
          </cell>
          <cell r="BP100">
            <v>65</v>
          </cell>
          <cell r="BS100">
            <v>0</v>
          </cell>
          <cell r="BT100">
            <v>10.4</v>
          </cell>
          <cell r="BU100">
            <v>28.103999999999999</v>
          </cell>
          <cell r="BW100">
            <v>176.6</v>
          </cell>
          <cell r="BX100">
            <v>400</v>
          </cell>
          <cell r="CD100">
            <v>74.5</v>
          </cell>
        </row>
        <row r="101">
          <cell r="A101">
            <v>39177</v>
          </cell>
          <cell r="H101">
            <v>0</v>
          </cell>
          <cell r="I101">
            <v>520</v>
          </cell>
          <cell r="J101">
            <v>0</v>
          </cell>
          <cell r="K101">
            <v>18400</v>
          </cell>
          <cell r="L101">
            <v>3800</v>
          </cell>
          <cell r="M101">
            <v>22200</v>
          </cell>
          <cell r="P101">
            <v>0</v>
          </cell>
          <cell r="R101">
            <v>95.1</v>
          </cell>
          <cell r="S101">
            <v>100</v>
          </cell>
          <cell r="T101">
            <v>376.3</v>
          </cell>
          <cell r="V101">
            <v>376.3</v>
          </cell>
          <cell r="X101">
            <v>44.9</v>
          </cell>
          <cell r="Y101">
            <v>3900</v>
          </cell>
          <cell r="Z101">
            <v>109</v>
          </cell>
          <cell r="AD101">
            <v>371.4</v>
          </cell>
          <cell r="AE101">
            <v>1450</v>
          </cell>
          <cell r="AI101">
            <v>0</v>
          </cell>
          <cell r="AJ101">
            <v>2.5</v>
          </cell>
          <cell r="AK101">
            <v>27.9</v>
          </cell>
          <cell r="AO101">
            <v>0</v>
          </cell>
          <cell r="AP101">
            <v>3.1</v>
          </cell>
          <cell r="AQ101">
            <v>71.599999999999994</v>
          </cell>
          <cell r="AR101">
            <v>23.24</v>
          </cell>
          <cell r="AU101">
            <v>23.24</v>
          </cell>
          <cell r="AV101">
            <v>0.5</v>
          </cell>
          <cell r="AW101">
            <v>80</v>
          </cell>
          <cell r="BA101">
            <v>0</v>
          </cell>
          <cell r="BB101">
            <v>2.5430000000000001</v>
          </cell>
          <cell r="BC101">
            <v>43.7</v>
          </cell>
          <cell r="BG101">
            <v>0</v>
          </cell>
          <cell r="BI101">
            <v>200</v>
          </cell>
          <cell r="BM101">
            <v>0</v>
          </cell>
          <cell r="BN101">
            <v>34400</v>
          </cell>
          <cell r="BO101">
            <v>10.4</v>
          </cell>
          <cell r="BP101">
            <v>54</v>
          </cell>
          <cell r="BS101">
            <v>0</v>
          </cell>
          <cell r="BT101">
            <v>13.4</v>
          </cell>
          <cell r="BU101">
            <v>14.704000000000001</v>
          </cell>
          <cell r="BW101">
            <v>213.3</v>
          </cell>
          <cell r="BX101">
            <v>200</v>
          </cell>
          <cell r="CD101">
            <v>74.5</v>
          </cell>
        </row>
        <row r="102">
          <cell r="A102">
            <v>39178</v>
          </cell>
          <cell r="H102">
            <v>0</v>
          </cell>
          <cell r="I102">
            <v>130</v>
          </cell>
          <cell r="J102">
            <v>0</v>
          </cell>
          <cell r="K102">
            <v>18600</v>
          </cell>
          <cell r="L102">
            <v>3800</v>
          </cell>
          <cell r="M102">
            <v>22400</v>
          </cell>
          <cell r="P102">
            <v>0</v>
          </cell>
          <cell r="R102">
            <v>96.8</v>
          </cell>
          <cell r="S102">
            <v>50</v>
          </cell>
          <cell r="T102">
            <v>25.8</v>
          </cell>
          <cell r="V102">
            <v>25.8</v>
          </cell>
          <cell r="X102">
            <v>5.4</v>
          </cell>
          <cell r="Y102">
            <v>3900</v>
          </cell>
          <cell r="Z102">
            <v>57.5</v>
          </cell>
          <cell r="AD102">
            <v>360</v>
          </cell>
          <cell r="AE102">
            <v>1120</v>
          </cell>
          <cell r="AI102">
            <v>0</v>
          </cell>
          <cell r="AJ102">
            <v>2.2999999999999998</v>
          </cell>
          <cell r="AK102">
            <v>25.6</v>
          </cell>
          <cell r="AO102">
            <v>0</v>
          </cell>
          <cell r="AP102">
            <v>5.5</v>
          </cell>
          <cell r="AQ102">
            <v>66.2</v>
          </cell>
          <cell r="AU102">
            <v>0</v>
          </cell>
          <cell r="AV102">
            <v>0.5</v>
          </cell>
          <cell r="AW102">
            <v>79.400000000000006</v>
          </cell>
          <cell r="BA102">
            <v>0</v>
          </cell>
          <cell r="BB102">
            <v>2.536</v>
          </cell>
          <cell r="BC102">
            <v>41</v>
          </cell>
          <cell r="BG102">
            <v>0</v>
          </cell>
          <cell r="BI102">
            <v>200</v>
          </cell>
          <cell r="BM102">
            <v>0</v>
          </cell>
          <cell r="BN102">
            <v>30000</v>
          </cell>
          <cell r="BO102">
            <v>9.9</v>
          </cell>
          <cell r="BP102">
            <v>44</v>
          </cell>
          <cell r="BS102">
            <v>0</v>
          </cell>
          <cell r="BT102">
            <v>8.6999999999999993</v>
          </cell>
          <cell r="BU102">
            <v>6</v>
          </cell>
          <cell r="BW102">
            <v>209.4</v>
          </cell>
          <cell r="BX102">
            <v>32</v>
          </cell>
          <cell r="CD102">
            <v>74.5</v>
          </cell>
        </row>
        <row r="103">
          <cell r="A103">
            <v>39179</v>
          </cell>
          <cell r="C103">
            <v>3058.8</v>
          </cell>
          <cell r="H103">
            <v>3058.8</v>
          </cell>
          <cell r="I103">
            <v>270</v>
          </cell>
          <cell r="J103">
            <v>251.1</v>
          </cell>
          <cell r="K103">
            <v>20300</v>
          </cell>
          <cell r="L103">
            <v>3550</v>
          </cell>
          <cell r="M103">
            <v>23850</v>
          </cell>
          <cell r="P103">
            <v>0</v>
          </cell>
          <cell r="S103">
            <v>50</v>
          </cell>
          <cell r="V103">
            <v>0</v>
          </cell>
          <cell r="X103">
            <v>17.7</v>
          </cell>
          <cell r="Y103">
            <v>3900</v>
          </cell>
          <cell r="Z103">
            <v>58.7</v>
          </cell>
          <cell r="AD103">
            <v>194</v>
          </cell>
          <cell r="AE103">
            <v>950</v>
          </cell>
          <cell r="AI103">
            <v>0</v>
          </cell>
          <cell r="AJ103">
            <v>2.5</v>
          </cell>
          <cell r="AK103">
            <v>23.1</v>
          </cell>
          <cell r="AO103">
            <v>0</v>
          </cell>
          <cell r="AP103">
            <v>6.1</v>
          </cell>
          <cell r="AQ103">
            <v>61</v>
          </cell>
          <cell r="AU103">
            <v>0</v>
          </cell>
          <cell r="AW103">
            <v>79.400000000000006</v>
          </cell>
          <cell r="BA103">
            <v>0</v>
          </cell>
          <cell r="BB103">
            <v>2.306</v>
          </cell>
          <cell r="BC103">
            <v>38.799999999999997</v>
          </cell>
          <cell r="BG103">
            <v>0</v>
          </cell>
          <cell r="BI103">
            <v>200</v>
          </cell>
          <cell r="BM103">
            <v>0</v>
          </cell>
          <cell r="BO103">
            <v>2.5</v>
          </cell>
          <cell r="BP103">
            <v>42</v>
          </cell>
          <cell r="BS103">
            <v>0</v>
          </cell>
          <cell r="BU103">
            <v>6</v>
          </cell>
          <cell r="BX103">
            <v>32</v>
          </cell>
          <cell r="CD103">
            <v>74.5</v>
          </cell>
        </row>
        <row r="104">
          <cell r="A104">
            <v>39180</v>
          </cell>
          <cell r="H104">
            <v>0</v>
          </cell>
          <cell r="I104">
            <v>260</v>
          </cell>
          <cell r="J104">
            <v>410</v>
          </cell>
          <cell r="K104">
            <v>20000</v>
          </cell>
          <cell r="L104">
            <v>3100</v>
          </cell>
          <cell r="M104">
            <v>23100</v>
          </cell>
          <cell r="P104">
            <v>0</v>
          </cell>
          <cell r="S104">
            <v>50</v>
          </cell>
          <cell r="V104">
            <v>0</v>
          </cell>
          <cell r="X104">
            <v>31.6</v>
          </cell>
          <cell r="Y104">
            <v>3800</v>
          </cell>
          <cell r="AD104">
            <v>142</v>
          </cell>
          <cell r="AE104">
            <v>800</v>
          </cell>
          <cell r="AI104">
            <v>0</v>
          </cell>
          <cell r="AJ104">
            <v>2.5</v>
          </cell>
          <cell r="AK104">
            <v>20.5</v>
          </cell>
          <cell r="AO104">
            <v>0</v>
          </cell>
          <cell r="AP104">
            <v>4.8</v>
          </cell>
          <cell r="AQ104">
            <v>55.3</v>
          </cell>
          <cell r="AU104">
            <v>0</v>
          </cell>
          <cell r="AW104">
            <v>79.400000000000006</v>
          </cell>
          <cell r="BA104">
            <v>0</v>
          </cell>
          <cell r="BB104">
            <v>2.5339999999999998</v>
          </cell>
          <cell r="BC104">
            <v>36</v>
          </cell>
          <cell r="BG104">
            <v>0</v>
          </cell>
          <cell r="BI104">
            <v>200</v>
          </cell>
          <cell r="BM104">
            <v>0</v>
          </cell>
          <cell r="BP104">
            <v>80</v>
          </cell>
          <cell r="BS104">
            <v>0</v>
          </cell>
          <cell r="BU104">
            <v>6</v>
          </cell>
          <cell r="BX104">
            <v>32</v>
          </cell>
          <cell r="CD104">
            <v>74.5</v>
          </cell>
        </row>
        <row r="105">
          <cell r="A105">
            <v>39181</v>
          </cell>
          <cell r="H105">
            <v>0</v>
          </cell>
          <cell r="I105">
            <v>260</v>
          </cell>
          <cell r="J105">
            <v>103.9</v>
          </cell>
          <cell r="K105">
            <v>19800</v>
          </cell>
          <cell r="L105">
            <v>3000</v>
          </cell>
          <cell r="M105">
            <v>22800</v>
          </cell>
          <cell r="P105">
            <v>0</v>
          </cell>
          <cell r="S105">
            <v>50</v>
          </cell>
          <cell r="V105">
            <v>0</v>
          </cell>
          <cell r="X105">
            <v>17.399999999999999</v>
          </cell>
          <cell r="Y105">
            <v>3800</v>
          </cell>
          <cell r="AD105">
            <v>176.1</v>
          </cell>
          <cell r="AE105">
            <v>600</v>
          </cell>
          <cell r="AI105">
            <v>0</v>
          </cell>
          <cell r="AJ105">
            <v>2.2000000000000002</v>
          </cell>
          <cell r="AK105">
            <v>18.3</v>
          </cell>
          <cell r="AO105">
            <v>0</v>
          </cell>
          <cell r="AP105">
            <v>5.4</v>
          </cell>
          <cell r="AQ105">
            <v>50</v>
          </cell>
          <cell r="AU105">
            <v>0</v>
          </cell>
          <cell r="AW105">
            <v>79.400000000000006</v>
          </cell>
          <cell r="BA105">
            <v>0</v>
          </cell>
          <cell r="BB105">
            <v>1.49</v>
          </cell>
          <cell r="BC105">
            <v>34.799999999999997</v>
          </cell>
          <cell r="BG105">
            <v>0</v>
          </cell>
          <cell r="BI105">
            <v>200</v>
          </cell>
          <cell r="BM105">
            <v>0</v>
          </cell>
          <cell r="BP105">
            <v>80</v>
          </cell>
          <cell r="BS105">
            <v>0</v>
          </cell>
          <cell r="BU105">
            <v>6</v>
          </cell>
          <cell r="BX105">
            <v>32</v>
          </cell>
          <cell r="CD105">
            <v>74.5</v>
          </cell>
        </row>
        <row r="106">
          <cell r="A106">
            <v>39182</v>
          </cell>
          <cell r="H106">
            <v>0</v>
          </cell>
          <cell r="I106">
            <v>280</v>
          </cell>
          <cell r="J106">
            <v>0</v>
          </cell>
          <cell r="K106">
            <v>21100</v>
          </cell>
          <cell r="L106">
            <v>3000</v>
          </cell>
          <cell r="M106">
            <v>24100</v>
          </cell>
          <cell r="P106">
            <v>0</v>
          </cell>
          <cell r="S106">
            <v>50</v>
          </cell>
          <cell r="T106">
            <v>491.1</v>
          </cell>
          <cell r="V106">
            <v>491.1</v>
          </cell>
          <cell r="X106">
            <v>33.299999999999997</v>
          </cell>
          <cell r="Y106">
            <v>4200</v>
          </cell>
          <cell r="AD106">
            <v>210.1</v>
          </cell>
          <cell r="AE106">
            <v>500</v>
          </cell>
          <cell r="AI106">
            <v>0</v>
          </cell>
          <cell r="AJ106">
            <v>1.6</v>
          </cell>
          <cell r="AK106">
            <v>16.7</v>
          </cell>
          <cell r="AO106">
            <v>0</v>
          </cell>
          <cell r="AP106">
            <v>6.1</v>
          </cell>
          <cell r="AQ106">
            <v>43.9</v>
          </cell>
          <cell r="AU106">
            <v>0</v>
          </cell>
          <cell r="AV106">
            <v>0.7</v>
          </cell>
          <cell r="AW106">
            <v>78.599999999999994</v>
          </cell>
          <cell r="BA106">
            <v>0</v>
          </cell>
          <cell r="BB106">
            <v>1.337</v>
          </cell>
          <cell r="BC106">
            <v>33.5</v>
          </cell>
          <cell r="BG106">
            <v>0</v>
          </cell>
          <cell r="BI106">
            <v>200</v>
          </cell>
          <cell r="BM106">
            <v>0</v>
          </cell>
          <cell r="BN106">
            <v>25000</v>
          </cell>
          <cell r="BO106">
            <v>8.4</v>
          </cell>
          <cell r="BP106">
            <v>75</v>
          </cell>
          <cell r="BS106">
            <v>0</v>
          </cell>
          <cell r="BU106">
            <v>6</v>
          </cell>
          <cell r="BX106">
            <v>32</v>
          </cell>
          <cell r="CD106">
            <v>74.5</v>
          </cell>
        </row>
        <row r="107">
          <cell r="A107">
            <v>39183</v>
          </cell>
          <cell r="B107">
            <v>660</v>
          </cell>
          <cell r="C107">
            <v>3138</v>
          </cell>
          <cell r="H107">
            <v>3798</v>
          </cell>
          <cell r="I107">
            <v>190</v>
          </cell>
          <cell r="J107">
            <v>0</v>
          </cell>
          <cell r="K107">
            <v>22480</v>
          </cell>
          <cell r="L107">
            <v>3700</v>
          </cell>
          <cell r="M107">
            <v>26180</v>
          </cell>
          <cell r="P107">
            <v>0</v>
          </cell>
          <cell r="S107">
            <v>50</v>
          </cell>
          <cell r="T107">
            <v>190</v>
          </cell>
          <cell r="V107">
            <v>190</v>
          </cell>
          <cell r="X107">
            <v>28.1</v>
          </cell>
          <cell r="Y107">
            <v>4400</v>
          </cell>
          <cell r="AD107">
            <v>21</v>
          </cell>
          <cell r="AE107">
            <v>300</v>
          </cell>
          <cell r="AI107">
            <v>0</v>
          </cell>
          <cell r="AJ107">
            <v>1</v>
          </cell>
          <cell r="AK107">
            <v>15.7</v>
          </cell>
          <cell r="AL107">
            <v>24.12</v>
          </cell>
          <cell r="AO107">
            <v>24.12</v>
          </cell>
          <cell r="AP107">
            <v>1.6</v>
          </cell>
          <cell r="AQ107">
            <v>66.400000000000006</v>
          </cell>
          <cell r="AU107">
            <v>0</v>
          </cell>
          <cell r="AW107">
            <v>78.599999999999994</v>
          </cell>
          <cell r="BA107">
            <v>0</v>
          </cell>
          <cell r="BB107">
            <v>0.18</v>
          </cell>
          <cell r="BC107">
            <v>33.5</v>
          </cell>
          <cell r="BG107">
            <v>0</v>
          </cell>
          <cell r="BI107">
            <v>200</v>
          </cell>
          <cell r="BM107">
            <v>0</v>
          </cell>
          <cell r="BN107">
            <v>15800</v>
          </cell>
          <cell r="BO107">
            <v>7.2</v>
          </cell>
          <cell r="BP107">
            <v>75</v>
          </cell>
          <cell r="BS107">
            <v>0</v>
          </cell>
          <cell r="BU107">
            <v>6</v>
          </cell>
          <cell r="BX107">
            <v>32</v>
          </cell>
          <cell r="CD107">
            <v>74.5</v>
          </cell>
        </row>
        <row r="108">
          <cell r="A108">
            <v>39184</v>
          </cell>
          <cell r="B108">
            <v>660.1</v>
          </cell>
          <cell r="H108">
            <v>660.1</v>
          </cell>
          <cell r="I108">
            <v>140</v>
          </cell>
          <cell r="J108">
            <v>166.5</v>
          </cell>
          <cell r="K108">
            <v>22400</v>
          </cell>
          <cell r="L108">
            <v>4100</v>
          </cell>
          <cell r="M108">
            <v>26500</v>
          </cell>
          <cell r="P108">
            <v>0</v>
          </cell>
          <cell r="S108">
            <v>50</v>
          </cell>
          <cell r="T108">
            <v>136.80000000000001</v>
          </cell>
          <cell r="V108">
            <v>136.80000000000001</v>
          </cell>
          <cell r="X108">
            <v>206.5</v>
          </cell>
          <cell r="Y108">
            <v>4300</v>
          </cell>
          <cell r="Z108">
            <v>117.3</v>
          </cell>
          <cell r="AD108">
            <v>17.100000000000001</v>
          </cell>
          <cell r="AE108">
            <v>420</v>
          </cell>
          <cell r="AF108">
            <v>25.56</v>
          </cell>
          <cell r="AI108">
            <v>25.56</v>
          </cell>
          <cell r="AJ108">
            <v>1.4</v>
          </cell>
          <cell r="AK108">
            <v>41.7</v>
          </cell>
          <cell r="AO108">
            <v>0</v>
          </cell>
          <cell r="AP108">
            <v>4.4000000000000004</v>
          </cell>
          <cell r="AQ108">
            <v>62</v>
          </cell>
          <cell r="AU108">
            <v>0</v>
          </cell>
          <cell r="AV108">
            <v>2.9</v>
          </cell>
          <cell r="AW108">
            <v>75.8</v>
          </cell>
          <cell r="BA108">
            <v>0</v>
          </cell>
          <cell r="BB108">
            <v>0.96699999999999997</v>
          </cell>
          <cell r="BC108">
            <v>33.5</v>
          </cell>
          <cell r="BG108">
            <v>0</v>
          </cell>
          <cell r="BI108">
            <v>200</v>
          </cell>
          <cell r="BM108">
            <v>0</v>
          </cell>
          <cell r="BN108">
            <v>3000</v>
          </cell>
          <cell r="BO108">
            <v>5.4</v>
          </cell>
          <cell r="BP108">
            <v>75</v>
          </cell>
          <cell r="BS108">
            <v>0</v>
          </cell>
          <cell r="BU108">
            <v>6</v>
          </cell>
          <cell r="BX108">
            <v>32</v>
          </cell>
          <cell r="CD108">
            <v>74.5</v>
          </cell>
        </row>
        <row r="109">
          <cell r="A109">
            <v>39185</v>
          </cell>
          <cell r="C109">
            <v>3026.4</v>
          </cell>
          <cell r="H109">
            <v>3026.4</v>
          </cell>
          <cell r="I109">
            <v>270</v>
          </cell>
          <cell r="J109">
            <v>207.9</v>
          </cell>
          <cell r="K109">
            <v>25100</v>
          </cell>
          <cell r="L109">
            <v>4000</v>
          </cell>
          <cell r="M109">
            <v>29100</v>
          </cell>
          <cell r="P109">
            <v>0</v>
          </cell>
          <cell r="S109">
            <v>50</v>
          </cell>
          <cell r="T109">
            <v>55</v>
          </cell>
          <cell r="V109">
            <v>55</v>
          </cell>
          <cell r="X109">
            <v>253.5</v>
          </cell>
          <cell r="Y109">
            <v>4100</v>
          </cell>
          <cell r="Z109">
            <v>173</v>
          </cell>
          <cell r="AD109">
            <v>19.600000000000001</v>
          </cell>
          <cell r="AE109">
            <v>1000</v>
          </cell>
          <cell r="AI109">
            <v>0</v>
          </cell>
          <cell r="AJ109">
            <v>1.8</v>
          </cell>
          <cell r="AK109">
            <v>39.9</v>
          </cell>
          <cell r="AO109">
            <v>0</v>
          </cell>
          <cell r="AP109">
            <v>9.3000000000000007</v>
          </cell>
          <cell r="AQ109">
            <v>52.7</v>
          </cell>
          <cell r="AU109">
            <v>0</v>
          </cell>
          <cell r="AV109">
            <v>2.4</v>
          </cell>
          <cell r="AW109">
            <v>73.400000000000006</v>
          </cell>
          <cell r="BA109">
            <v>0</v>
          </cell>
          <cell r="BB109">
            <v>1.2010000000000001</v>
          </cell>
          <cell r="BC109">
            <v>31</v>
          </cell>
          <cell r="BG109">
            <v>0</v>
          </cell>
          <cell r="BI109">
            <v>200</v>
          </cell>
          <cell r="BM109">
            <v>0</v>
          </cell>
          <cell r="BN109">
            <v>25000</v>
          </cell>
          <cell r="BO109">
            <v>5</v>
          </cell>
          <cell r="BP109">
            <v>75</v>
          </cell>
          <cell r="BS109">
            <v>0</v>
          </cell>
          <cell r="BU109">
            <v>6</v>
          </cell>
          <cell r="CD109">
            <v>74.5</v>
          </cell>
        </row>
        <row r="110">
          <cell r="A110">
            <v>39186</v>
          </cell>
          <cell r="H110">
            <v>0</v>
          </cell>
          <cell r="I110">
            <v>170</v>
          </cell>
          <cell r="J110">
            <v>213.1</v>
          </cell>
          <cell r="K110">
            <v>24900</v>
          </cell>
          <cell r="L110">
            <v>3800</v>
          </cell>
          <cell r="M110">
            <v>28700</v>
          </cell>
          <cell r="P110">
            <v>0</v>
          </cell>
          <cell r="S110">
            <v>50</v>
          </cell>
          <cell r="V110">
            <v>0</v>
          </cell>
          <cell r="X110">
            <v>231.1</v>
          </cell>
          <cell r="Y110">
            <v>4000</v>
          </cell>
          <cell r="AD110">
            <v>15.5</v>
          </cell>
          <cell r="AE110">
            <v>1400</v>
          </cell>
          <cell r="AI110">
            <v>0</v>
          </cell>
          <cell r="AJ110">
            <v>2.4</v>
          </cell>
          <cell r="AK110">
            <v>36.9</v>
          </cell>
          <cell r="AO110">
            <v>0</v>
          </cell>
          <cell r="AP110">
            <v>2</v>
          </cell>
          <cell r="AQ110">
            <v>50.7</v>
          </cell>
          <cell r="AU110">
            <v>0</v>
          </cell>
          <cell r="AV110">
            <v>2.8</v>
          </cell>
          <cell r="AW110">
            <v>70.599999999999994</v>
          </cell>
          <cell r="BA110">
            <v>0</v>
          </cell>
          <cell r="BB110">
            <v>1.2010000000000001</v>
          </cell>
          <cell r="BC110">
            <v>31</v>
          </cell>
          <cell r="BG110">
            <v>0</v>
          </cell>
          <cell r="BI110">
            <v>200</v>
          </cell>
          <cell r="BM110">
            <v>0</v>
          </cell>
          <cell r="BO110">
            <v>5</v>
          </cell>
          <cell r="BP110">
            <v>75</v>
          </cell>
          <cell r="BS110">
            <v>0</v>
          </cell>
          <cell r="BU110">
            <v>6</v>
          </cell>
          <cell r="CD110">
            <v>74.5</v>
          </cell>
        </row>
        <row r="111">
          <cell r="A111">
            <v>39187</v>
          </cell>
          <cell r="H111">
            <v>0</v>
          </cell>
          <cell r="I111">
            <v>0</v>
          </cell>
          <cell r="J111">
            <v>229.1</v>
          </cell>
          <cell r="K111">
            <v>24900</v>
          </cell>
          <cell r="L111">
            <v>3500</v>
          </cell>
          <cell r="M111">
            <v>28400</v>
          </cell>
          <cell r="P111">
            <v>0</v>
          </cell>
          <cell r="S111">
            <v>50</v>
          </cell>
          <cell r="T111">
            <v>56.2</v>
          </cell>
          <cell r="V111">
            <v>56.2</v>
          </cell>
          <cell r="X111">
            <v>279.10000000000002</v>
          </cell>
          <cell r="Y111">
            <v>3700</v>
          </cell>
          <cell r="AD111">
            <v>24.3</v>
          </cell>
          <cell r="AE111">
            <v>1800</v>
          </cell>
          <cell r="AI111">
            <v>0</v>
          </cell>
          <cell r="AJ111">
            <v>1.3</v>
          </cell>
          <cell r="AK111">
            <v>35.700000000000003</v>
          </cell>
          <cell r="AL111">
            <v>24.12</v>
          </cell>
          <cell r="AO111">
            <v>24.12</v>
          </cell>
          <cell r="AP111">
            <v>8.6999999999999993</v>
          </cell>
          <cell r="AQ111">
            <v>66.599999999999994</v>
          </cell>
          <cell r="AU111">
            <v>0</v>
          </cell>
          <cell r="AV111">
            <v>2.6</v>
          </cell>
          <cell r="AW111">
            <v>67.900000000000006</v>
          </cell>
          <cell r="BA111">
            <v>0</v>
          </cell>
          <cell r="BB111">
            <v>1.397</v>
          </cell>
          <cell r="BC111">
            <v>28.5</v>
          </cell>
          <cell r="BG111">
            <v>0</v>
          </cell>
          <cell r="BI111">
            <v>200</v>
          </cell>
          <cell r="BM111">
            <v>0</v>
          </cell>
          <cell r="BO111">
            <v>5</v>
          </cell>
          <cell r="BP111">
            <v>75</v>
          </cell>
          <cell r="BS111">
            <v>0</v>
          </cell>
          <cell r="BU111">
            <v>6</v>
          </cell>
          <cell r="CD111">
            <v>74.5</v>
          </cell>
        </row>
        <row r="112">
          <cell r="A112">
            <v>39188</v>
          </cell>
          <cell r="H112">
            <v>0</v>
          </cell>
          <cell r="I112">
            <v>0</v>
          </cell>
          <cell r="J112">
            <v>318.5</v>
          </cell>
          <cell r="K112">
            <v>25800</v>
          </cell>
          <cell r="L112">
            <v>3200</v>
          </cell>
          <cell r="M112">
            <v>29000</v>
          </cell>
          <cell r="P112">
            <v>0</v>
          </cell>
          <cell r="S112">
            <v>50</v>
          </cell>
          <cell r="T112">
            <v>81.8</v>
          </cell>
          <cell r="V112">
            <v>81.8</v>
          </cell>
          <cell r="X112">
            <v>142.69999999999999</v>
          </cell>
          <cell r="Y112">
            <v>3700</v>
          </cell>
          <cell r="Z112">
            <v>480.8</v>
          </cell>
          <cell r="AD112">
            <v>319.67</v>
          </cell>
          <cell r="AE112">
            <v>2000</v>
          </cell>
          <cell r="AI112">
            <v>0</v>
          </cell>
          <cell r="AJ112">
            <v>2.52</v>
          </cell>
          <cell r="AK112">
            <v>33.14</v>
          </cell>
          <cell r="AO112">
            <v>0</v>
          </cell>
          <cell r="AP112">
            <v>8.57</v>
          </cell>
          <cell r="AQ112">
            <v>58.07</v>
          </cell>
          <cell r="AU112">
            <v>0</v>
          </cell>
          <cell r="AV112">
            <v>3.57</v>
          </cell>
          <cell r="AW112">
            <v>64.38</v>
          </cell>
          <cell r="BA112">
            <v>0</v>
          </cell>
          <cell r="BB112">
            <v>2.57</v>
          </cell>
          <cell r="BC112">
            <v>28.5</v>
          </cell>
          <cell r="BG112">
            <v>0</v>
          </cell>
          <cell r="BI112">
            <v>200</v>
          </cell>
          <cell r="BM112">
            <v>0</v>
          </cell>
          <cell r="BN112">
            <v>10000</v>
          </cell>
          <cell r="BO112">
            <v>5.7</v>
          </cell>
          <cell r="BP112">
            <v>75</v>
          </cell>
          <cell r="BS112">
            <v>0</v>
          </cell>
          <cell r="BU112">
            <v>6</v>
          </cell>
          <cell r="CD112">
            <v>74.5</v>
          </cell>
        </row>
        <row r="113">
          <cell r="A113">
            <v>39189</v>
          </cell>
          <cell r="B113">
            <v>1320</v>
          </cell>
          <cell r="C113">
            <v>3134.5</v>
          </cell>
          <cell r="H113">
            <v>4454.5</v>
          </cell>
          <cell r="I113">
            <v>0</v>
          </cell>
          <cell r="J113">
            <v>427.2</v>
          </cell>
          <cell r="K113">
            <v>28100</v>
          </cell>
          <cell r="L113">
            <v>4100</v>
          </cell>
          <cell r="M113">
            <v>32200</v>
          </cell>
          <cell r="P113">
            <v>0</v>
          </cell>
          <cell r="S113">
            <v>50</v>
          </cell>
          <cell r="T113">
            <v>27.5</v>
          </cell>
          <cell r="V113">
            <v>27.5</v>
          </cell>
          <cell r="X113">
            <v>57.4</v>
          </cell>
          <cell r="Y113">
            <v>3700</v>
          </cell>
          <cell r="Z113">
            <v>59</v>
          </cell>
          <cell r="AD113">
            <v>300</v>
          </cell>
          <cell r="AE113">
            <v>1800</v>
          </cell>
          <cell r="AI113">
            <v>0</v>
          </cell>
          <cell r="AJ113">
            <v>2.1800000000000002</v>
          </cell>
          <cell r="AK113">
            <v>30.96</v>
          </cell>
          <cell r="AL113">
            <v>23.94</v>
          </cell>
          <cell r="AO113">
            <v>23.94</v>
          </cell>
          <cell r="AP113">
            <v>3.71</v>
          </cell>
          <cell r="AQ113">
            <v>78.3</v>
          </cell>
          <cell r="AU113">
            <v>0</v>
          </cell>
          <cell r="AV113">
            <v>2.5</v>
          </cell>
          <cell r="AW113">
            <v>31.88</v>
          </cell>
          <cell r="BA113">
            <v>0</v>
          </cell>
          <cell r="BB113">
            <v>2.8849999999999998</v>
          </cell>
          <cell r="BC113">
            <v>28.5</v>
          </cell>
          <cell r="BG113">
            <v>0</v>
          </cell>
          <cell r="BI113">
            <v>200</v>
          </cell>
          <cell r="BM113">
            <v>0</v>
          </cell>
          <cell r="BN113">
            <v>30000</v>
          </cell>
          <cell r="BO113">
            <v>6</v>
          </cell>
          <cell r="BP113">
            <v>75</v>
          </cell>
          <cell r="BS113">
            <v>0</v>
          </cell>
          <cell r="BU113">
            <v>6</v>
          </cell>
          <cell r="CD113">
            <v>74.5</v>
          </cell>
        </row>
        <row r="114">
          <cell r="A114">
            <v>39190</v>
          </cell>
          <cell r="H114">
            <v>0</v>
          </cell>
          <cell r="I114">
            <v>0</v>
          </cell>
          <cell r="J114">
            <v>342.9</v>
          </cell>
          <cell r="K114">
            <v>28100</v>
          </cell>
          <cell r="L114">
            <v>3800</v>
          </cell>
          <cell r="M114">
            <v>31900</v>
          </cell>
          <cell r="P114">
            <v>0</v>
          </cell>
          <cell r="S114">
            <v>50</v>
          </cell>
          <cell r="T114">
            <v>82.7</v>
          </cell>
          <cell r="V114">
            <v>82.7</v>
          </cell>
          <cell r="X114">
            <v>53.1</v>
          </cell>
          <cell r="Y114">
            <v>3700</v>
          </cell>
          <cell r="AA114">
            <v>516.79999999999995</v>
          </cell>
          <cell r="AD114">
            <v>245.89999999999998</v>
          </cell>
          <cell r="AE114">
            <v>2100</v>
          </cell>
          <cell r="AI114">
            <v>0</v>
          </cell>
          <cell r="AJ114">
            <v>2.1800000000000002</v>
          </cell>
          <cell r="AK114">
            <v>28.78</v>
          </cell>
          <cell r="AO114">
            <v>0</v>
          </cell>
          <cell r="AP114">
            <v>5.59</v>
          </cell>
          <cell r="AQ114">
            <v>72.709999999999994</v>
          </cell>
          <cell r="AU114">
            <v>0</v>
          </cell>
          <cell r="AV114">
            <v>3.21</v>
          </cell>
          <cell r="AW114">
            <v>58.61</v>
          </cell>
          <cell r="BA114">
            <v>0</v>
          </cell>
          <cell r="BB114">
            <v>2.4220000000000002</v>
          </cell>
          <cell r="BC114">
            <v>28.5</v>
          </cell>
          <cell r="BG114">
            <v>0</v>
          </cell>
          <cell r="BI114">
            <v>200</v>
          </cell>
          <cell r="BM114">
            <v>0</v>
          </cell>
          <cell r="BN114">
            <v>20000</v>
          </cell>
          <cell r="BO114">
            <v>5.4</v>
          </cell>
          <cell r="BP114">
            <v>75</v>
          </cell>
          <cell r="BS114">
            <v>0</v>
          </cell>
          <cell r="BU114">
            <v>6</v>
          </cell>
          <cell r="CD114">
            <v>74.5</v>
          </cell>
        </row>
        <row r="115">
          <cell r="A115">
            <v>39191</v>
          </cell>
          <cell r="H115">
            <v>0</v>
          </cell>
          <cell r="I115">
            <v>0</v>
          </cell>
          <cell r="J115">
            <v>342.3</v>
          </cell>
          <cell r="K115">
            <v>28100</v>
          </cell>
          <cell r="L115">
            <v>3400</v>
          </cell>
          <cell r="M115">
            <v>31500</v>
          </cell>
          <cell r="P115">
            <v>0</v>
          </cell>
          <cell r="S115">
            <v>50</v>
          </cell>
          <cell r="T115">
            <v>54.9</v>
          </cell>
          <cell r="V115">
            <v>54.9</v>
          </cell>
          <cell r="X115">
            <v>52.1</v>
          </cell>
          <cell r="Y115">
            <v>3700</v>
          </cell>
          <cell r="Z115">
            <v>112.5</v>
          </cell>
          <cell r="AD115">
            <v>140.9</v>
          </cell>
          <cell r="AE115">
            <v>2000</v>
          </cell>
          <cell r="AI115">
            <v>0</v>
          </cell>
          <cell r="AJ115">
            <v>1.61</v>
          </cell>
          <cell r="AK115">
            <v>27.18</v>
          </cell>
          <cell r="AO115">
            <v>0</v>
          </cell>
          <cell r="AP115">
            <v>4.28</v>
          </cell>
          <cell r="AQ115">
            <v>68.430000000000007</v>
          </cell>
          <cell r="AR115">
            <v>23.92</v>
          </cell>
          <cell r="AU115">
            <v>23.92</v>
          </cell>
          <cell r="AW115">
            <v>84.85</v>
          </cell>
          <cell r="BA115">
            <v>0</v>
          </cell>
          <cell r="BB115">
            <v>2.7570000000000001</v>
          </cell>
          <cell r="BC115">
            <v>28.5</v>
          </cell>
          <cell r="BG115">
            <v>0</v>
          </cell>
          <cell r="BI115">
            <v>200</v>
          </cell>
          <cell r="BM115">
            <v>0</v>
          </cell>
          <cell r="BN115">
            <v>25000</v>
          </cell>
          <cell r="BO115">
            <v>6</v>
          </cell>
          <cell r="BP115">
            <v>75</v>
          </cell>
          <cell r="BS115">
            <v>0</v>
          </cell>
          <cell r="BU115">
            <v>6</v>
          </cell>
          <cell r="CD115">
            <v>74.5</v>
          </cell>
        </row>
        <row r="116">
          <cell r="A116">
            <v>39192</v>
          </cell>
          <cell r="H116">
            <v>0</v>
          </cell>
          <cell r="I116">
            <v>0</v>
          </cell>
          <cell r="J116">
            <v>349.7</v>
          </cell>
          <cell r="K116">
            <v>28100</v>
          </cell>
          <cell r="L116">
            <v>3100</v>
          </cell>
          <cell r="M116">
            <v>31200</v>
          </cell>
          <cell r="P116">
            <v>0</v>
          </cell>
          <cell r="S116">
            <v>50</v>
          </cell>
          <cell r="V116">
            <v>0</v>
          </cell>
          <cell r="X116">
            <v>77.3</v>
          </cell>
          <cell r="Y116">
            <v>3600</v>
          </cell>
          <cell r="Z116">
            <v>113.1</v>
          </cell>
          <cell r="AD116">
            <v>321.60000000000002</v>
          </cell>
          <cell r="AE116">
            <v>1800</v>
          </cell>
          <cell r="AI116">
            <v>0</v>
          </cell>
          <cell r="AJ116">
            <v>2.2000000000000002</v>
          </cell>
          <cell r="AK116">
            <v>25</v>
          </cell>
          <cell r="AO116">
            <v>0</v>
          </cell>
          <cell r="AP116">
            <v>6.1</v>
          </cell>
          <cell r="AQ116">
            <v>62.4</v>
          </cell>
          <cell r="AU116">
            <v>0</v>
          </cell>
          <cell r="AV116">
            <v>1.3</v>
          </cell>
          <cell r="AW116">
            <v>83.5</v>
          </cell>
          <cell r="BA116">
            <v>0</v>
          </cell>
          <cell r="BB116">
            <v>2.7040000000000002</v>
          </cell>
          <cell r="BC116">
            <v>28.5</v>
          </cell>
          <cell r="BG116">
            <v>0</v>
          </cell>
          <cell r="BI116">
            <v>200</v>
          </cell>
          <cell r="BM116">
            <v>0</v>
          </cell>
          <cell r="BO116">
            <v>3.4</v>
          </cell>
          <cell r="BP116">
            <v>75</v>
          </cell>
          <cell r="BS116">
            <v>0</v>
          </cell>
          <cell r="BU116">
            <v>6</v>
          </cell>
          <cell r="CD116">
            <v>74.5</v>
          </cell>
        </row>
        <row r="117">
          <cell r="A117">
            <v>39193</v>
          </cell>
          <cell r="H117">
            <v>0</v>
          </cell>
          <cell r="I117">
            <v>0</v>
          </cell>
          <cell r="J117">
            <v>346.6</v>
          </cell>
          <cell r="K117">
            <v>28100</v>
          </cell>
          <cell r="L117">
            <v>2700</v>
          </cell>
          <cell r="M117">
            <v>30800</v>
          </cell>
          <cell r="P117">
            <v>0</v>
          </cell>
          <cell r="S117">
            <v>50</v>
          </cell>
          <cell r="V117">
            <v>0</v>
          </cell>
          <cell r="X117">
            <v>77.900000000000006</v>
          </cell>
          <cell r="Y117">
            <v>3500</v>
          </cell>
          <cell r="Z117">
            <v>57</v>
          </cell>
          <cell r="AA117">
            <v>480</v>
          </cell>
          <cell r="AD117">
            <v>345</v>
          </cell>
          <cell r="AE117">
            <v>2000</v>
          </cell>
          <cell r="AI117">
            <v>0</v>
          </cell>
          <cell r="AJ117">
            <v>1.5</v>
          </cell>
          <cell r="AK117">
            <v>23.5</v>
          </cell>
          <cell r="AO117">
            <v>0</v>
          </cell>
          <cell r="AP117">
            <v>5.7</v>
          </cell>
          <cell r="AQ117">
            <v>56.6</v>
          </cell>
          <cell r="AU117">
            <v>0</v>
          </cell>
          <cell r="AW117">
            <v>83.5</v>
          </cell>
          <cell r="BA117">
            <v>0</v>
          </cell>
          <cell r="BB117">
            <v>3.0470000000000002</v>
          </cell>
          <cell r="BC117">
            <v>28.5</v>
          </cell>
          <cell r="BG117">
            <v>0</v>
          </cell>
          <cell r="BI117">
            <v>200</v>
          </cell>
          <cell r="BM117">
            <v>0</v>
          </cell>
          <cell r="BO117">
            <v>5</v>
          </cell>
          <cell r="BP117">
            <v>75</v>
          </cell>
          <cell r="BS117">
            <v>0</v>
          </cell>
          <cell r="BU117">
            <v>6</v>
          </cell>
          <cell r="CD117">
            <v>74.5</v>
          </cell>
        </row>
        <row r="118">
          <cell r="A118">
            <v>39194</v>
          </cell>
          <cell r="H118">
            <v>0</v>
          </cell>
          <cell r="I118">
            <v>0</v>
          </cell>
          <cell r="J118">
            <v>352.8</v>
          </cell>
          <cell r="K118">
            <v>29300</v>
          </cell>
          <cell r="L118">
            <v>3300</v>
          </cell>
          <cell r="M118">
            <v>32600</v>
          </cell>
          <cell r="P118">
            <v>0</v>
          </cell>
          <cell r="S118">
            <v>50</v>
          </cell>
          <cell r="T118">
            <v>79.099999999999994</v>
          </cell>
          <cell r="V118">
            <v>79.099999999999994</v>
          </cell>
          <cell r="X118">
            <v>82.2</v>
          </cell>
          <cell r="Y118">
            <v>3500</v>
          </cell>
          <cell r="AD118">
            <v>294</v>
          </cell>
          <cell r="AE118">
            <v>1600</v>
          </cell>
          <cell r="AI118">
            <v>0</v>
          </cell>
          <cell r="AJ118">
            <v>3.4</v>
          </cell>
          <cell r="AK118">
            <v>20.100000000000001</v>
          </cell>
          <cell r="AO118">
            <v>0</v>
          </cell>
          <cell r="AP118">
            <v>6</v>
          </cell>
          <cell r="AQ118">
            <v>50.7</v>
          </cell>
          <cell r="AU118">
            <v>0</v>
          </cell>
          <cell r="AW118">
            <v>83.5</v>
          </cell>
          <cell r="BA118">
            <v>0</v>
          </cell>
          <cell r="BB118">
            <v>2.9660000000000002</v>
          </cell>
          <cell r="BC118">
            <v>28.5</v>
          </cell>
          <cell r="BG118">
            <v>0</v>
          </cell>
          <cell r="BI118">
            <v>200</v>
          </cell>
          <cell r="BM118">
            <v>0</v>
          </cell>
          <cell r="BO118">
            <v>4.4000000000000004</v>
          </cell>
          <cell r="BP118">
            <v>75</v>
          </cell>
          <cell r="BS118">
            <v>0</v>
          </cell>
          <cell r="BU118">
            <v>6</v>
          </cell>
          <cell r="CD118">
            <v>74.5</v>
          </cell>
        </row>
        <row r="119">
          <cell r="A119">
            <v>39195</v>
          </cell>
          <cell r="C119">
            <v>3150.2</v>
          </cell>
          <cell r="H119">
            <v>3150.2</v>
          </cell>
          <cell r="I119">
            <v>0</v>
          </cell>
          <cell r="J119">
            <v>359.6</v>
          </cell>
          <cell r="K119">
            <v>31200</v>
          </cell>
          <cell r="L119">
            <v>3000</v>
          </cell>
          <cell r="M119">
            <v>34200</v>
          </cell>
          <cell r="P119">
            <v>0</v>
          </cell>
          <cell r="S119">
            <v>50</v>
          </cell>
          <cell r="T119">
            <v>83.6</v>
          </cell>
          <cell r="V119">
            <v>83.6</v>
          </cell>
          <cell r="X119">
            <v>78.8</v>
          </cell>
          <cell r="Y119">
            <v>3500</v>
          </cell>
          <cell r="Z119">
            <v>168</v>
          </cell>
          <cell r="AA119">
            <v>49.1</v>
          </cell>
          <cell r="AD119">
            <v>203</v>
          </cell>
          <cell r="AE119">
            <v>1600</v>
          </cell>
          <cell r="AI119">
            <v>0</v>
          </cell>
          <cell r="AJ119">
            <v>1.49</v>
          </cell>
          <cell r="AK119">
            <v>18.579999999999998</v>
          </cell>
          <cell r="AO119">
            <v>0</v>
          </cell>
          <cell r="AP119">
            <v>5.47</v>
          </cell>
          <cell r="AQ119">
            <v>45.22</v>
          </cell>
          <cell r="AU119">
            <v>0</v>
          </cell>
          <cell r="AV119">
            <v>0.71</v>
          </cell>
          <cell r="AW119">
            <v>82.82</v>
          </cell>
          <cell r="BA119">
            <v>0</v>
          </cell>
          <cell r="BB119">
            <v>2.7589999999999999</v>
          </cell>
          <cell r="BC119">
            <v>28.5</v>
          </cell>
          <cell r="BG119">
            <v>0</v>
          </cell>
          <cell r="BI119">
            <v>200</v>
          </cell>
          <cell r="BM119">
            <v>0</v>
          </cell>
          <cell r="BN119">
            <v>30000</v>
          </cell>
          <cell r="BO119">
            <v>4.4000000000000004</v>
          </cell>
          <cell r="BP119">
            <v>75</v>
          </cell>
          <cell r="BS119">
            <v>0</v>
          </cell>
          <cell r="BU119">
            <v>6</v>
          </cell>
          <cell r="CD119">
            <v>74.5</v>
          </cell>
        </row>
        <row r="120">
          <cell r="A120">
            <v>39196</v>
          </cell>
          <cell r="H120">
            <v>0</v>
          </cell>
          <cell r="I120">
            <v>173</v>
          </cell>
          <cell r="J120">
            <v>69.099999999999994</v>
          </cell>
          <cell r="K120">
            <v>31000</v>
          </cell>
          <cell r="L120">
            <v>3000</v>
          </cell>
          <cell r="M120">
            <v>34000</v>
          </cell>
          <cell r="P120">
            <v>0</v>
          </cell>
          <cell r="S120">
            <v>50</v>
          </cell>
          <cell r="T120">
            <v>27.8</v>
          </cell>
          <cell r="V120">
            <v>27.8</v>
          </cell>
          <cell r="X120">
            <v>64.3</v>
          </cell>
          <cell r="Y120">
            <v>3500</v>
          </cell>
          <cell r="AD120">
            <v>321.10000000000002</v>
          </cell>
          <cell r="AE120">
            <v>1250</v>
          </cell>
          <cell r="AF120">
            <v>24.3</v>
          </cell>
          <cell r="AI120">
            <v>24.3</v>
          </cell>
          <cell r="AJ120">
            <v>0</v>
          </cell>
          <cell r="AK120">
            <v>43.6</v>
          </cell>
          <cell r="AO120">
            <v>0</v>
          </cell>
          <cell r="AP120">
            <v>4.5999999999999996</v>
          </cell>
          <cell r="AQ120">
            <v>46</v>
          </cell>
          <cell r="AU120">
            <v>0</v>
          </cell>
          <cell r="AV120">
            <v>0</v>
          </cell>
          <cell r="AW120">
            <v>82.8</v>
          </cell>
          <cell r="BA120">
            <v>0</v>
          </cell>
          <cell r="BB120">
            <v>1.7869999999999999</v>
          </cell>
          <cell r="BC120">
            <v>28.5</v>
          </cell>
          <cell r="BG120">
            <v>0</v>
          </cell>
          <cell r="BI120">
            <v>200</v>
          </cell>
          <cell r="BJ120">
            <v>25</v>
          </cell>
          <cell r="BM120">
            <v>25</v>
          </cell>
          <cell r="BN120">
            <v>20000</v>
          </cell>
          <cell r="BO120">
            <v>4.8</v>
          </cell>
          <cell r="BP120">
            <v>75</v>
          </cell>
          <cell r="BS120">
            <v>0</v>
          </cell>
          <cell r="BU120">
            <v>6</v>
          </cell>
          <cell r="CD120">
            <v>74.5</v>
          </cell>
        </row>
        <row r="121">
          <cell r="A121">
            <v>39197</v>
          </cell>
          <cell r="B121">
            <v>1318</v>
          </cell>
          <cell r="H121">
            <v>1318</v>
          </cell>
          <cell r="I121">
            <v>420</v>
          </cell>
          <cell r="J121">
            <v>355.3</v>
          </cell>
          <cell r="K121">
            <v>33200</v>
          </cell>
          <cell r="L121">
            <v>4000</v>
          </cell>
          <cell r="M121">
            <v>37200</v>
          </cell>
          <cell r="P121">
            <v>0</v>
          </cell>
          <cell r="S121">
            <v>50</v>
          </cell>
          <cell r="T121">
            <v>83.1</v>
          </cell>
          <cell r="V121">
            <v>83.1</v>
          </cell>
          <cell r="X121">
            <v>52.6</v>
          </cell>
          <cell r="Y121">
            <v>3500</v>
          </cell>
          <cell r="AC121">
            <v>179.2</v>
          </cell>
          <cell r="AD121">
            <v>13</v>
          </cell>
          <cell r="AE121">
            <v>1400</v>
          </cell>
          <cell r="AI121">
            <v>0</v>
          </cell>
          <cell r="AJ121">
            <v>1.72</v>
          </cell>
          <cell r="AK121">
            <v>41.85</v>
          </cell>
          <cell r="AL121">
            <v>24.42</v>
          </cell>
          <cell r="AO121">
            <v>24.42</v>
          </cell>
          <cell r="AP121">
            <v>3</v>
          </cell>
          <cell r="AQ121">
            <v>62</v>
          </cell>
          <cell r="AU121">
            <v>0</v>
          </cell>
          <cell r="AV121">
            <v>0.59</v>
          </cell>
          <cell r="AW121">
            <v>82.23</v>
          </cell>
          <cell r="BA121">
            <v>0</v>
          </cell>
          <cell r="BB121">
            <v>2.2589999999999999</v>
          </cell>
          <cell r="BC121">
            <v>28.5</v>
          </cell>
          <cell r="BG121">
            <v>0</v>
          </cell>
          <cell r="BI121">
            <v>200</v>
          </cell>
          <cell r="BM121">
            <v>0</v>
          </cell>
          <cell r="BN121">
            <v>5000</v>
          </cell>
          <cell r="BO121">
            <v>5.4</v>
          </cell>
          <cell r="BP121">
            <v>75</v>
          </cell>
          <cell r="BS121">
            <v>0</v>
          </cell>
          <cell r="BU121">
            <v>6</v>
          </cell>
          <cell r="CD121">
            <v>74.5</v>
          </cell>
        </row>
        <row r="122">
          <cell r="A122">
            <v>39198</v>
          </cell>
          <cell r="H122">
            <v>0</v>
          </cell>
          <cell r="I122">
            <v>430</v>
          </cell>
          <cell r="J122">
            <v>496.3</v>
          </cell>
          <cell r="K122">
            <v>34500</v>
          </cell>
          <cell r="L122">
            <v>3400</v>
          </cell>
          <cell r="M122">
            <v>37900</v>
          </cell>
          <cell r="P122">
            <v>0</v>
          </cell>
          <cell r="S122">
            <v>50</v>
          </cell>
          <cell r="T122">
            <v>83.3</v>
          </cell>
          <cell r="V122">
            <v>83.3</v>
          </cell>
          <cell r="X122">
            <v>34.9</v>
          </cell>
          <cell r="Y122">
            <v>3500</v>
          </cell>
          <cell r="Z122">
            <v>58</v>
          </cell>
          <cell r="AC122">
            <v>210.2</v>
          </cell>
          <cell r="AD122">
            <v>40</v>
          </cell>
          <cell r="AE122">
            <v>1740</v>
          </cell>
          <cell r="AI122">
            <v>0</v>
          </cell>
          <cell r="AJ122">
            <v>2.4</v>
          </cell>
          <cell r="AK122">
            <v>33.4</v>
          </cell>
          <cell r="AO122">
            <v>0</v>
          </cell>
          <cell r="AP122">
            <v>1.5</v>
          </cell>
          <cell r="AQ122">
            <v>60.5</v>
          </cell>
          <cell r="AU122">
            <v>0</v>
          </cell>
          <cell r="AV122">
            <v>0.7</v>
          </cell>
          <cell r="AW122">
            <v>81.5</v>
          </cell>
          <cell r="BA122">
            <v>0</v>
          </cell>
          <cell r="BB122">
            <v>2.9119999999999999</v>
          </cell>
          <cell r="BC122">
            <v>28.5</v>
          </cell>
          <cell r="BG122">
            <v>0</v>
          </cell>
          <cell r="BI122">
            <v>200</v>
          </cell>
          <cell r="BM122">
            <v>0</v>
          </cell>
          <cell r="BO122">
            <v>5.4</v>
          </cell>
          <cell r="BP122">
            <v>75</v>
          </cell>
          <cell r="BS122">
            <v>0</v>
          </cell>
          <cell r="BU122">
            <v>6</v>
          </cell>
          <cell r="CD122">
            <v>80</v>
          </cell>
        </row>
        <row r="123">
          <cell r="A123">
            <v>39199</v>
          </cell>
          <cell r="H123">
            <v>0</v>
          </cell>
          <cell r="I123">
            <v>570</v>
          </cell>
          <cell r="J123">
            <v>439.1</v>
          </cell>
          <cell r="K123">
            <v>32700</v>
          </cell>
          <cell r="L123">
            <v>3000</v>
          </cell>
          <cell r="M123">
            <v>35700</v>
          </cell>
          <cell r="P123">
            <v>0</v>
          </cell>
          <cell r="S123">
            <v>50</v>
          </cell>
          <cell r="V123">
            <v>0</v>
          </cell>
          <cell r="X123">
            <v>39.299999999999997</v>
          </cell>
          <cell r="Y123">
            <v>3500</v>
          </cell>
          <cell r="Z123">
            <v>57</v>
          </cell>
          <cell r="AA123">
            <v>560.6</v>
          </cell>
          <cell r="AC123">
            <v>179</v>
          </cell>
          <cell r="AD123">
            <v>18</v>
          </cell>
          <cell r="AE123">
            <v>2500</v>
          </cell>
          <cell r="AI123">
            <v>0</v>
          </cell>
          <cell r="AJ123">
            <v>2.2000000000000002</v>
          </cell>
          <cell r="AK123">
            <v>37.299999999999997</v>
          </cell>
          <cell r="AO123">
            <v>0</v>
          </cell>
          <cell r="AP123">
            <v>5.4</v>
          </cell>
          <cell r="AQ123">
            <v>55.1</v>
          </cell>
          <cell r="AU123">
            <v>0</v>
          </cell>
          <cell r="AW123">
            <v>81.5</v>
          </cell>
          <cell r="AX123">
            <v>47.66</v>
          </cell>
          <cell r="BA123">
            <v>47.66</v>
          </cell>
          <cell r="BB123">
            <v>2.524</v>
          </cell>
          <cell r="BC123">
            <v>44.6</v>
          </cell>
          <cell r="BG123">
            <v>0</v>
          </cell>
          <cell r="BI123">
            <v>200</v>
          </cell>
          <cell r="BJ123">
            <v>196</v>
          </cell>
          <cell r="BM123">
            <v>196</v>
          </cell>
          <cell r="BO123">
            <v>5.4</v>
          </cell>
          <cell r="BP123">
            <v>161</v>
          </cell>
          <cell r="BS123">
            <v>0</v>
          </cell>
          <cell r="BU123">
            <v>6</v>
          </cell>
          <cell r="CD123">
            <v>80</v>
          </cell>
        </row>
        <row r="124">
          <cell r="A124">
            <v>39200</v>
          </cell>
          <cell r="C124">
            <v>3014.1</v>
          </cell>
          <cell r="G124">
            <v>880</v>
          </cell>
          <cell r="H124">
            <v>3014.1</v>
          </cell>
          <cell r="I124">
            <v>453</v>
          </cell>
          <cell r="J124">
            <v>356.7</v>
          </cell>
          <cell r="K124">
            <v>34300</v>
          </cell>
          <cell r="L124">
            <v>3500</v>
          </cell>
          <cell r="M124">
            <v>37800</v>
          </cell>
          <cell r="P124">
            <v>0</v>
          </cell>
          <cell r="S124">
            <v>50</v>
          </cell>
          <cell r="V124">
            <v>0</v>
          </cell>
          <cell r="X124">
            <v>40.5</v>
          </cell>
          <cell r="Y124">
            <v>3500</v>
          </cell>
          <cell r="Z124">
            <v>112</v>
          </cell>
          <cell r="AC124">
            <v>125</v>
          </cell>
          <cell r="AD124">
            <v>101</v>
          </cell>
          <cell r="AE124">
            <v>2370</v>
          </cell>
          <cell r="AI124">
            <v>0</v>
          </cell>
          <cell r="AJ124">
            <v>2.4</v>
          </cell>
          <cell r="AK124">
            <v>34.9</v>
          </cell>
          <cell r="AO124">
            <v>0</v>
          </cell>
          <cell r="AP124">
            <v>3.8</v>
          </cell>
          <cell r="AQ124">
            <v>51.3</v>
          </cell>
          <cell r="AU124">
            <v>0</v>
          </cell>
          <cell r="AW124">
            <v>81.5</v>
          </cell>
          <cell r="BA124">
            <v>0</v>
          </cell>
          <cell r="BB124">
            <v>2.2269999999999999</v>
          </cell>
          <cell r="BC124">
            <v>42.3</v>
          </cell>
          <cell r="BG124">
            <v>0</v>
          </cell>
          <cell r="BI124">
            <v>200</v>
          </cell>
          <cell r="BM124">
            <v>0</v>
          </cell>
          <cell r="BO124">
            <v>5.4</v>
          </cell>
          <cell r="BP124">
            <v>161</v>
          </cell>
          <cell r="BS124">
            <v>0</v>
          </cell>
          <cell r="BU124">
            <v>6</v>
          </cell>
          <cell r="CD124">
            <v>80</v>
          </cell>
        </row>
        <row r="125">
          <cell r="A125">
            <v>39201</v>
          </cell>
          <cell r="G125">
            <v>1070</v>
          </cell>
          <cell r="H125">
            <v>0</v>
          </cell>
          <cell r="I125">
            <v>260</v>
          </cell>
          <cell r="J125">
            <v>430.1</v>
          </cell>
          <cell r="K125">
            <v>33600</v>
          </cell>
          <cell r="L125">
            <v>4140</v>
          </cell>
          <cell r="M125">
            <v>37740</v>
          </cell>
          <cell r="P125">
            <v>0</v>
          </cell>
          <cell r="S125">
            <v>50</v>
          </cell>
          <cell r="V125">
            <v>0</v>
          </cell>
          <cell r="X125">
            <v>28.9</v>
          </cell>
          <cell r="Y125">
            <v>3400</v>
          </cell>
          <cell r="Z125">
            <v>56</v>
          </cell>
          <cell r="AC125">
            <v>190.6</v>
          </cell>
          <cell r="AD125">
            <v>131</v>
          </cell>
          <cell r="AE125">
            <v>2050</v>
          </cell>
          <cell r="AI125">
            <v>0</v>
          </cell>
          <cell r="AJ125">
            <v>2.4</v>
          </cell>
          <cell r="AK125">
            <v>32.4</v>
          </cell>
          <cell r="AO125">
            <v>0</v>
          </cell>
          <cell r="AP125">
            <v>4.5</v>
          </cell>
          <cell r="AQ125">
            <v>46.7</v>
          </cell>
          <cell r="AU125">
            <v>0</v>
          </cell>
          <cell r="AV125">
            <v>1.1000000000000001</v>
          </cell>
          <cell r="AW125">
            <v>80.400000000000006</v>
          </cell>
          <cell r="BA125">
            <v>0</v>
          </cell>
          <cell r="BB125">
            <v>2.9340000000000002</v>
          </cell>
          <cell r="BC125">
            <v>39.4</v>
          </cell>
          <cell r="BG125">
            <v>0</v>
          </cell>
          <cell r="BI125">
            <v>200</v>
          </cell>
          <cell r="BM125">
            <v>0</v>
          </cell>
          <cell r="BO125">
            <v>5.4</v>
          </cell>
          <cell r="BP125">
            <v>155</v>
          </cell>
          <cell r="BS125">
            <v>0</v>
          </cell>
          <cell r="BU125">
            <v>6</v>
          </cell>
          <cell r="CD125">
            <v>80</v>
          </cell>
        </row>
        <row r="126">
          <cell r="A126">
            <v>39202</v>
          </cell>
          <cell r="B126">
            <v>-7.44</v>
          </cell>
          <cell r="C126">
            <v>3008</v>
          </cell>
          <cell r="G126">
            <v>360</v>
          </cell>
          <cell r="H126">
            <v>3000.56</v>
          </cell>
          <cell r="I126">
            <v>-136.596</v>
          </cell>
          <cell r="J126">
            <v>121.80000000000001</v>
          </cell>
          <cell r="K126">
            <v>35100</v>
          </cell>
          <cell r="L126">
            <v>4000</v>
          </cell>
          <cell r="M126">
            <v>39100</v>
          </cell>
          <cell r="P126">
            <v>0</v>
          </cell>
          <cell r="R126">
            <v>-52.54</v>
          </cell>
          <cell r="S126">
            <v>50</v>
          </cell>
          <cell r="T126">
            <v>-462.44</v>
          </cell>
          <cell r="V126">
            <v>-462.44</v>
          </cell>
          <cell r="X126">
            <v>598.22400000000005</v>
          </cell>
          <cell r="Y126">
            <v>3400</v>
          </cell>
          <cell r="Z126">
            <v>115.1</v>
          </cell>
          <cell r="AA126">
            <v>1.1000000000000001</v>
          </cell>
          <cell r="AC126">
            <v>136.9</v>
          </cell>
          <cell r="AD126">
            <v>316.97999999999996</v>
          </cell>
          <cell r="AE126">
            <v>1870</v>
          </cell>
          <cell r="AF126">
            <v>0.04</v>
          </cell>
          <cell r="AI126">
            <v>0.04</v>
          </cell>
          <cell r="AJ126">
            <v>7.2449999999999992</v>
          </cell>
          <cell r="AK126">
            <v>29.9</v>
          </cell>
          <cell r="AL126">
            <v>0.56000000000000005</v>
          </cell>
          <cell r="AO126">
            <v>0.56000000000000005</v>
          </cell>
          <cell r="AP126">
            <v>-8.9999999999999858E-2</v>
          </cell>
          <cell r="AQ126">
            <v>41.8</v>
          </cell>
          <cell r="AR126">
            <v>3.1760000000000002</v>
          </cell>
          <cell r="AU126">
            <v>3.1760000000000002</v>
          </cell>
          <cell r="AV126">
            <v>3.1</v>
          </cell>
          <cell r="AW126">
            <v>77.400000000000006</v>
          </cell>
          <cell r="BA126">
            <v>0</v>
          </cell>
          <cell r="BB126">
            <v>2.5230000000000001</v>
          </cell>
          <cell r="BC126">
            <v>36</v>
          </cell>
          <cell r="BG126">
            <v>0</v>
          </cell>
          <cell r="BI126">
            <v>200</v>
          </cell>
          <cell r="BM126">
            <v>0</v>
          </cell>
          <cell r="BN126">
            <v>25000</v>
          </cell>
          <cell r="BO126">
            <v>5.37</v>
          </cell>
          <cell r="BP126">
            <v>155</v>
          </cell>
          <cell r="BS126">
            <v>0</v>
          </cell>
          <cell r="BT126">
            <v>-0.56599999999999995</v>
          </cell>
          <cell r="BU126">
            <v>6</v>
          </cell>
          <cell r="BW126">
            <v>11.74</v>
          </cell>
          <cell r="CD126">
            <v>80.260000000000005</v>
          </cell>
        </row>
        <row r="127">
          <cell r="A127">
            <v>39203</v>
          </cell>
          <cell r="G127">
            <v>260</v>
          </cell>
          <cell r="H127">
            <v>0</v>
          </cell>
          <cell r="I127">
            <v>199</v>
          </cell>
          <cell r="J127">
            <v>546.9</v>
          </cell>
          <cell r="K127">
            <v>37200</v>
          </cell>
          <cell r="L127">
            <v>3700</v>
          </cell>
          <cell r="M127">
            <v>40900</v>
          </cell>
          <cell r="P127">
            <v>0</v>
          </cell>
          <cell r="S127">
            <v>50</v>
          </cell>
          <cell r="V127">
            <v>0</v>
          </cell>
          <cell r="X127">
            <v>33.5</v>
          </cell>
          <cell r="Y127">
            <v>3370</v>
          </cell>
          <cell r="Z127">
            <v>230</v>
          </cell>
          <cell r="AD127">
            <v>303</v>
          </cell>
          <cell r="AE127">
            <v>1800</v>
          </cell>
          <cell r="AI127">
            <v>0</v>
          </cell>
          <cell r="AJ127">
            <v>2.6</v>
          </cell>
          <cell r="AK127">
            <v>27.3</v>
          </cell>
          <cell r="AO127">
            <v>0</v>
          </cell>
          <cell r="AP127">
            <v>3.2</v>
          </cell>
          <cell r="AQ127">
            <v>38.6</v>
          </cell>
          <cell r="AU127">
            <v>0</v>
          </cell>
          <cell r="AV127">
            <v>2.9</v>
          </cell>
          <cell r="AW127">
            <v>74.5</v>
          </cell>
          <cell r="BA127">
            <v>0</v>
          </cell>
          <cell r="BB127">
            <v>3.0190000000000001</v>
          </cell>
          <cell r="BC127">
            <v>29</v>
          </cell>
          <cell r="BG127">
            <v>0</v>
          </cell>
          <cell r="BI127">
            <v>200</v>
          </cell>
          <cell r="BM127">
            <v>0</v>
          </cell>
          <cell r="BO127">
            <v>2.5</v>
          </cell>
          <cell r="BP127">
            <v>150</v>
          </cell>
          <cell r="BS127">
            <v>0</v>
          </cell>
          <cell r="BU127">
            <v>6</v>
          </cell>
          <cell r="CD127">
            <v>80.260000000000005</v>
          </cell>
        </row>
        <row r="128">
          <cell r="A128">
            <v>39204</v>
          </cell>
          <cell r="B128">
            <v>1320.2</v>
          </cell>
          <cell r="C128">
            <v>2936.8</v>
          </cell>
          <cell r="H128">
            <v>4257</v>
          </cell>
          <cell r="I128">
            <v>190</v>
          </cell>
          <cell r="J128">
            <v>548.79999999999995</v>
          </cell>
          <cell r="K128">
            <v>38400</v>
          </cell>
          <cell r="L128">
            <v>4490</v>
          </cell>
          <cell r="M128">
            <v>42890</v>
          </cell>
          <cell r="P128">
            <v>0</v>
          </cell>
          <cell r="S128">
            <v>50</v>
          </cell>
          <cell r="V128">
            <v>0</v>
          </cell>
          <cell r="X128">
            <v>34.1</v>
          </cell>
          <cell r="Y128">
            <v>3300</v>
          </cell>
          <cell r="Z128">
            <v>114.9</v>
          </cell>
          <cell r="AD128">
            <v>295</v>
          </cell>
          <cell r="AE128">
            <v>1600</v>
          </cell>
          <cell r="AI128">
            <v>0</v>
          </cell>
          <cell r="AJ128">
            <v>2.4</v>
          </cell>
          <cell r="AK128">
            <v>24.9</v>
          </cell>
          <cell r="AO128">
            <v>0</v>
          </cell>
          <cell r="AP128">
            <v>2.1</v>
          </cell>
          <cell r="AQ128">
            <v>36.4</v>
          </cell>
          <cell r="AU128">
            <v>0</v>
          </cell>
          <cell r="AV128">
            <v>2.1</v>
          </cell>
          <cell r="AW128">
            <v>72.3</v>
          </cell>
          <cell r="BA128">
            <v>0</v>
          </cell>
          <cell r="BB128">
            <v>3.0979999999999999</v>
          </cell>
          <cell r="BC128">
            <v>25.8</v>
          </cell>
          <cell r="BG128">
            <v>0</v>
          </cell>
          <cell r="BI128">
            <v>200</v>
          </cell>
          <cell r="BM128">
            <v>0</v>
          </cell>
          <cell r="BO128">
            <v>2.5</v>
          </cell>
          <cell r="BP128">
            <v>143</v>
          </cell>
          <cell r="BS128">
            <v>0</v>
          </cell>
          <cell r="BU128">
            <v>5</v>
          </cell>
          <cell r="CD128">
            <v>80.260000000000005</v>
          </cell>
        </row>
        <row r="129">
          <cell r="A129">
            <v>39205</v>
          </cell>
          <cell r="G129">
            <v>360</v>
          </cell>
          <cell r="H129">
            <v>0</v>
          </cell>
          <cell r="I129">
            <v>270</v>
          </cell>
          <cell r="J129">
            <v>537.6</v>
          </cell>
          <cell r="K129">
            <v>36800</v>
          </cell>
          <cell r="L129">
            <v>4300</v>
          </cell>
          <cell r="M129">
            <v>41100</v>
          </cell>
          <cell r="P129">
            <v>0</v>
          </cell>
          <cell r="S129">
            <v>50</v>
          </cell>
          <cell r="V129">
            <v>0</v>
          </cell>
          <cell r="X129">
            <v>39.1</v>
          </cell>
          <cell r="Y129">
            <v>3300</v>
          </cell>
          <cell r="Z129">
            <v>223.8</v>
          </cell>
          <cell r="AA129">
            <v>505.7</v>
          </cell>
          <cell r="AD129">
            <v>288</v>
          </cell>
          <cell r="AE129">
            <v>2000</v>
          </cell>
          <cell r="AI129">
            <v>0</v>
          </cell>
          <cell r="AJ129">
            <v>1.8</v>
          </cell>
          <cell r="AK129">
            <v>23</v>
          </cell>
          <cell r="AO129">
            <v>0</v>
          </cell>
          <cell r="AP129">
            <v>4</v>
          </cell>
          <cell r="AQ129">
            <v>32.299999999999997</v>
          </cell>
          <cell r="AU129">
            <v>0</v>
          </cell>
          <cell r="AV129">
            <v>7.2</v>
          </cell>
          <cell r="AW129">
            <v>65.099999999999994</v>
          </cell>
          <cell r="BA129">
            <v>0</v>
          </cell>
          <cell r="BB129">
            <v>2.907</v>
          </cell>
          <cell r="BC129">
            <v>23</v>
          </cell>
          <cell r="BG129">
            <v>0</v>
          </cell>
          <cell r="BI129">
            <v>200</v>
          </cell>
          <cell r="BM129">
            <v>0</v>
          </cell>
          <cell r="BO129">
            <v>0</v>
          </cell>
          <cell r="BP129">
            <v>143</v>
          </cell>
          <cell r="BS129">
            <v>0</v>
          </cell>
          <cell r="BU129">
            <v>5</v>
          </cell>
          <cell r="CD129">
            <v>80.260000000000005</v>
          </cell>
        </row>
        <row r="130">
          <cell r="A130">
            <v>39206</v>
          </cell>
          <cell r="H130">
            <v>0</v>
          </cell>
          <cell r="I130">
            <v>252</v>
          </cell>
          <cell r="J130">
            <v>581.4</v>
          </cell>
          <cell r="K130">
            <v>38600</v>
          </cell>
          <cell r="L130">
            <v>3700</v>
          </cell>
          <cell r="M130">
            <v>42300</v>
          </cell>
          <cell r="P130">
            <v>0</v>
          </cell>
          <cell r="S130">
            <v>50</v>
          </cell>
          <cell r="V130">
            <v>0</v>
          </cell>
          <cell r="X130">
            <v>48.2</v>
          </cell>
          <cell r="Y130">
            <v>3250</v>
          </cell>
          <cell r="AD130">
            <v>326.5</v>
          </cell>
          <cell r="AE130">
            <v>1700</v>
          </cell>
          <cell r="AI130">
            <v>0</v>
          </cell>
          <cell r="AJ130">
            <v>2.6</v>
          </cell>
          <cell r="AK130">
            <v>21</v>
          </cell>
          <cell r="AO130">
            <v>0</v>
          </cell>
          <cell r="AP130">
            <v>4.2</v>
          </cell>
          <cell r="AQ130">
            <v>28.2</v>
          </cell>
          <cell r="AU130">
            <v>0</v>
          </cell>
          <cell r="AV130">
            <v>0.6</v>
          </cell>
          <cell r="AW130">
            <v>64.5</v>
          </cell>
          <cell r="BA130">
            <v>0</v>
          </cell>
          <cell r="BB130">
            <v>3.2509999999999999</v>
          </cell>
          <cell r="BC130">
            <v>23</v>
          </cell>
          <cell r="BG130">
            <v>0</v>
          </cell>
          <cell r="BI130">
            <v>200</v>
          </cell>
          <cell r="BM130">
            <v>0</v>
          </cell>
          <cell r="BP130">
            <v>143</v>
          </cell>
          <cell r="BS130">
            <v>0</v>
          </cell>
          <cell r="BU130">
            <v>5</v>
          </cell>
          <cell r="CD130">
            <v>80.260000000000005</v>
          </cell>
        </row>
        <row r="131">
          <cell r="A131">
            <v>39207</v>
          </cell>
          <cell r="C131">
            <v>2997.1</v>
          </cell>
          <cell r="G131">
            <v>720</v>
          </cell>
          <cell r="H131">
            <v>2997.1</v>
          </cell>
          <cell r="I131">
            <v>606</v>
          </cell>
          <cell r="J131">
            <v>589.70000000000005</v>
          </cell>
          <cell r="K131">
            <v>38000</v>
          </cell>
          <cell r="L131">
            <v>4150</v>
          </cell>
          <cell r="M131">
            <v>42150</v>
          </cell>
          <cell r="P131">
            <v>0</v>
          </cell>
          <cell r="S131">
            <v>50</v>
          </cell>
          <cell r="V131">
            <v>0</v>
          </cell>
          <cell r="X131">
            <v>196.2</v>
          </cell>
          <cell r="Y131">
            <v>3100</v>
          </cell>
          <cell r="AD131">
            <v>325</v>
          </cell>
          <cell r="AE131">
            <v>1400</v>
          </cell>
          <cell r="AI131">
            <v>0</v>
          </cell>
          <cell r="AJ131">
            <v>1.95</v>
          </cell>
          <cell r="AK131">
            <v>19.04</v>
          </cell>
          <cell r="AO131">
            <v>0</v>
          </cell>
          <cell r="AP131">
            <v>5.5</v>
          </cell>
          <cell r="AQ131">
            <v>22.7</v>
          </cell>
          <cell r="AU131">
            <v>0</v>
          </cell>
          <cell r="AV131">
            <v>0.7</v>
          </cell>
          <cell r="AW131">
            <v>63.4</v>
          </cell>
          <cell r="BA131">
            <v>0</v>
          </cell>
          <cell r="BB131">
            <v>3.2669999999999999</v>
          </cell>
          <cell r="BC131">
            <v>16.5</v>
          </cell>
          <cell r="BG131">
            <v>0</v>
          </cell>
          <cell r="BI131">
            <v>200</v>
          </cell>
          <cell r="BM131">
            <v>0</v>
          </cell>
          <cell r="BP131">
            <v>143</v>
          </cell>
          <cell r="BS131">
            <v>0</v>
          </cell>
          <cell r="BU131">
            <v>5</v>
          </cell>
          <cell r="CD131">
            <v>80.260000000000005</v>
          </cell>
        </row>
        <row r="132">
          <cell r="A132">
            <v>39208</v>
          </cell>
          <cell r="G132">
            <v>520</v>
          </cell>
          <cell r="H132">
            <v>0</v>
          </cell>
          <cell r="I132">
            <v>570</v>
          </cell>
          <cell r="J132">
            <v>302</v>
          </cell>
          <cell r="K132">
            <v>39100</v>
          </cell>
          <cell r="L132">
            <v>4370</v>
          </cell>
          <cell r="M132">
            <v>43470</v>
          </cell>
          <cell r="P132">
            <v>0</v>
          </cell>
          <cell r="S132">
            <v>50</v>
          </cell>
          <cell r="T132">
            <v>54.3</v>
          </cell>
          <cell r="V132">
            <v>54.3</v>
          </cell>
          <cell r="X132">
            <v>191.2</v>
          </cell>
          <cell r="Y132">
            <v>2900</v>
          </cell>
          <cell r="AD132">
            <v>163</v>
          </cell>
          <cell r="AE132">
            <v>1200</v>
          </cell>
          <cell r="AI132">
            <v>0</v>
          </cell>
          <cell r="AJ132">
            <v>0.23</v>
          </cell>
          <cell r="AK132">
            <v>18.8</v>
          </cell>
          <cell r="AO132">
            <v>0</v>
          </cell>
          <cell r="AP132">
            <v>4.2</v>
          </cell>
          <cell r="AQ132">
            <v>18.600000000000001</v>
          </cell>
          <cell r="AU132">
            <v>0</v>
          </cell>
          <cell r="AV132">
            <v>2.4</v>
          </cell>
          <cell r="AW132">
            <v>61.4</v>
          </cell>
          <cell r="BA132">
            <v>0</v>
          </cell>
          <cell r="BB132">
            <v>1.607</v>
          </cell>
          <cell r="BC132">
            <v>14.8</v>
          </cell>
          <cell r="BG132">
            <v>0</v>
          </cell>
          <cell r="BI132">
            <v>200</v>
          </cell>
          <cell r="BM132">
            <v>0</v>
          </cell>
          <cell r="BP132">
            <v>143</v>
          </cell>
          <cell r="BS132">
            <v>0</v>
          </cell>
          <cell r="BU132">
            <v>5</v>
          </cell>
          <cell r="CD132">
            <v>80.260000000000005</v>
          </cell>
        </row>
        <row r="133">
          <cell r="A133">
            <v>39209</v>
          </cell>
          <cell r="C133">
            <v>3047.3</v>
          </cell>
          <cell r="H133">
            <v>3047.3</v>
          </cell>
          <cell r="I133">
            <v>469</v>
          </cell>
          <cell r="J133">
            <v>305.5</v>
          </cell>
          <cell r="K133">
            <v>37700</v>
          </cell>
          <cell r="L133">
            <v>4100</v>
          </cell>
          <cell r="M133">
            <v>41800</v>
          </cell>
          <cell r="P133">
            <v>0</v>
          </cell>
          <cell r="S133">
            <v>50</v>
          </cell>
          <cell r="T133">
            <v>192.3</v>
          </cell>
          <cell r="V133">
            <v>192.3</v>
          </cell>
          <cell r="X133">
            <v>131.5</v>
          </cell>
          <cell r="Y133">
            <v>2900</v>
          </cell>
          <cell r="Z133">
            <v>119</v>
          </cell>
          <cell r="AD133">
            <v>170</v>
          </cell>
          <cell r="AE133">
            <v>1200</v>
          </cell>
          <cell r="AI133">
            <v>0</v>
          </cell>
          <cell r="AJ133">
            <v>3.21</v>
          </cell>
          <cell r="AK133">
            <v>15.6</v>
          </cell>
          <cell r="AO133">
            <v>0</v>
          </cell>
          <cell r="AP133">
            <v>5.59</v>
          </cell>
          <cell r="AQ133">
            <v>12.97</v>
          </cell>
          <cell r="AU133">
            <v>0</v>
          </cell>
          <cell r="AV133">
            <v>0.24</v>
          </cell>
          <cell r="AW133">
            <v>61.17</v>
          </cell>
          <cell r="BA133">
            <v>0</v>
          </cell>
          <cell r="BB133">
            <v>1.659</v>
          </cell>
          <cell r="BC133">
            <v>14.8</v>
          </cell>
          <cell r="BG133">
            <v>0</v>
          </cell>
          <cell r="BI133">
            <v>200</v>
          </cell>
          <cell r="BM133">
            <v>0</v>
          </cell>
          <cell r="BP133">
            <v>143</v>
          </cell>
          <cell r="BS133">
            <v>0</v>
          </cell>
          <cell r="BU133">
            <v>5</v>
          </cell>
          <cell r="CD133">
            <v>80.260000000000005</v>
          </cell>
        </row>
        <row r="134">
          <cell r="A134">
            <v>39210</v>
          </cell>
          <cell r="B134">
            <v>1320</v>
          </cell>
          <cell r="H134">
            <v>1320</v>
          </cell>
          <cell r="I134">
            <v>400</v>
          </cell>
          <cell r="J134">
            <v>312</v>
          </cell>
          <cell r="K134">
            <v>38100</v>
          </cell>
          <cell r="L134">
            <v>5100</v>
          </cell>
          <cell r="M134">
            <v>43200</v>
          </cell>
          <cell r="P134">
            <v>0</v>
          </cell>
          <cell r="S134">
            <v>50</v>
          </cell>
          <cell r="T134">
            <v>27.3</v>
          </cell>
          <cell r="V134">
            <v>27.3</v>
          </cell>
          <cell r="X134">
            <v>15.2</v>
          </cell>
          <cell r="Y134">
            <v>3000</v>
          </cell>
          <cell r="AD134">
            <v>168</v>
          </cell>
          <cell r="AE134">
            <v>1000</v>
          </cell>
          <cell r="AI134">
            <v>0</v>
          </cell>
          <cell r="AJ134">
            <v>2.1800000000000002</v>
          </cell>
          <cell r="AK134">
            <v>13.42</v>
          </cell>
          <cell r="AL134">
            <v>24.22</v>
          </cell>
          <cell r="AO134">
            <v>24.22</v>
          </cell>
          <cell r="AP134">
            <v>2.44</v>
          </cell>
          <cell r="AQ134">
            <v>34.75</v>
          </cell>
          <cell r="AU134">
            <v>0</v>
          </cell>
          <cell r="AV134">
            <v>1.43</v>
          </cell>
          <cell r="AW134">
            <v>59.74</v>
          </cell>
          <cell r="BA134">
            <v>0</v>
          </cell>
          <cell r="BB134">
            <v>1.6970000000000001</v>
          </cell>
          <cell r="BC134">
            <v>14.8</v>
          </cell>
          <cell r="BG134">
            <v>0</v>
          </cell>
          <cell r="BI134">
            <v>200</v>
          </cell>
          <cell r="BM134">
            <v>0</v>
          </cell>
          <cell r="BO134">
            <v>0.6</v>
          </cell>
          <cell r="BP134">
            <v>143</v>
          </cell>
          <cell r="BS134">
            <v>0</v>
          </cell>
          <cell r="BU134">
            <v>5</v>
          </cell>
          <cell r="CD134">
            <v>80.260000000000005</v>
          </cell>
        </row>
        <row r="135">
          <cell r="A135">
            <v>39211</v>
          </cell>
          <cell r="H135">
            <v>0</v>
          </cell>
          <cell r="I135">
            <v>313</v>
          </cell>
          <cell r="J135">
            <v>295.3</v>
          </cell>
          <cell r="K135">
            <v>37800</v>
          </cell>
          <cell r="L135">
            <v>4800</v>
          </cell>
          <cell r="M135">
            <v>42600</v>
          </cell>
          <cell r="P135">
            <v>0</v>
          </cell>
          <cell r="S135">
            <v>50</v>
          </cell>
          <cell r="T135">
            <v>82.5</v>
          </cell>
          <cell r="V135">
            <v>82.5</v>
          </cell>
          <cell r="X135">
            <v>13.6</v>
          </cell>
          <cell r="Y135">
            <v>3050</v>
          </cell>
          <cell r="AD135">
            <v>154</v>
          </cell>
          <cell r="AE135">
            <v>850</v>
          </cell>
          <cell r="AI135">
            <v>0</v>
          </cell>
          <cell r="AJ135">
            <v>1.8</v>
          </cell>
          <cell r="AK135">
            <v>11.6</v>
          </cell>
          <cell r="AO135">
            <v>0</v>
          </cell>
          <cell r="AP135">
            <v>2.2000000000000002</v>
          </cell>
          <cell r="AQ135">
            <v>32.6</v>
          </cell>
          <cell r="AU135">
            <v>0</v>
          </cell>
          <cell r="AV135">
            <v>2.7</v>
          </cell>
          <cell r="AW135">
            <v>57</v>
          </cell>
          <cell r="BA135">
            <v>0</v>
          </cell>
          <cell r="BB135">
            <v>1.5940000000000001</v>
          </cell>
          <cell r="BC135">
            <v>14.8</v>
          </cell>
          <cell r="BG135">
            <v>0</v>
          </cell>
          <cell r="BI135">
            <v>200</v>
          </cell>
          <cell r="BM135">
            <v>0</v>
          </cell>
          <cell r="BO135">
            <v>3.5</v>
          </cell>
          <cell r="BP135">
            <v>143</v>
          </cell>
          <cell r="BS135">
            <v>0</v>
          </cell>
          <cell r="BU135">
            <v>5</v>
          </cell>
          <cell r="CD135">
            <v>80.260000000000005</v>
          </cell>
        </row>
        <row r="136">
          <cell r="A136">
            <v>39212</v>
          </cell>
          <cell r="H136">
            <v>0</v>
          </cell>
          <cell r="I136">
            <v>300</v>
          </cell>
          <cell r="J136">
            <v>284.89999999999998</v>
          </cell>
          <cell r="K136">
            <v>39400</v>
          </cell>
          <cell r="L136">
            <v>4800</v>
          </cell>
          <cell r="M136">
            <v>44200</v>
          </cell>
          <cell r="P136">
            <v>0</v>
          </cell>
          <cell r="S136">
            <v>50</v>
          </cell>
          <cell r="T136">
            <v>190.6</v>
          </cell>
          <cell r="V136">
            <v>190.6</v>
          </cell>
          <cell r="X136">
            <v>13.9</v>
          </cell>
          <cell r="Y136">
            <v>3100</v>
          </cell>
          <cell r="AD136">
            <v>154.5</v>
          </cell>
          <cell r="AE136">
            <v>1200</v>
          </cell>
          <cell r="AF136">
            <v>24.9</v>
          </cell>
          <cell r="AI136">
            <v>24.9</v>
          </cell>
          <cell r="AJ136">
            <v>1.8</v>
          </cell>
          <cell r="AK136">
            <v>34.6</v>
          </cell>
          <cell r="AO136">
            <v>0</v>
          </cell>
          <cell r="AP136">
            <v>2.1</v>
          </cell>
          <cell r="AQ136">
            <v>24.5</v>
          </cell>
          <cell r="AU136">
            <v>0</v>
          </cell>
          <cell r="AV136">
            <v>1.5</v>
          </cell>
          <cell r="AW136">
            <v>55.5</v>
          </cell>
          <cell r="BA136">
            <v>0</v>
          </cell>
          <cell r="BB136">
            <v>1.508</v>
          </cell>
          <cell r="BC136">
            <v>8.3000000000000007</v>
          </cell>
          <cell r="BG136">
            <v>0</v>
          </cell>
          <cell r="BI136">
            <v>200</v>
          </cell>
          <cell r="BM136">
            <v>0</v>
          </cell>
          <cell r="BO136">
            <v>5</v>
          </cell>
          <cell r="BP136">
            <v>133</v>
          </cell>
          <cell r="BS136">
            <v>0</v>
          </cell>
          <cell r="BU136">
            <v>5</v>
          </cell>
          <cell r="CD136">
            <v>80.260000000000005</v>
          </cell>
        </row>
        <row r="137">
          <cell r="A137">
            <v>39213</v>
          </cell>
          <cell r="C137">
            <v>2875.8</v>
          </cell>
          <cell r="H137">
            <v>2875.8</v>
          </cell>
          <cell r="I137">
            <v>540</v>
          </cell>
          <cell r="J137">
            <v>308.10000000000002</v>
          </cell>
          <cell r="K137">
            <v>38800</v>
          </cell>
          <cell r="L137">
            <v>5200</v>
          </cell>
          <cell r="M137">
            <v>44000</v>
          </cell>
          <cell r="P137">
            <v>0</v>
          </cell>
          <cell r="S137">
            <v>50</v>
          </cell>
          <cell r="V137">
            <v>0</v>
          </cell>
          <cell r="X137">
            <v>14.6</v>
          </cell>
          <cell r="Y137">
            <v>3200</v>
          </cell>
          <cell r="AD137">
            <v>137.6</v>
          </cell>
          <cell r="AE137">
            <v>1400</v>
          </cell>
          <cell r="AI137">
            <v>0</v>
          </cell>
          <cell r="AJ137">
            <v>1.6</v>
          </cell>
          <cell r="AK137">
            <v>33</v>
          </cell>
          <cell r="AO137">
            <v>0</v>
          </cell>
          <cell r="AP137">
            <v>4.5999999999999996</v>
          </cell>
          <cell r="AQ137">
            <v>19.899999999999999</v>
          </cell>
          <cell r="AU137">
            <v>0</v>
          </cell>
          <cell r="AV137">
            <v>0.7</v>
          </cell>
          <cell r="AW137">
            <v>54.7</v>
          </cell>
          <cell r="AX137">
            <v>24.72</v>
          </cell>
          <cell r="BA137">
            <v>24.72</v>
          </cell>
          <cell r="BB137">
            <v>1.633</v>
          </cell>
          <cell r="BC137">
            <v>31</v>
          </cell>
          <cell r="BG137">
            <v>0</v>
          </cell>
          <cell r="BI137">
            <v>200</v>
          </cell>
          <cell r="BJ137">
            <v>24.1</v>
          </cell>
          <cell r="BM137">
            <v>24.1</v>
          </cell>
          <cell r="BN137">
            <v>10000</v>
          </cell>
          <cell r="BO137">
            <v>4.4000000000000004</v>
          </cell>
          <cell r="BP137">
            <v>153</v>
          </cell>
          <cell r="BS137">
            <v>0</v>
          </cell>
          <cell r="BU137">
            <v>5</v>
          </cell>
          <cell r="CD137">
            <v>80.260000000000005</v>
          </cell>
        </row>
        <row r="138">
          <cell r="A138">
            <v>39214</v>
          </cell>
          <cell r="H138">
            <v>0</v>
          </cell>
          <cell r="I138">
            <v>810</v>
          </cell>
          <cell r="J138">
            <v>29.3</v>
          </cell>
          <cell r="K138">
            <v>38000</v>
          </cell>
          <cell r="L138">
            <v>5200</v>
          </cell>
          <cell r="M138">
            <v>43200</v>
          </cell>
          <cell r="P138">
            <v>0</v>
          </cell>
          <cell r="S138">
            <v>50</v>
          </cell>
          <cell r="T138">
            <v>55.7</v>
          </cell>
          <cell r="V138">
            <v>55.7</v>
          </cell>
          <cell r="X138">
            <v>5.5</v>
          </cell>
          <cell r="Y138">
            <v>3200</v>
          </cell>
          <cell r="AD138">
            <v>12.9</v>
          </cell>
          <cell r="AE138">
            <v>1400</v>
          </cell>
          <cell r="AI138">
            <v>0</v>
          </cell>
          <cell r="AJ138">
            <v>1.6</v>
          </cell>
          <cell r="AK138">
            <v>31.4</v>
          </cell>
          <cell r="AO138">
            <v>0</v>
          </cell>
          <cell r="AP138">
            <v>5.6</v>
          </cell>
          <cell r="AQ138">
            <v>14.3</v>
          </cell>
          <cell r="AU138">
            <v>0</v>
          </cell>
          <cell r="AV138">
            <v>3</v>
          </cell>
          <cell r="AW138">
            <v>51.8</v>
          </cell>
          <cell r="BA138">
            <v>0</v>
          </cell>
          <cell r="BB138">
            <v>0.157</v>
          </cell>
          <cell r="BC138">
            <v>31</v>
          </cell>
          <cell r="BG138">
            <v>0</v>
          </cell>
          <cell r="BI138">
            <v>200</v>
          </cell>
          <cell r="BM138">
            <v>0</v>
          </cell>
          <cell r="BO138">
            <v>4.4000000000000004</v>
          </cell>
          <cell r="BP138">
            <v>153</v>
          </cell>
          <cell r="BS138">
            <v>0</v>
          </cell>
          <cell r="BU138">
            <v>5</v>
          </cell>
          <cell r="CD138">
            <v>80.260000000000005</v>
          </cell>
        </row>
        <row r="139">
          <cell r="A139">
            <v>39215</v>
          </cell>
          <cell r="H139">
            <v>0</v>
          </cell>
          <cell r="I139">
            <v>520</v>
          </cell>
          <cell r="J139">
            <v>236</v>
          </cell>
          <cell r="K139">
            <v>37500</v>
          </cell>
          <cell r="L139">
            <v>4950</v>
          </cell>
          <cell r="M139">
            <v>42450</v>
          </cell>
          <cell r="P139">
            <v>0</v>
          </cell>
          <cell r="S139">
            <v>50</v>
          </cell>
          <cell r="T139">
            <v>222.3</v>
          </cell>
          <cell r="V139">
            <v>222.3</v>
          </cell>
          <cell r="X139">
            <v>70.3</v>
          </cell>
          <cell r="Y139">
            <v>3200</v>
          </cell>
          <cell r="AD139">
            <v>93.1</v>
          </cell>
          <cell r="AE139">
            <v>1350</v>
          </cell>
          <cell r="AI139">
            <v>0</v>
          </cell>
          <cell r="AJ139">
            <v>1.7</v>
          </cell>
          <cell r="AK139">
            <v>29.7</v>
          </cell>
          <cell r="AO139">
            <v>0</v>
          </cell>
          <cell r="AP139">
            <v>3.8</v>
          </cell>
          <cell r="AQ139">
            <v>10.5</v>
          </cell>
          <cell r="AU139">
            <v>0</v>
          </cell>
          <cell r="AV139">
            <v>4.5</v>
          </cell>
          <cell r="AW139">
            <v>47.2</v>
          </cell>
          <cell r="BA139">
            <v>0</v>
          </cell>
          <cell r="BB139">
            <v>1.2529999999999999</v>
          </cell>
          <cell r="BC139">
            <v>30</v>
          </cell>
          <cell r="BG139">
            <v>0</v>
          </cell>
          <cell r="BI139">
            <v>200</v>
          </cell>
          <cell r="BM139">
            <v>0</v>
          </cell>
          <cell r="BN139">
            <v>20000</v>
          </cell>
          <cell r="BO139">
            <v>5</v>
          </cell>
          <cell r="BP139">
            <v>144</v>
          </cell>
          <cell r="BS139">
            <v>0</v>
          </cell>
          <cell r="BU139">
            <v>5</v>
          </cell>
          <cell r="CD139">
            <v>80.260000000000005</v>
          </cell>
        </row>
        <row r="140">
          <cell r="A140">
            <v>39216</v>
          </cell>
          <cell r="G140">
            <v>596</v>
          </cell>
          <cell r="H140">
            <v>0</v>
          </cell>
          <cell r="I140">
            <v>570</v>
          </cell>
          <cell r="J140">
            <v>140.19999999999999</v>
          </cell>
          <cell r="K140">
            <v>37000</v>
          </cell>
          <cell r="L140">
            <v>4800</v>
          </cell>
          <cell r="M140">
            <v>41800</v>
          </cell>
          <cell r="P140">
            <v>0</v>
          </cell>
          <cell r="S140">
            <v>50</v>
          </cell>
          <cell r="T140">
            <v>194.1</v>
          </cell>
          <cell r="V140">
            <v>194.1</v>
          </cell>
          <cell r="X140">
            <v>152.19999999999999</v>
          </cell>
          <cell r="Y140">
            <v>3200</v>
          </cell>
          <cell r="Z140">
            <v>60</v>
          </cell>
          <cell r="AD140">
            <v>18.899999999999999</v>
          </cell>
          <cell r="AE140">
            <v>1350</v>
          </cell>
          <cell r="AI140">
            <v>0</v>
          </cell>
          <cell r="AJ140">
            <v>2.2999999999999998</v>
          </cell>
          <cell r="AK140">
            <v>27.4</v>
          </cell>
          <cell r="AO140">
            <v>0</v>
          </cell>
          <cell r="AP140">
            <v>3.1</v>
          </cell>
          <cell r="AQ140">
            <v>7.4</v>
          </cell>
          <cell r="AU140">
            <v>0</v>
          </cell>
          <cell r="AV140">
            <v>0.2</v>
          </cell>
          <cell r="AW140">
            <v>47</v>
          </cell>
          <cell r="BA140">
            <v>0</v>
          </cell>
          <cell r="BB140">
            <v>0.72</v>
          </cell>
          <cell r="BC140">
            <v>29.3</v>
          </cell>
          <cell r="BG140">
            <v>0</v>
          </cell>
          <cell r="BI140">
            <v>200</v>
          </cell>
          <cell r="BM140">
            <v>0</v>
          </cell>
          <cell r="BN140">
            <v>15000</v>
          </cell>
          <cell r="BO140">
            <v>4.3</v>
          </cell>
          <cell r="BP140">
            <v>144</v>
          </cell>
          <cell r="BS140">
            <v>0</v>
          </cell>
          <cell r="BU140">
            <v>5</v>
          </cell>
          <cell r="CD140">
            <v>80.260000000000005</v>
          </cell>
        </row>
        <row r="141">
          <cell r="A141">
            <v>39217</v>
          </cell>
          <cell r="B141">
            <v>1320</v>
          </cell>
          <cell r="C141">
            <v>2875.8</v>
          </cell>
          <cell r="H141">
            <v>4195.8</v>
          </cell>
          <cell r="I141">
            <v>820</v>
          </cell>
          <cell r="J141">
            <v>230.3</v>
          </cell>
          <cell r="K141">
            <v>36100</v>
          </cell>
          <cell r="L141">
            <v>5900</v>
          </cell>
          <cell r="M141">
            <v>42000</v>
          </cell>
          <cell r="P141">
            <v>0</v>
          </cell>
          <cell r="S141">
            <v>50</v>
          </cell>
          <cell r="T141">
            <v>327.7</v>
          </cell>
          <cell r="V141">
            <v>327.7</v>
          </cell>
          <cell r="X141">
            <v>183.3</v>
          </cell>
          <cell r="Y141">
            <v>3600</v>
          </cell>
          <cell r="AA141">
            <v>458.2</v>
          </cell>
          <cell r="AD141">
            <v>45.1</v>
          </cell>
          <cell r="AE141">
            <v>1780</v>
          </cell>
          <cell r="AI141">
            <v>0</v>
          </cell>
          <cell r="AJ141">
            <v>0</v>
          </cell>
          <cell r="AK141">
            <v>27.4</v>
          </cell>
          <cell r="AL141">
            <v>24.48</v>
          </cell>
          <cell r="AO141">
            <v>24.48</v>
          </cell>
          <cell r="AP141">
            <v>1.8</v>
          </cell>
          <cell r="AQ141">
            <v>31</v>
          </cell>
          <cell r="AU141">
            <v>0</v>
          </cell>
          <cell r="AV141">
            <v>0</v>
          </cell>
          <cell r="AW141">
            <v>47</v>
          </cell>
          <cell r="BA141">
            <v>0</v>
          </cell>
          <cell r="BB141">
            <v>1.17</v>
          </cell>
          <cell r="BC141">
            <v>28.1</v>
          </cell>
          <cell r="BG141">
            <v>0</v>
          </cell>
          <cell r="BI141">
            <v>200</v>
          </cell>
          <cell r="BM141">
            <v>0</v>
          </cell>
          <cell r="BN141">
            <v>25000</v>
          </cell>
          <cell r="BO141">
            <v>6</v>
          </cell>
          <cell r="BP141">
            <v>133</v>
          </cell>
          <cell r="BS141">
            <v>0</v>
          </cell>
          <cell r="BU141">
            <v>5</v>
          </cell>
          <cell r="CD141">
            <v>80.260000000000005</v>
          </cell>
        </row>
        <row r="142">
          <cell r="A142">
            <v>39218</v>
          </cell>
          <cell r="H142">
            <v>0</v>
          </cell>
          <cell r="I142">
            <v>600</v>
          </cell>
          <cell r="J142">
            <v>376.1</v>
          </cell>
          <cell r="K142">
            <v>35500</v>
          </cell>
          <cell r="L142">
            <v>5500</v>
          </cell>
          <cell r="M142">
            <v>41000</v>
          </cell>
          <cell r="P142">
            <v>0</v>
          </cell>
          <cell r="S142">
            <v>50</v>
          </cell>
          <cell r="T142">
            <v>108</v>
          </cell>
          <cell r="V142">
            <v>108</v>
          </cell>
          <cell r="X142">
            <v>3.4</v>
          </cell>
          <cell r="Y142">
            <v>3700</v>
          </cell>
          <cell r="Z142">
            <v>283.8</v>
          </cell>
          <cell r="AD142">
            <v>26.7</v>
          </cell>
          <cell r="AE142">
            <v>2000</v>
          </cell>
          <cell r="AI142">
            <v>0</v>
          </cell>
          <cell r="AJ142">
            <v>1.2</v>
          </cell>
          <cell r="AK142">
            <v>26.3</v>
          </cell>
          <cell r="AO142">
            <v>0</v>
          </cell>
          <cell r="AP142">
            <v>3.5</v>
          </cell>
          <cell r="AQ142">
            <v>26.7</v>
          </cell>
          <cell r="AU142">
            <v>0</v>
          </cell>
          <cell r="AV142">
            <v>0</v>
          </cell>
          <cell r="AW142">
            <v>47</v>
          </cell>
          <cell r="BA142">
            <v>0</v>
          </cell>
          <cell r="BB142">
            <v>1.6419999999999999</v>
          </cell>
          <cell r="BC142">
            <v>28.1</v>
          </cell>
          <cell r="BG142">
            <v>0</v>
          </cell>
          <cell r="BI142">
            <v>200</v>
          </cell>
          <cell r="BM142">
            <v>0</v>
          </cell>
          <cell r="BN142">
            <v>25000</v>
          </cell>
          <cell r="BO142">
            <v>5.4</v>
          </cell>
          <cell r="BP142">
            <v>133</v>
          </cell>
          <cell r="BS142">
            <v>0</v>
          </cell>
          <cell r="BU142">
            <v>5</v>
          </cell>
          <cell r="CB142">
            <v>48.2</v>
          </cell>
          <cell r="CD142">
            <v>197</v>
          </cell>
        </row>
        <row r="143">
          <cell r="A143">
            <v>39219</v>
          </cell>
          <cell r="H143">
            <v>0</v>
          </cell>
          <cell r="I143">
            <v>550</v>
          </cell>
          <cell r="J143">
            <v>360.1</v>
          </cell>
          <cell r="K143">
            <v>41900</v>
          </cell>
          <cell r="L143">
            <v>5200</v>
          </cell>
          <cell r="M143">
            <v>47100</v>
          </cell>
          <cell r="P143">
            <v>0</v>
          </cell>
          <cell r="S143">
            <v>50</v>
          </cell>
          <cell r="T143">
            <v>296.39999999999998</v>
          </cell>
          <cell r="V143">
            <v>296.39999999999998</v>
          </cell>
          <cell r="X143">
            <v>20.6</v>
          </cell>
          <cell r="Y143">
            <v>4000</v>
          </cell>
          <cell r="Z143">
            <v>292.5</v>
          </cell>
          <cell r="AD143">
            <v>25.7</v>
          </cell>
          <cell r="AE143">
            <v>2300</v>
          </cell>
          <cell r="AI143">
            <v>0</v>
          </cell>
          <cell r="AJ143">
            <v>1.83</v>
          </cell>
          <cell r="AK143">
            <v>24.42</v>
          </cell>
          <cell r="AL143">
            <v>23.92</v>
          </cell>
          <cell r="AO143">
            <v>23.92</v>
          </cell>
          <cell r="AP143">
            <v>2</v>
          </cell>
          <cell r="AQ143">
            <v>51.65</v>
          </cell>
          <cell r="AU143">
            <v>0</v>
          </cell>
          <cell r="AV143">
            <v>0</v>
          </cell>
          <cell r="AW143">
            <v>47</v>
          </cell>
          <cell r="BA143">
            <v>0</v>
          </cell>
          <cell r="BB143">
            <v>1.61</v>
          </cell>
          <cell r="BC143">
            <v>28.1</v>
          </cell>
          <cell r="BG143">
            <v>0</v>
          </cell>
          <cell r="BI143">
            <v>200</v>
          </cell>
          <cell r="BM143">
            <v>0</v>
          </cell>
          <cell r="BN143">
            <v>25000</v>
          </cell>
          <cell r="BO143">
            <v>6</v>
          </cell>
          <cell r="BP143">
            <v>133</v>
          </cell>
          <cell r="BS143">
            <v>0</v>
          </cell>
          <cell r="BU143">
            <v>5</v>
          </cell>
          <cell r="CD143">
            <v>197</v>
          </cell>
        </row>
        <row r="144">
          <cell r="A144">
            <v>39220</v>
          </cell>
          <cell r="C144">
            <v>2998.1</v>
          </cell>
          <cell r="H144">
            <v>2998.1</v>
          </cell>
          <cell r="I144">
            <v>690</v>
          </cell>
          <cell r="J144">
            <v>203.1</v>
          </cell>
          <cell r="K144">
            <v>37300</v>
          </cell>
          <cell r="L144">
            <v>5000</v>
          </cell>
          <cell r="M144">
            <v>42300</v>
          </cell>
          <cell r="P144">
            <v>0</v>
          </cell>
          <cell r="S144">
            <v>50</v>
          </cell>
          <cell r="T144">
            <v>50.7</v>
          </cell>
          <cell r="V144">
            <v>50.7</v>
          </cell>
          <cell r="X144">
            <v>58.2</v>
          </cell>
          <cell r="Y144">
            <v>4000</v>
          </cell>
          <cell r="Z144">
            <v>59.5</v>
          </cell>
          <cell r="AD144">
            <v>27.2</v>
          </cell>
          <cell r="AE144">
            <v>2350</v>
          </cell>
          <cell r="AI144">
            <v>0</v>
          </cell>
          <cell r="AJ144">
            <v>2.1</v>
          </cell>
          <cell r="AK144">
            <v>22.4</v>
          </cell>
          <cell r="AO144">
            <v>0</v>
          </cell>
          <cell r="AP144">
            <v>6</v>
          </cell>
          <cell r="AQ144">
            <v>45.7</v>
          </cell>
          <cell r="AU144">
            <v>0</v>
          </cell>
          <cell r="AV144">
            <v>0</v>
          </cell>
          <cell r="AW144">
            <v>47</v>
          </cell>
          <cell r="BA144">
            <v>0</v>
          </cell>
          <cell r="BB144">
            <v>9.07</v>
          </cell>
          <cell r="BC144">
            <v>24</v>
          </cell>
          <cell r="BG144">
            <v>0</v>
          </cell>
          <cell r="BI144">
            <v>200</v>
          </cell>
          <cell r="BM144">
            <v>0</v>
          </cell>
          <cell r="BN144">
            <v>35000</v>
          </cell>
          <cell r="BO144">
            <v>5.4</v>
          </cell>
          <cell r="BP144">
            <v>121</v>
          </cell>
          <cell r="BS144">
            <v>0</v>
          </cell>
          <cell r="BU144">
            <v>5</v>
          </cell>
          <cell r="CD144">
            <v>197</v>
          </cell>
        </row>
        <row r="145">
          <cell r="A145">
            <v>39221</v>
          </cell>
          <cell r="H145">
            <v>0</v>
          </cell>
          <cell r="I145">
            <v>670</v>
          </cell>
          <cell r="J145">
            <v>132.4</v>
          </cell>
          <cell r="K145">
            <v>36600</v>
          </cell>
          <cell r="L145">
            <v>4800</v>
          </cell>
          <cell r="M145">
            <v>41400</v>
          </cell>
          <cell r="P145">
            <v>0</v>
          </cell>
          <cell r="S145">
            <v>50</v>
          </cell>
          <cell r="V145">
            <v>0</v>
          </cell>
          <cell r="X145">
            <v>76.8</v>
          </cell>
          <cell r="Y145">
            <v>3900</v>
          </cell>
          <cell r="Z145">
            <v>116</v>
          </cell>
          <cell r="AD145">
            <v>21.3</v>
          </cell>
          <cell r="AE145">
            <v>2400</v>
          </cell>
          <cell r="AI145">
            <v>0</v>
          </cell>
          <cell r="AJ145">
            <v>2.8</v>
          </cell>
          <cell r="AK145">
            <v>19.600000000000001</v>
          </cell>
          <cell r="AO145">
            <v>0</v>
          </cell>
          <cell r="AP145">
            <v>4.2</v>
          </cell>
          <cell r="AQ145">
            <v>41.5</v>
          </cell>
          <cell r="AU145">
            <v>0</v>
          </cell>
          <cell r="AV145">
            <v>1.8</v>
          </cell>
          <cell r="AW145">
            <v>45</v>
          </cell>
          <cell r="BA145">
            <v>0</v>
          </cell>
          <cell r="BB145">
            <v>1.0029999999999999</v>
          </cell>
          <cell r="BC145">
            <v>23</v>
          </cell>
          <cell r="BG145">
            <v>0</v>
          </cell>
          <cell r="BI145">
            <v>200</v>
          </cell>
          <cell r="BM145">
            <v>0</v>
          </cell>
          <cell r="BO145">
            <v>5.4</v>
          </cell>
          <cell r="BP145">
            <v>116</v>
          </cell>
          <cell r="BS145">
            <v>0</v>
          </cell>
          <cell r="BU145">
            <v>5</v>
          </cell>
          <cell r="CC145">
            <v>12.9</v>
          </cell>
          <cell r="CD145">
            <v>184</v>
          </cell>
        </row>
        <row r="146">
          <cell r="A146">
            <v>39222</v>
          </cell>
          <cell r="H146">
            <v>0</v>
          </cell>
          <cell r="I146">
            <v>710</v>
          </cell>
          <cell r="J146">
            <v>133</v>
          </cell>
          <cell r="K146">
            <v>35900</v>
          </cell>
          <cell r="L146">
            <v>4700</v>
          </cell>
          <cell r="M146">
            <v>40600</v>
          </cell>
          <cell r="P146">
            <v>0</v>
          </cell>
          <cell r="S146">
            <v>50</v>
          </cell>
          <cell r="T146">
            <v>194.1</v>
          </cell>
          <cell r="V146">
            <v>194.1</v>
          </cell>
          <cell r="X146">
            <v>66.2</v>
          </cell>
          <cell r="Y146">
            <v>3900</v>
          </cell>
          <cell r="AD146">
            <v>21.9</v>
          </cell>
          <cell r="AE146">
            <v>2400</v>
          </cell>
          <cell r="AI146">
            <v>0</v>
          </cell>
          <cell r="AJ146">
            <v>2.4</v>
          </cell>
          <cell r="AK146">
            <v>17.2</v>
          </cell>
          <cell r="AO146">
            <v>0</v>
          </cell>
          <cell r="AP146">
            <v>4.4000000000000004</v>
          </cell>
          <cell r="AQ146">
            <v>37.1</v>
          </cell>
          <cell r="AU146">
            <v>0</v>
          </cell>
          <cell r="AV146">
            <v>1.6</v>
          </cell>
          <cell r="AW146">
            <v>43.7</v>
          </cell>
          <cell r="BA146">
            <v>0</v>
          </cell>
          <cell r="BB146">
            <v>1.0129999999999999</v>
          </cell>
          <cell r="BC146">
            <v>22</v>
          </cell>
          <cell r="BG146">
            <v>0</v>
          </cell>
          <cell r="BI146">
            <v>200</v>
          </cell>
          <cell r="BJ146">
            <v>24.5</v>
          </cell>
          <cell r="BM146">
            <v>24.5</v>
          </cell>
          <cell r="BO146">
            <v>6</v>
          </cell>
          <cell r="BP146">
            <v>134</v>
          </cell>
          <cell r="BS146">
            <v>0</v>
          </cell>
          <cell r="BU146">
            <v>5</v>
          </cell>
          <cell r="CC146">
            <v>13.3</v>
          </cell>
          <cell r="CD146">
            <v>170</v>
          </cell>
        </row>
        <row r="147">
          <cell r="A147">
            <v>39223</v>
          </cell>
          <cell r="H147">
            <v>0</v>
          </cell>
          <cell r="I147">
            <v>600</v>
          </cell>
          <cell r="J147">
            <v>126.5</v>
          </cell>
          <cell r="K147">
            <v>35300</v>
          </cell>
          <cell r="L147">
            <v>4500</v>
          </cell>
          <cell r="M147">
            <v>39800</v>
          </cell>
          <cell r="P147">
            <v>0</v>
          </cell>
          <cell r="S147">
            <v>50</v>
          </cell>
          <cell r="T147">
            <v>28.3</v>
          </cell>
          <cell r="V147">
            <v>28.3</v>
          </cell>
          <cell r="X147">
            <v>62.5</v>
          </cell>
          <cell r="Y147">
            <v>3900</v>
          </cell>
          <cell r="AD147">
            <v>23.4</v>
          </cell>
          <cell r="AE147">
            <v>2400</v>
          </cell>
          <cell r="AI147">
            <v>0</v>
          </cell>
          <cell r="AJ147">
            <v>2.4</v>
          </cell>
          <cell r="AK147">
            <v>14.8</v>
          </cell>
          <cell r="AL147">
            <v>24.22</v>
          </cell>
          <cell r="AO147">
            <v>24.22</v>
          </cell>
          <cell r="AP147">
            <v>2</v>
          </cell>
          <cell r="AQ147">
            <v>59.4</v>
          </cell>
          <cell r="AU147">
            <v>0</v>
          </cell>
          <cell r="AV147">
            <v>0.6</v>
          </cell>
          <cell r="AW147">
            <v>43.1</v>
          </cell>
          <cell r="BA147">
            <v>0</v>
          </cell>
          <cell r="BB147">
            <v>0.95599999999999996</v>
          </cell>
          <cell r="BC147">
            <v>21</v>
          </cell>
          <cell r="BG147">
            <v>0</v>
          </cell>
          <cell r="BI147">
            <v>200</v>
          </cell>
          <cell r="BJ147">
            <v>24.5</v>
          </cell>
          <cell r="BM147">
            <v>24.5</v>
          </cell>
          <cell r="BN147">
            <v>35000</v>
          </cell>
          <cell r="BO147">
            <v>5.4</v>
          </cell>
          <cell r="BP147">
            <v>150</v>
          </cell>
          <cell r="BS147">
            <v>0</v>
          </cell>
          <cell r="BU147">
            <v>5</v>
          </cell>
          <cell r="CB147">
            <v>24.1</v>
          </cell>
          <cell r="CC147">
            <v>14.2</v>
          </cell>
          <cell r="CD147">
            <v>180</v>
          </cell>
        </row>
        <row r="148">
          <cell r="A148">
            <v>39224</v>
          </cell>
          <cell r="H148">
            <v>0</v>
          </cell>
          <cell r="I148">
            <v>697</v>
          </cell>
          <cell r="J148">
            <v>42.1</v>
          </cell>
          <cell r="K148">
            <v>31600</v>
          </cell>
          <cell r="L148">
            <v>7500</v>
          </cell>
          <cell r="M148">
            <v>39100</v>
          </cell>
          <cell r="P148">
            <v>0</v>
          </cell>
          <cell r="S148">
            <v>50</v>
          </cell>
          <cell r="T148">
            <v>248.1</v>
          </cell>
          <cell r="V148">
            <v>248.1</v>
          </cell>
          <cell r="X148">
            <v>40.6</v>
          </cell>
          <cell r="Y148">
            <v>4200</v>
          </cell>
          <cell r="Z148">
            <v>175.1</v>
          </cell>
          <cell r="AD148">
            <v>8</v>
          </cell>
          <cell r="AE148">
            <v>2500</v>
          </cell>
          <cell r="AI148">
            <v>0</v>
          </cell>
          <cell r="AJ148">
            <v>1.72</v>
          </cell>
          <cell r="AK148">
            <v>13.07</v>
          </cell>
          <cell r="AO148">
            <v>0</v>
          </cell>
          <cell r="AP148">
            <v>5.95</v>
          </cell>
          <cell r="AQ148">
            <v>53.43</v>
          </cell>
          <cell r="AU148">
            <v>0</v>
          </cell>
          <cell r="AV148">
            <v>0.12</v>
          </cell>
          <cell r="AW148">
            <v>42.96</v>
          </cell>
          <cell r="AX148">
            <v>23.64</v>
          </cell>
          <cell r="BA148">
            <v>23.64</v>
          </cell>
          <cell r="BB148">
            <v>0.32400000000000001</v>
          </cell>
          <cell r="BC148">
            <v>44.366</v>
          </cell>
          <cell r="BG148">
            <v>0</v>
          </cell>
          <cell r="BI148">
            <v>200</v>
          </cell>
          <cell r="BM148">
            <v>0</v>
          </cell>
          <cell r="BN148">
            <v>40000</v>
          </cell>
          <cell r="BO148">
            <v>5.4</v>
          </cell>
          <cell r="BP148">
            <v>150</v>
          </cell>
          <cell r="BS148">
            <v>0</v>
          </cell>
          <cell r="BU148">
            <v>5</v>
          </cell>
          <cell r="CB148">
            <v>24.1</v>
          </cell>
          <cell r="CC148">
            <v>4.9000000000000004</v>
          </cell>
          <cell r="CD148">
            <v>199.6</v>
          </cell>
        </row>
        <row r="149">
          <cell r="A149">
            <v>39225</v>
          </cell>
          <cell r="H149">
            <v>0</v>
          </cell>
          <cell r="I149">
            <v>730</v>
          </cell>
          <cell r="J149">
            <v>156.69999999999999</v>
          </cell>
          <cell r="K149">
            <v>32000</v>
          </cell>
          <cell r="L149">
            <v>7300</v>
          </cell>
          <cell r="M149">
            <v>39300</v>
          </cell>
          <cell r="P149">
            <v>0</v>
          </cell>
          <cell r="S149">
            <v>50</v>
          </cell>
          <cell r="T149">
            <v>110.5</v>
          </cell>
          <cell r="V149">
            <v>110.5</v>
          </cell>
          <cell r="X149">
            <v>39</v>
          </cell>
          <cell r="Y149">
            <v>4000</v>
          </cell>
          <cell r="Z149">
            <v>293</v>
          </cell>
          <cell r="AD149">
            <v>45.8</v>
          </cell>
          <cell r="AE149">
            <v>2800</v>
          </cell>
          <cell r="AI149">
            <v>0</v>
          </cell>
          <cell r="AJ149">
            <v>1.3</v>
          </cell>
          <cell r="AK149">
            <v>11.8</v>
          </cell>
          <cell r="AO149">
            <v>0</v>
          </cell>
          <cell r="AP149">
            <v>6.1</v>
          </cell>
          <cell r="AQ149">
            <v>47.4</v>
          </cell>
          <cell r="AU149">
            <v>0</v>
          </cell>
          <cell r="AV149">
            <v>1.9</v>
          </cell>
          <cell r="AW149">
            <v>41.1</v>
          </cell>
          <cell r="BA149">
            <v>0</v>
          </cell>
          <cell r="BB149">
            <v>1.179</v>
          </cell>
          <cell r="BC149">
            <v>43.1</v>
          </cell>
          <cell r="BG149">
            <v>0</v>
          </cell>
          <cell r="BI149">
            <v>200</v>
          </cell>
          <cell r="BM149">
            <v>0</v>
          </cell>
          <cell r="BN149">
            <v>30000</v>
          </cell>
          <cell r="BO149">
            <v>6</v>
          </cell>
          <cell r="BP149">
            <v>143</v>
          </cell>
          <cell r="BS149">
            <v>0</v>
          </cell>
          <cell r="BU149">
            <v>5</v>
          </cell>
          <cell r="CB149">
            <v>24.1</v>
          </cell>
          <cell r="CC149">
            <v>15.2</v>
          </cell>
          <cell r="CD149">
            <v>208</v>
          </cell>
        </row>
        <row r="150">
          <cell r="A150">
            <v>39226</v>
          </cell>
          <cell r="C150">
            <v>2870.8</v>
          </cell>
          <cell r="H150">
            <v>2870.8</v>
          </cell>
          <cell r="I150">
            <v>580</v>
          </cell>
          <cell r="J150">
            <v>136.6</v>
          </cell>
          <cell r="K150">
            <v>33100</v>
          </cell>
          <cell r="L150">
            <v>7200</v>
          </cell>
          <cell r="M150">
            <v>40300</v>
          </cell>
          <cell r="P150">
            <v>0</v>
          </cell>
          <cell r="S150">
            <v>50</v>
          </cell>
          <cell r="T150">
            <v>138.69999999999999</v>
          </cell>
          <cell r="V150">
            <v>138.69999999999999</v>
          </cell>
          <cell r="X150">
            <v>32.200000000000003</v>
          </cell>
          <cell r="Y150">
            <v>4100</v>
          </cell>
          <cell r="AD150">
            <v>38.5</v>
          </cell>
          <cell r="AE150">
            <v>3200</v>
          </cell>
          <cell r="AI150">
            <v>0</v>
          </cell>
          <cell r="AJ150">
            <v>2.6</v>
          </cell>
          <cell r="AK150">
            <v>9.1999999999999993</v>
          </cell>
          <cell r="AO150">
            <v>0</v>
          </cell>
          <cell r="AP150">
            <v>4.8</v>
          </cell>
          <cell r="AQ150">
            <v>42.6</v>
          </cell>
          <cell r="AR150">
            <v>25.82</v>
          </cell>
          <cell r="AU150">
            <v>25.82</v>
          </cell>
          <cell r="AV150">
            <v>1.4</v>
          </cell>
          <cell r="AW150">
            <v>65.400000000000006</v>
          </cell>
          <cell r="BA150">
            <v>0</v>
          </cell>
          <cell r="BB150">
            <v>0.95399999999999996</v>
          </cell>
          <cell r="BC150">
            <v>42.2</v>
          </cell>
          <cell r="BG150">
            <v>0</v>
          </cell>
          <cell r="BI150">
            <v>200</v>
          </cell>
          <cell r="BJ150">
            <v>24.2</v>
          </cell>
          <cell r="BM150">
            <v>24.2</v>
          </cell>
          <cell r="BN150">
            <v>30000</v>
          </cell>
          <cell r="BO150">
            <v>3.6</v>
          </cell>
          <cell r="BP150">
            <v>162.80000000000001</v>
          </cell>
          <cell r="BS150">
            <v>0</v>
          </cell>
          <cell r="BU150">
            <v>5</v>
          </cell>
          <cell r="CB150">
            <v>48.2</v>
          </cell>
          <cell r="CC150">
            <v>12.3</v>
          </cell>
          <cell r="CD150">
            <v>240</v>
          </cell>
        </row>
        <row r="151">
          <cell r="A151">
            <v>39227</v>
          </cell>
          <cell r="H151">
            <v>0</v>
          </cell>
          <cell r="I151">
            <v>490</v>
          </cell>
          <cell r="J151">
            <v>177.4</v>
          </cell>
          <cell r="K151">
            <v>33300</v>
          </cell>
          <cell r="L151">
            <v>7000</v>
          </cell>
          <cell r="M151">
            <v>40300</v>
          </cell>
          <cell r="P151">
            <v>0</v>
          </cell>
          <cell r="S151">
            <v>50</v>
          </cell>
          <cell r="T151">
            <v>79</v>
          </cell>
          <cell r="V151">
            <v>79</v>
          </cell>
          <cell r="X151">
            <v>69.2</v>
          </cell>
          <cell r="Y151">
            <v>4100</v>
          </cell>
          <cell r="AD151">
            <v>64</v>
          </cell>
          <cell r="AE151">
            <v>3500</v>
          </cell>
          <cell r="AF151">
            <v>24.26</v>
          </cell>
          <cell r="AI151">
            <v>24.26</v>
          </cell>
          <cell r="AJ151">
            <v>1.3</v>
          </cell>
          <cell r="AK151">
            <v>32.1</v>
          </cell>
          <cell r="AO151">
            <v>0</v>
          </cell>
          <cell r="AP151">
            <v>3.2</v>
          </cell>
          <cell r="AQ151">
            <v>39.4</v>
          </cell>
          <cell r="AU151">
            <v>0</v>
          </cell>
          <cell r="AV151">
            <v>0.8</v>
          </cell>
          <cell r="AW151">
            <v>64.599999999999994</v>
          </cell>
          <cell r="BA151">
            <v>0</v>
          </cell>
          <cell r="BB151">
            <v>1.4059999999999999</v>
          </cell>
          <cell r="BC151">
            <v>40.799999999999997</v>
          </cell>
          <cell r="BG151">
            <v>0</v>
          </cell>
          <cell r="BI151">
            <v>200</v>
          </cell>
          <cell r="BM151">
            <v>0</v>
          </cell>
          <cell r="BN151">
            <v>25000</v>
          </cell>
          <cell r="BO151">
            <v>4.7</v>
          </cell>
          <cell r="BP151">
            <v>158.19999999999999</v>
          </cell>
          <cell r="BS151">
            <v>0</v>
          </cell>
          <cell r="BU151">
            <v>5</v>
          </cell>
          <cell r="CB151">
            <v>0</v>
          </cell>
          <cell r="CC151">
            <v>17.899999999999999</v>
          </cell>
          <cell r="CD151">
            <v>226</v>
          </cell>
        </row>
        <row r="152">
          <cell r="A152">
            <v>39228</v>
          </cell>
          <cell r="C152">
            <v>2882</v>
          </cell>
          <cell r="H152">
            <v>2882</v>
          </cell>
          <cell r="I152">
            <v>576</v>
          </cell>
          <cell r="J152">
            <v>145.9</v>
          </cell>
          <cell r="K152">
            <v>34900</v>
          </cell>
          <cell r="L152">
            <v>6900</v>
          </cell>
          <cell r="M152">
            <v>41800</v>
          </cell>
          <cell r="P152">
            <v>0</v>
          </cell>
          <cell r="S152">
            <v>50</v>
          </cell>
          <cell r="V152">
            <v>0</v>
          </cell>
          <cell r="X152">
            <v>76.599999999999994</v>
          </cell>
          <cell r="Y152">
            <v>4100</v>
          </cell>
          <cell r="AD152">
            <v>55</v>
          </cell>
          <cell r="AE152">
            <v>3800</v>
          </cell>
          <cell r="AI152">
            <v>0</v>
          </cell>
          <cell r="AJ152">
            <v>1.3</v>
          </cell>
          <cell r="AK152">
            <v>30.8</v>
          </cell>
          <cell r="AO152">
            <v>0</v>
          </cell>
          <cell r="AP152">
            <v>6</v>
          </cell>
          <cell r="AQ152">
            <v>33.4</v>
          </cell>
          <cell r="AU152">
            <v>0</v>
          </cell>
          <cell r="AW152">
            <v>64.599999999999994</v>
          </cell>
          <cell r="BA152">
            <v>0</v>
          </cell>
          <cell r="BB152">
            <v>1.1120000000000001</v>
          </cell>
          <cell r="BC152">
            <v>39.700000000000003</v>
          </cell>
          <cell r="BG152">
            <v>0</v>
          </cell>
          <cell r="BI152">
            <v>200</v>
          </cell>
          <cell r="BM152">
            <v>0</v>
          </cell>
          <cell r="BN152">
            <v>5000</v>
          </cell>
          <cell r="BO152">
            <v>6</v>
          </cell>
          <cell r="BP152">
            <v>152.19999999999999</v>
          </cell>
          <cell r="BS152">
            <v>0</v>
          </cell>
          <cell r="BU152">
            <v>5</v>
          </cell>
          <cell r="CB152">
            <v>0</v>
          </cell>
          <cell r="CC152">
            <v>13.7</v>
          </cell>
          <cell r="CD152">
            <v>212.8</v>
          </cell>
        </row>
        <row r="153">
          <cell r="A153">
            <v>39229</v>
          </cell>
          <cell r="H153">
            <v>0</v>
          </cell>
          <cell r="I153">
            <v>727</v>
          </cell>
          <cell r="J153">
            <v>157.30000000000001</v>
          </cell>
          <cell r="K153">
            <v>36200</v>
          </cell>
          <cell r="L153">
            <v>6700</v>
          </cell>
          <cell r="M153">
            <v>42900</v>
          </cell>
          <cell r="P153">
            <v>0</v>
          </cell>
          <cell r="S153">
            <v>50</v>
          </cell>
          <cell r="T153">
            <v>109.4</v>
          </cell>
          <cell r="V153">
            <v>109.4</v>
          </cell>
          <cell r="X153">
            <v>63.1</v>
          </cell>
          <cell r="Y153">
            <v>4100</v>
          </cell>
          <cell r="Z153">
            <v>58</v>
          </cell>
          <cell r="AD153">
            <v>54</v>
          </cell>
          <cell r="AE153">
            <v>3800</v>
          </cell>
          <cell r="AI153">
            <v>0</v>
          </cell>
          <cell r="AJ153">
            <v>2.1</v>
          </cell>
          <cell r="AK153">
            <v>28.8</v>
          </cell>
          <cell r="AO153">
            <v>0</v>
          </cell>
          <cell r="AP153">
            <v>3.8</v>
          </cell>
          <cell r="AQ153">
            <v>29.6</v>
          </cell>
          <cell r="AU153">
            <v>0</v>
          </cell>
          <cell r="AW153">
            <v>64.599999999999994</v>
          </cell>
          <cell r="BA153">
            <v>0</v>
          </cell>
          <cell r="BB153">
            <v>1.202</v>
          </cell>
          <cell r="BC153">
            <v>38.5</v>
          </cell>
          <cell r="BG153">
            <v>0</v>
          </cell>
          <cell r="BI153">
            <v>200</v>
          </cell>
          <cell r="BM153">
            <v>0</v>
          </cell>
          <cell r="BN153">
            <v>0</v>
          </cell>
          <cell r="BO153">
            <v>5.4</v>
          </cell>
          <cell r="BP153">
            <v>146.80000000000001</v>
          </cell>
          <cell r="BS153">
            <v>0</v>
          </cell>
          <cell r="BU153">
            <v>5</v>
          </cell>
          <cell r="CB153">
            <v>0</v>
          </cell>
          <cell r="CC153">
            <v>13.6</v>
          </cell>
          <cell r="CD153">
            <v>199.2</v>
          </cell>
        </row>
        <row r="154">
          <cell r="A154">
            <v>39230</v>
          </cell>
          <cell r="C154">
            <v>3028.3</v>
          </cell>
          <cell r="H154">
            <v>3028.3</v>
          </cell>
          <cell r="I154">
            <v>670</v>
          </cell>
          <cell r="J154">
            <v>60.7</v>
          </cell>
          <cell r="K154">
            <v>36600</v>
          </cell>
          <cell r="L154">
            <v>6700</v>
          </cell>
          <cell r="M154">
            <v>43300</v>
          </cell>
          <cell r="P154">
            <v>0</v>
          </cell>
          <cell r="S154">
            <v>50</v>
          </cell>
          <cell r="T154">
            <v>82.6</v>
          </cell>
          <cell r="V154">
            <v>82.6</v>
          </cell>
          <cell r="X154">
            <v>113.1</v>
          </cell>
          <cell r="Y154">
            <v>4100</v>
          </cell>
          <cell r="AD154">
            <v>10.1</v>
          </cell>
          <cell r="AE154">
            <v>3800</v>
          </cell>
          <cell r="AI154">
            <v>0</v>
          </cell>
          <cell r="AJ154">
            <v>1.2</v>
          </cell>
          <cell r="AK154">
            <v>27.6</v>
          </cell>
          <cell r="AO154">
            <v>0</v>
          </cell>
          <cell r="AP154">
            <v>4.4000000000000004</v>
          </cell>
          <cell r="AQ154">
            <v>25.2</v>
          </cell>
          <cell r="AU154">
            <v>0</v>
          </cell>
          <cell r="AV154">
            <v>0.7</v>
          </cell>
          <cell r="AW154">
            <v>63.9</v>
          </cell>
          <cell r="BA154">
            <v>0</v>
          </cell>
          <cell r="BB154">
            <v>0.28799999999999998</v>
          </cell>
          <cell r="BC154">
            <v>38.5</v>
          </cell>
          <cell r="BG154">
            <v>0</v>
          </cell>
          <cell r="BI154">
            <v>200</v>
          </cell>
          <cell r="BM154">
            <v>0</v>
          </cell>
          <cell r="BN154">
            <v>30000</v>
          </cell>
          <cell r="BO154">
            <v>5.4</v>
          </cell>
          <cell r="BP154">
            <v>137</v>
          </cell>
          <cell r="BS154">
            <v>0</v>
          </cell>
          <cell r="BU154">
            <v>5</v>
          </cell>
          <cell r="CC154">
            <v>3</v>
          </cell>
          <cell r="CD154">
            <v>196</v>
          </cell>
        </row>
        <row r="155">
          <cell r="A155">
            <v>39231</v>
          </cell>
          <cell r="H155">
            <v>0</v>
          </cell>
          <cell r="I155">
            <v>545</v>
          </cell>
          <cell r="J155">
            <v>162.19999999999999</v>
          </cell>
          <cell r="K155">
            <v>38200</v>
          </cell>
          <cell r="L155">
            <v>6550</v>
          </cell>
          <cell r="M155">
            <v>44750</v>
          </cell>
          <cell r="P155">
            <v>0</v>
          </cell>
          <cell r="S155">
            <v>50</v>
          </cell>
          <cell r="T155">
            <v>28.2</v>
          </cell>
          <cell r="V155">
            <v>28.2</v>
          </cell>
          <cell r="X155">
            <v>224.9</v>
          </cell>
          <cell r="Y155">
            <v>3950</v>
          </cell>
          <cell r="Z155">
            <v>58</v>
          </cell>
          <cell r="AD155">
            <v>47.4</v>
          </cell>
          <cell r="AE155">
            <v>3800</v>
          </cell>
          <cell r="AI155">
            <v>0</v>
          </cell>
          <cell r="AJ155">
            <v>1.03</v>
          </cell>
          <cell r="AK155">
            <v>26.6</v>
          </cell>
          <cell r="AL155">
            <v>24.58</v>
          </cell>
          <cell r="AO155">
            <v>24.58</v>
          </cell>
          <cell r="AP155">
            <v>4.1100000000000003</v>
          </cell>
          <cell r="AQ155">
            <v>45.7</v>
          </cell>
          <cell r="AU155">
            <v>0</v>
          </cell>
          <cell r="AV155">
            <v>0.83</v>
          </cell>
          <cell r="AW155">
            <v>63.07</v>
          </cell>
          <cell r="BA155">
            <v>0</v>
          </cell>
          <cell r="BB155">
            <v>1.2050000000000001</v>
          </cell>
          <cell r="BC155">
            <v>37</v>
          </cell>
          <cell r="BG155">
            <v>0</v>
          </cell>
          <cell r="BI155">
            <v>200</v>
          </cell>
          <cell r="BM155">
            <v>0</v>
          </cell>
          <cell r="BN155">
            <v>30000</v>
          </cell>
          <cell r="BO155">
            <v>5.4</v>
          </cell>
          <cell r="BP155">
            <v>136</v>
          </cell>
          <cell r="BS155">
            <v>0</v>
          </cell>
          <cell r="BU155">
            <v>5</v>
          </cell>
          <cell r="CC155">
            <v>14.3</v>
          </cell>
          <cell r="CD155">
            <v>182</v>
          </cell>
        </row>
        <row r="156">
          <cell r="A156">
            <v>39232</v>
          </cell>
          <cell r="H156">
            <v>0</v>
          </cell>
          <cell r="I156">
            <v>430</v>
          </cell>
          <cell r="J156">
            <v>166.3</v>
          </cell>
          <cell r="K156">
            <v>38600</v>
          </cell>
          <cell r="L156">
            <v>6400</v>
          </cell>
          <cell r="M156">
            <v>45000</v>
          </cell>
          <cell r="P156">
            <v>0</v>
          </cell>
          <cell r="S156">
            <v>50</v>
          </cell>
          <cell r="T156">
            <v>162.19999999999999</v>
          </cell>
          <cell r="V156">
            <v>162.19999999999999</v>
          </cell>
          <cell r="X156">
            <v>163.9</v>
          </cell>
          <cell r="Y156">
            <v>4140</v>
          </cell>
          <cell r="AD156">
            <v>47.9</v>
          </cell>
          <cell r="AE156">
            <v>3800</v>
          </cell>
          <cell r="AI156">
            <v>0</v>
          </cell>
          <cell r="AJ156">
            <v>2.2999999999999998</v>
          </cell>
          <cell r="AK156">
            <v>24.3</v>
          </cell>
          <cell r="AO156">
            <v>0</v>
          </cell>
          <cell r="AP156">
            <v>2.6</v>
          </cell>
          <cell r="AQ156">
            <v>43.8</v>
          </cell>
          <cell r="AU156">
            <v>0</v>
          </cell>
          <cell r="AW156">
            <v>63.07</v>
          </cell>
          <cell r="BA156">
            <v>0</v>
          </cell>
          <cell r="BB156">
            <v>1.2529999999999999</v>
          </cell>
          <cell r="BC156">
            <v>37</v>
          </cell>
          <cell r="BG156">
            <v>0</v>
          </cell>
          <cell r="BI156">
            <v>200</v>
          </cell>
          <cell r="BJ156">
            <v>25</v>
          </cell>
          <cell r="BM156">
            <v>25</v>
          </cell>
          <cell r="BN156">
            <v>30000</v>
          </cell>
          <cell r="BO156">
            <v>4.8</v>
          </cell>
          <cell r="BP156">
            <v>156</v>
          </cell>
          <cell r="BS156">
            <v>0</v>
          </cell>
          <cell r="BU156">
            <v>5</v>
          </cell>
          <cell r="CC156">
            <v>14.5</v>
          </cell>
          <cell r="CD156">
            <v>167.4</v>
          </cell>
        </row>
        <row r="157">
          <cell r="A157">
            <v>39233</v>
          </cell>
          <cell r="B157">
            <v>-4.92</v>
          </cell>
          <cell r="C157">
            <v>87.44</v>
          </cell>
          <cell r="H157">
            <v>82.52</v>
          </cell>
          <cell r="I157">
            <v>1261.1979999999999</v>
          </cell>
          <cell r="J157">
            <v>70.944000000000003</v>
          </cell>
          <cell r="K157">
            <v>38200</v>
          </cell>
          <cell r="L157">
            <v>6200</v>
          </cell>
          <cell r="M157">
            <v>44400</v>
          </cell>
          <cell r="P157">
            <v>0</v>
          </cell>
          <cell r="S157">
            <v>50</v>
          </cell>
          <cell r="T157">
            <v>138.52000000000001</v>
          </cell>
          <cell r="V157">
            <v>138.52000000000001</v>
          </cell>
          <cell r="X157">
            <v>180.80500000000001</v>
          </cell>
          <cell r="Y157">
            <v>4100</v>
          </cell>
          <cell r="Z157">
            <v>407.1</v>
          </cell>
          <cell r="AA157">
            <v>525.1</v>
          </cell>
          <cell r="AD157">
            <v>304.44</v>
          </cell>
          <cell r="AE157">
            <v>3750</v>
          </cell>
          <cell r="AI157">
            <v>0</v>
          </cell>
          <cell r="AJ157">
            <v>1.8099999999999998</v>
          </cell>
          <cell r="AK157">
            <v>22</v>
          </cell>
          <cell r="AO157">
            <v>0</v>
          </cell>
          <cell r="AP157">
            <v>2.3729999999999998</v>
          </cell>
          <cell r="AQ157">
            <v>37</v>
          </cell>
          <cell r="AU157">
            <v>0</v>
          </cell>
          <cell r="AW157">
            <v>63.1</v>
          </cell>
          <cell r="BA157">
            <v>0</v>
          </cell>
          <cell r="BB157">
            <v>-7.0640000000000001</v>
          </cell>
          <cell r="BC157">
            <v>34.5</v>
          </cell>
          <cell r="BG157">
            <v>0</v>
          </cell>
          <cell r="BH157">
            <v>69.2</v>
          </cell>
          <cell r="BI157">
            <v>200</v>
          </cell>
          <cell r="BJ157">
            <v>0.8</v>
          </cell>
          <cell r="BM157">
            <v>0.8</v>
          </cell>
          <cell r="BN157">
            <v>28700</v>
          </cell>
          <cell r="BO157">
            <v>4.1100000000000003</v>
          </cell>
          <cell r="BP157">
            <v>150</v>
          </cell>
          <cell r="BS157">
            <v>0</v>
          </cell>
          <cell r="BU157">
            <v>5</v>
          </cell>
          <cell r="CC157">
            <v>15</v>
          </cell>
          <cell r="CD157">
            <v>152</v>
          </cell>
        </row>
        <row r="158">
          <cell r="A158">
            <v>39234</v>
          </cell>
          <cell r="G158">
            <v>525</v>
          </cell>
          <cell r="H158">
            <v>0</v>
          </cell>
          <cell r="I158">
            <v>700</v>
          </cell>
          <cell r="J158">
            <v>376.4</v>
          </cell>
          <cell r="K158">
            <v>37900</v>
          </cell>
          <cell r="L158">
            <v>6350</v>
          </cell>
          <cell r="M158">
            <v>44250</v>
          </cell>
          <cell r="P158">
            <v>0</v>
          </cell>
          <cell r="S158">
            <v>80</v>
          </cell>
          <cell r="T158">
            <v>28.2</v>
          </cell>
          <cell r="V158">
            <v>28.2</v>
          </cell>
          <cell r="X158">
            <v>71.5</v>
          </cell>
          <cell r="Y158">
            <v>4000</v>
          </cell>
          <cell r="AD158">
            <v>49.5</v>
          </cell>
          <cell r="AE158">
            <v>3700</v>
          </cell>
          <cell r="AI158">
            <v>0</v>
          </cell>
          <cell r="AJ158">
            <v>1.8</v>
          </cell>
          <cell r="AK158">
            <v>20.2</v>
          </cell>
          <cell r="AO158">
            <v>0</v>
          </cell>
          <cell r="AP158">
            <v>4.8</v>
          </cell>
          <cell r="AQ158">
            <v>32.200000000000003</v>
          </cell>
          <cell r="AU158">
            <v>0</v>
          </cell>
          <cell r="AW158">
            <v>63.1</v>
          </cell>
          <cell r="BA158">
            <v>0</v>
          </cell>
          <cell r="BB158">
            <v>1.6359999999999999</v>
          </cell>
          <cell r="BC158">
            <v>32.799999999999997</v>
          </cell>
          <cell r="BG158">
            <v>0</v>
          </cell>
          <cell r="BI158">
            <v>200</v>
          </cell>
          <cell r="BM158">
            <v>0</v>
          </cell>
          <cell r="BN158">
            <v>3000</v>
          </cell>
          <cell r="BO158">
            <v>6</v>
          </cell>
          <cell r="BP158">
            <v>144</v>
          </cell>
          <cell r="BS158">
            <v>0</v>
          </cell>
          <cell r="BU158">
            <v>5</v>
          </cell>
          <cell r="CC158">
            <v>12.2</v>
          </cell>
          <cell r="CD158">
            <v>139</v>
          </cell>
        </row>
        <row r="159">
          <cell r="A159">
            <v>39235</v>
          </cell>
          <cell r="C159">
            <v>3089.4</v>
          </cell>
          <cell r="G159">
            <v>360</v>
          </cell>
          <cell r="H159">
            <v>3089.4</v>
          </cell>
          <cell r="I159">
            <v>631</v>
          </cell>
          <cell r="J159">
            <v>370.3</v>
          </cell>
          <cell r="K159">
            <v>38360</v>
          </cell>
          <cell r="L159">
            <v>6350</v>
          </cell>
          <cell r="M159">
            <v>44710</v>
          </cell>
          <cell r="P159">
            <v>0</v>
          </cell>
          <cell r="S159">
            <v>80</v>
          </cell>
          <cell r="V159">
            <v>0</v>
          </cell>
          <cell r="X159">
            <v>75.599999999999994</v>
          </cell>
          <cell r="Y159">
            <v>4000</v>
          </cell>
          <cell r="AD159">
            <v>58.6</v>
          </cell>
          <cell r="AE159">
            <v>3600</v>
          </cell>
          <cell r="AI159">
            <v>0</v>
          </cell>
          <cell r="AJ159">
            <v>1.7</v>
          </cell>
          <cell r="AK159">
            <v>18.5</v>
          </cell>
          <cell r="AL159">
            <v>23.2</v>
          </cell>
          <cell r="AO159">
            <v>23.2</v>
          </cell>
          <cell r="AP159">
            <v>2.6</v>
          </cell>
          <cell r="AQ159">
            <v>52.8</v>
          </cell>
          <cell r="AU159">
            <v>0</v>
          </cell>
          <cell r="AW159">
            <v>63.1</v>
          </cell>
          <cell r="BA159">
            <v>0</v>
          </cell>
          <cell r="BB159">
            <v>2.2069999999999999</v>
          </cell>
          <cell r="BC159">
            <v>30.6</v>
          </cell>
          <cell r="BG159">
            <v>0</v>
          </cell>
          <cell r="BI159">
            <v>200</v>
          </cell>
          <cell r="BM159">
            <v>0</v>
          </cell>
          <cell r="BO159">
            <v>5.4</v>
          </cell>
          <cell r="BP159">
            <v>138</v>
          </cell>
          <cell r="BS159">
            <v>0</v>
          </cell>
          <cell r="BU159">
            <v>5</v>
          </cell>
          <cell r="CC159">
            <v>13.6</v>
          </cell>
          <cell r="CD159">
            <v>126</v>
          </cell>
        </row>
        <row r="160">
          <cell r="A160">
            <v>39236</v>
          </cell>
          <cell r="H160">
            <v>0</v>
          </cell>
          <cell r="I160">
            <v>700</v>
          </cell>
          <cell r="J160">
            <v>229.3</v>
          </cell>
          <cell r="K160">
            <v>39100</v>
          </cell>
          <cell r="L160">
            <v>6100</v>
          </cell>
          <cell r="M160">
            <v>45200</v>
          </cell>
          <cell r="P160">
            <v>0</v>
          </cell>
          <cell r="S160">
            <v>80</v>
          </cell>
          <cell r="T160">
            <v>110.2</v>
          </cell>
          <cell r="V160">
            <v>110.2</v>
          </cell>
          <cell r="X160">
            <v>79.400000000000006</v>
          </cell>
          <cell r="Y160">
            <v>4000</v>
          </cell>
          <cell r="AD160">
            <v>51.8</v>
          </cell>
          <cell r="AE160">
            <v>3600</v>
          </cell>
          <cell r="AI160">
            <v>0</v>
          </cell>
          <cell r="AJ160">
            <v>2.2999999999999998</v>
          </cell>
          <cell r="AK160">
            <v>16.2</v>
          </cell>
          <cell r="AO160">
            <v>0</v>
          </cell>
          <cell r="AP160">
            <v>5.4</v>
          </cell>
          <cell r="AQ160">
            <v>47.5</v>
          </cell>
          <cell r="AU160">
            <v>0</v>
          </cell>
          <cell r="AV160">
            <v>0.7</v>
          </cell>
          <cell r="AW160">
            <v>62.4</v>
          </cell>
          <cell r="BA160">
            <v>0</v>
          </cell>
          <cell r="BB160">
            <v>1.5389999999999999</v>
          </cell>
          <cell r="BC160">
            <v>29.1</v>
          </cell>
          <cell r="BG160">
            <v>0</v>
          </cell>
          <cell r="BI160">
            <v>200</v>
          </cell>
          <cell r="BM160">
            <v>0</v>
          </cell>
          <cell r="BO160">
            <v>4.5</v>
          </cell>
          <cell r="BP160">
            <v>134</v>
          </cell>
          <cell r="BS160">
            <v>0</v>
          </cell>
          <cell r="BU160">
            <v>5</v>
          </cell>
          <cell r="CC160">
            <v>14.4</v>
          </cell>
          <cell r="CD160">
            <v>126</v>
          </cell>
        </row>
        <row r="161">
          <cell r="A161">
            <v>39237</v>
          </cell>
          <cell r="C161">
            <v>2897.2</v>
          </cell>
          <cell r="G161">
            <v>420</v>
          </cell>
          <cell r="H161">
            <v>2897.2</v>
          </cell>
          <cell r="I161">
            <v>618</v>
          </cell>
          <cell r="J161">
            <v>400</v>
          </cell>
          <cell r="K161">
            <v>39500</v>
          </cell>
          <cell r="L161">
            <v>6100</v>
          </cell>
          <cell r="M161">
            <v>45600</v>
          </cell>
          <cell r="P161">
            <v>0</v>
          </cell>
          <cell r="S161">
            <v>80</v>
          </cell>
          <cell r="T161">
            <v>82.7</v>
          </cell>
          <cell r="V161">
            <v>82.7</v>
          </cell>
          <cell r="X161">
            <v>81.400000000000006</v>
          </cell>
          <cell r="Y161">
            <v>4000</v>
          </cell>
          <cell r="AD161">
            <v>65.3</v>
          </cell>
          <cell r="AE161">
            <v>3500</v>
          </cell>
          <cell r="AI161">
            <v>0</v>
          </cell>
          <cell r="AJ161">
            <v>1.4</v>
          </cell>
          <cell r="AK161">
            <v>14.8</v>
          </cell>
          <cell r="AO161">
            <v>0</v>
          </cell>
          <cell r="AP161">
            <v>6.8</v>
          </cell>
          <cell r="AQ161">
            <v>40.700000000000003</v>
          </cell>
          <cell r="AU161">
            <v>0</v>
          </cell>
          <cell r="AV161">
            <v>0.3</v>
          </cell>
          <cell r="AW161">
            <v>62.1</v>
          </cell>
          <cell r="BA161">
            <v>0</v>
          </cell>
          <cell r="BB161">
            <v>2.363</v>
          </cell>
          <cell r="BC161">
            <v>26.754999999999999</v>
          </cell>
          <cell r="BG161">
            <v>0</v>
          </cell>
          <cell r="BI161">
            <v>200</v>
          </cell>
          <cell r="BM161">
            <v>0</v>
          </cell>
          <cell r="BN161">
            <v>29250</v>
          </cell>
          <cell r="BO161">
            <v>5.4</v>
          </cell>
          <cell r="BP161">
            <v>127</v>
          </cell>
          <cell r="BS161">
            <v>0</v>
          </cell>
          <cell r="BU161">
            <v>5</v>
          </cell>
          <cell r="CC161">
            <v>15</v>
          </cell>
          <cell r="CD161">
            <v>95</v>
          </cell>
        </row>
        <row r="162">
          <cell r="A162">
            <v>39238</v>
          </cell>
          <cell r="H162">
            <v>0</v>
          </cell>
          <cell r="I162">
            <v>554</v>
          </cell>
          <cell r="J162">
            <v>403.4</v>
          </cell>
          <cell r="K162">
            <v>46600</v>
          </cell>
          <cell r="L162">
            <v>5800</v>
          </cell>
          <cell r="M162">
            <v>52400</v>
          </cell>
          <cell r="P162">
            <v>0</v>
          </cell>
          <cell r="S162">
            <v>80</v>
          </cell>
          <cell r="T162">
            <v>110.7</v>
          </cell>
          <cell r="V162">
            <v>110.7</v>
          </cell>
          <cell r="X162">
            <v>64.5</v>
          </cell>
          <cell r="Y162">
            <v>4000</v>
          </cell>
          <cell r="Z162">
            <v>56</v>
          </cell>
          <cell r="AD162">
            <v>76.3</v>
          </cell>
          <cell r="AE162">
            <v>3700</v>
          </cell>
          <cell r="AI162">
            <v>0</v>
          </cell>
          <cell r="AJ162">
            <v>0.8</v>
          </cell>
          <cell r="AK162">
            <v>13.99</v>
          </cell>
          <cell r="AL162">
            <v>24.02</v>
          </cell>
          <cell r="AO162">
            <v>24.02</v>
          </cell>
          <cell r="AP162">
            <v>1.77</v>
          </cell>
          <cell r="AQ162">
            <v>62.95</v>
          </cell>
          <cell r="AU162">
            <v>0</v>
          </cell>
          <cell r="AV162">
            <v>0.95</v>
          </cell>
          <cell r="AW162">
            <v>61.17</v>
          </cell>
          <cell r="BA162">
            <v>0</v>
          </cell>
          <cell r="BB162">
            <v>2.4119999999999999</v>
          </cell>
          <cell r="BC162">
            <v>24.343</v>
          </cell>
          <cell r="BG162">
            <v>0</v>
          </cell>
          <cell r="BI162">
            <v>200</v>
          </cell>
          <cell r="BM162">
            <v>0</v>
          </cell>
          <cell r="BN162">
            <v>30000</v>
          </cell>
          <cell r="BO162">
            <v>5.4</v>
          </cell>
          <cell r="BP162">
            <v>123</v>
          </cell>
          <cell r="BS162">
            <v>0</v>
          </cell>
          <cell r="BU162">
            <v>5</v>
          </cell>
          <cell r="CC162">
            <v>16.899999999999999</v>
          </cell>
          <cell r="CD162">
            <v>80</v>
          </cell>
        </row>
        <row r="163">
          <cell r="A163">
            <v>39239</v>
          </cell>
          <cell r="H163">
            <v>0</v>
          </cell>
          <cell r="I163">
            <v>464</v>
          </cell>
          <cell r="J163">
            <v>467</v>
          </cell>
          <cell r="K163">
            <v>41100</v>
          </cell>
          <cell r="L163">
            <v>5300</v>
          </cell>
          <cell r="M163">
            <v>46400</v>
          </cell>
          <cell r="P163">
            <v>0</v>
          </cell>
          <cell r="S163">
            <v>80</v>
          </cell>
          <cell r="V163">
            <v>0</v>
          </cell>
          <cell r="X163">
            <v>42.3</v>
          </cell>
          <cell r="Y163">
            <v>4000</v>
          </cell>
          <cell r="Z163">
            <v>115</v>
          </cell>
          <cell r="AD163">
            <v>92.8</v>
          </cell>
          <cell r="AE163">
            <v>3700</v>
          </cell>
          <cell r="AI163">
            <v>0</v>
          </cell>
          <cell r="AJ163">
            <v>1.7</v>
          </cell>
          <cell r="AK163">
            <v>12.2</v>
          </cell>
          <cell r="AO163">
            <v>0</v>
          </cell>
          <cell r="AP163">
            <v>5.4</v>
          </cell>
          <cell r="AQ163">
            <v>57.6</v>
          </cell>
          <cell r="AU163">
            <v>0</v>
          </cell>
          <cell r="AV163">
            <v>0</v>
          </cell>
          <cell r="AW163">
            <v>61.2</v>
          </cell>
          <cell r="BA163">
            <v>0</v>
          </cell>
          <cell r="BB163">
            <v>2.593</v>
          </cell>
          <cell r="BC163">
            <v>21.75</v>
          </cell>
          <cell r="BG163">
            <v>0</v>
          </cell>
          <cell r="BI163">
            <v>200</v>
          </cell>
          <cell r="BM163">
            <v>0</v>
          </cell>
          <cell r="BN163">
            <v>25000</v>
          </cell>
          <cell r="BO163">
            <v>5.4</v>
          </cell>
          <cell r="BP163">
            <v>118</v>
          </cell>
          <cell r="BS163">
            <v>0</v>
          </cell>
          <cell r="BU163">
            <v>5</v>
          </cell>
          <cell r="CC163">
            <v>12.6</v>
          </cell>
          <cell r="CD163">
            <v>67.3</v>
          </cell>
        </row>
        <row r="164">
          <cell r="A164">
            <v>39240</v>
          </cell>
          <cell r="C164">
            <v>3006.7</v>
          </cell>
          <cell r="G164">
            <v>760</v>
          </cell>
          <cell r="H164">
            <v>3006.7</v>
          </cell>
          <cell r="I164">
            <v>798</v>
          </cell>
          <cell r="J164">
            <v>483.5</v>
          </cell>
          <cell r="K164">
            <v>39600</v>
          </cell>
          <cell r="L164">
            <v>5700</v>
          </cell>
          <cell r="M164">
            <v>45300</v>
          </cell>
          <cell r="P164">
            <v>0</v>
          </cell>
          <cell r="S164">
            <v>80</v>
          </cell>
          <cell r="V164">
            <v>0</v>
          </cell>
          <cell r="X164">
            <v>56.2</v>
          </cell>
          <cell r="Y164">
            <v>4000</v>
          </cell>
          <cell r="Z164">
            <v>114.5</v>
          </cell>
          <cell r="AD164">
            <v>70.099999999999994</v>
          </cell>
          <cell r="AE164">
            <v>3800</v>
          </cell>
          <cell r="AI164">
            <v>0</v>
          </cell>
          <cell r="AJ164">
            <v>1.6</v>
          </cell>
          <cell r="AK164">
            <v>10.7</v>
          </cell>
          <cell r="AO164">
            <v>0</v>
          </cell>
          <cell r="AP164">
            <v>5.4</v>
          </cell>
          <cell r="AQ164">
            <v>52.2</v>
          </cell>
          <cell r="AU164">
            <v>0</v>
          </cell>
          <cell r="AV164">
            <v>0.12</v>
          </cell>
          <cell r="AW164">
            <v>61</v>
          </cell>
          <cell r="BA164">
            <v>0</v>
          </cell>
          <cell r="BB164">
            <v>2.742</v>
          </cell>
          <cell r="BC164">
            <v>19</v>
          </cell>
          <cell r="BG164">
            <v>0</v>
          </cell>
          <cell r="BI164">
            <v>200</v>
          </cell>
          <cell r="BM164">
            <v>0</v>
          </cell>
          <cell r="BO164">
            <v>6</v>
          </cell>
          <cell r="BP164">
            <v>112</v>
          </cell>
          <cell r="BS164">
            <v>0</v>
          </cell>
          <cell r="BU164">
            <v>5</v>
          </cell>
          <cell r="CC164">
            <v>13.8</v>
          </cell>
          <cell r="CD164">
            <v>53.5</v>
          </cell>
        </row>
        <row r="165">
          <cell r="A165">
            <v>39241</v>
          </cell>
          <cell r="G165">
            <v>260</v>
          </cell>
          <cell r="H165">
            <v>0</v>
          </cell>
          <cell r="I165">
            <v>812</v>
          </cell>
          <cell r="J165">
            <v>366.9</v>
          </cell>
          <cell r="K165">
            <v>38540</v>
          </cell>
          <cell r="L165">
            <v>5600</v>
          </cell>
          <cell r="M165">
            <v>44140</v>
          </cell>
          <cell r="P165">
            <v>0</v>
          </cell>
          <cell r="S165">
            <v>80</v>
          </cell>
          <cell r="T165">
            <v>110.5</v>
          </cell>
          <cell r="V165">
            <v>110.5</v>
          </cell>
          <cell r="X165">
            <v>242.2</v>
          </cell>
          <cell r="Y165">
            <v>3800</v>
          </cell>
          <cell r="AD165">
            <v>54</v>
          </cell>
          <cell r="AE165">
            <v>3700</v>
          </cell>
          <cell r="AI165">
            <v>0</v>
          </cell>
          <cell r="AJ165">
            <v>1.7</v>
          </cell>
          <cell r="AK165">
            <v>8.9</v>
          </cell>
          <cell r="AO165">
            <v>0</v>
          </cell>
          <cell r="AP165">
            <v>5.4</v>
          </cell>
          <cell r="AQ165">
            <v>46.9</v>
          </cell>
          <cell r="AU165">
            <v>0</v>
          </cell>
          <cell r="AV165">
            <v>0.6</v>
          </cell>
          <cell r="AW165">
            <v>60.5</v>
          </cell>
          <cell r="BA165">
            <v>0</v>
          </cell>
          <cell r="BB165">
            <v>2.3660000000000001</v>
          </cell>
          <cell r="BC165">
            <v>17.858000000000001</v>
          </cell>
          <cell r="BG165">
            <v>0</v>
          </cell>
          <cell r="BI165">
            <v>200</v>
          </cell>
          <cell r="BM165">
            <v>0</v>
          </cell>
          <cell r="BO165">
            <v>5.4</v>
          </cell>
          <cell r="BP165">
            <v>106</v>
          </cell>
          <cell r="BS165">
            <v>0</v>
          </cell>
          <cell r="BU165">
            <v>5</v>
          </cell>
          <cell r="CC165">
            <v>14.1</v>
          </cell>
          <cell r="CD165">
            <v>39</v>
          </cell>
        </row>
        <row r="166">
          <cell r="A166">
            <v>39242</v>
          </cell>
          <cell r="G166">
            <v>320</v>
          </cell>
          <cell r="H166">
            <v>0</v>
          </cell>
          <cell r="I166">
            <v>809</v>
          </cell>
          <cell r="J166">
            <v>290.89999999999998</v>
          </cell>
          <cell r="K166">
            <v>37400</v>
          </cell>
          <cell r="L166">
            <v>5500</v>
          </cell>
          <cell r="M166">
            <v>42900</v>
          </cell>
          <cell r="P166">
            <v>0</v>
          </cell>
          <cell r="S166">
            <v>80</v>
          </cell>
          <cell r="V166">
            <v>0</v>
          </cell>
          <cell r="X166">
            <v>277.7</v>
          </cell>
          <cell r="Y166">
            <v>3500</v>
          </cell>
          <cell r="Z166">
            <v>230.5</v>
          </cell>
          <cell r="AD166">
            <v>31.2</v>
          </cell>
          <cell r="AE166">
            <v>3900</v>
          </cell>
          <cell r="AF166">
            <v>25.16</v>
          </cell>
          <cell r="AI166">
            <v>25.16</v>
          </cell>
          <cell r="AJ166">
            <v>1.4</v>
          </cell>
          <cell r="AK166">
            <v>32.700000000000003</v>
          </cell>
          <cell r="AO166">
            <v>0</v>
          </cell>
          <cell r="AP166">
            <v>8.1</v>
          </cell>
          <cell r="AQ166">
            <v>38.799999999999997</v>
          </cell>
          <cell r="AU166">
            <v>0</v>
          </cell>
          <cell r="AV166">
            <v>0</v>
          </cell>
          <cell r="AW166">
            <v>60.5</v>
          </cell>
          <cell r="BA166">
            <v>0</v>
          </cell>
          <cell r="BB166">
            <v>1.7370000000000001</v>
          </cell>
          <cell r="BC166">
            <v>14.9</v>
          </cell>
          <cell r="BG166">
            <v>0</v>
          </cell>
          <cell r="BI166">
            <v>200</v>
          </cell>
          <cell r="BM166">
            <v>0</v>
          </cell>
          <cell r="BN166">
            <v>10000</v>
          </cell>
          <cell r="BO166">
            <v>5.4</v>
          </cell>
          <cell r="BP166">
            <v>100</v>
          </cell>
          <cell r="BS166">
            <v>0</v>
          </cell>
          <cell r="BU166">
            <v>5</v>
          </cell>
          <cell r="CC166">
            <v>5.0999999999999996</v>
          </cell>
          <cell r="CD166">
            <v>34</v>
          </cell>
        </row>
        <row r="167">
          <cell r="A167">
            <v>39243</v>
          </cell>
          <cell r="C167">
            <v>3004.6</v>
          </cell>
          <cell r="G167">
            <v>200</v>
          </cell>
          <cell r="H167">
            <v>3004.6</v>
          </cell>
          <cell r="I167">
            <v>411</v>
          </cell>
          <cell r="J167">
            <v>225.5</v>
          </cell>
          <cell r="K167">
            <v>39800</v>
          </cell>
          <cell r="L167">
            <v>5500</v>
          </cell>
          <cell r="M167">
            <v>45300</v>
          </cell>
          <cell r="P167">
            <v>0</v>
          </cell>
          <cell r="S167">
            <v>80</v>
          </cell>
          <cell r="T167">
            <v>111.1</v>
          </cell>
          <cell r="V167">
            <v>111.1</v>
          </cell>
          <cell r="X167">
            <v>336.6</v>
          </cell>
          <cell r="Y167">
            <v>3300</v>
          </cell>
          <cell r="Z167">
            <v>115</v>
          </cell>
          <cell r="AD167">
            <v>15.7</v>
          </cell>
          <cell r="AE167">
            <v>4000</v>
          </cell>
          <cell r="AI167">
            <v>0</v>
          </cell>
          <cell r="AJ167">
            <v>1.7</v>
          </cell>
          <cell r="AK167">
            <v>31</v>
          </cell>
          <cell r="AO167">
            <v>0</v>
          </cell>
          <cell r="AP167">
            <v>3.9</v>
          </cell>
          <cell r="AQ167">
            <v>34.9</v>
          </cell>
          <cell r="AU167">
            <v>0</v>
          </cell>
          <cell r="AV167">
            <v>0.6</v>
          </cell>
          <cell r="AW167">
            <v>59.9</v>
          </cell>
          <cell r="BA167">
            <v>0</v>
          </cell>
          <cell r="BB167">
            <v>1.2470000000000001</v>
          </cell>
          <cell r="BC167">
            <v>13.6</v>
          </cell>
          <cell r="BG167">
            <v>0</v>
          </cell>
          <cell r="BI167">
            <v>200</v>
          </cell>
          <cell r="BM167">
            <v>0</v>
          </cell>
          <cell r="BO167">
            <v>6</v>
          </cell>
          <cell r="BP167">
            <v>94</v>
          </cell>
          <cell r="BS167">
            <v>0</v>
          </cell>
          <cell r="BU167">
            <v>5</v>
          </cell>
          <cell r="CD167">
            <v>34</v>
          </cell>
        </row>
        <row r="168">
          <cell r="A168">
            <v>39244</v>
          </cell>
          <cell r="G168">
            <v>250</v>
          </cell>
          <cell r="H168">
            <v>0</v>
          </cell>
          <cell r="I168">
            <v>474</v>
          </cell>
          <cell r="J168">
            <v>203.3</v>
          </cell>
          <cell r="K168">
            <v>41400</v>
          </cell>
          <cell r="L168">
            <v>5600</v>
          </cell>
          <cell r="M168">
            <v>47000</v>
          </cell>
          <cell r="P168">
            <v>0</v>
          </cell>
          <cell r="S168">
            <v>80</v>
          </cell>
          <cell r="T168">
            <v>165.7</v>
          </cell>
          <cell r="V168">
            <v>165.7</v>
          </cell>
          <cell r="X168">
            <v>338.7</v>
          </cell>
          <cell r="Y168">
            <v>3100</v>
          </cell>
          <cell r="AD168">
            <v>15.3</v>
          </cell>
          <cell r="AE168">
            <v>4000</v>
          </cell>
          <cell r="AI168">
            <v>0</v>
          </cell>
          <cell r="AJ168">
            <v>1.2</v>
          </cell>
          <cell r="AK168">
            <v>29.8</v>
          </cell>
          <cell r="AO168">
            <v>0</v>
          </cell>
          <cell r="AP168">
            <v>3.7</v>
          </cell>
          <cell r="AQ168">
            <v>31.2</v>
          </cell>
          <cell r="AU168">
            <v>0</v>
          </cell>
          <cell r="AW168">
            <v>59.9</v>
          </cell>
          <cell r="BA168">
            <v>0</v>
          </cell>
          <cell r="BB168">
            <v>1.147</v>
          </cell>
          <cell r="BC168">
            <v>12.5</v>
          </cell>
          <cell r="BG168">
            <v>0</v>
          </cell>
          <cell r="BI168">
            <v>200</v>
          </cell>
          <cell r="BM168">
            <v>0</v>
          </cell>
          <cell r="BN168">
            <v>30000</v>
          </cell>
          <cell r="BO168">
            <v>5.4</v>
          </cell>
          <cell r="BP168">
            <v>89</v>
          </cell>
          <cell r="BS168">
            <v>0</v>
          </cell>
          <cell r="BU168">
            <v>5</v>
          </cell>
          <cell r="CD168">
            <v>34</v>
          </cell>
        </row>
        <row r="169">
          <cell r="A169">
            <v>39245</v>
          </cell>
          <cell r="B169">
            <v>1320</v>
          </cell>
          <cell r="H169">
            <v>1320</v>
          </cell>
          <cell r="I169">
            <v>510</v>
          </cell>
          <cell r="J169">
            <v>220.2</v>
          </cell>
          <cell r="K169">
            <v>41500</v>
          </cell>
          <cell r="L169">
            <v>6800</v>
          </cell>
          <cell r="M169">
            <v>48300</v>
          </cell>
          <cell r="P169">
            <v>0</v>
          </cell>
          <cell r="S169">
            <v>80</v>
          </cell>
          <cell r="T169">
            <v>194.5</v>
          </cell>
          <cell r="V169">
            <v>194.5</v>
          </cell>
          <cell r="X169">
            <v>333.2</v>
          </cell>
          <cell r="Y169">
            <v>3000</v>
          </cell>
          <cell r="AD169">
            <v>22.1</v>
          </cell>
          <cell r="AE169">
            <v>4000</v>
          </cell>
          <cell r="AI169">
            <v>0</v>
          </cell>
          <cell r="AJ169">
            <v>0.56999999999999995</v>
          </cell>
          <cell r="AK169">
            <v>29.24</v>
          </cell>
          <cell r="AL169">
            <v>25.56</v>
          </cell>
          <cell r="AO169">
            <v>25.56</v>
          </cell>
          <cell r="AP169">
            <v>4.1399999999999997</v>
          </cell>
          <cell r="AQ169">
            <v>52.6</v>
          </cell>
          <cell r="AU169">
            <v>0</v>
          </cell>
          <cell r="AV169">
            <v>0.48</v>
          </cell>
          <cell r="AW169">
            <v>59.38</v>
          </cell>
          <cell r="BA169">
            <v>0</v>
          </cell>
          <cell r="BB169">
            <v>1.252</v>
          </cell>
          <cell r="BC169">
            <v>11.257999999999999</v>
          </cell>
          <cell r="BG169">
            <v>0</v>
          </cell>
          <cell r="BI169">
            <v>200</v>
          </cell>
          <cell r="BM169">
            <v>0</v>
          </cell>
          <cell r="BN169">
            <v>30000</v>
          </cell>
          <cell r="BO169">
            <v>1.2</v>
          </cell>
          <cell r="BP169">
            <v>88.5</v>
          </cell>
          <cell r="BS169">
            <v>0</v>
          </cell>
          <cell r="BU169">
            <v>5</v>
          </cell>
          <cell r="CD169">
            <v>34</v>
          </cell>
        </row>
        <row r="170">
          <cell r="A170">
            <v>39246</v>
          </cell>
          <cell r="C170">
            <v>2879.8</v>
          </cell>
          <cell r="H170">
            <v>2879.8</v>
          </cell>
          <cell r="I170">
            <v>431</v>
          </cell>
          <cell r="J170">
            <v>275.39999999999998</v>
          </cell>
          <cell r="K170">
            <v>41000</v>
          </cell>
          <cell r="L170">
            <v>6400</v>
          </cell>
          <cell r="M170">
            <v>47400</v>
          </cell>
          <cell r="P170">
            <v>0</v>
          </cell>
          <cell r="S170">
            <v>80</v>
          </cell>
          <cell r="T170">
            <v>165.7</v>
          </cell>
          <cell r="V170">
            <v>165.7</v>
          </cell>
          <cell r="X170">
            <v>140.9</v>
          </cell>
          <cell r="Y170">
            <v>3000</v>
          </cell>
          <cell r="Z170">
            <v>57</v>
          </cell>
          <cell r="AD170">
            <v>27.6</v>
          </cell>
          <cell r="AE170">
            <v>4000</v>
          </cell>
          <cell r="AI170">
            <v>0</v>
          </cell>
          <cell r="AJ170">
            <v>1.5</v>
          </cell>
          <cell r="AK170">
            <v>27.8</v>
          </cell>
          <cell r="AO170">
            <v>0</v>
          </cell>
          <cell r="AP170">
            <v>5.5</v>
          </cell>
          <cell r="AQ170">
            <v>47.1</v>
          </cell>
          <cell r="AU170">
            <v>0</v>
          </cell>
          <cell r="AV170">
            <v>0.1</v>
          </cell>
          <cell r="AW170">
            <v>59.2</v>
          </cell>
          <cell r="BA170">
            <v>0</v>
          </cell>
          <cell r="BB170">
            <v>1.145</v>
          </cell>
          <cell r="BC170">
            <v>10.15</v>
          </cell>
          <cell r="BG170">
            <v>0</v>
          </cell>
          <cell r="BI170">
            <v>80</v>
          </cell>
          <cell r="BM170">
            <v>0</v>
          </cell>
          <cell r="BN170">
            <v>35000</v>
          </cell>
          <cell r="BO170">
            <v>2.5</v>
          </cell>
          <cell r="BP170">
            <v>86</v>
          </cell>
          <cell r="BS170">
            <v>0</v>
          </cell>
          <cell r="BU170">
            <v>5</v>
          </cell>
          <cell r="CD170">
            <v>34</v>
          </cell>
        </row>
        <row r="171">
          <cell r="A171">
            <v>39247</v>
          </cell>
          <cell r="H171">
            <v>0</v>
          </cell>
          <cell r="I171">
            <v>335</v>
          </cell>
          <cell r="J171">
            <v>319.89999999999998</v>
          </cell>
          <cell r="K171">
            <v>40600</v>
          </cell>
          <cell r="L171">
            <v>6100</v>
          </cell>
          <cell r="M171">
            <v>46700</v>
          </cell>
          <cell r="P171">
            <v>0</v>
          </cell>
          <cell r="S171">
            <v>80</v>
          </cell>
          <cell r="T171">
            <v>223.1</v>
          </cell>
          <cell r="V171">
            <v>223.1</v>
          </cell>
          <cell r="X171">
            <v>11.2</v>
          </cell>
          <cell r="Y171">
            <v>3200</v>
          </cell>
          <cell r="AD171">
            <v>36.6</v>
          </cell>
          <cell r="AE171">
            <v>4000</v>
          </cell>
          <cell r="AI171">
            <v>0</v>
          </cell>
          <cell r="AJ171">
            <v>2.1</v>
          </cell>
          <cell r="AK171">
            <v>25.7</v>
          </cell>
          <cell r="AL171">
            <v>24.36</v>
          </cell>
          <cell r="AO171">
            <v>24.36</v>
          </cell>
          <cell r="AP171">
            <v>1.3</v>
          </cell>
          <cell r="AQ171">
            <v>70.2</v>
          </cell>
          <cell r="AU171">
            <v>0</v>
          </cell>
          <cell r="AW171">
            <v>59.2</v>
          </cell>
          <cell r="AX171">
            <v>24</v>
          </cell>
          <cell r="BA171">
            <v>24</v>
          </cell>
          <cell r="BB171">
            <v>1.4630000000000001</v>
          </cell>
          <cell r="BC171">
            <v>32.68</v>
          </cell>
          <cell r="BG171">
            <v>0</v>
          </cell>
          <cell r="BI171">
            <v>80</v>
          </cell>
          <cell r="BM171">
            <v>0</v>
          </cell>
          <cell r="BN171">
            <v>28850</v>
          </cell>
          <cell r="BO171">
            <v>4.7</v>
          </cell>
          <cell r="BP171">
            <v>81</v>
          </cell>
          <cell r="BS171">
            <v>0</v>
          </cell>
          <cell r="BU171">
            <v>5</v>
          </cell>
          <cell r="CD171">
            <v>34</v>
          </cell>
        </row>
        <row r="172">
          <cell r="A172">
            <v>39248</v>
          </cell>
          <cell r="H172">
            <v>0</v>
          </cell>
          <cell r="I172">
            <v>620</v>
          </cell>
          <cell r="J172">
            <v>370.5</v>
          </cell>
          <cell r="K172">
            <v>40700</v>
          </cell>
          <cell r="L172">
            <v>5700</v>
          </cell>
          <cell r="M172">
            <v>46400</v>
          </cell>
          <cell r="P172">
            <v>0</v>
          </cell>
          <cell r="S172">
            <v>80</v>
          </cell>
          <cell r="T172">
            <v>136.4</v>
          </cell>
          <cell r="V172">
            <v>136.4</v>
          </cell>
          <cell r="X172">
            <v>13.6</v>
          </cell>
          <cell r="Y172">
            <v>3300</v>
          </cell>
          <cell r="Z172">
            <v>58.5</v>
          </cell>
          <cell r="AD172">
            <v>47.3</v>
          </cell>
          <cell r="AE172">
            <v>3900</v>
          </cell>
          <cell r="AI172">
            <v>0</v>
          </cell>
          <cell r="AJ172">
            <v>2.2999999999999998</v>
          </cell>
          <cell r="AK172">
            <v>23.4</v>
          </cell>
          <cell r="AO172">
            <v>0</v>
          </cell>
          <cell r="AP172">
            <v>3.3</v>
          </cell>
          <cell r="AQ172">
            <v>66.900000000000006</v>
          </cell>
          <cell r="AU172">
            <v>0</v>
          </cell>
          <cell r="AW172">
            <v>59.3</v>
          </cell>
          <cell r="BA172">
            <v>0</v>
          </cell>
          <cell r="BB172">
            <v>1.7230000000000001</v>
          </cell>
          <cell r="BC172">
            <v>30.96</v>
          </cell>
          <cell r="BG172">
            <v>0</v>
          </cell>
          <cell r="BI172">
            <v>80</v>
          </cell>
          <cell r="BM172">
            <v>0</v>
          </cell>
          <cell r="BN172">
            <v>25000</v>
          </cell>
          <cell r="BO172">
            <v>4.4000000000000004</v>
          </cell>
          <cell r="BP172">
            <v>76</v>
          </cell>
          <cell r="BS172">
            <v>0</v>
          </cell>
          <cell r="BU172">
            <v>5</v>
          </cell>
          <cell r="CD172">
            <v>34</v>
          </cell>
        </row>
        <row r="173">
          <cell r="A173">
            <v>39249</v>
          </cell>
          <cell r="C173">
            <v>2918.5</v>
          </cell>
          <cell r="G173">
            <v>250</v>
          </cell>
          <cell r="H173">
            <v>2918.5</v>
          </cell>
          <cell r="I173">
            <v>528</v>
          </cell>
          <cell r="J173">
            <v>365.1</v>
          </cell>
          <cell r="K173">
            <v>42100</v>
          </cell>
          <cell r="L173">
            <v>5600</v>
          </cell>
          <cell r="M173">
            <v>47700</v>
          </cell>
          <cell r="P173">
            <v>0</v>
          </cell>
          <cell r="S173">
            <v>80</v>
          </cell>
          <cell r="V173">
            <v>0</v>
          </cell>
          <cell r="X173">
            <v>15.3</v>
          </cell>
          <cell r="Y173">
            <v>3300</v>
          </cell>
          <cell r="Z173">
            <v>117</v>
          </cell>
          <cell r="AD173">
            <v>44.6</v>
          </cell>
          <cell r="AE173">
            <v>4000</v>
          </cell>
          <cell r="AI173">
            <v>0</v>
          </cell>
          <cell r="AJ173">
            <v>1.5</v>
          </cell>
          <cell r="AK173">
            <v>21.9</v>
          </cell>
          <cell r="AO173">
            <v>0</v>
          </cell>
          <cell r="AP173">
            <v>6.7</v>
          </cell>
          <cell r="AQ173">
            <v>60.2</v>
          </cell>
          <cell r="AU173">
            <v>0</v>
          </cell>
          <cell r="AW173">
            <v>59.3</v>
          </cell>
          <cell r="BA173">
            <v>0</v>
          </cell>
          <cell r="BB173">
            <v>1.651</v>
          </cell>
          <cell r="BC173">
            <v>30.96</v>
          </cell>
          <cell r="BG173">
            <v>0</v>
          </cell>
          <cell r="BI173">
            <v>80</v>
          </cell>
          <cell r="BM173">
            <v>0</v>
          </cell>
          <cell r="BO173">
            <v>4.7</v>
          </cell>
          <cell r="BP173">
            <v>72</v>
          </cell>
          <cell r="BS173">
            <v>0</v>
          </cell>
          <cell r="BU173">
            <v>5</v>
          </cell>
          <cell r="CD173">
            <v>34</v>
          </cell>
        </row>
        <row r="174">
          <cell r="A174">
            <v>39250</v>
          </cell>
          <cell r="H174">
            <v>0</v>
          </cell>
          <cell r="I174">
            <v>620</v>
          </cell>
          <cell r="J174">
            <v>381.2</v>
          </cell>
          <cell r="K174">
            <v>41500</v>
          </cell>
          <cell r="L174">
            <v>5200</v>
          </cell>
          <cell r="M174">
            <v>46700</v>
          </cell>
          <cell r="P174">
            <v>0</v>
          </cell>
          <cell r="S174">
            <v>80</v>
          </cell>
          <cell r="T174">
            <v>223.6</v>
          </cell>
          <cell r="V174">
            <v>223.6</v>
          </cell>
          <cell r="X174">
            <v>11.5</v>
          </cell>
          <cell r="Y174">
            <v>3500</v>
          </cell>
          <cell r="Z174">
            <v>58.5</v>
          </cell>
          <cell r="AD174">
            <v>47.9</v>
          </cell>
          <cell r="AE174">
            <v>4000</v>
          </cell>
          <cell r="AI174">
            <v>0</v>
          </cell>
          <cell r="AJ174">
            <v>1.2</v>
          </cell>
          <cell r="AK174">
            <v>20</v>
          </cell>
          <cell r="AO174">
            <v>0</v>
          </cell>
          <cell r="AP174">
            <v>6.7</v>
          </cell>
          <cell r="AQ174">
            <v>53.6</v>
          </cell>
          <cell r="AU174">
            <v>0</v>
          </cell>
          <cell r="AW174">
            <v>59.3</v>
          </cell>
          <cell r="BA174">
            <v>0</v>
          </cell>
          <cell r="BB174">
            <v>1.7390000000000001</v>
          </cell>
          <cell r="BC174">
            <v>27.57</v>
          </cell>
          <cell r="BG174">
            <v>0</v>
          </cell>
          <cell r="BI174">
            <v>80</v>
          </cell>
          <cell r="BM174">
            <v>0</v>
          </cell>
          <cell r="BO174">
            <v>5</v>
          </cell>
          <cell r="BP174">
            <v>67</v>
          </cell>
          <cell r="BS174">
            <v>0</v>
          </cell>
          <cell r="BU174">
            <v>5</v>
          </cell>
          <cell r="CD174">
            <v>34</v>
          </cell>
        </row>
        <row r="175">
          <cell r="A175">
            <v>39251</v>
          </cell>
          <cell r="G175">
            <v>812.5</v>
          </cell>
          <cell r="H175">
            <v>0</v>
          </cell>
          <cell r="I175">
            <v>620</v>
          </cell>
          <cell r="J175">
            <v>341.7</v>
          </cell>
          <cell r="K175">
            <v>40100</v>
          </cell>
          <cell r="L175">
            <v>5700</v>
          </cell>
          <cell r="M175">
            <v>45800</v>
          </cell>
          <cell r="P175">
            <v>0</v>
          </cell>
          <cell r="S175">
            <v>80</v>
          </cell>
          <cell r="T175">
            <v>193.9</v>
          </cell>
          <cell r="V175">
            <v>193.9</v>
          </cell>
          <cell r="X175">
            <v>7.8</v>
          </cell>
          <cell r="Y175">
            <v>3700</v>
          </cell>
          <cell r="AD175">
            <v>43.4</v>
          </cell>
          <cell r="AE175">
            <v>4000</v>
          </cell>
          <cell r="AI175">
            <v>0</v>
          </cell>
          <cell r="AJ175">
            <v>2.2999999999999998</v>
          </cell>
          <cell r="AK175">
            <v>17.7</v>
          </cell>
          <cell r="AO175">
            <v>0</v>
          </cell>
          <cell r="AP175">
            <v>5</v>
          </cell>
          <cell r="AQ175">
            <v>48.6</v>
          </cell>
          <cell r="AU175">
            <v>0</v>
          </cell>
          <cell r="AV175">
            <v>2.6</v>
          </cell>
          <cell r="AW175">
            <v>56.6</v>
          </cell>
          <cell r="BA175">
            <v>0</v>
          </cell>
          <cell r="BB175">
            <v>1.5840000000000001</v>
          </cell>
          <cell r="BC175">
            <v>25.99</v>
          </cell>
          <cell r="BG175">
            <v>0</v>
          </cell>
          <cell r="BI175">
            <v>80</v>
          </cell>
          <cell r="BM175">
            <v>0</v>
          </cell>
          <cell r="BN175">
            <v>25000</v>
          </cell>
          <cell r="BO175">
            <v>5.4</v>
          </cell>
          <cell r="BP175">
            <v>61</v>
          </cell>
          <cell r="BS175">
            <v>0</v>
          </cell>
          <cell r="BU175">
            <v>5</v>
          </cell>
          <cell r="CD175">
            <v>34</v>
          </cell>
        </row>
        <row r="176">
          <cell r="A176">
            <v>39252</v>
          </cell>
          <cell r="B176">
            <v>1320.2</v>
          </cell>
          <cell r="H176">
            <v>1320.2</v>
          </cell>
          <cell r="I176">
            <v>670</v>
          </cell>
          <cell r="J176">
            <v>153.4</v>
          </cell>
          <cell r="K176">
            <v>39450</v>
          </cell>
          <cell r="L176">
            <v>6900</v>
          </cell>
          <cell r="M176">
            <v>46350</v>
          </cell>
          <cell r="P176">
            <v>0</v>
          </cell>
          <cell r="S176">
            <v>80</v>
          </cell>
          <cell r="T176">
            <v>307.3</v>
          </cell>
          <cell r="V176">
            <v>307.3</v>
          </cell>
          <cell r="X176">
            <v>3.4</v>
          </cell>
          <cell r="Y176">
            <v>4000</v>
          </cell>
          <cell r="AD176">
            <v>19.7</v>
          </cell>
          <cell r="AE176">
            <v>4000</v>
          </cell>
          <cell r="AI176">
            <v>0</v>
          </cell>
          <cell r="AJ176">
            <v>1.1499999999999999</v>
          </cell>
          <cell r="AK176">
            <v>16.510000000000002</v>
          </cell>
          <cell r="AL176">
            <v>24.48</v>
          </cell>
          <cell r="AO176">
            <v>24.48</v>
          </cell>
          <cell r="AP176">
            <v>2.58</v>
          </cell>
          <cell r="AQ176">
            <v>70.45</v>
          </cell>
          <cell r="AU176">
            <v>0</v>
          </cell>
          <cell r="AV176">
            <v>2.02</v>
          </cell>
          <cell r="AW176">
            <v>54.62</v>
          </cell>
          <cell r="BA176">
            <v>0</v>
          </cell>
          <cell r="BB176">
            <v>0.71599999999999997</v>
          </cell>
          <cell r="BC176">
            <v>25.27</v>
          </cell>
          <cell r="BG176">
            <v>0</v>
          </cell>
          <cell r="BI176">
            <v>80</v>
          </cell>
          <cell r="BM176">
            <v>0</v>
          </cell>
          <cell r="BN176">
            <v>30000</v>
          </cell>
          <cell r="BO176">
            <v>4.8</v>
          </cell>
          <cell r="BP176">
            <v>57</v>
          </cell>
          <cell r="BS176">
            <v>0</v>
          </cell>
          <cell r="BU176">
            <v>5</v>
          </cell>
          <cell r="CD176">
            <v>34</v>
          </cell>
        </row>
        <row r="177">
          <cell r="A177">
            <v>39253</v>
          </cell>
          <cell r="H177">
            <v>0</v>
          </cell>
          <cell r="I177">
            <v>490</v>
          </cell>
          <cell r="J177">
            <v>363.7</v>
          </cell>
          <cell r="K177">
            <v>38990</v>
          </cell>
          <cell r="L177">
            <v>6500</v>
          </cell>
          <cell r="M177">
            <v>45490</v>
          </cell>
          <cell r="P177">
            <v>0</v>
          </cell>
          <cell r="S177">
            <v>80</v>
          </cell>
          <cell r="T177">
            <v>165.3</v>
          </cell>
          <cell r="V177">
            <v>165.3</v>
          </cell>
          <cell r="X177">
            <v>11.2</v>
          </cell>
          <cell r="Y177">
            <v>4200</v>
          </cell>
          <cell r="AD177">
            <v>46.1</v>
          </cell>
          <cell r="AE177">
            <v>3950</v>
          </cell>
          <cell r="AI177">
            <v>0</v>
          </cell>
          <cell r="AJ177">
            <v>2.64</v>
          </cell>
          <cell r="AK177">
            <v>13.88</v>
          </cell>
          <cell r="AO177">
            <v>0</v>
          </cell>
          <cell r="AP177">
            <v>2.2599999999999998</v>
          </cell>
          <cell r="AQ177">
            <v>68.19</v>
          </cell>
          <cell r="AU177">
            <v>0</v>
          </cell>
          <cell r="AV177">
            <v>1.67</v>
          </cell>
          <cell r="AW177">
            <v>52.96</v>
          </cell>
          <cell r="BA177">
            <v>0</v>
          </cell>
          <cell r="BB177">
            <v>1.7050000000000001</v>
          </cell>
          <cell r="BC177">
            <v>23.56</v>
          </cell>
          <cell r="BG177">
            <v>0</v>
          </cell>
          <cell r="BI177">
            <v>80</v>
          </cell>
          <cell r="BM177">
            <v>0</v>
          </cell>
          <cell r="BN177">
            <v>25000</v>
          </cell>
          <cell r="BO177">
            <v>6</v>
          </cell>
          <cell r="BP177">
            <v>51</v>
          </cell>
          <cell r="BS177">
            <v>0</v>
          </cell>
          <cell r="BU177">
            <v>5</v>
          </cell>
          <cell r="CD177">
            <v>34</v>
          </cell>
        </row>
        <row r="178">
          <cell r="A178">
            <v>39254</v>
          </cell>
          <cell r="H178">
            <v>0</v>
          </cell>
          <cell r="I178">
            <v>380</v>
          </cell>
          <cell r="J178">
            <v>332.3</v>
          </cell>
          <cell r="K178">
            <v>38600</v>
          </cell>
          <cell r="L178">
            <v>6200</v>
          </cell>
          <cell r="M178">
            <v>44800</v>
          </cell>
          <cell r="P178">
            <v>0</v>
          </cell>
          <cell r="S178">
            <v>80</v>
          </cell>
          <cell r="V178">
            <v>0</v>
          </cell>
          <cell r="X178">
            <v>4.5</v>
          </cell>
          <cell r="Y178">
            <v>4200</v>
          </cell>
          <cell r="Z178">
            <v>115.5</v>
          </cell>
          <cell r="AD178">
            <v>42.3</v>
          </cell>
          <cell r="AE178">
            <v>4000</v>
          </cell>
          <cell r="AF178">
            <v>25</v>
          </cell>
          <cell r="AI178">
            <v>25</v>
          </cell>
          <cell r="AJ178">
            <v>1.49</v>
          </cell>
          <cell r="AK178">
            <v>37.380000000000003</v>
          </cell>
          <cell r="AO178">
            <v>0</v>
          </cell>
          <cell r="AP178">
            <v>2.62</v>
          </cell>
          <cell r="AQ178">
            <v>65.569999999999993</v>
          </cell>
          <cell r="AR178">
            <v>23.34</v>
          </cell>
          <cell r="AU178">
            <v>23.34</v>
          </cell>
          <cell r="AV178">
            <v>0.73</v>
          </cell>
          <cell r="AW178">
            <v>75.569999999999993</v>
          </cell>
          <cell r="BA178">
            <v>0</v>
          </cell>
          <cell r="BB178">
            <v>1.5549999999999999</v>
          </cell>
          <cell r="BC178">
            <v>22</v>
          </cell>
          <cell r="BG178">
            <v>0</v>
          </cell>
          <cell r="BI178">
            <v>80</v>
          </cell>
          <cell r="BM178">
            <v>0</v>
          </cell>
          <cell r="BN178">
            <v>15000</v>
          </cell>
          <cell r="BO178">
            <v>5.4</v>
          </cell>
          <cell r="BP178">
            <v>45</v>
          </cell>
          <cell r="BS178">
            <v>0</v>
          </cell>
          <cell r="BU178">
            <v>5</v>
          </cell>
          <cell r="CD178">
            <v>34</v>
          </cell>
        </row>
        <row r="179">
          <cell r="A179">
            <v>39255</v>
          </cell>
          <cell r="G179">
            <v>380</v>
          </cell>
          <cell r="H179">
            <v>0</v>
          </cell>
          <cell r="I179">
            <v>550</v>
          </cell>
          <cell r="J179">
            <v>345.9</v>
          </cell>
          <cell r="K179">
            <v>40050</v>
          </cell>
          <cell r="L179">
            <v>6250</v>
          </cell>
          <cell r="M179">
            <v>46300</v>
          </cell>
          <cell r="P179">
            <v>0</v>
          </cell>
          <cell r="S179">
            <v>80</v>
          </cell>
          <cell r="V179">
            <v>0</v>
          </cell>
          <cell r="X179">
            <v>12.8</v>
          </cell>
          <cell r="Y179">
            <v>4150</v>
          </cell>
          <cell r="Z179">
            <v>57.2</v>
          </cell>
          <cell r="AD179">
            <v>22.5</v>
          </cell>
          <cell r="AE179">
            <v>4050</v>
          </cell>
          <cell r="AI179">
            <v>0</v>
          </cell>
          <cell r="AJ179">
            <v>0.34</v>
          </cell>
          <cell r="AK179">
            <v>37.04</v>
          </cell>
          <cell r="AO179">
            <v>0</v>
          </cell>
          <cell r="AP179">
            <v>4.88</v>
          </cell>
          <cell r="AQ179">
            <v>60.69</v>
          </cell>
          <cell r="AU179">
            <v>0</v>
          </cell>
          <cell r="AV179">
            <v>0.59</v>
          </cell>
          <cell r="AW179">
            <v>74.97</v>
          </cell>
          <cell r="AX179">
            <v>24.9</v>
          </cell>
          <cell r="BA179">
            <v>24.9</v>
          </cell>
          <cell r="BB179">
            <v>1.431</v>
          </cell>
          <cell r="BC179">
            <v>45.48</v>
          </cell>
          <cell r="BG179">
            <v>0</v>
          </cell>
          <cell r="BI179">
            <v>80</v>
          </cell>
          <cell r="BJ179">
            <v>74.3</v>
          </cell>
          <cell r="BM179">
            <v>74.3</v>
          </cell>
          <cell r="BN179">
            <v>10000</v>
          </cell>
          <cell r="BO179">
            <v>4.8</v>
          </cell>
          <cell r="BP179">
            <v>115</v>
          </cell>
          <cell r="BS179">
            <v>0</v>
          </cell>
          <cell r="BU179">
            <v>5</v>
          </cell>
          <cell r="CD179">
            <v>34</v>
          </cell>
        </row>
        <row r="180">
          <cell r="A180">
            <v>39256</v>
          </cell>
          <cell r="C180">
            <v>2985.2</v>
          </cell>
          <cell r="H180">
            <v>2985.2</v>
          </cell>
          <cell r="I180">
            <v>640</v>
          </cell>
          <cell r="J180">
            <v>439.8</v>
          </cell>
          <cell r="K180">
            <v>41700</v>
          </cell>
          <cell r="L180">
            <v>5800</v>
          </cell>
          <cell r="M180">
            <v>47500</v>
          </cell>
          <cell r="P180">
            <v>0</v>
          </cell>
          <cell r="S180">
            <v>80</v>
          </cell>
          <cell r="V180">
            <v>0</v>
          </cell>
          <cell r="X180">
            <v>65</v>
          </cell>
          <cell r="Y180">
            <v>3400</v>
          </cell>
          <cell r="AE180">
            <v>4050</v>
          </cell>
          <cell r="AI180">
            <v>0</v>
          </cell>
          <cell r="AJ180">
            <v>2.64</v>
          </cell>
          <cell r="AK180">
            <v>34.4</v>
          </cell>
          <cell r="AO180">
            <v>0</v>
          </cell>
          <cell r="AP180">
            <v>2.98</v>
          </cell>
          <cell r="AQ180">
            <v>57.72</v>
          </cell>
          <cell r="AU180">
            <v>0</v>
          </cell>
          <cell r="AV180">
            <v>0</v>
          </cell>
          <cell r="AW180">
            <v>74.97</v>
          </cell>
          <cell r="BA180">
            <v>0</v>
          </cell>
          <cell r="BB180">
            <v>1.6559999999999999</v>
          </cell>
          <cell r="BC180">
            <v>45.48</v>
          </cell>
          <cell r="BG180">
            <v>0</v>
          </cell>
          <cell r="BI180">
            <v>80</v>
          </cell>
          <cell r="BM180">
            <v>0</v>
          </cell>
          <cell r="BP180">
            <v>115</v>
          </cell>
          <cell r="BS180">
            <v>0</v>
          </cell>
          <cell r="BU180">
            <v>5</v>
          </cell>
          <cell r="CD180">
            <v>34</v>
          </cell>
        </row>
        <row r="181">
          <cell r="A181">
            <v>39257</v>
          </cell>
          <cell r="G181">
            <v>500</v>
          </cell>
          <cell r="H181">
            <v>0</v>
          </cell>
          <cell r="I181">
            <v>690</v>
          </cell>
          <cell r="J181">
            <v>449.6</v>
          </cell>
          <cell r="K181">
            <v>41970</v>
          </cell>
          <cell r="L181">
            <v>5870</v>
          </cell>
          <cell r="M181">
            <v>47840</v>
          </cell>
          <cell r="P181">
            <v>0</v>
          </cell>
          <cell r="S181">
            <v>80</v>
          </cell>
          <cell r="T181">
            <v>109.6</v>
          </cell>
          <cell r="V181">
            <v>109.6</v>
          </cell>
          <cell r="X181">
            <v>69.8</v>
          </cell>
          <cell r="Y181">
            <v>3480</v>
          </cell>
          <cell r="Z181">
            <v>55</v>
          </cell>
          <cell r="AE181">
            <v>4130</v>
          </cell>
          <cell r="AI181">
            <v>0</v>
          </cell>
          <cell r="AJ181">
            <v>2.52</v>
          </cell>
          <cell r="AK181">
            <v>31.88</v>
          </cell>
          <cell r="AO181">
            <v>0</v>
          </cell>
          <cell r="AP181">
            <v>3.81</v>
          </cell>
          <cell r="AQ181">
            <v>53.91</v>
          </cell>
          <cell r="AU181">
            <v>0</v>
          </cell>
          <cell r="AV181">
            <v>0.71</v>
          </cell>
          <cell r="AW181">
            <v>74.260000000000005</v>
          </cell>
          <cell r="BA181">
            <v>0</v>
          </cell>
          <cell r="BB181">
            <v>1.744</v>
          </cell>
          <cell r="BC181">
            <v>42.08</v>
          </cell>
          <cell r="BG181">
            <v>0</v>
          </cell>
          <cell r="BI181">
            <v>80</v>
          </cell>
          <cell r="BM181">
            <v>0</v>
          </cell>
          <cell r="BP181">
            <v>115</v>
          </cell>
          <cell r="BS181">
            <v>0</v>
          </cell>
          <cell r="BU181">
            <v>5</v>
          </cell>
          <cell r="CD181">
            <v>34</v>
          </cell>
        </row>
        <row r="182">
          <cell r="A182">
            <v>39258</v>
          </cell>
          <cell r="C182">
            <v>3156.4</v>
          </cell>
          <cell r="G182">
            <v>700</v>
          </cell>
          <cell r="H182">
            <v>3156.4</v>
          </cell>
          <cell r="I182">
            <v>800</v>
          </cell>
          <cell r="J182">
            <v>425.5</v>
          </cell>
          <cell r="K182">
            <v>41400</v>
          </cell>
          <cell r="L182">
            <v>6100</v>
          </cell>
          <cell r="M182">
            <v>47500</v>
          </cell>
          <cell r="P182">
            <v>0</v>
          </cell>
          <cell r="S182">
            <v>80</v>
          </cell>
          <cell r="T182">
            <v>353.3</v>
          </cell>
          <cell r="V182">
            <v>353.3</v>
          </cell>
          <cell r="X182">
            <v>72.5</v>
          </cell>
          <cell r="Y182">
            <v>3760</v>
          </cell>
          <cell r="AE182">
            <v>4130</v>
          </cell>
          <cell r="AI182">
            <v>0</v>
          </cell>
          <cell r="AJ182">
            <v>2.29</v>
          </cell>
          <cell r="AK182">
            <v>29.58</v>
          </cell>
          <cell r="AO182">
            <v>0</v>
          </cell>
          <cell r="AP182">
            <v>4.17</v>
          </cell>
          <cell r="AQ182">
            <v>49.74</v>
          </cell>
          <cell r="AU182">
            <v>0</v>
          </cell>
          <cell r="AV182">
            <v>0.83</v>
          </cell>
          <cell r="AW182">
            <v>73.42</v>
          </cell>
          <cell r="BA182">
            <v>0</v>
          </cell>
          <cell r="BB182">
            <v>1.6339999999999999</v>
          </cell>
          <cell r="BC182">
            <v>40.44</v>
          </cell>
          <cell r="BG182">
            <v>0</v>
          </cell>
          <cell r="BI182">
            <v>80</v>
          </cell>
          <cell r="BM182">
            <v>0</v>
          </cell>
          <cell r="BN182">
            <v>33000</v>
          </cell>
          <cell r="BO182">
            <v>3.6</v>
          </cell>
          <cell r="BP182">
            <v>111</v>
          </cell>
          <cell r="BS182">
            <v>0</v>
          </cell>
          <cell r="BU182">
            <v>5</v>
          </cell>
          <cell r="CD182">
            <v>34</v>
          </cell>
        </row>
        <row r="183">
          <cell r="A183">
            <v>39259</v>
          </cell>
          <cell r="B183">
            <v>1320</v>
          </cell>
          <cell r="C183">
            <v>3000.6</v>
          </cell>
          <cell r="G183">
            <v>800</v>
          </cell>
          <cell r="H183">
            <v>4320.6000000000004</v>
          </cell>
          <cell r="I183">
            <v>710</v>
          </cell>
          <cell r="J183">
            <v>464.5</v>
          </cell>
          <cell r="K183">
            <v>41950</v>
          </cell>
          <cell r="L183">
            <v>7800</v>
          </cell>
          <cell r="M183">
            <v>49750</v>
          </cell>
          <cell r="P183">
            <v>0</v>
          </cell>
          <cell r="S183">
            <v>80</v>
          </cell>
          <cell r="T183">
            <v>220.5</v>
          </cell>
          <cell r="V183">
            <v>220.5</v>
          </cell>
          <cell r="X183">
            <v>66.3</v>
          </cell>
          <cell r="Y183">
            <v>3920</v>
          </cell>
          <cell r="AE183">
            <v>4130</v>
          </cell>
          <cell r="AI183">
            <v>0</v>
          </cell>
          <cell r="AJ183">
            <v>1.03</v>
          </cell>
          <cell r="AK183">
            <v>28.55</v>
          </cell>
          <cell r="AL183">
            <v>23.56</v>
          </cell>
          <cell r="AO183">
            <v>23.56</v>
          </cell>
          <cell r="AP183">
            <v>0</v>
          </cell>
          <cell r="AQ183">
            <v>73.3</v>
          </cell>
          <cell r="AU183">
            <v>0</v>
          </cell>
          <cell r="AW183">
            <v>73.42</v>
          </cell>
          <cell r="BA183">
            <v>0</v>
          </cell>
          <cell r="BB183">
            <v>1.7749999999999999</v>
          </cell>
          <cell r="BC183">
            <v>38.76</v>
          </cell>
          <cell r="BG183">
            <v>0</v>
          </cell>
          <cell r="BI183">
            <v>80</v>
          </cell>
          <cell r="BM183">
            <v>0</v>
          </cell>
          <cell r="BO183">
            <v>5.4</v>
          </cell>
          <cell r="BP183">
            <v>106</v>
          </cell>
          <cell r="BS183">
            <v>0</v>
          </cell>
          <cell r="BU183">
            <v>5</v>
          </cell>
          <cell r="CD183">
            <v>34</v>
          </cell>
        </row>
        <row r="184">
          <cell r="A184">
            <v>39260</v>
          </cell>
          <cell r="H184">
            <v>0</v>
          </cell>
          <cell r="I184">
            <v>550</v>
          </cell>
          <cell r="J184">
            <v>442.1</v>
          </cell>
          <cell r="K184">
            <v>41400</v>
          </cell>
          <cell r="L184">
            <v>7350</v>
          </cell>
          <cell r="M184">
            <v>48750</v>
          </cell>
          <cell r="P184">
            <v>0</v>
          </cell>
          <cell r="S184">
            <v>80</v>
          </cell>
          <cell r="T184">
            <v>247.6</v>
          </cell>
          <cell r="V184">
            <v>247.6</v>
          </cell>
          <cell r="X184">
            <v>68.099999999999994</v>
          </cell>
          <cell r="Y184">
            <v>4100</v>
          </cell>
          <cell r="AE184">
            <v>4130</v>
          </cell>
          <cell r="AI184">
            <v>0</v>
          </cell>
          <cell r="AJ184">
            <v>2.41</v>
          </cell>
          <cell r="AK184">
            <v>26.16</v>
          </cell>
          <cell r="AO184">
            <v>0</v>
          </cell>
          <cell r="AP184">
            <v>8.9</v>
          </cell>
          <cell r="AQ184">
            <v>65.2</v>
          </cell>
          <cell r="AU184">
            <v>0</v>
          </cell>
          <cell r="AV184">
            <v>0.36</v>
          </cell>
          <cell r="AW184">
            <v>73.069999999999993</v>
          </cell>
          <cell r="BA184">
            <v>0</v>
          </cell>
          <cell r="BB184">
            <v>1.7010000000000001</v>
          </cell>
          <cell r="BC184">
            <v>36.97</v>
          </cell>
          <cell r="BG184">
            <v>0</v>
          </cell>
          <cell r="BI184">
            <v>80</v>
          </cell>
          <cell r="BM184">
            <v>0</v>
          </cell>
          <cell r="BN184">
            <v>25800</v>
          </cell>
          <cell r="BO184">
            <v>5.4</v>
          </cell>
          <cell r="BP184">
            <v>100</v>
          </cell>
          <cell r="BS184">
            <v>0</v>
          </cell>
          <cell r="BU184">
            <v>5</v>
          </cell>
          <cell r="CD184">
            <v>34</v>
          </cell>
        </row>
        <row r="185">
          <cell r="A185">
            <v>39261</v>
          </cell>
          <cell r="G185">
            <v>170</v>
          </cell>
          <cell r="H185">
            <v>0</v>
          </cell>
          <cell r="I185">
            <v>400</v>
          </cell>
          <cell r="J185">
            <v>439.2</v>
          </cell>
          <cell r="K185">
            <v>40820</v>
          </cell>
          <cell r="L185">
            <v>7080</v>
          </cell>
          <cell r="M185">
            <v>47900</v>
          </cell>
          <cell r="P185">
            <v>0</v>
          </cell>
          <cell r="S185">
            <v>80</v>
          </cell>
          <cell r="T185">
            <v>54.8</v>
          </cell>
          <cell r="V185">
            <v>54.8</v>
          </cell>
          <cell r="X185">
            <v>50.1</v>
          </cell>
          <cell r="Y185">
            <v>4100</v>
          </cell>
          <cell r="AE185">
            <v>4130</v>
          </cell>
          <cell r="AI185">
            <v>0</v>
          </cell>
          <cell r="AJ185">
            <v>2.29</v>
          </cell>
          <cell r="AK185">
            <v>23.85</v>
          </cell>
          <cell r="AO185">
            <v>0</v>
          </cell>
          <cell r="AP185">
            <v>2.86</v>
          </cell>
          <cell r="AQ185">
            <v>62.36</v>
          </cell>
          <cell r="AU185">
            <v>0</v>
          </cell>
          <cell r="AW185">
            <v>73.069999999999993</v>
          </cell>
          <cell r="BA185">
            <v>0</v>
          </cell>
          <cell r="BB185">
            <v>1.589</v>
          </cell>
          <cell r="BC185">
            <v>35.380000000000003</v>
          </cell>
          <cell r="BG185">
            <v>0</v>
          </cell>
          <cell r="BI185">
            <v>80</v>
          </cell>
          <cell r="BJ185">
            <v>47.9</v>
          </cell>
          <cell r="BM185">
            <v>47.9</v>
          </cell>
          <cell r="BN185">
            <v>30000</v>
          </cell>
          <cell r="BO185">
            <v>6</v>
          </cell>
          <cell r="BP185">
            <v>142</v>
          </cell>
          <cell r="BS185">
            <v>0</v>
          </cell>
          <cell r="BU185">
            <v>5</v>
          </cell>
          <cell r="CD185">
            <v>34</v>
          </cell>
        </row>
        <row r="186">
          <cell r="A186">
            <v>39262</v>
          </cell>
          <cell r="H186">
            <v>0</v>
          </cell>
          <cell r="I186">
            <v>700</v>
          </cell>
          <cell r="J186">
            <v>486.1</v>
          </cell>
          <cell r="K186">
            <v>46750</v>
          </cell>
          <cell r="L186">
            <v>6600</v>
          </cell>
          <cell r="M186">
            <v>53350</v>
          </cell>
          <cell r="P186">
            <v>0</v>
          </cell>
          <cell r="S186">
            <v>80</v>
          </cell>
          <cell r="V186">
            <v>0</v>
          </cell>
          <cell r="X186">
            <v>83.7</v>
          </cell>
          <cell r="Y186">
            <v>4020</v>
          </cell>
          <cell r="AD186">
            <v>78.853999999999999</v>
          </cell>
          <cell r="AE186">
            <v>4130</v>
          </cell>
          <cell r="AI186">
            <v>0</v>
          </cell>
          <cell r="AJ186">
            <v>1.26</v>
          </cell>
          <cell r="AK186">
            <v>22.52</v>
          </cell>
          <cell r="AL186">
            <v>14.98</v>
          </cell>
          <cell r="AO186">
            <v>14.98</v>
          </cell>
          <cell r="AP186">
            <v>14.39</v>
          </cell>
          <cell r="AQ186">
            <v>72.349999999999994</v>
          </cell>
          <cell r="AU186">
            <v>0</v>
          </cell>
          <cell r="AV186">
            <v>0.24</v>
          </cell>
          <cell r="AW186">
            <v>72.83</v>
          </cell>
          <cell r="BA186">
            <v>0</v>
          </cell>
          <cell r="BB186">
            <v>1.845</v>
          </cell>
          <cell r="BC186">
            <v>33.53</v>
          </cell>
          <cell r="BG186">
            <v>0</v>
          </cell>
          <cell r="BI186">
            <v>80</v>
          </cell>
          <cell r="BM186">
            <v>0</v>
          </cell>
          <cell r="BN186">
            <v>20000</v>
          </cell>
          <cell r="BO186">
            <v>4.8</v>
          </cell>
          <cell r="BP186">
            <v>137.5</v>
          </cell>
          <cell r="BS186">
            <v>0</v>
          </cell>
          <cell r="BU186">
            <v>5</v>
          </cell>
          <cell r="CD186">
            <v>34</v>
          </cell>
        </row>
        <row r="187">
          <cell r="A187">
            <v>39263</v>
          </cell>
          <cell r="B187">
            <v>-4.8869999999999996</v>
          </cell>
          <cell r="G187">
            <v>300</v>
          </cell>
          <cell r="H187">
            <v>-4.8869999999999996</v>
          </cell>
          <cell r="I187">
            <v>1187.846</v>
          </cell>
          <cell r="J187">
            <v>240.72200000000001</v>
          </cell>
          <cell r="K187">
            <v>47980</v>
          </cell>
          <cell r="L187">
            <v>6510</v>
          </cell>
          <cell r="M187">
            <v>54490</v>
          </cell>
          <cell r="P187">
            <v>0</v>
          </cell>
          <cell r="S187">
            <v>80</v>
          </cell>
          <cell r="T187">
            <v>-0.51</v>
          </cell>
          <cell r="V187">
            <v>-0.51</v>
          </cell>
          <cell r="W187">
            <v>2063.3429999999998</v>
          </cell>
          <cell r="X187">
            <v>-997.25900000000001</v>
          </cell>
          <cell r="Y187">
            <v>3880</v>
          </cell>
          <cell r="Z187">
            <v>18.16</v>
          </cell>
          <cell r="AD187">
            <v>21.7</v>
          </cell>
          <cell r="AE187">
            <v>4110</v>
          </cell>
          <cell r="AI187">
            <v>0</v>
          </cell>
          <cell r="AJ187">
            <v>1.81</v>
          </cell>
          <cell r="AK187">
            <v>20.98</v>
          </cell>
          <cell r="AO187">
            <v>0</v>
          </cell>
          <cell r="AP187">
            <v>-20.36</v>
          </cell>
          <cell r="AQ187">
            <v>67.349999999999994</v>
          </cell>
          <cell r="AR187">
            <v>10</v>
          </cell>
          <cell r="AU187">
            <v>10</v>
          </cell>
          <cell r="AV187">
            <v>1.08</v>
          </cell>
          <cell r="AW187">
            <v>81.75</v>
          </cell>
          <cell r="BA187">
            <v>0</v>
          </cell>
          <cell r="BB187">
            <v>7.0919999999999996</v>
          </cell>
          <cell r="BC187">
            <v>32.1</v>
          </cell>
          <cell r="BG187">
            <v>0</v>
          </cell>
          <cell r="BI187">
            <v>80</v>
          </cell>
          <cell r="BJ187">
            <v>-0.02</v>
          </cell>
          <cell r="BM187">
            <v>-0.02</v>
          </cell>
          <cell r="BO187">
            <v>5.6449999999999996</v>
          </cell>
          <cell r="BP187">
            <v>134</v>
          </cell>
          <cell r="BS187">
            <v>0</v>
          </cell>
          <cell r="BU187">
            <v>5</v>
          </cell>
          <cell r="CB187">
            <v>24.7</v>
          </cell>
          <cell r="CC187">
            <v>14.364000000000001</v>
          </cell>
          <cell r="CD187">
            <v>59</v>
          </cell>
        </row>
        <row r="188">
          <cell r="A188">
            <v>39264</v>
          </cell>
          <cell r="C188">
            <v>2950</v>
          </cell>
          <cell r="G188">
            <v>300</v>
          </cell>
          <cell r="H188">
            <v>2950</v>
          </cell>
          <cell r="I188">
            <v>490</v>
          </cell>
          <cell r="J188">
            <v>355.8</v>
          </cell>
          <cell r="K188">
            <v>49300</v>
          </cell>
          <cell r="L188">
            <v>7440</v>
          </cell>
          <cell r="M188">
            <v>56740</v>
          </cell>
          <cell r="P188">
            <v>0</v>
          </cell>
          <cell r="S188">
            <v>80</v>
          </cell>
          <cell r="T188">
            <v>55.3</v>
          </cell>
          <cell r="V188">
            <v>55.3</v>
          </cell>
          <cell r="X188">
            <v>203.4</v>
          </cell>
          <cell r="Y188">
            <v>3150</v>
          </cell>
          <cell r="AD188">
            <v>36.700000000000003</v>
          </cell>
          <cell r="AE188">
            <v>4040</v>
          </cell>
          <cell r="AI188">
            <v>0</v>
          </cell>
          <cell r="AJ188">
            <v>2.64</v>
          </cell>
          <cell r="AK188">
            <v>18.350000000000001</v>
          </cell>
          <cell r="AO188">
            <v>0</v>
          </cell>
          <cell r="AP188">
            <v>2.98</v>
          </cell>
          <cell r="AQ188">
            <v>64.38</v>
          </cell>
          <cell r="AU188">
            <v>0</v>
          </cell>
          <cell r="AV188">
            <v>0</v>
          </cell>
          <cell r="AW188">
            <v>81.75</v>
          </cell>
          <cell r="BA188">
            <v>0</v>
          </cell>
          <cell r="BB188">
            <v>1.321</v>
          </cell>
          <cell r="BC188">
            <v>28.67</v>
          </cell>
          <cell r="BG188">
            <v>0</v>
          </cell>
          <cell r="BI188">
            <v>80</v>
          </cell>
          <cell r="BM188">
            <v>0</v>
          </cell>
          <cell r="BO188">
            <v>6</v>
          </cell>
          <cell r="BP188">
            <v>128</v>
          </cell>
          <cell r="BS188">
            <v>0</v>
          </cell>
          <cell r="BU188">
            <v>5</v>
          </cell>
          <cell r="CC188">
            <v>5.5</v>
          </cell>
          <cell r="CD188">
            <v>53.5</v>
          </cell>
        </row>
        <row r="189">
          <cell r="A189">
            <v>39265</v>
          </cell>
          <cell r="G189">
            <v>450</v>
          </cell>
          <cell r="H189">
            <v>0</v>
          </cell>
          <cell r="I189">
            <v>410</v>
          </cell>
          <cell r="J189">
            <v>368.8</v>
          </cell>
          <cell r="K189">
            <v>41000</v>
          </cell>
          <cell r="L189">
            <v>7520</v>
          </cell>
          <cell r="M189">
            <v>48520</v>
          </cell>
          <cell r="P189">
            <v>0</v>
          </cell>
          <cell r="S189">
            <v>80</v>
          </cell>
          <cell r="T189">
            <v>334.2</v>
          </cell>
          <cell r="V189">
            <v>334.2</v>
          </cell>
          <cell r="X189">
            <v>118.2</v>
          </cell>
          <cell r="Y189">
            <v>3360</v>
          </cell>
          <cell r="Z189">
            <v>156.19999999999999</v>
          </cell>
          <cell r="AD189">
            <v>38.200000000000003</v>
          </cell>
          <cell r="AE189">
            <v>4160</v>
          </cell>
          <cell r="AI189">
            <v>0</v>
          </cell>
          <cell r="AJ189">
            <v>2.06</v>
          </cell>
          <cell r="AK189">
            <v>16.28</v>
          </cell>
          <cell r="AO189">
            <v>0</v>
          </cell>
          <cell r="AP189">
            <v>3.81</v>
          </cell>
          <cell r="AQ189">
            <v>60.57</v>
          </cell>
          <cell r="AU189">
            <v>0</v>
          </cell>
          <cell r="AV189">
            <v>5</v>
          </cell>
          <cell r="AW189">
            <v>76.760000000000005</v>
          </cell>
          <cell r="BA189">
            <v>0</v>
          </cell>
          <cell r="BB189">
            <v>1.3660000000000001</v>
          </cell>
          <cell r="BC189">
            <v>27.312999999999999</v>
          </cell>
          <cell r="BG189">
            <v>0</v>
          </cell>
          <cell r="BI189">
            <v>80</v>
          </cell>
          <cell r="BJ189">
            <v>25.6</v>
          </cell>
          <cell r="BM189">
            <v>25.6</v>
          </cell>
          <cell r="BN189">
            <v>12800</v>
          </cell>
          <cell r="BO189">
            <v>5.4</v>
          </cell>
          <cell r="BP189">
            <v>148</v>
          </cell>
          <cell r="BS189">
            <v>0</v>
          </cell>
          <cell r="BU189">
            <v>5</v>
          </cell>
          <cell r="CC189">
            <v>5.8</v>
          </cell>
          <cell r="CD189">
            <v>47.5</v>
          </cell>
        </row>
        <row r="190">
          <cell r="A190">
            <v>39266</v>
          </cell>
          <cell r="G190">
            <v>1263.0999999999999</v>
          </cell>
          <cell r="H190">
            <v>0</v>
          </cell>
          <cell r="I190">
            <v>510</v>
          </cell>
          <cell r="J190">
            <v>223.8</v>
          </cell>
          <cell r="K190">
            <v>40480</v>
          </cell>
          <cell r="L190">
            <v>8560</v>
          </cell>
          <cell r="M190">
            <v>49040</v>
          </cell>
          <cell r="P190">
            <v>0</v>
          </cell>
          <cell r="S190">
            <v>80</v>
          </cell>
          <cell r="T190">
            <v>248.3</v>
          </cell>
          <cell r="V190">
            <v>248.3</v>
          </cell>
          <cell r="X190">
            <v>71.3</v>
          </cell>
          <cell r="Y190">
            <v>3540</v>
          </cell>
          <cell r="AD190">
            <v>24.2</v>
          </cell>
          <cell r="AE190">
            <v>4130</v>
          </cell>
          <cell r="AI190">
            <v>0</v>
          </cell>
          <cell r="AJ190">
            <v>2.1800000000000002</v>
          </cell>
          <cell r="AK190">
            <v>14.1</v>
          </cell>
          <cell r="AO190">
            <v>0</v>
          </cell>
          <cell r="AP190">
            <v>5.47</v>
          </cell>
          <cell r="AQ190">
            <v>55.1</v>
          </cell>
          <cell r="AU190">
            <v>0</v>
          </cell>
          <cell r="AV190">
            <v>0.48</v>
          </cell>
          <cell r="AW190">
            <v>76.28</v>
          </cell>
          <cell r="BA190">
            <v>0</v>
          </cell>
          <cell r="BB190">
            <v>0.82399999999999995</v>
          </cell>
          <cell r="BC190">
            <v>26.48</v>
          </cell>
          <cell r="BG190">
            <v>0</v>
          </cell>
          <cell r="BI190">
            <v>80</v>
          </cell>
          <cell r="BM190">
            <v>0</v>
          </cell>
          <cell r="BN190">
            <v>15000</v>
          </cell>
          <cell r="BO190">
            <v>6</v>
          </cell>
          <cell r="BP190">
            <v>142</v>
          </cell>
          <cell r="BS190">
            <v>0</v>
          </cell>
          <cell r="BU190">
            <v>5</v>
          </cell>
          <cell r="CC190">
            <v>3.6</v>
          </cell>
          <cell r="CD190">
            <v>44</v>
          </cell>
        </row>
        <row r="191">
          <cell r="A191">
            <v>39267</v>
          </cell>
          <cell r="B191">
            <v>1285.7</v>
          </cell>
          <cell r="H191">
            <v>1285.7</v>
          </cell>
          <cell r="I191">
            <v>430</v>
          </cell>
          <cell r="J191">
            <v>337.3</v>
          </cell>
          <cell r="K191">
            <v>39740</v>
          </cell>
          <cell r="L191">
            <v>8220</v>
          </cell>
          <cell r="M191">
            <v>47960</v>
          </cell>
          <cell r="P191">
            <v>0</v>
          </cell>
          <cell r="S191">
            <v>80</v>
          </cell>
          <cell r="T191">
            <v>215.9</v>
          </cell>
          <cell r="V191">
            <v>215.9</v>
          </cell>
          <cell r="X191">
            <v>93</v>
          </cell>
          <cell r="Y191">
            <v>3660</v>
          </cell>
          <cell r="AD191">
            <v>23.1</v>
          </cell>
          <cell r="AE191">
            <v>4100</v>
          </cell>
          <cell r="AI191">
            <v>0</v>
          </cell>
          <cell r="AJ191">
            <v>2.41</v>
          </cell>
          <cell r="AK191">
            <v>11.7</v>
          </cell>
          <cell r="AL191">
            <v>24.18</v>
          </cell>
          <cell r="AO191">
            <v>24.18</v>
          </cell>
          <cell r="AP191">
            <v>4.07</v>
          </cell>
          <cell r="AQ191">
            <v>75.209999999999994</v>
          </cell>
          <cell r="AU191">
            <v>0</v>
          </cell>
          <cell r="AV191">
            <v>0.95</v>
          </cell>
          <cell r="AW191">
            <v>75.33</v>
          </cell>
          <cell r="AX191">
            <v>24.92</v>
          </cell>
          <cell r="BA191">
            <v>24.92</v>
          </cell>
          <cell r="BB191">
            <v>1.238</v>
          </cell>
          <cell r="BC191">
            <v>50.17</v>
          </cell>
          <cell r="BG191">
            <v>0</v>
          </cell>
          <cell r="BI191">
            <v>80</v>
          </cell>
          <cell r="BM191">
            <v>0</v>
          </cell>
          <cell r="BN191">
            <v>10000</v>
          </cell>
          <cell r="BO191">
            <v>5.4</v>
          </cell>
          <cell r="BP191">
            <v>136.5</v>
          </cell>
          <cell r="BS191">
            <v>0</v>
          </cell>
          <cell r="BU191">
            <v>5</v>
          </cell>
          <cell r="CC191">
            <v>3.5</v>
          </cell>
          <cell r="CD191">
            <v>40.5</v>
          </cell>
        </row>
        <row r="192">
          <cell r="A192">
            <v>39268</v>
          </cell>
          <cell r="H192">
            <v>0</v>
          </cell>
          <cell r="I192">
            <v>150</v>
          </cell>
          <cell r="J192">
            <v>672.8</v>
          </cell>
          <cell r="K192">
            <v>39600</v>
          </cell>
          <cell r="L192">
            <v>7550</v>
          </cell>
          <cell r="M192">
            <v>47150</v>
          </cell>
          <cell r="P192">
            <v>0</v>
          </cell>
          <cell r="S192">
            <v>80</v>
          </cell>
          <cell r="T192">
            <v>412</v>
          </cell>
          <cell r="V192">
            <v>412</v>
          </cell>
          <cell r="X192">
            <v>25.7</v>
          </cell>
          <cell r="Y192">
            <v>4050</v>
          </cell>
          <cell r="Z192">
            <v>111.3</v>
          </cell>
          <cell r="AD192">
            <v>8.5</v>
          </cell>
          <cell r="AE192">
            <v>4210</v>
          </cell>
          <cell r="AI192">
            <v>0</v>
          </cell>
          <cell r="AK192">
            <v>11.7</v>
          </cell>
          <cell r="AO192">
            <v>0</v>
          </cell>
          <cell r="AP192">
            <v>1.43</v>
          </cell>
          <cell r="AQ192">
            <v>73.78</v>
          </cell>
          <cell r="AU192">
            <v>0</v>
          </cell>
          <cell r="AW192">
            <v>75.33</v>
          </cell>
          <cell r="AX192">
            <v>24</v>
          </cell>
          <cell r="BA192">
            <v>24</v>
          </cell>
          <cell r="BB192">
            <v>2.556</v>
          </cell>
          <cell r="BC192">
            <v>47.9</v>
          </cell>
          <cell r="BG192">
            <v>0</v>
          </cell>
          <cell r="BI192">
            <v>80</v>
          </cell>
          <cell r="BM192">
            <v>0</v>
          </cell>
          <cell r="BN192">
            <v>30000</v>
          </cell>
          <cell r="BO192">
            <v>5.4</v>
          </cell>
          <cell r="BP192">
            <v>131</v>
          </cell>
          <cell r="BS192">
            <v>0</v>
          </cell>
          <cell r="BU192">
            <v>5</v>
          </cell>
          <cell r="CB192">
            <v>24.4</v>
          </cell>
          <cell r="CD192">
            <v>65</v>
          </cell>
        </row>
        <row r="193">
          <cell r="A193">
            <v>39269</v>
          </cell>
          <cell r="H193">
            <v>0</v>
          </cell>
          <cell r="I193">
            <v>725</v>
          </cell>
          <cell r="J193">
            <v>723.1</v>
          </cell>
          <cell r="K193">
            <v>39900</v>
          </cell>
          <cell r="L193">
            <v>6830</v>
          </cell>
          <cell r="M193">
            <v>46730</v>
          </cell>
          <cell r="P193">
            <v>0</v>
          </cell>
          <cell r="S193">
            <v>80</v>
          </cell>
          <cell r="T193">
            <v>105.7</v>
          </cell>
          <cell r="V193">
            <v>105.7</v>
          </cell>
          <cell r="X193">
            <v>131.19999999999999</v>
          </cell>
          <cell r="Y193">
            <v>4020</v>
          </cell>
          <cell r="Z193">
            <v>175.1</v>
          </cell>
          <cell r="AD193">
            <v>18.2</v>
          </cell>
          <cell r="AE193">
            <v>4370</v>
          </cell>
          <cell r="AF193">
            <v>25.6</v>
          </cell>
          <cell r="AI193">
            <v>25.6</v>
          </cell>
          <cell r="AJ193">
            <v>0.3</v>
          </cell>
          <cell r="AK193">
            <v>36.9</v>
          </cell>
          <cell r="AO193">
            <v>0</v>
          </cell>
          <cell r="AP193">
            <v>5.59</v>
          </cell>
          <cell r="AQ193">
            <v>68.19</v>
          </cell>
          <cell r="AU193">
            <v>0</v>
          </cell>
          <cell r="AW193">
            <v>75.33</v>
          </cell>
          <cell r="BA193">
            <v>0</v>
          </cell>
          <cell r="BB193">
            <v>2.83</v>
          </cell>
          <cell r="BC193">
            <v>45.6</v>
          </cell>
          <cell r="BG193">
            <v>0</v>
          </cell>
          <cell r="BI193">
            <v>80</v>
          </cell>
          <cell r="BM193">
            <v>0</v>
          </cell>
          <cell r="BN193">
            <v>29000</v>
          </cell>
          <cell r="BO193">
            <v>6</v>
          </cell>
          <cell r="BP193">
            <v>125</v>
          </cell>
          <cell r="BS193">
            <v>0</v>
          </cell>
          <cell r="BU193">
            <v>5</v>
          </cell>
          <cell r="CD193">
            <v>65</v>
          </cell>
        </row>
        <row r="194">
          <cell r="A194">
            <v>39270</v>
          </cell>
          <cell r="H194">
            <v>0</v>
          </cell>
          <cell r="I194">
            <v>550</v>
          </cell>
          <cell r="J194">
            <v>802.3</v>
          </cell>
          <cell r="K194">
            <v>40900</v>
          </cell>
          <cell r="L194">
            <v>6050</v>
          </cell>
          <cell r="M194">
            <v>46950</v>
          </cell>
          <cell r="P194">
            <v>0</v>
          </cell>
          <cell r="S194">
            <v>80</v>
          </cell>
          <cell r="T194">
            <v>25.8</v>
          </cell>
          <cell r="V194">
            <v>25.8</v>
          </cell>
          <cell r="X194">
            <v>114.6</v>
          </cell>
          <cell r="Y194">
            <v>3950</v>
          </cell>
          <cell r="AD194">
            <v>28.4</v>
          </cell>
          <cell r="AE194">
            <v>4340</v>
          </cell>
          <cell r="AI194">
            <v>0</v>
          </cell>
          <cell r="AJ194">
            <v>0.69</v>
          </cell>
          <cell r="AK194">
            <v>36.24</v>
          </cell>
          <cell r="AO194">
            <v>0</v>
          </cell>
          <cell r="AP194">
            <v>3.93</v>
          </cell>
          <cell r="AQ194">
            <v>64.25</v>
          </cell>
          <cell r="AU194">
            <v>0</v>
          </cell>
          <cell r="AV194">
            <v>2.74</v>
          </cell>
          <cell r="AW194">
            <v>72.59</v>
          </cell>
          <cell r="BA194">
            <v>0</v>
          </cell>
          <cell r="BB194">
            <v>3.1819999999999999</v>
          </cell>
          <cell r="BC194">
            <v>42.4</v>
          </cell>
          <cell r="BG194">
            <v>0</v>
          </cell>
          <cell r="BI194">
            <v>80</v>
          </cell>
          <cell r="BM194">
            <v>0</v>
          </cell>
          <cell r="BO194">
            <v>5.4</v>
          </cell>
          <cell r="BP194">
            <v>120</v>
          </cell>
          <cell r="BS194">
            <v>0</v>
          </cell>
          <cell r="BU194">
            <v>5</v>
          </cell>
          <cell r="CD194">
            <v>65</v>
          </cell>
        </row>
        <row r="195">
          <cell r="A195">
            <v>39271</v>
          </cell>
          <cell r="C195">
            <v>2898</v>
          </cell>
          <cell r="G195">
            <v>650</v>
          </cell>
          <cell r="H195">
            <v>2898</v>
          </cell>
          <cell r="I195">
            <v>630</v>
          </cell>
          <cell r="J195">
            <v>741.8</v>
          </cell>
          <cell r="K195">
            <v>39590</v>
          </cell>
          <cell r="L195">
            <v>6280</v>
          </cell>
          <cell r="M195">
            <v>45870</v>
          </cell>
          <cell r="P195">
            <v>0</v>
          </cell>
          <cell r="S195">
            <v>80</v>
          </cell>
          <cell r="V195">
            <v>0</v>
          </cell>
          <cell r="X195">
            <v>204.9</v>
          </cell>
          <cell r="Y195">
            <v>3730</v>
          </cell>
          <cell r="Z195">
            <v>156.4</v>
          </cell>
          <cell r="AD195">
            <v>25.7</v>
          </cell>
          <cell r="AE195">
            <v>4470</v>
          </cell>
          <cell r="AI195">
            <v>0</v>
          </cell>
          <cell r="AJ195">
            <v>2.41</v>
          </cell>
          <cell r="AK195">
            <v>33.83</v>
          </cell>
          <cell r="AO195">
            <v>0</v>
          </cell>
          <cell r="AP195">
            <v>4.76</v>
          </cell>
          <cell r="AQ195">
            <v>59.5</v>
          </cell>
          <cell r="AU195">
            <v>0</v>
          </cell>
          <cell r="AV195">
            <v>3.69</v>
          </cell>
          <cell r="AW195">
            <v>68.900000000000006</v>
          </cell>
          <cell r="BA195">
            <v>0</v>
          </cell>
          <cell r="BB195">
            <v>2.972</v>
          </cell>
          <cell r="BC195">
            <v>39.4</v>
          </cell>
          <cell r="BG195">
            <v>0</v>
          </cell>
          <cell r="BI195">
            <v>80</v>
          </cell>
          <cell r="BM195">
            <v>0</v>
          </cell>
          <cell r="BO195">
            <v>6</v>
          </cell>
          <cell r="BP195">
            <v>114</v>
          </cell>
          <cell r="BS195">
            <v>0</v>
          </cell>
          <cell r="BU195">
            <v>5</v>
          </cell>
          <cell r="CD195">
            <v>65</v>
          </cell>
        </row>
        <row r="196">
          <cell r="A196">
            <v>39272</v>
          </cell>
          <cell r="G196">
            <v>490</v>
          </cell>
          <cell r="H196">
            <v>0</v>
          </cell>
          <cell r="I196">
            <v>630</v>
          </cell>
          <cell r="J196">
            <v>819.7</v>
          </cell>
          <cell r="K196">
            <v>38470</v>
          </cell>
          <cell r="L196">
            <v>5950</v>
          </cell>
          <cell r="M196">
            <v>44420</v>
          </cell>
          <cell r="P196">
            <v>0</v>
          </cell>
          <cell r="S196">
            <v>80</v>
          </cell>
          <cell r="T196">
            <v>582.6</v>
          </cell>
          <cell r="V196">
            <v>582.6</v>
          </cell>
          <cell r="X196">
            <v>200.6</v>
          </cell>
          <cell r="Y196">
            <v>4110</v>
          </cell>
          <cell r="AD196">
            <v>29.4</v>
          </cell>
          <cell r="AE196">
            <v>4440</v>
          </cell>
          <cell r="AI196">
            <v>0</v>
          </cell>
          <cell r="AJ196">
            <v>2.06</v>
          </cell>
          <cell r="AK196">
            <v>31.76</v>
          </cell>
          <cell r="AO196">
            <v>0</v>
          </cell>
          <cell r="AP196">
            <v>3.93</v>
          </cell>
          <cell r="AQ196">
            <v>55.57</v>
          </cell>
          <cell r="AU196">
            <v>0</v>
          </cell>
          <cell r="AV196">
            <v>0.59</v>
          </cell>
          <cell r="AW196">
            <v>68.31</v>
          </cell>
          <cell r="BA196">
            <v>0</v>
          </cell>
          <cell r="BB196">
            <v>3.258</v>
          </cell>
          <cell r="BC196">
            <v>36.15</v>
          </cell>
          <cell r="BG196">
            <v>0</v>
          </cell>
          <cell r="BI196">
            <v>80</v>
          </cell>
          <cell r="BM196">
            <v>0</v>
          </cell>
          <cell r="BN196">
            <v>25000</v>
          </cell>
          <cell r="BO196">
            <v>1.8</v>
          </cell>
          <cell r="BP196">
            <v>112</v>
          </cell>
          <cell r="BS196">
            <v>0</v>
          </cell>
          <cell r="BU196">
            <v>5</v>
          </cell>
          <cell r="CD196">
            <v>65</v>
          </cell>
        </row>
        <row r="197">
          <cell r="A197">
            <v>39273</v>
          </cell>
          <cell r="B197">
            <v>1320.1</v>
          </cell>
          <cell r="G197">
            <v>170</v>
          </cell>
          <cell r="H197">
            <v>1320.1</v>
          </cell>
          <cell r="I197">
            <v>700</v>
          </cell>
          <cell r="J197">
            <v>641.4</v>
          </cell>
          <cell r="K197">
            <v>37600</v>
          </cell>
          <cell r="L197">
            <v>6800</v>
          </cell>
          <cell r="M197">
            <v>44400</v>
          </cell>
          <cell r="P197">
            <v>0</v>
          </cell>
          <cell r="S197">
            <v>80</v>
          </cell>
          <cell r="T197">
            <v>301</v>
          </cell>
          <cell r="V197">
            <v>301</v>
          </cell>
          <cell r="X197">
            <v>186.6</v>
          </cell>
          <cell r="Y197">
            <v>4230</v>
          </cell>
          <cell r="AD197">
            <v>117.8</v>
          </cell>
          <cell r="AE197">
            <v>4320</v>
          </cell>
          <cell r="AI197">
            <v>0</v>
          </cell>
          <cell r="AJ197">
            <v>1.1499999999999999</v>
          </cell>
          <cell r="AK197">
            <v>30.62</v>
          </cell>
          <cell r="AO197">
            <v>0</v>
          </cell>
          <cell r="AP197">
            <v>3.69</v>
          </cell>
          <cell r="AQ197">
            <v>51.88</v>
          </cell>
          <cell r="AU197">
            <v>0</v>
          </cell>
          <cell r="AW197">
            <v>68.31</v>
          </cell>
          <cell r="BA197">
            <v>0</v>
          </cell>
          <cell r="BB197">
            <v>2.8039999999999998</v>
          </cell>
          <cell r="BC197">
            <v>33.340000000000003</v>
          </cell>
          <cell r="BG197">
            <v>0</v>
          </cell>
          <cell r="BI197">
            <v>80</v>
          </cell>
          <cell r="BM197">
            <v>0</v>
          </cell>
          <cell r="BN197">
            <v>30000</v>
          </cell>
          <cell r="BP197">
            <v>112</v>
          </cell>
          <cell r="BS197">
            <v>0</v>
          </cell>
          <cell r="BU197">
            <v>5</v>
          </cell>
          <cell r="CD197">
            <v>65</v>
          </cell>
        </row>
        <row r="198">
          <cell r="A198">
            <v>39274</v>
          </cell>
          <cell r="G198">
            <v>200</v>
          </cell>
          <cell r="H198">
            <v>0</v>
          </cell>
          <cell r="I198">
            <v>320</v>
          </cell>
          <cell r="J198">
            <v>551.20000000000005</v>
          </cell>
          <cell r="K198">
            <v>37050</v>
          </cell>
          <cell r="L198">
            <v>6450</v>
          </cell>
          <cell r="M198">
            <v>43500</v>
          </cell>
          <cell r="P198">
            <v>0</v>
          </cell>
          <cell r="S198">
            <v>80</v>
          </cell>
          <cell r="T198">
            <v>220.6</v>
          </cell>
          <cell r="V198">
            <v>220.6</v>
          </cell>
          <cell r="X198">
            <v>98.6</v>
          </cell>
          <cell r="Y198">
            <v>4350</v>
          </cell>
          <cell r="AD198">
            <v>136.1</v>
          </cell>
          <cell r="AE198">
            <v>4190</v>
          </cell>
          <cell r="AI198">
            <v>0</v>
          </cell>
          <cell r="AJ198">
            <v>2.64</v>
          </cell>
          <cell r="AK198">
            <v>27.98</v>
          </cell>
          <cell r="AL198">
            <v>23.92</v>
          </cell>
          <cell r="AO198">
            <v>23.92</v>
          </cell>
          <cell r="AP198">
            <v>0.6</v>
          </cell>
          <cell r="AQ198">
            <v>75.209999999999994</v>
          </cell>
          <cell r="AR198">
            <v>24.16</v>
          </cell>
          <cell r="AU198">
            <v>24.16</v>
          </cell>
          <cell r="AV198">
            <v>1.55</v>
          </cell>
          <cell r="AW198">
            <v>90.92</v>
          </cell>
          <cell r="AX198">
            <v>24.06</v>
          </cell>
          <cell r="BA198">
            <v>24.06</v>
          </cell>
          <cell r="BB198">
            <v>2.3980000000000001</v>
          </cell>
          <cell r="BC198">
            <v>55</v>
          </cell>
          <cell r="BG198">
            <v>0</v>
          </cell>
          <cell r="BI198">
            <v>80</v>
          </cell>
          <cell r="BM198">
            <v>0</v>
          </cell>
          <cell r="BN198">
            <v>10000</v>
          </cell>
          <cell r="BP198">
            <v>112</v>
          </cell>
          <cell r="BS198">
            <v>0</v>
          </cell>
          <cell r="BU198">
            <v>5</v>
          </cell>
          <cell r="CD198">
            <v>65</v>
          </cell>
        </row>
        <row r="199">
          <cell r="A199">
            <v>39275</v>
          </cell>
          <cell r="H199">
            <v>0</v>
          </cell>
          <cell r="I199">
            <v>663</v>
          </cell>
          <cell r="J199">
            <v>390.7</v>
          </cell>
          <cell r="K199">
            <v>36200</v>
          </cell>
          <cell r="L199">
            <v>6000</v>
          </cell>
          <cell r="M199">
            <v>42200</v>
          </cell>
          <cell r="P199">
            <v>0</v>
          </cell>
          <cell r="S199">
            <v>80</v>
          </cell>
          <cell r="T199">
            <v>362.7</v>
          </cell>
          <cell r="V199">
            <v>362.7</v>
          </cell>
          <cell r="X199">
            <v>120</v>
          </cell>
          <cell r="Y199">
            <v>4600</v>
          </cell>
          <cell r="Z199">
            <v>113</v>
          </cell>
          <cell r="AD199">
            <v>284.8</v>
          </cell>
          <cell r="AE199">
            <v>4000</v>
          </cell>
          <cell r="AI199">
            <v>0</v>
          </cell>
          <cell r="AJ199">
            <v>2.64</v>
          </cell>
          <cell r="AK199">
            <v>25.34</v>
          </cell>
          <cell r="AO199">
            <v>0</v>
          </cell>
          <cell r="AP199">
            <v>3.45</v>
          </cell>
          <cell r="AQ199">
            <v>71.760000000000005</v>
          </cell>
          <cell r="AU199">
            <v>0</v>
          </cell>
          <cell r="AV199">
            <v>1.43</v>
          </cell>
          <cell r="AW199">
            <v>89.49</v>
          </cell>
          <cell r="BA199">
            <v>0</v>
          </cell>
          <cell r="BB199">
            <v>2.113</v>
          </cell>
          <cell r="BC199">
            <v>52.9</v>
          </cell>
          <cell r="BG199">
            <v>0</v>
          </cell>
          <cell r="BI199">
            <v>80</v>
          </cell>
          <cell r="BM199">
            <v>0</v>
          </cell>
          <cell r="BP199">
            <v>112</v>
          </cell>
          <cell r="BS199">
            <v>0</v>
          </cell>
          <cell r="BU199">
            <v>5</v>
          </cell>
          <cell r="CB199">
            <v>10.8</v>
          </cell>
          <cell r="CD199">
            <v>75.8</v>
          </cell>
        </row>
        <row r="200">
          <cell r="A200">
            <v>39276</v>
          </cell>
          <cell r="C200">
            <v>2990.4</v>
          </cell>
          <cell r="H200">
            <v>2990.4</v>
          </cell>
          <cell r="I200">
            <v>832</v>
          </cell>
          <cell r="J200">
            <v>609.20000000000005</v>
          </cell>
          <cell r="K200">
            <v>35100</v>
          </cell>
          <cell r="L200">
            <v>5500</v>
          </cell>
          <cell r="M200">
            <v>40600</v>
          </cell>
          <cell r="P200">
            <v>0</v>
          </cell>
          <cell r="S200">
            <v>80</v>
          </cell>
          <cell r="T200">
            <v>27.8</v>
          </cell>
          <cell r="V200">
            <v>27.8</v>
          </cell>
          <cell r="X200">
            <v>139</v>
          </cell>
          <cell r="Y200">
            <v>4500</v>
          </cell>
          <cell r="Z200">
            <v>57</v>
          </cell>
          <cell r="AD200">
            <v>277.10000000000002</v>
          </cell>
          <cell r="AE200">
            <v>3800</v>
          </cell>
          <cell r="AI200">
            <v>0</v>
          </cell>
          <cell r="AJ200">
            <v>2.41</v>
          </cell>
          <cell r="AK200">
            <v>22.93</v>
          </cell>
          <cell r="AO200">
            <v>0</v>
          </cell>
          <cell r="AP200">
            <v>4.5199999999999996</v>
          </cell>
          <cell r="AQ200">
            <v>67.239999999999995</v>
          </cell>
          <cell r="AU200">
            <v>0</v>
          </cell>
          <cell r="AV200">
            <v>2.86</v>
          </cell>
          <cell r="AW200">
            <v>86.63</v>
          </cell>
          <cell r="BA200">
            <v>0</v>
          </cell>
          <cell r="BB200">
            <v>2.9929999999999999</v>
          </cell>
          <cell r="BC200">
            <v>49.9</v>
          </cell>
          <cell r="BG200">
            <v>0</v>
          </cell>
          <cell r="BI200">
            <v>80</v>
          </cell>
          <cell r="BJ200">
            <v>23.6</v>
          </cell>
          <cell r="BM200">
            <v>23.6</v>
          </cell>
          <cell r="BP200">
            <v>136</v>
          </cell>
          <cell r="BS200">
            <v>0</v>
          </cell>
          <cell r="BU200">
            <v>5</v>
          </cell>
          <cell r="CD200">
            <v>75.8</v>
          </cell>
        </row>
        <row r="201">
          <cell r="A201">
            <v>39277</v>
          </cell>
          <cell r="H201">
            <v>0</v>
          </cell>
          <cell r="I201">
            <v>850</v>
          </cell>
          <cell r="J201">
            <v>597.79999999999995</v>
          </cell>
          <cell r="K201">
            <v>35600</v>
          </cell>
          <cell r="L201">
            <v>4850</v>
          </cell>
          <cell r="M201">
            <v>40450</v>
          </cell>
          <cell r="P201">
            <v>0</v>
          </cell>
          <cell r="S201">
            <v>80</v>
          </cell>
          <cell r="V201">
            <v>0</v>
          </cell>
          <cell r="X201">
            <v>167.3</v>
          </cell>
          <cell r="Y201">
            <v>4300</v>
          </cell>
          <cell r="AD201">
            <v>300.2</v>
          </cell>
          <cell r="AE201">
            <v>3500</v>
          </cell>
          <cell r="AI201">
            <v>0</v>
          </cell>
          <cell r="AJ201">
            <v>3.44</v>
          </cell>
          <cell r="AK201">
            <v>19.489999999999998</v>
          </cell>
          <cell r="AO201">
            <v>0</v>
          </cell>
          <cell r="AP201">
            <v>3.57</v>
          </cell>
          <cell r="AQ201">
            <v>63.67</v>
          </cell>
          <cell r="AU201">
            <v>0</v>
          </cell>
          <cell r="AV201">
            <v>1.31</v>
          </cell>
          <cell r="AW201">
            <v>85.32</v>
          </cell>
          <cell r="BA201">
            <v>0</v>
          </cell>
          <cell r="BB201">
            <v>3.1589999999999998</v>
          </cell>
          <cell r="BC201">
            <v>46.74</v>
          </cell>
          <cell r="BG201">
            <v>0</v>
          </cell>
          <cell r="BI201">
            <v>80</v>
          </cell>
          <cell r="BM201">
            <v>0</v>
          </cell>
          <cell r="BP201">
            <v>136</v>
          </cell>
          <cell r="BS201">
            <v>0</v>
          </cell>
          <cell r="BU201">
            <v>5</v>
          </cell>
          <cell r="CD201">
            <v>75.8</v>
          </cell>
        </row>
        <row r="202">
          <cell r="A202">
            <v>39278</v>
          </cell>
          <cell r="G202">
            <v>430</v>
          </cell>
          <cell r="H202">
            <v>0</v>
          </cell>
          <cell r="I202">
            <v>950</v>
          </cell>
          <cell r="J202">
            <v>602.29999999999995</v>
          </cell>
          <cell r="K202">
            <v>35740</v>
          </cell>
          <cell r="L202">
            <v>4680</v>
          </cell>
          <cell r="M202">
            <v>40420</v>
          </cell>
          <cell r="P202">
            <v>0</v>
          </cell>
          <cell r="S202">
            <v>80</v>
          </cell>
          <cell r="T202">
            <v>223</v>
          </cell>
          <cell r="V202">
            <v>223</v>
          </cell>
          <cell r="X202">
            <v>186.8</v>
          </cell>
          <cell r="Y202">
            <v>4350</v>
          </cell>
          <cell r="AD202">
            <v>294.89999999999998</v>
          </cell>
          <cell r="AE202">
            <v>3200</v>
          </cell>
          <cell r="AI202">
            <v>0</v>
          </cell>
          <cell r="AJ202">
            <v>1.61</v>
          </cell>
          <cell r="AK202">
            <v>17.89</v>
          </cell>
          <cell r="AO202">
            <v>0</v>
          </cell>
          <cell r="AP202">
            <v>6.43</v>
          </cell>
          <cell r="AQ202">
            <v>57.24</v>
          </cell>
          <cell r="AU202">
            <v>0</v>
          </cell>
          <cell r="AW202">
            <v>85.32</v>
          </cell>
          <cell r="BA202">
            <v>0</v>
          </cell>
          <cell r="BB202">
            <v>3.125</v>
          </cell>
          <cell r="BC202">
            <v>43.61</v>
          </cell>
          <cell r="BG202">
            <v>0</v>
          </cell>
          <cell r="BI202">
            <v>80</v>
          </cell>
          <cell r="BM202">
            <v>0</v>
          </cell>
          <cell r="BP202">
            <v>136</v>
          </cell>
          <cell r="BS202">
            <v>0</v>
          </cell>
          <cell r="BU202">
            <v>5</v>
          </cell>
          <cell r="CD202">
            <v>75.8</v>
          </cell>
        </row>
        <row r="203">
          <cell r="A203">
            <v>39279</v>
          </cell>
          <cell r="G203">
            <v>220</v>
          </cell>
          <cell r="H203">
            <v>0</v>
          </cell>
          <cell r="I203">
            <v>680</v>
          </cell>
          <cell r="J203">
            <v>564.29999999999995</v>
          </cell>
          <cell r="K203">
            <v>34840</v>
          </cell>
          <cell r="L203">
            <v>4340</v>
          </cell>
          <cell r="M203">
            <v>39180</v>
          </cell>
          <cell r="P203">
            <v>0</v>
          </cell>
          <cell r="S203">
            <v>80</v>
          </cell>
          <cell r="T203">
            <v>719</v>
          </cell>
          <cell r="V203">
            <v>719</v>
          </cell>
          <cell r="X203">
            <v>125.3</v>
          </cell>
          <cell r="Y203">
            <v>4940</v>
          </cell>
          <cell r="AD203">
            <v>266.2</v>
          </cell>
          <cell r="AE203">
            <v>2930</v>
          </cell>
          <cell r="AI203">
            <v>0</v>
          </cell>
          <cell r="AJ203">
            <v>2.06</v>
          </cell>
          <cell r="AK203">
            <v>15.82</v>
          </cell>
          <cell r="AO203">
            <v>0</v>
          </cell>
          <cell r="AP203">
            <v>4.17</v>
          </cell>
          <cell r="AQ203">
            <v>53.07</v>
          </cell>
          <cell r="AU203">
            <v>0</v>
          </cell>
          <cell r="AV203">
            <v>0.59</v>
          </cell>
          <cell r="AW203">
            <v>84.73</v>
          </cell>
          <cell r="BA203">
            <v>0</v>
          </cell>
          <cell r="BB203">
            <v>2.9540000000000002</v>
          </cell>
          <cell r="BC203">
            <v>40.619999999999997</v>
          </cell>
          <cell r="BG203">
            <v>0</v>
          </cell>
          <cell r="BI203">
            <v>80</v>
          </cell>
          <cell r="BM203">
            <v>0</v>
          </cell>
          <cell r="BP203">
            <v>136</v>
          </cell>
          <cell r="BS203">
            <v>0</v>
          </cell>
          <cell r="BU203">
            <v>5</v>
          </cell>
          <cell r="CD203">
            <v>75.8</v>
          </cell>
        </row>
        <row r="204">
          <cell r="A204">
            <v>39280</v>
          </cell>
          <cell r="B204">
            <v>1319.8</v>
          </cell>
          <cell r="G204">
            <v>500</v>
          </cell>
          <cell r="H204">
            <v>1319.8</v>
          </cell>
          <cell r="I204">
            <v>850</v>
          </cell>
          <cell r="J204">
            <v>507.2</v>
          </cell>
          <cell r="K204">
            <v>33500</v>
          </cell>
          <cell r="L204">
            <v>5650</v>
          </cell>
          <cell r="M204">
            <v>39150</v>
          </cell>
          <cell r="P204">
            <v>0</v>
          </cell>
          <cell r="S204">
            <v>80</v>
          </cell>
          <cell r="T204">
            <v>55.5</v>
          </cell>
          <cell r="V204">
            <v>55.5</v>
          </cell>
          <cell r="X204">
            <v>108.7</v>
          </cell>
          <cell r="Y204">
            <v>4850</v>
          </cell>
          <cell r="AD204">
            <v>134.4</v>
          </cell>
          <cell r="AE204">
            <v>2800</v>
          </cell>
          <cell r="AI204">
            <v>0</v>
          </cell>
          <cell r="AJ204">
            <v>0.8</v>
          </cell>
          <cell r="AK204">
            <v>15.02</v>
          </cell>
          <cell r="AO204">
            <v>0</v>
          </cell>
          <cell r="AP204">
            <v>4.4000000000000004</v>
          </cell>
          <cell r="AQ204">
            <v>48.67</v>
          </cell>
          <cell r="AU204">
            <v>0</v>
          </cell>
          <cell r="AW204">
            <v>84.73</v>
          </cell>
          <cell r="BA204">
            <v>0</v>
          </cell>
          <cell r="BB204">
            <v>2.3130000000000002</v>
          </cell>
          <cell r="BC204">
            <v>38.299999999999997</v>
          </cell>
          <cell r="BG204">
            <v>0</v>
          </cell>
          <cell r="BI204">
            <v>80</v>
          </cell>
          <cell r="BM204">
            <v>0</v>
          </cell>
          <cell r="BP204">
            <v>136</v>
          </cell>
          <cell r="BS204">
            <v>0</v>
          </cell>
          <cell r="BU204">
            <v>5</v>
          </cell>
          <cell r="CD204">
            <v>75.8</v>
          </cell>
        </row>
        <row r="205">
          <cell r="A205">
            <v>39281</v>
          </cell>
          <cell r="H205">
            <v>0</v>
          </cell>
          <cell r="I205">
            <v>670</v>
          </cell>
          <cell r="J205">
            <v>628</v>
          </cell>
          <cell r="K205">
            <v>32800</v>
          </cell>
          <cell r="L205">
            <v>5000</v>
          </cell>
          <cell r="M205">
            <v>37800</v>
          </cell>
          <cell r="P205">
            <v>0</v>
          </cell>
          <cell r="S205">
            <v>80</v>
          </cell>
          <cell r="T205">
            <v>139.4</v>
          </cell>
          <cell r="V205">
            <v>139.4</v>
          </cell>
          <cell r="X205">
            <v>159.9</v>
          </cell>
          <cell r="Y205">
            <v>4800</v>
          </cell>
          <cell r="Z205">
            <v>57.1</v>
          </cell>
          <cell r="AD205">
            <v>310.39999999999998</v>
          </cell>
          <cell r="AE205">
            <v>2550</v>
          </cell>
          <cell r="AI205">
            <v>0</v>
          </cell>
          <cell r="AJ205">
            <v>2.1800000000000002</v>
          </cell>
          <cell r="AK205">
            <v>12.84</v>
          </cell>
          <cell r="AO205">
            <v>0</v>
          </cell>
          <cell r="AP205">
            <v>9.64</v>
          </cell>
          <cell r="AQ205">
            <v>39.03</v>
          </cell>
          <cell r="AU205">
            <v>0</v>
          </cell>
          <cell r="AV205">
            <v>0.71</v>
          </cell>
          <cell r="AW205">
            <v>84.01</v>
          </cell>
          <cell r="BA205">
            <v>0</v>
          </cell>
          <cell r="BB205">
            <v>3.1989999999999998</v>
          </cell>
          <cell r="BC205">
            <v>35.1</v>
          </cell>
          <cell r="BG205">
            <v>0</v>
          </cell>
          <cell r="BI205">
            <v>80</v>
          </cell>
          <cell r="BM205">
            <v>0</v>
          </cell>
          <cell r="BP205">
            <v>136</v>
          </cell>
          <cell r="BS205">
            <v>0</v>
          </cell>
          <cell r="BU205">
            <v>5</v>
          </cell>
          <cell r="CD205">
            <v>75.8</v>
          </cell>
        </row>
        <row r="206">
          <cell r="A206">
            <v>39282</v>
          </cell>
          <cell r="C206">
            <v>845</v>
          </cell>
          <cell r="H206">
            <v>845</v>
          </cell>
          <cell r="I206">
            <v>530</v>
          </cell>
          <cell r="J206">
            <v>597.5</v>
          </cell>
          <cell r="K206">
            <v>33150</v>
          </cell>
          <cell r="L206">
            <v>4400</v>
          </cell>
          <cell r="M206">
            <v>37550</v>
          </cell>
          <cell r="P206">
            <v>0</v>
          </cell>
          <cell r="S206">
            <v>80</v>
          </cell>
          <cell r="T206">
            <v>383.2</v>
          </cell>
          <cell r="V206">
            <v>383.2</v>
          </cell>
          <cell r="X206">
            <v>135.5</v>
          </cell>
          <cell r="Y206">
            <v>5090</v>
          </cell>
          <cell r="Z206">
            <v>229.5</v>
          </cell>
          <cell r="AD206">
            <v>280.7</v>
          </cell>
          <cell r="AE206">
            <v>2500</v>
          </cell>
          <cell r="AF206">
            <v>24.46</v>
          </cell>
          <cell r="AI206">
            <v>24.46</v>
          </cell>
          <cell r="AJ206">
            <v>0.15</v>
          </cell>
          <cell r="AK206">
            <v>37.15</v>
          </cell>
          <cell r="AO206">
            <v>0</v>
          </cell>
          <cell r="AP206">
            <v>3.69</v>
          </cell>
          <cell r="AQ206">
            <v>35.340000000000003</v>
          </cell>
          <cell r="AU206">
            <v>0</v>
          </cell>
          <cell r="AV206">
            <v>0.12</v>
          </cell>
          <cell r="AW206">
            <v>83.9</v>
          </cell>
          <cell r="BA206">
            <v>0</v>
          </cell>
          <cell r="BB206">
            <v>3.06</v>
          </cell>
          <cell r="BC206">
            <v>32.03</v>
          </cell>
          <cell r="BG206">
            <v>0</v>
          </cell>
          <cell r="BI206">
            <v>80</v>
          </cell>
          <cell r="BJ206">
            <v>24.3</v>
          </cell>
          <cell r="BM206">
            <v>24.3</v>
          </cell>
          <cell r="BN206">
            <v>15000</v>
          </cell>
          <cell r="BO206">
            <v>3</v>
          </cell>
          <cell r="BP206">
            <v>157</v>
          </cell>
          <cell r="BS206">
            <v>0</v>
          </cell>
          <cell r="BU206">
            <v>5</v>
          </cell>
          <cell r="CD206">
            <v>75.8</v>
          </cell>
        </row>
        <row r="207">
          <cell r="A207">
            <v>39283</v>
          </cell>
          <cell r="C207">
            <v>1845</v>
          </cell>
          <cell r="H207">
            <v>1845</v>
          </cell>
          <cell r="I207">
            <v>890</v>
          </cell>
          <cell r="J207">
            <v>531.20000000000005</v>
          </cell>
          <cell r="K207">
            <v>31000</v>
          </cell>
          <cell r="L207">
            <v>3900</v>
          </cell>
          <cell r="M207">
            <v>34900</v>
          </cell>
          <cell r="P207">
            <v>0</v>
          </cell>
          <cell r="S207">
            <v>80</v>
          </cell>
          <cell r="T207">
            <v>136.69999999999999</v>
          </cell>
          <cell r="V207">
            <v>136.69999999999999</v>
          </cell>
          <cell r="X207">
            <v>234.1</v>
          </cell>
          <cell r="Y207">
            <v>5000</v>
          </cell>
          <cell r="Z207">
            <v>58.5</v>
          </cell>
          <cell r="AD207">
            <v>326.2</v>
          </cell>
          <cell r="AE207">
            <v>2700</v>
          </cell>
          <cell r="AI207">
            <v>0</v>
          </cell>
          <cell r="AJ207">
            <v>2.29</v>
          </cell>
          <cell r="AK207">
            <v>34.86</v>
          </cell>
          <cell r="AO207">
            <v>0</v>
          </cell>
          <cell r="AP207">
            <v>4.76</v>
          </cell>
          <cell r="AQ207">
            <v>30.58</v>
          </cell>
          <cell r="AU207">
            <v>0</v>
          </cell>
          <cell r="AV207">
            <v>1.43</v>
          </cell>
          <cell r="AW207">
            <v>82.47</v>
          </cell>
          <cell r="BA207">
            <v>0</v>
          </cell>
          <cell r="BB207">
            <v>2.8639999999999999</v>
          </cell>
          <cell r="BC207">
            <v>29.2</v>
          </cell>
          <cell r="BG207">
            <v>0</v>
          </cell>
          <cell r="BI207">
            <v>80</v>
          </cell>
          <cell r="BM207">
            <v>0</v>
          </cell>
          <cell r="BN207">
            <v>30000</v>
          </cell>
          <cell r="BO207">
            <v>5.5</v>
          </cell>
          <cell r="BP207">
            <v>152</v>
          </cell>
          <cell r="BS207">
            <v>0</v>
          </cell>
          <cell r="BU207">
            <v>5</v>
          </cell>
          <cell r="CD207">
            <v>75.8</v>
          </cell>
        </row>
        <row r="208">
          <cell r="A208">
            <v>39284</v>
          </cell>
          <cell r="C208">
            <v>700</v>
          </cell>
          <cell r="H208">
            <v>700</v>
          </cell>
          <cell r="I208">
            <v>660</v>
          </cell>
          <cell r="J208">
            <v>225.9</v>
          </cell>
          <cell r="K208">
            <v>33300</v>
          </cell>
          <cell r="L208">
            <v>3700</v>
          </cell>
          <cell r="M208">
            <v>37000</v>
          </cell>
          <cell r="P208">
            <v>0</v>
          </cell>
          <cell r="S208">
            <v>80</v>
          </cell>
          <cell r="V208">
            <v>0</v>
          </cell>
          <cell r="X208">
            <v>267.10000000000002</v>
          </cell>
          <cell r="Y208">
            <v>4700</v>
          </cell>
          <cell r="Z208">
            <v>173.2</v>
          </cell>
          <cell r="AD208">
            <v>162.19999999999999</v>
          </cell>
          <cell r="AE208">
            <v>2800</v>
          </cell>
          <cell r="AI208">
            <v>0</v>
          </cell>
          <cell r="AJ208">
            <v>2.29</v>
          </cell>
          <cell r="AK208">
            <v>32.57</v>
          </cell>
          <cell r="AO208">
            <v>0</v>
          </cell>
          <cell r="AP208">
            <v>4.88</v>
          </cell>
          <cell r="AQ208">
            <v>29.27</v>
          </cell>
          <cell r="AU208">
            <v>0</v>
          </cell>
          <cell r="AV208">
            <v>2.2599999999999998</v>
          </cell>
          <cell r="AW208">
            <v>80.209999999999994</v>
          </cell>
          <cell r="BA208">
            <v>0</v>
          </cell>
          <cell r="BB208">
            <v>1.278</v>
          </cell>
          <cell r="BC208">
            <v>27.9</v>
          </cell>
          <cell r="BG208">
            <v>0</v>
          </cell>
          <cell r="BI208">
            <v>80</v>
          </cell>
          <cell r="BM208">
            <v>0</v>
          </cell>
          <cell r="BO208">
            <v>5</v>
          </cell>
          <cell r="BP208">
            <v>147</v>
          </cell>
          <cell r="BS208">
            <v>0</v>
          </cell>
          <cell r="BU208">
            <v>5</v>
          </cell>
          <cell r="CC208">
            <v>2.7</v>
          </cell>
          <cell r="CD208">
            <v>73.099999999999994</v>
          </cell>
        </row>
        <row r="209">
          <cell r="A209">
            <v>39285</v>
          </cell>
          <cell r="G209">
            <v>410</v>
          </cell>
          <cell r="H209">
            <v>0</v>
          </cell>
          <cell r="I209">
            <v>720</v>
          </cell>
          <cell r="J209">
            <v>536.1</v>
          </cell>
          <cell r="K209">
            <v>32100</v>
          </cell>
          <cell r="L209">
            <v>4430</v>
          </cell>
          <cell r="M209">
            <v>36530</v>
          </cell>
          <cell r="P209">
            <v>0</v>
          </cell>
          <cell r="S209">
            <v>80</v>
          </cell>
          <cell r="V209">
            <v>0</v>
          </cell>
          <cell r="X209">
            <v>395.6</v>
          </cell>
          <cell r="Y209">
            <v>4330</v>
          </cell>
          <cell r="Z209">
            <v>227.6</v>
          </cell>
          <cell r="AD209">
            <v>334.7</v>
          </cell>
          <cell r="AE209">
            <v>2720</v>
          </cell>
          <cell r="AI209">
            <v>0</v>
          </cell>
          <cell r="AJ209">
            <v>2.52</v>
          </cell>
          <cell r="AK209">
            <v>30.04</v>
          </cell>
          <cell r="AO209">
            <v>0</v>
          </cell>
          <cell r="AP209">
            <v>2.02</v>
          </cell>
          <cell r="AQ209">
            <v>27.25</v>
          </cell>
          <cell r="AU209">
            <v>0</v>
          </cell>
          <cell r="AV209">
            <v>1.07</v>
          </cell>
          <cell r="AW209">
            <v>79.14</v>
          </cell>
          <cell r="BA209">
            <v>0</v>
          </cell>
          <cell r="BB209">
            <v>2.9</v>
          </cell>
          <cell r="BC209">
            <v>25</v>
          </cell>
          <cell r="BG209">
            <v>0</v>
          </cell>
          <cell r="BI209">
            <v>80</v>
          </cell>
          <cell r="BM209">
            <v>0</v>
          </cell>
          <cell r="BO209">
            <v>5</v>
          </cell>
          <cell r="BP209">
            <v>141.5</v>
          </cell>
          <cell r="BS209">
            <v>0</v>
          </cell>
          <cell r="BU209">
            <v>5</v>
          </cell>
          <cell r="CC209">
            <v>6.2</v>
          </cell>
          <cell r="CD209">
            <v>67</v>
          </cell>
        </row>
        <row r="210">
          <cell r="A210">
            <v>39286</v>
          </cell>
          <cell r="B210">
            <v>56.8</v>
          </cell>
          <cell r="G210">
            <v>400</v>
          </cell>
          <cell r="H210">
            <v>56.8</v>
          </cell>
          <cell r="I210">
            <v>720</v>
          </cell>
          <cell r="J210">
            <v>510.9</v>
          </cell>
          <cell r="K210">
            <v>31000</v>
          </cell>
          <cell r="L210">
            <v>4380</v>
          </cell>
          <cell r="M210">
            <v>35380</v>
          </cell>
          <cell r="P210">
            <v>0</v>
          </cell>
          <cell r="S210">
            <v>80</v>
          </cell>
          <cell r="T210">
            <v>333</v>
          </cell>
          <cell r="V210">
            <v>333</v>
          </cell>
          <cell r="X210">
            <v>465.4</v>
          </cell>
          <cell r="Y210">
            <v>4200</v>
          </cell>
          <cell r="Z210">
            <v>171.5</v>
          </cell>
          <cell r="AD210">
            <v>107.4</v>
          </cell>
          <cell r="AE210">
            <v>2790</v>
          </cell>
          <cell r="AI210">
            <v>0</v>
          </cell>
          <cell r="AJ210">
            <v>2.64</v>
          </cell>
          <cell r="AK210">
            <v>27.41</v>
          </cell>
          <cell r="AO210">
            <v>0</v>
          </cell>
          <cell r="AP210">
            <v>10.71</v>
          </cell>
          <cell r="AQ210">
            <v>16.54</v>
          </cell>
          <cell r="AU210">
            <v>0</v>
          </cell>
          <cell r="AW210">
            <v>79.14</v>
          </cell>
          <cell r="BA210">
            <v>0</v>
          </cell>
          <cell r="BB210">
            <v>2.3620000000000001</v>
          </cell>
          <cell r="BC210">
            <v>22.63</v>
          </cell>
          <cell r="BG210">
            <v>0</v>
          </cell>
          <cell r="BI210">
            <v>80</v>
          </cell>
          <cell r="BM210">
            <v>0</v>
          </cell>
          <cell r="BN210">
            <v>33900</v>
          </cell>
          <cell r="BO210">
            <v>5</v>
          </cell>
          <cell r="BP210">
            <v>136.5</v>
          </cell>
          <cell r="BS210">
            <v>0</v>
          </cell>
          <cell r="BU210">
            <v>5</v>
          </cell>
          <cell r="CC210">
            <v>4.2</v>
          </cell>
          <cell r="CD210">
            <v>62.5</v>
          </cell>
        </row>
        <row r="211">
          <cell r="A211">
            <v>39287</v>
          </cell>
          <cell r="B211">
            <v>1320</v>
          </cell>
          <cell r="H211">
            <v>1320</v>
          </cell>
          <cell r="I211">
            <v>750</v>
          </cell>
          <cell r="J211">
            <v>593.70000000000005</v>
          </cell>
          <cell r="K211">
            <v>30250</v>
          </cell>
          <cell r="L211">
            <v>5100</v>
          </cell>
          <cell r="M211">
            <v>35350</v>
          </cell>
          <cell r="P211">
            <v>0</v>
          </cell>
          <cell r="S211">
            <v>80</v>
          </cell>
          <cell r="T211">
            <v>164.7</v>
          </cell>
          <cell r="V211">
            <v>164.7</v>
          </cell>
          <cell r="X211">
            <v>574.4</v>
          </cell>
          <cell r="Y211">
            <v>3800</v>
          </cell>
          <cell r="Z211">
            <v>57.7</v>
          </cell>
          <cell r="AD211">
            <v>32</v>
          </cell>
          <cell r="AE211">
            <v>2800</v>
          </cell>
          <cell r="AI211">
            <v>0</v>
          </cell>
          <cell r="AJ211">
            <v>2.41</v>
          </cell>
          <cell r="AK211">
            <v>25</v>
          </cell>
          <cell r="AL211">
            <v>24.24</v>
          </cell>
          <cell r="AO211">
            <v>24.24</v>
          </cell>
          <cell r="AP211">
            <v>4.72</v>
          </cell>
          <cell r="AQ211">
            <v>36.06</v>
          </cell>
          <cell r="AU211">
            <v>0</v>
          </cell>
          <cell r="AV211">
            <v>0.83</v>
          </cell>
          <cell r="AW211">
            <v>78.3</v>
          </cell>
          <cell r="BA211">
            <v>0</v>
          </cell>
          <cell r="BB211">
            <v>2.66</v>
          </cell>
          <cell r="BC211">
            <v>20.03</v>
          </cell>
          <cell r="BG211">
            <v>0</v>
          </cell>
          <cell r="BI211">
            <v>80</v>
          </cell>
          <cell r="BM211">
            <v>0</v>
          </cell>
          <cell r="BN211">
            <v>10000</v>
          </cell>
          <cell r="BO211">
            <v>6.1</v>
          </cell>
          <cell r="BP211">
            <v>130.5</v>
          </cell>
          <cell r="BS211">
            <v>0</v>
          </cell>
          <cell r="BU211">
            <v>5</v>
          </cell>
          <cell r="CC211">
            <v>4.4000000000000004</v>
          </cell>
          <cell r="CD211">
            <v>58</v>
          </cell>
        </row>
        <row r="212">
          <cell r="A212">
            <v>39288</v>
          </cell>
          <cell r="G212">
            <v>640.5</v>
          </cell>
          <cell r="H212">
            <v>0</v>
          </cell>
          <cell r="I212">
            <v>560</v>
          </cell>
          <cell r="J212">
            <v>552.79999999999995</v>
          </cell>
          <cell r="K212">
            <v>29050</v>
          </cell>
          <cell r="L212">
            <v>5190</v>
          </cell>
          <cell r="M212">
            <v>34240</v>
          </cell>
          <cell r="P212">
            <v>0</v>
          </cell>
          <cell r="S212">
            <v>80</v>
          </cell>
          <cell r="T212">
            <v>166.8</v>
          </cell>
          <cell r="V212">
            <v>166.8</v>
          </cell>
          <cell r="X212">
            <v>487.7</v>
          </cell>
          <cell r="Y212">
            <v>3460</v>
          </cell>
          <cell r="AD212">
            <v>57</v>
          </cell>
          <cell r="AE212">
            <v>2730</v>
          </cell>
          <cell r="AI212">
            <v>0</v>
          </cell>
          <cell r="AJ212">
            <v>2.4</v>
          </cell>
          <cell r="AK212">
            <v>22.59</v>
          </cell>
          <cell r="AL212">
            <v>23.84</v>
          </cell>
          <cell r="AO212">
            <v>23.84</v>
          </cell>
          <cell r="AP212">
            <v>2.54</v>
          </cell>
          <cell r="AQ212">
            <v>57.36</v>
          </cell>
          <cell r="AU212">
            <v>0</v>
          </cell>
          <cell r="AV212">
            <v>0.12</v>
          </cell>
          <cell r="AW212">
            <v>78.180000000000007</v>
          </cell>
          <cell r="AX212">
            <v>24.04</v>
          </cell>
          <cell r="BA212">
            <v>24.04</v>
          </cell>
          <cell r="BB212">
            <v>2.4889999999999999</v>
          </cell>
          <cell r="BC212">
            <v>41.5</v>
          </cell>
          <cell r="BG212">
            <v>0</v>
          </cell>
          <cell r="BI212">
            <v>80</v>
          </cell>
          <cell r="BJ212">
            <v>24.5</v>
          </cell>
          <cell r="BM212">
            <v>24.5</v>
          </cell>
          <cell r="BO212">
            <v>5.4</v>
          </cell>
          <cell r="BP212">
            <v>149.5</v>
          </cell>
          <cell r="BS212">
            <v>0</v>
          </cell>
          <cell r="BU212">
            <v>5</v>
          </cell>
          <cell r="CC212">
            <v>4.0999999999999996</v>
          </cell>
          <cell r="CD212">
            <v>54</v>
          </cell>
        </row>
        <row r="213">
          <cell r="A213">
            <v>39289</v>
          </cell>
          <cell r="C213">
            <v>1400</v>
          </cell>
          <cell r="H213">
            <v>1400</v>
          </cell>
          <cell r="I213">
            <v>570</v>
          </cell>
          <cell r="J213">
            <v>521.79999999999995</v>
          </cell>
          <cell r="K213">
            <v>29850</v>
          </cell>
          <cell r="L213">
            <v>4670</v>
          </cell>
          <cell r="M213">
            <v>34520</v>
          </cell>
          <cell r="P213">
            <v>0</v>
          </cell>
          <cell r="S213">
            <v>80</v>
          </cell>
          <cell r="T213">
            <v>387.2</v>
          </cell>
          <cell r="V213">
            <v>387.2</v>
          </cell>
          <cell r="X213">
            <v>445.1</v>
          </cell>
          <cell r="Y213">
            <v>3410</v>
          </cell>
          <cell r="AD213">
            <v>53.7</v>
          </cell>
          <cell r="AE213">
            <v>3020</v>
          </cell>
          <cell r="AI213">
            <v>0</v>
          </cell>
          <cell r="AJ213">
            <v>2.52</v>
          </cell>
          <cell r="AK213">
            <v>20.07</v>
          </cell>
          <cell r="AO213">
            <v>0</v>
          </cell>
          <cell r="AP213">
            <v>3.57</v>
          </cell>
          <cell r="AQ213">
            <v>53.79</v>
          </cell>
          <cell r="AU213">
            <v>0</v>
          </cell>
          <cell r="AV213">
            <v>0.95</v>
          </cell>
          <cell r="AW213">
            <v>77.23</v>
          </cell>
          <cell r="BA213">
            <v>0</v>
          </cell>
          <cell r="BB213">
            <v>2.3239999999999998</v>
          </cell>
          <cell r="BC213">
            <v>39.25</v>
          </cell>
          <cell r="BG213">
            <v>0</v>
          </cell>
          <cell r="BI213">
            <v>80</v>
          </cell>
          <cell r="BJ213">
            <v>49.8</v>
          </cell>
          <cell r="BM213">
            <v>49.8</v>
          </cell>
          <cell r="BN213">
            <v>10000</v>
          </cell>
          <cell r="BO213">
            <v>5.4</v>
          </cell>
          <cell r="BP213">
            <v>194</v>
          </cell>
          <cell r="BS213">
            <v>0</v>
          </cell>
          <cell r="BU213">
            <v>5</v>
          </cell>
          <cell r="CC213">
            <v>3.8</v>
          </cell>
          <cell r="CD213">
            <v>50</v>
          </cell>
        </row>
        <row r="214">
          <cell r="A214">
            <v>39290</v>
          </cell>
          <cell r="C214">
            <v>1800</v>
          </cell>
          <cell r="H214">
            <v>1800</v>
          </cell>
          <cell r="I214">
            <v>720</v>
          </cell>
          <cell r="J214">
            <v>459.9</v>
          </cell>
          <cell r="K214">
            <v>30950</v>
          </cell>
          <cell r="L214">
            <v>4210</v>
          </cell>
          <cell r="M214">
            <v>35160</v>
          </cell>
          <cell r="P214">
            <v>0</v>
          </cell>
          <cell r="S214">
            <v>80</v>
          </cell>
          <cell r="V214">
            <v>0</v>
          </cell>
          <cell r="X214">
            <v>390.7</v>
          </cell>
          <cell r="Y214">
            <v>3020</v>
          </cell>
          <cell r="AD214">
            <v>48.7</v>
          </cell>
          <cell r="AE214">
            <v>3300</v>
          </cell>
          <cell r="AI214">
            <v>0</v>
          </cell>
          <cell r="AJ214">
            <v>2.06</v>
          </cell>
          <cell r="AK214">
            <v>18</v>
          </cell>
          <cell r="AO214">
            <v>0</v>
          </cell>
          <cell r="AP214">
            <v>3.21</v>
          </cell>
          <cell r="AQ214">
            <v>50.58</v>
          </cell>
          <cell r="AU214">
            <v>0</v>
          </cell>
          <cell r="AW214">
            <v>77.23</v>
          </cell>
          <cell r="BA214">
            <v>0</v>
          </cell>
          <cell r="BB214">
            <v>2.2160000000000002</v>
          </cell>
          <cell r="BC214">
            <v>37.04</v>
          </cell>
          <cell r="BG214">
            <v>0</v>
          </cell>
          <cell r="BI214">
            <v>80</v>
          </cell>
          <cell r="BM214">
            <v>0</v>
          </cell>
          <cell r="BN214">
            <v>25000</v>
          </cell>
          <cell r="BO214">
            <v>6</v>
          </cell>
          <cell r="BP214">
            <v>188</v>
          </cell>
          <cell r="BS214">
            <v>0</v>
          </cell>
          <cell r="BU214">
            <v>5</v>
          </cell>
          <cell r="CD214">
            <v>50</v>
          </cell>
        </row>
        <row r="215">
          <cell r="A215">
            <v>39291</v>
          </cell>
          <cell r="G215">
            <v>400</v>
          </cell>
          <cell r="H215">
            <v>0</v>
          </cell>
          <cell r="I215">
            <v>750</v>
          </cell>
          <cell r="J215">
            <v>505.1</v>
          </cell>
          <cell r="K215">
            <v>29800</v>
          </cell>
          <cell r="L215">
            <v>4100</v>
          </cell>
          <cell r="M215">
            <v>33900</v>
          </cell>
          <cell r="P215">
            <v>0</v>
          </cell>
          <cell r="S215">
            <v>80</v>
          </cell>
          <cell r="V215">
            <v>0</v>
          </cell>
          <cell r="X215">
            <v>310.3</v>
          </cell>
          <cell r="Y215">
            <v>2700</v>
          </cell>
          <cell r="Z215">
            <v>58</v>
          </cell>
          <cell r="AD215">
            <v>43.7</v>
          </cell>
          <cell r="AE215">
            <v>3300</v>
          </cell>
          <cell r="AI215">
            <v>0</v>
          </cell>
          <cell r="AJ215">
            <v>2.1800000000000002</v>
          </cell>
          <cell r="AK215">
            <v>15.82</v>
          </cell>
          <cell r="AO215">
            <v>0</v>
          </cell>
          <cell r="AP215">
            <v>4.28</v>
          </cell>
          <cell r="AQ215">
            <v>46.29</v>
          </cell>
          <cell r="AU215">
            <v>0</v>
          </cell>
          <cell r="AV215">
            <v>2.02</v>
          </cell>
          <cell r="AW215">
            <v>75.209999999999994</v>
          </cell>
          <cell r="BA215">
            <v>0</v>
          </cell>
          <cell r="BB215">
            <v>2.25</v>
          </cell>
          <cell r="BC215">
            <v>34.79</v>
          </cell>
          <cell r="BG215">
            <v>0</v>
          </cell>
          <cell r="BI215">
            <v>80</v>
          </cell>
          <cell r="BM215">
            <v>0</v>
          </cell>
          <cell r="BO215">
            <v>5.4</v>
          </cell>
          <cell r="BP215">
            <v>182.5</v>
          </cell>
          <cell r="BS215">
            <v>0</v>
          </cell>
          <cell r="BU215">
            <v>5</v>
          </cell>
          <cell r="CD215">
            <v>50</v>
          </cell>
        </row>
        <row r="216">
          <cell r="A216">
            <v>39292</v>
          </cell>
          <cell r="G216">
            <v>600</v>
          </cell>
          <cell r="H216">
            <v>0</v>
          </cell>
          <cell r="I216">
            <v>820</v>
          </cell>
          <cell r="J216">
            <v>751</v>
          </cell>
          <cell r="K216">
            <v>28400</v>
          </cell>
          <cell r="L216">
            <v>3950</v>
          </cell>
          <cell r="M216">
            <v>32350</v>
          </cell>
          <cell r="P216">
            <v>0</v>
          </cell>
          <cell r="S216">
            <v>80</v>
          </cell>
          <cell r="T216">
            <v>222.4</v>
          </cell>
          <cell r="V216">
            <v>222.4</v>
          </cell>
          <cell r="X216">
            <v>88.8</v>
          </cell>
          <cell r="Y216">
            <v>2840</v>
          </cell>
          <cell r="Z216">
            <v>58</v>
          </cell>
          <cell r="AD216">
            <v>35.299999999999997</v>
          </cell>
          <cell r="AE216">
            <v>3340</v>
          </cell>
          <cell r="AI216">
            <v>0</v>
          </cell>
          <cell r="AJ216">
            <v>2.1800000000000002</v>
          </cell>
          <cell r="AK216">
            <v>13.65</v>
          </cell>
          <cell r="AO216">
            <v>0</v>
          </cell>
          <cell r="AP216">
            <v>3.81</v>
          </cell>
          <cell r="AQ216">
            <v>42.48</v>
          </cell>
          <cell r="AU216">
            <v>0</v>
          </cell>
          <cell r="AW216">
            <v>75.209999999999994</v>
          </cell>
          <cell r="BA216">
            <v>0</v>
          </cell>
          <cell r="BB216">
            <v>3.008</v>
          </cell>
          <cell r="BC216">
            <v>31.78</v>
          </cell>
          <cell r="BG216">
            <v>0</v>
          </cell>
          <cell r="BI216">
            <v>80</v>
          </cell>
          <cell r="BM216">
            <v>0</v>
          </cell>
          <cell r="BO216">
            <v>5.4</v>
          </cell>
          <cell r="BP216">
            <v>177</v>
          </cell>
          <cell r="BS216">
            <v>0</v>
          </cell>
          <cell r="BU216">
            <v>5</v>
          </cell>
          <cell r="CD216">
            <v>50</v>
          </cell>
        </row>
        <row r="217">
          <cell r="A217">
            <v>39293</v>
          </cell>
          <cell r="H217">
            <v>0</v>
          </cell>
          <cell r="I217">
            <v>990</v>
          </cell>
          <cell r="J217">
            <v>704.4</v>
          </cell>
          <cell r="K217">
            <v>27400</v>
          </cell>
          <cell r="L217">
            <v>3250</v>
          </cell>
          <cell r="M217">
            <v>30650</v>
          </cell>
          <cell r="P217">
            <v>0</v>
          </cell>
          <cell r="S217">
            <v>80</v>
          </cell>
          <cell r="T217">
            <v>501.5</v>
          </cell>
          <cell r="V217">
            <v>501.5</v>
          </cell>
          <cell r="X217">
            <v>105.8</v>
          </cell>
          <cell r="Y217">
            <v>3230</v>
          </cell>
          <cell r="AD217">
            <v>33</v>
          </cell>
          <cell r="AE217">
            <v>3300</v>
          </cell>
          <cell r="AI217">
            <v>0</v>
          </cell>
          <cell r="AJ217">
            <v>2.1800000000000002</v>
          </cell>
          <cell r="AK217">
            <v>11.47</v>
          </cell>
          <cell r="AO217">
            <v>0</v>
          </cell>
          <cell r="AP217">
            <v>5.59</v>
          </cell>
          <cell r="AQ217">
            <v>36.89</v>
          </cell>
          <cell r="AU217">
            <v>0</v>
          </cell>
          <cell r="AV217">
            <v>2.74</v>
          </cell>
          <cell r="AW217">
            <v>72.47</v>
          </cell>
          <cell r="BA217">
            <v>0</v>
          </cell>
          <cell r="BB217">
            <v>2.867</v>
          </cell>
          <cell r="BC217">
            <v>28.91</v>
          </cell>
          <cell r="BG217">
            <v>0</v>
          </cell>
          <cell r="BI217">
            <v>80</v>
          </cell>
          <cell r="BM217">
            <v>0</v>
          </cell>
          <cell r="BN217">
            <v>10000</v>
          </cell>
          <cell r="BO217">
            <v>3</v>
          </cell>
          <cell r="BP217">
            <v>174</v>
          </cell>
          <cell r="BS217">
            <v>0</v>
          </cell>
          <cell r="BU217">
            <v>5</v>
          </cell>
          <cell r="CD217">
            <v>50</v>
          </cell>
        </row>
        <row r="218">
          <cell r="A218">
            <v>39294</v>
          </cell>
          <cell r="B218">
            <v>-26.56</v>
          </cell>
          <cell r="C218">
            <v>-67.8</v>
          </cell>
          <cell r="G218">
            <v>420</v>
          </cell>
          <cell r="H218">
            <v>-94.36</v>
          </cell>
          <cell r="I218">
            <v>-36.437000000000012</v>
          </cell>
          <cell r="J218">
            <v>753.32799999999997</v>
          </cell>
          <cell r="K218">
            <v>25570</v>
          </cell>
          <cell r="L218">
            <v>4790</v>
          </cell>
          <cell r="M218">
            <v>30360</v>
          </cell>
          <cell r="P218">
            <v>0</v>
          </cell>
          <cell r="S218">
            <v>80</v>
          </cell>
          <cell r="T218">
            <v>358.13</v>
          </cell>
          <cell r="V218">
            <v>358.13</v>
          </cell>
          <cell r="W218">
            <v>4371.915</v>
          </cell>
          <cell r="X218">
            <v>-3100.2820000000002</v>
          </cell>
          <cell r="Y218">
            <v>3480</v>
          </cell>
          <cell r="Z218">
            <v>152.97999999999999</v>
          </cell>
          <cell r="AB218">
            <v>233.495</v>
          </cell>
          <cell r="AD218">
            <v>266.86</v>
          </cell>
          <cell r="AE218">
            <v>3500</v>
          </cell>
          <cell r="AF218">
            <v>-0.34</v>
          </cell>
          <cell r="AI218">
            <v>-0.34</v>
          </cell>
          <cell r="AJ218">
            <v>0</v>
          </cell>
          <cell r="AK218">
            <v>9.98</v>
          </cell>
          <cell r="AL218">
            <v>24.9</v>
          </cell>
          <cell r="AO218">
            <v>24.9</v>
          </cell>
          <cell r="AP218">
            <v>-7.0970000000000004</v>
          </cell>
          <cell r="AQ218">
            <v>57.6</v>
          </cell>
          <cell r="AU218">
            <v>0</v>
          </cell>
          <cell r="AV218">
            <v>0.36</v>
          </cell>
          <cell r="AW218">
            <v>72.11</v>
          </cell>
          <cell r="AX218">
            <v>-24</v>
          </cell>
          <cell r="BA218">
            <v>-24</v>
          </cell>
          <cell r="BB218">
            <v>6.7620000000000005</v>
          </cell>
          <cell r="BC218">
            <v>25.69</v>
          </cell>
          <cell r="BG218">
            <v>0</v>
          </cell>
          <cell r="BI218">
            <v>80</v>
          </cell>
          <cell r="BJ218">
            <v>0.18</v>
          </cell>
          <cell r="BM218">
            <v>0.18</v>
          </cell>
          <cell r="BN218">
            <v>17000</v>
          </cell>
          <cell r="BP218">
            <v>174</v>
          </cell>
          <cell r="BS218">
            <v>0</v>
          </cell>
          <cell r="BU218">
            <v>5</v>
          </cell>
          <cell r="CB218">
            <v>-0.02</v>
          </cell>
          <cell r="CC218">
            <v>11.923999999999999</v>
          </cell>
          <cell r="CD218">
            <v>31</v>
          </cell>
        </row>
        <row r="219">
          <cell r="A219">
            <v>39295</v>
          </cell>
          <cell r="G219">
            <v>600</v>
          </cell>
          <cell r="H219">
            <v>0</v>
          </cell>
          <cell r="I219">
            <v>620</v>
          </cell>
          <cell r="J219">
            <v>806.3</v>
          </cell>
          <cell r="K219">
            <v>24350</v>
          </cell>
          <cell r="L219">
            <v>4590</v>
          </cell>
          <cell r="M219">
            <v>28940</v>
          </cell>
          <cell r="P219">
            <v>0</v>
          </cell>
          <cell r="S219">
            <v>80</v>
          </cell>
          <cell r="T219">
            <v>275.60000000000002</v>
          </cell>
          <cell r="V219">
            <v>275.60000000000002</v>
          </cell>
          <cell r="X219">
            <v>58.1</v>
          </cell>
          <cell r="Y219">
            <v>3700</v>
          </cell>
          <cell r="AD219">
            <v>40.1</v>
          </cell>
          <cell r="AE219">
            <v>3460</v>
          </cell>
          <cell r="AI219">
            <v>0</v>
          </cell>
          <cell r="AJ219">
            <v>2.52</v>
          </cell>
          <cell r="AK219">
            <v>7.45</v>
          </cell>
          <cell r="AL219">
            <v>24.3</v>
          </cell>
          <cell r="AO219">
            <v>24.3</v>
          </cell>
          <cell r="AP219">
            <v>1.69</v>
          </cell>
          <cell r="AQ219">
            <v>80.209999999999994</v>
          </cell>
          <cell r="AU219">
            <v>0</v>
          </cell>
          <cell r="AV219">
            <v>0</v>
          </cell>
          <cell r="AW219">
            <v>72.11</v>
          </cell>
          <cell r="BA219">
            <v>0</v>
          </cell>
          <cell r="BB219">
            <v>3.31</v>
          </cell>
          <cell r="BC219">
            <v>22.38</v>
          </cell>
          <cell r="BG219">
            <v>0</v>
          </cell>
          <cell r="BI219">
            <v>80</v>
          </cell>
          <cell r="BJ219">
            <v>25</v>
          </cell>
          <cell r="BM219">
            <v>25</v>
          </cell>
          <cell r="BP219">
            <v>199</v>
          </cell>
          <cell r="BS219">
            <v>0</v>
          </cell>
          <cell r="BU219">
            <v>5</v>
          </cell>
          <cell r="CD219">
            <v>31</v>
          </cell>
        </row>
        <row r="220">
          <cell r="A220">
            <v>39296</v>
          </cell>
          <cell r="G220">
            <v>336</v>
          </cell>
          <cell r="H220">
            <v>0</v>
          </cell>
          <cell r="I220">
            <v>520</v>
          </cell>
          <cell r="J220">
            <v>693.8</v>
          </cell>
          <cell r="K220">
            <v>24110</v>
          </cell>
          <cell r="L220">
            <v>5030</v>
          </cell>
          <cell r="M220">
            <v>29140</v>
          </cell>
          <cell r="P220">
            <v>0</v>
          </cell>
          <cell r="S220">
            <v>80</v>
          </cell>
          <cell r="T220">
            <v>167.6</v>
          </cell>
          <cell r="V220">
            <v>167.6</v>
          </cell>
          <cell r="X220">
            <v>86.8</v>
          </cell>
          <cell r="Y220">
            <v>2770</v>
          </cell>
          <cell r="Z220">
            <v>115</v>
          </cell>
          <cell r="AD220">
            <v>33.799999999999997</v>
          </cell>
          <cell r="AE220">
            <v>3042</v>
          </cell>
          <cell r="AI220">
            <v>0</v>
          </cell>
          <cell r="AJ220">
            <v>2.64</v>
          </cell>
          <cell r="AK220">
            <v>4.82</v>
          </cell>
          <cell r="AO220">
            <v>0</v>
          </cell>
          <cell r="AP220">
            <v>4.28</v>
          </cell>
          <cell r="AQ220">
            <v>75.92</v>
          </cell>
          <cell r="AU220">
            <v>0</v>
          </cell>
          <cell r="AV220">
            <v>1.78</v>
          </cell>
          <cell r="AW220">
            <v>70.33</v>
          </cell>
          <cell r="BA220">
            <v>0</v>
          </cell>
          <cell r="BB220">
            <v>2.84</v>
          </cell>
          <cell r="BC220">
            <v>19.53</v>
          </cell>
          <cell r="BG220">
            <v>0</v>
          </cell>
          <cell r="BI220">
            <v>80</v>
          </cell>
          <cell r="BM220">
            <v>0</v>
          </cell>
          <cell r="BP220">
            <v>199</v>
          </cell>
          <cell r="BS220">
            <v>0</v>
          </cell>
          <cell r="BU220">
            <v>5</v>
          </cell>
          <cell r="CD220">
            <v>31</v>
          </cell>
        </row>
        <row r="221">
          <cell r="A221">
            <v>39297</v>
          </cell>
          <cell r="B221">
            <v>1318.2</v>
          </cell>
          <cell r="C221">
            <v>3019.4</v>
          </cell>
          <cell r="H221">
            <v>4337.6000000000004</v>
          </cell>
          <cell r="I221">
            <v>542</v>
          </cell>
          <cell r="J221">
            <v>680.6</v>
          </cell>
          <cell r="K221">
            <v>25500</v>
          </cell>
          <cell r="L221">
            <v>4300</v>
          </cell>
          <cell r="M221">
            <v>29800</v>
          </cell>
          <cell r="P221">
            <v>0</v>
          </cell>
          <cell r="S221">
            <v>80</v>
          </cell>
          <cell r="T221">
            <v>110.6</v>
          </cell>
          <cell r="V221">
            <v>110.6</v>
          </cell>
          <cell r="X221">
            <v>135.5</v>
          </cell>
          <cell r="Y221">
            <v>2700</v>
          </cell>
          <cell r="Z221">
            <v>114</v>
          </cell>
          <cell r="AD221">
            <v>108.9</v>
          </cell>
          <cell r="AE221">
            <v>3000</v>
          </cell>
          <cell r="AF221">
            <v>25.4</v>
          </cell>
          <cell r="AI221">
            <v>25.4</v>
          </cell>
          <cell r="AJ221">
            <v>0</v>
          </cell>
          <cell r="AK221">
            <v>31.42</v>
          </cell>
          <cell r="AO221">
            <v>0</v>
          </cell>
          <cell r="AP221">
            <v>5.83</v>
          </cell>
          <cell r="AQ221">
            <v>70.09</v>
          </cell>
          <cell r="AU221">
            <v>0</v>
          </cell>
          <cell r="AV221">
            <v>1.79</v>
          </cell>
          <cell r="AW221">
            <v>68.540000000000006</v>
          </cell>
          <cell r="BA221">
            <v>0</v>
          </cell>
          <cell r="BB221">
            <v>2.633</v>
          </cell>
          <cell r="BC221">
            <v>16.905999999999999</v>
          </cell>
          <cell r="BG221">
            <v>0</v>
          </cell>
          <cell r="BI221">
            <v>80</v>
          </cell>
          <cell r="BM221">
            <v>0</v>
          </cell>
          <cell r="BN221">
            <v>21100</v>
          </cell>
          <cell r="BP221">
            <v>199</v>
          </cell>
          <cell r="BS221">
            <v>0</v>
          </cell>
          <cell r="BU221">
            <v>5</v>
          </cell>
          <cell r="CD221">
            <v>31</v>
          </cell>
        </row>
        <row r="222">
          <cell r="A222">
            <v>39298</v>
          </cell>
          <cell r="G222">
            <v>600</v>
          </cell>
          <cell r="H222">
            <v>0</v>
          </cell>
          <cell r="I222">
            <v>630</v>
          </cell>
          <cell r="J222">
            <v>620.6</v>
          </cell>
          <cell r="K222">
            <v>24300</v>
          </cell>
          <cell r="L222">
            <v>4800</v>
          </cell>
          <cell r="M222">
            <v>29100</v>
          </cell>
          <cell r="P222">
            <v>0</v>
          </cell>
          <cell r="S222">
            <v>80</v>
          </cell>
          <cell r="V222">
            <v>0</v>
          </cell>
          <cell r="X222">
            <v>139.6</v>
          </cell>
          <cell r="Y222">
            <v>2600</v>
          </cell>
          <cell r="Z222">
            <v>224.8</v>
          </cell>
          <cell r="AD222">
            <v>106.8</v>
          </cell>
          <cell r="AE222">
            <v>3100</v>
          </cell>
          <cell r="AI222">
            <v>0</v>
          </cell>
          <cell r="AJ222">
            <v>1.38</v>
          </cell>
          <cell r="AK222">
            <v>28.78</v>
          </cell>
          <cell r="AO222">
            <v>0</v>
          </cell>
          <cell r="AP222">
            <v>5.71</v>
          </cell>
          <cell r="AQ222">
            <v>64.38</v>
          </cell>
          <cell r="AU222">
            <v>0</v>
          </cell>
          <cell r="AV222">
            <v>1.67</v>
          </cell>
          <cell r="AW222">
            <v>66.88</v>
          </cell>
          <cell r="AX222">
            <v>24.62</v>
          </cell>
          <cell r="BA222">
            <v>24.62</v>
          </cell>
          <cell r="BB222">
            <v>2.6779999999999999</v>
          </cell>
          <cell r="BC222">
            <v>38.840000000000003</v>
          </cell>
          <cell r="BG222">
            <v>0</v>
          </cell>
          <cell r="BI222">
            <v>80</v>
          </cell>
          <cell r="BM222">
            <v>0</v>
          </cell>
          <cell r="BO222">
            <v>1.2</v>
          </cell>
          <cell r="BP222">
            <v>197.5</v>
          </cell>
          <cell r="BS222">
            <v>0</v>
          </cell>
          <cell r="BU222">
            <v>5</v>
          </cell>
          <cell r="CD222">
            <v>31</v>
          </cell>
        </row>
        <row r="223">
          <cell r="A223">
            <v>39299</v>
          </cell>
          <cell r="H223">
            <v>0</v>
          </cell>
          <cell r="I223">
            <v>670</v>
          </cell>
          <cell r="J223">
            <v>513.4</v>
          </cell>
          <cell r="K223">
            <v>23200</v>
          </cell>
          <cell r="L223">
            <v>4250</v>
          </cell>
          <cell r="M223">
            <v>27450</v>
          </cell>
          <cell r="P223">
            <v>0</v>
          </cell>
          <cell r="S223">
            <v>80</v>
          </cell>
          <cell r="V223">
            <v>0</v>
          </cell>
          <cell r="X223">
            <v>126.9</v>
          </cell>
          <cell r="Y223">
            <v>2480</v>
          </cell>
          <cell r="Z223">
            <v>57</v>
          </cell>
          <cell r="AD223">
            <v>253.6</v>
          </cell>
          <cell r="AE223">
            <v>2960</v>
          </cell>
          <cell r="AI223">
            <v>0</v>
          </cell>
          <cell r="AJ223">
            <v>2.64</v>
          </cell>
          <cell r="AK223">
            <v>26.14</v>
          </cell>
          <cell r="AO223">
            <v>0</v>
          </cell>
          <cell r="AP223">
            <v>4.4000000000000004</v>
          </cell>
          <cell r="AQ223">
            <v>59.98</v>
          </cell>
          <cell r="AU223">
            <v>0</v>
          </cell>
          <cell r="AV223">
            <v>0</v>
          </cell>
          <cell r="AW223">
            <v>66.88</v>
          </cell>
          <cell r="AX223">
            <v>24</v>
          </cell>
          <cell r="BA223">
            <v>24</v>
          </cell>
          <cell r="BB223">
            <v>3.024</v>
          </cell>
          <cell r="BC223">
            <v>37.880000000000003</v>
          </cell>
          <cell r="BG223">
            <v>0</v>
          </cell>
          <cell r="BI223">
            <v>80</v>
          </cell>
          <cell r="BM223">
            <v>0</v>
          </cell>
          <cell r="BO223">
            <v>5.4</v>
          </cell>
          <cell r="BP223">
            <v>192</v>
          </cell>
          <cell r="BS223">
            <v>0</v>
          </cell>
          <cell r="BU223">
            <v>5</v>
          </cell>
          <cell r="CD223">
            <v>31</v>
          </cell>
        </row>
        <row r="224">
          <cell r="A224">
            <v>39300</v>
          </cell>
          <cell r="G224">
            <v>350</v>
          </cell>
          <cell r="H224">
            <v>0</v>
          </cell>
          <cell r="I224">
            <v>670</v>
          </cell>
          <cell r="J224">
            <v>334.2</v>
          </cell>
          <cell r="K224">
            <v>22200</v>
          </cell>
          <cell r="L224">
            <v>4700</v>
          </cell>
          <cell r="M224">
            <v>26900</v>
          </cell>
          <cell r="P224">
            <v>0</v>
          </cell>
          <cell r="S224">
            <v>80</v>
          </cell>
          <cell r="T224">
            <v>639.20000000000005</v>
          </cell>
          <cell r="V224">
            <v>639.20000000000005</v>
          </cell>
          <cell r="X224">
            <v>146.9</v>
          </cell>
          <cell r="Y224">
            <v>2970</v>
          </cell>
          <cell r="AD224">
            <v>199.8</v>
          </cell>
          <cell r="AE224">
            <v>2760</v>
          </cell>
          <cell r="AI224">
            <v>0</v>
          </cell>
          <cell r="AJ224">
            <v>2.52</v>
          </cell>
          <cell r="AK224">
            <v>23.62</v>
          </cell>
          <cell r="AO224">
            <v>0</v>
          </cell>
          <cell r="AP224">
            <v>5.71</v>
          </cell>
          <cell r="AQ224">
            <v>54.26</v>
          </cell>
          <cell r="AU224">
            <v>0</v>
          </cell>
          <cell r="AV224">
            <v>1.55</v>
          </cell>
          <cell r="AW224">
            <v>65.33</v>
          </cell>
          <cell r="BA224">
            <v>0</v>
          </cell>
          <cell r="BB224">
            <v>1.919</v>
          </cell>
          <cell r="BC224">
            <v>35.96</v>
          </cell>
          <cell r="BG224">
            <v>0</v>
          </cell>
          <cell r="BI224">
            <v>80</v>
          </cell>
          <cell r="BM224">
            <v>0</v>
          </cell>
          <cell r="BN224">
            <v>15000</v>
          </cell>
          <cell r="BO224">
            <v>6</v>
          </cell>
          <cell r="BP224">
            <v>186</v>
          </cell>
          <cell r="BS224">
            <v>0</v>
          </cell>
          <cell r="BU224">
            <v>5</v>
          </cell>
          <cell r="CD224">
            <v>31</v>
          </cell>
        </row>
        <row r="225">
          <cell r="A225">
            <v>39301</v>
          </cell>
          <cell r="B225">
            <v>1320</v>
          </cell>
          <cell r="H225">
            <v>1320</v>
          </cell>
          <cell r="I225">
            <v>710</v>
          </cell>
          <cell r="J225">
            <v>459.1</v>
          </cell>
          <cell r="K225">
            <v>21500</v>
          </cell>
          <cell r="L225">
            <v>5500</v>
          </cell>
          <cell r="M225">
            <v>27000</v>
          </cell>
          <cell r="P225">
            <v>0</v>
          </cell>
          <cell r="S225">
            <v>80</v>
          </cell>
          <cell r="T225">
            <v>111.4</v>
          </cell>
          <cell r="V225">
            <v>111.4</v>
          </cell>
          <cell r="X225">
            <v>115.1</v>
          </cell>
          <cell r="Y225">
            <v>2970</v>
          </cell>
          <cell r="AD225">
            <v>164.5</v>
          </cell>
          <cell r="AE225">
            <v>2600</v>
          </cell>
          <cell r="AI225">
            <v>0</v>
          </cell>
          <cell r="AJ225">
            <v>2.06</v>
          </cell>
          <cell r="AK225">
            <v>21.56</v>
          </cell>
          <cell r="AO225">
            <v>0</v>
          </cell>
          <cell r="AP225">
            <v>5</v>
          </cell>
          <cell r="AQ225">
            <v>49.27</v>
          </cell>
          <cell r="AU225">
            <v>0</v>
          </cell>
          <cell r="AV225">
            <v>0.48</v>
          </cell>
          <cell r="AW225">
            <v>64.86</v>
          </cell>
          <cell r="BA225">
            <v>0</v>
          </cell>
          <cell r="BB225">
            <v>2.3039999999999998</v>
          </cell>
          <cell r="BC225">
            <v>33.65</v>
          </cell>
          <cell r="BG225">
            <v>0</v>
          </cell>
          <cell r="BI225">
            <v>80</v>
          </cell>
          <cell r="BM225">
            <v>0</v>
          </cell>
          <cell r="BN225">
            <v>25000</v>
          </cell>
          <cell r="BO225">
            <v>4.8</v>
          </cell>
          <cell r="BP225">
            <v>181</v>
          </cell>
          <cell r="BS225">
            <v>0</v>
          </cell>
          <cell r="BU225">
            <v>5</v>
          </cell>
          <cell r="CD225">
            <v>31</v>
          </cell>
        </row>
        <row r="226">
          <cell r="A226">
            <v>39302</v>
          </cell>
          <cell r="H226">
            <v>0</v>
          </cell>
          <cell r="I226">
            <v>510</v>
          </cell>
          <cell r="J226">
            <v>565.6</v>
          </cell>
          <cell r="K226">
            <v>20990</v>
          </cell>
          <cell r="L226">
            <v>5000</v>
          </cell>
          <cell r="M226">
            <v>25990</v>
          </cell>
          <cell r="P226">
            <v>0</v>
          </cell>
          <cell r="S226">
            <v>80</v>
          </cell>
          <cell r="T226">
            <v>167.7</v>
          </cell>
          <cell r="V226">
            <v>167.7</v>
          </cell>
          <cell r="X226">
            <v>143.5</v>
          </cell>
          <cell r="Y226">
            <v>3000</v>
          </cell>
          <cell r="AA226">
            <v>533.9</v>
          </cell>
          <cell r="AD226">
            <v>232.9</v>
          </cell>
          <cell r="AE226">
            <v>2900</v>
          </cell>
          <cell r="AI226">
            <v>0</v>
          </cell>
          <cell r="AJ226">
            <v>2.41</v>
          </cell>
          <cell r="AK226">
            <v>19.149999999999999</v>
          </cell>
          <cell r="AL226">
            <v>24.5</v>
          </cell>
          <cell r="AO226">
            <v>24.5</v>
          </cell>
          <cell r="AP226">
            <v>2.48</v>
          </cell>
          <cell r="AQ226">
            <v>71.28</v>
          </cell>
          <cell r="AU226">
            <v>0</v>
          </cell>
          <cell r="AW226">
            <v>64.86</v>
          </cell>
          <cell r="BA226">
            <v>0</v>
          </cell>
          <cell r="BB226">
            <v>2.9249999999999998</v>
          </cell>
          <cell r="BC226">
            <v>30.74</v>
          </cell>
          <cell r="BG226">
            <v>0</v>
          </cell>
          <cell r="BI226">
            <v>80</v>
          </cell>
          <cell r="BM226">
            <v>0</v>
          </cell>
          <cell r="BN226">
            <v>20000</v>
          </cell>
          <cell r="BO226">
            <v>5.4</v>
          </cell>
          <cell r="BP226">
            <v>176</v>
          </cell>
          <cell r="BS226">
            <v>0</v>
          </cell>
          <cell r="BU226">
            <v>5</v>
          </cell>
          <cell r="CD226">
            <v>31</v>
          </cell>
        </row>
        <row r="227">
          <cell r="A227">
            <v>39303</v>
          </cell>
          <cell r="H227">
            <v>0</v>
          </cell>
          <cell r="I227">
            <v>270</v>
          </cell>
          <cell r="J227">
            <v>472.3</v>
          </cell>
          <cell r="K227">
            <v>20720</v>
          </cell>
          <cell r="L227">
            <v>4500</v>
          </cell>
          <cell r="M227">
            <v>25220</v>
          </cell>
          <cell r="N227">
            <v>54.7</v>
          </cell>
          <cell r="P227">
            <v>54.7</v>
          </cell>
          <cell r="S227">
            <v>120</v>
          </cell>
          <cell r="T227">
            <v>280</v>
          </cell>
          <cell r="V227">
            <v>280</v>
          </cell>
          <cell r="X227">
            <v>107.4</v>
          </cell>
          <cell r="Y227">
            <v>3100</v>
          </cell>
          <cell r="AA227">
            <v>172.7</v>
          </cell>
          <cell r="AD227">
            <v>177.9</v>
          </cell>
          <cell r="AE227">
            <v>2900</v>
          </cell>
          <cell r="AI227">
            <v>0</v>
          </cell>
          <cell r="AJ227">
            <v>2.1800000000000002</v>
          </cell>
          <cell r="AK227">
            <v>16.97</v>
          </cell>
          <cell r="AO227">
            <v>0</v>
          </cell>
          <cell r="AP227">
            <v>2.62</v>
          </cell>
          <cell r="AQ227">
            <v>68.66</v>
          </cell>
          <cell r="AU227">
            <v>0</v>
          </cell>
          <cell r="AV227">
            <v>2.14</v>
          </cell>
          <cell r="AW227">
            <v>62.71</v>
          </cell>
          <cell r="BA227">
            <v>0</v>
          </cell>
          <cell r="BB227">
            <v>2.7269999999999999</v>
          </cell>
          <cell r="BC227">
            <v>28.02</v>
          </cell>
          <cell r="BG227">
            <v>0</v>
          </cell>
          <cell r="BI227">
            <v>80</v>
          </cell>
          <cell r="BM227">
            <v>0</v>
          </cell>
          <cell r="BN227">
            <v>20000</v>
          </cell>
          <cell r="BO227">
            <v>5.4</v>
          </cell>
          <cell r="BP227">
            <v>170</v>
          </cell>
          <cell r="BS227">
            <v>0</v>
          </cell>
          <cell r="BU227">
            <v>5</v>
          </cell>
          <cell r="CD227">
            <v>31</v>
          </cell>
        </row>
        <row r="228">
          <cell r="A228">
            <v>39304</v>
          </cell>
          <cell r="H228">
            <v>0</v>
          </cell>
          <cell r="I228">
            <v>260</v>
          </cell>
          <cell r="J228">
            <v>601.29999999999995</v>
          </cell>
          <cell r="K228">
            <v>20450</v>
          </cell>
          <cell r="L228">
            <v>3900</v>
          </cell>
          <cell r="M228">
            <v>24350</v>
          </cell>
          <cell r="N228">
            <v>27.8</v>
          </cell>
          <cell r="P228">
            <v>27.8</v>
          </cell>
          <cell r="S228">
            <v>162.4</v>
          </cell>
          <cell r="T228">
            <v>55.3</v>
          </cell>
          <cell r="V228">
            <v>55.3</v>
          </cell>
          <cell r="X228">
            <v>109.9</v>
          </cell>
          <cell r="Y228">
            <v>3100</v>
          </cell>
          <cell r="Z228">
            <v>111.3</v>
          </cell>
          <cell r="AD228">
            <v>143.5</v>
          </cell>
          <cell r="AE228">
            <v>2800</v>
          </cell>
          <cell r="AI228">
            <v>0</v>
          </cell>
          <cell r="AJ228">
            <v>2.64</v>
          </cell>
          <cell r="AK228">
            <v>14.33</v>
          </cell>
          <cell r="AO228">
            <v>0</v>
          </cell>
          <cell r="AP228">
            <v>2.14</v>
          </cell>
          <cell r="AQ228">
            <v>66.52</v>
          </cell>
          <cell r="AU228">
            <v>0</v>
          </cell>
          <cell r="AV228">
            <v>2.2599999999999998</v>
          </cell>
          <cell r="AW228">
            <v>60.45</v>
          </cell>
          <cell r="BA228">
            <v>0</v>
          </cell>
          <cell r="BB228">
            <v>3.0529999999999999</v>
          </cell>
          <cell r="BC228">
            <v>24.96</v>
          </cell>
          <cell r="BG228">
            <v>0</v>
          </cell>
          <cell r="BI228">
            <v>80</v>
          </cell>
          <cell r="BM228">
            <v>0</v>
          </cell>
          <cell r="BO228">
            <v>5.4</v>
          </cell>
          <cell r="BP228">
            <v>165</v>
          </cell>
          <cell r="BS228">
            <v>0</v>
          </cell>
          <cell r="BU228">
            <v>5</v>
          </cell>
          <cell r="CD228">
            <v>31</v>
          </cell>
        </row>
        <row r="229">
          <cell r="A229">
            <v>39305</v>
          </cell>
          <cell r="G229">
            <v>750</v>
          </cell>
          <cell r="H229">
            <v>0</v>
          </cell>
          <cell r="I229">
            <v>350</v>
          </cell>
          <cell r="J229">
            <v>634.1</v>
          </cell>
          <cell r="K229">
            <v>19450</v>
          </cell>
          <cell r="L229">
            <v>4000</v>
          </cell>
          <cell r="M229">
            <v>23450</v>
          </cell>
          <cell r="P229">
            <v>0</v>
          </cell>
          <cell r="S229">
            <v>162.4</v>
          </cell>
          <cell r="V229">
            <v>0</v>
          </cell>
          <cell r="X229">
            <v>215</v>
          </cell>
          <cell r="Y229">
            <v>2900</v>
          </cell>
          <cell r="Z229">
            <v>57.5</v>
          </cell>
          <cell r="AD229">
            <v>268.2</v>
          </cell>
          <cell r="AE229">
            <v>2600</v>
          </cell>
          <cell r="AI229">
            <v>0</v>
          </cell>
          <cell r="AJ229">
            <v>2.41</v>
          </cell>
          <cell r="AK229">
            <v>11.93</v>
          </cell>
          <cell r="AO229">
            <v>0</v>
          </cell>
          <cell r="AP229">
            <v>3.21</v>
          </cell>
          <cell r="AQ229">
            <v>63.31</v>
          </cell>
          <cell r="AU229">
            <v>0</v>
          </cell>
          <cell r="AV229">
            <v>0.24</v>
          </cell>
          <cell r="AW229">
            <v>60.21</v>
          </cell>
          <cell r="BA229">
            <v>0</v>
          </cell>
          <cell r="BB229">
            <v>3.06</v>
          </cell>
          <cell r="BC229">
            <v>21.9</v>
          </cell>
          <cell r="BG229">
            <v>0</v>
          </cell>
          <cell r="BI229">
            <v>80</v>
          </cell>
          <cell r="BM229">
            <v>0</v>
          </cell>
          <cell r="BO229">
            <v>5.4</v>
          </cell>
          <cell r="BP229">
            <v>160</v>
          </cell>
          <cell r="BS229">
            <v>0</v>
          </cell>
          <cell r="BU229">
            <v>5</v>
          </cell>
          <cell r="CD229">
            <v>31</v>
          </cell>
        </row>
        <row r="230">
          <cell r="A230">
            <v>39306</v>
          </cell>
          <cell r="G230">
            <v>210</v>
          </cell>
          <cell r="H230">
            <v>0</v>
          </cell>
          <cell r="I230">
            <v>670</v>
          </cell>
          <cell r="J230">
            <v>279.89999999999998</v>
          </cell>
          <cell r="K230">
            <v>20550</v>
          </cell>
          <cell r="L230">
            <v>4000</v>
          </cell>
          <cell r="M230">
            <v>24550</v>
          </cell>
          <cell r="N230">
            <v>83.2</v>
          </cell>
          <cell r="P230">
            <v>83.2</v>
          </cell>
          <cell r="R230">
            <v>90.2</v>
          </cell>
          <cell r="S230">
            <v>155</v>
          </cell>
          <cell r="T230">
            <v>196.7</v>
          </cell>
          <cell r="V230">
            <v>196.7</v>
          </cell>
          <cell r="X230">
            <v>241.6</v>
          </cell>
          <cell r="Y230">
            <v>2850</v>
          </cell>
          <cell r="AD230">
            <v>396.5</v>
          </cell>
          <cell r="AE230">
            <v>2250</v>
          </cell>
          <cell r="AI230">
            <v>0</v>
          </cell>
          <cell r="AJ230">
            <v>2.29</v>
          </cell>
          <cell r="AK230">
            <v>9.6300000000000008</v>
          </cell>
          <cell r="AO230">
            <v>0</v>
          </cell>
          <cell r="AP230">
            <v>3.81</v>
          </cell>
          <cell r="AQ230">
            <v>59.5</v>
          </cell>
          <cell r="AU230">
            <v>0</v>
          </cell>
          <cell r="AV230">
            <v>0.71</v>
          </cell>
          <cell r="AW230">
            <v>59.5</v>
          </cell>
          <cell r="BA230">
            <v>0</v>
          </cell>
          <cell r="BB230">
            <v>1.98</v>
          </cell>
          <cell r="BC230">
            <v>19.920000000000002</v>
          </cell>
          <cell r="BG230">
            <v>0</v>
          </cell>
          <cell r="BI230">
            <v>80</v>
          </cell>
          <cell r="BM230">
            <v>0</v>
          </cell>
          <cell r="BO230">
            <v>1.2</v>
          </cell>
          <cell r="BP230">
            <v>158</v>
          </cell>
          <cell r="BS230">
            <v>0</v>
          </cell>
          <cell r="BU230">
            <v>5</v>
          </cell>
          <cell r="CD230">
            <v>31</v>
          </cell>
        </row>
        <row r="231">
          <cell r="A231">
            <v>39307</v>
          </cell>
          <cell r="C231">
            <v>2862.1</v>
          </cell>
          <cell r="H231">
            <v>2862.1</v>
          </cell>
          <cell r="I231">
            <v>500</v>
          </cell>
          <cell r="J231">
            <v>275.10000000000002</v>
          </cell>
          <cell r="K231">
            <v>20800</v>
          </cell>
          <cell r="L231">
            <v>3600</v>
          </cell>
          <cell r="M231">
            <v>24400</v>
          </cell>
          <cell r="N231">
            <v>110.8</v>
          </cell>
          <cell r="P231">
            <v>110.8</v>
          </cell>
          <cell r="R231">
            <v>67.2</v>
          </cell>
          <cell r="S231">
            <v>199</v>
          </cell>
          <cell r="T231">
            <v>361.6</v>
          </cell>
          <cell r="V231">
            <v>361.6</v>
          </cell>
          <cell r="X231">
            <v>102.7</v>
          </cell>
          <cell r="Y231">
            <v>3100</v>
          </cell>
          <cell r="Z231">
            <v>119</v>
          </cell>
          <cell r="AA231">
            <v>421</v>
          </cell>
          <cell r="AC231">
            <v>221.6</v>
          </cell>
          <cell r="AD231">
            <v>220.4</v>
          </cell>
          <cell r="AE231">
            <v>2300</v>
          </cell>
          <cell r="AI231">
            <v>0</v>
          </cell>
          <cell r="AJ231">
            <v>2.41</v>
          </cell>
          <cell r="AK231">
            <v>7.22</v>
          </cell>
          <cell r="AO231">
            <v>0</v>
          </cell>
          <cell r="AP231">
            <v>2.86</v>
          </cell>
          <cell r="AQ231">
            <v>56.64</v>
          </cell>
          <cell r="AU231">
            <v>0</v>
          </cell>
          <cell r="AW231">
            <v>59.5</v>
          </cell>
          <cell r="BA231">
            <v>0</v>
          </cell>
          <cell r="BB231">
            <v>2.2029999999999998</v>
          </cell>
          <cell r="BC231">
            <v>17.72</v>
          </cell>
          <cell r="BG231">
            <v>0</v>
          </cell>
          <cell r="BI231">
            <v>80</v>
          </cell>
          <cell r="BM231">
            <v>0</v>
          </cell>
          <cell r="BP231">
            <v>158</v>
          </cell>
          <cell r="BS231">
            <v>0</v>
          </cell>
          <cell r="BU231">
            <v>5</v>
          </cell>
          <cell r="CD231">
            <v>31</v>
          </cell>
        </row>
        <row r="232">
          <cell r="A232">
            <v>39308</v>
          </cell>
          <cell r="B232">
            <v>660</v>
          </cell>
          <cell r="H232">
            <v>660</v>
          </cell>
          <cell r="I232">
            <v>480</v>
          </cell>
          <cell r="J232">
            <v>292.5</v>
          </cell>
          <cell r="K232">
            <v>21300</v>
          </cell>
          <cell r="L232">
            <v>4000</v>
          </cell>
          <cell r="M232">
            <v>25300</v>
          </cell>
          <cell r="P232">
            <v>0</v>
          </cell>
          <cell r="R232">
            <v>63</v>
          </cell>
          <cell r="S232">
            <v>136</v>
          </cell>
          <cell r="T232">
            <v>111.5</v>
          </cell>
          <cell r="V232">
            <v>111.5</v>
          </cell>
          <cell r="X232">
            <v>152.80000000000001</v>
          </cell>
          <cell r="Y232">
            <v>3000</v>
          </cell>
          <cell r="Z232">
            <v>59</v>
          </cell>
          <cell r="AA232">
            <v>921.8</v>
          </cell>
          <cell r="AD232">
            <v>418.6</v>
          </cell>
          <cell r="AE232">
            <v>3400</v>
          </cell>
          <cell r="AI232">
            <v>0</v>
          </cell>
          <cell r="AJ232">
            <v>0.92</v>
          </cell>
          <cell r="AK232">
            <v>6.31</v>
          </cell>
          <cell r="AL232">
            <v>23.7</v>
          </cell>
          <cell r="AO232">
            <v>23.7</v>
          </cell>
          <cell r="AP232">
            <v>5.9</v>
          </cell>
          <cell r="AQ232">
            <v>74.849999999999994</v>
          </cell>
          <cell r="AU232">
            <v>0</v>
          </cell>
          <cell r="AW232">
            <v>59.5</v>
          </cell>
          <cell r="AX232">
            <v>25</v>
          </cell>
          <cell r="BA232">
            <v>25</v>
          </cell>
          <cell r="BB232">
            <v>2.2050000000000001</v>
          </cell>
          <cell r="BC232">
            <v>42.72</v>
          </cell>
          <cell r="BG232">
            <v>0</v>
          </cell>
          <cell r="BI232">
            <v>80</v>
          </cell>
          <cell r="BM232">
            <v>0</v>
          </cell>
          <cell r="BO232">
            <v>3</v>
          </cell>
          <cell r="BP232">
            <v>155</v>
          </cell>
          <cell r="BS232">
            <v>0</v>
          </cell>
          <cell r="BU232">
            <v>5</v>
          </cell>
          <cell r="CD232">
            <v>31</v>
          </cell>
        </row>
        <row r="233">
          <cell r="A233">
            <v>39309</v>
          </cell>
          <cell r="B233">
            <v>660.1</v>
          </cell>
          <cell r="C233">
            <v>3225.3</v>
          </cell>
          <cell r="H233">
            <v>3885.4</v>
          </cell>
          <cell r="I233">
            <v>890</v>
          </cell>
          <cell r="J233">
            <v>271.60000000000002</v>
          </cell>
          <cell r="K233">
            <v>22500</v>
          </cell>
          <cell r="L233">
            <v>4400</v>
          </cell>
          <cell r="M233">
            <v>26900</v>
          </cell>
          <cell r="P233">
            <v>0</v>
          </cell>
          <cell r="R233">
            <v>57.4</v>
          </cell>
          <cell r="S233">
            <v>78</v>
          </cell>
          <cell r="T233">
            <v>83.9</v>
          </cell>
          <cell r="V233">
            <v>83.9</v>
          </cell>
          <cell r="X233">
            <v>131.9</v>
          </cell>
          <cell r="Y233">
            <v>3000</v>
          </cell>
          <cell r="AD233">
            <v>359.3</v>
          </cell>
          <cell r="AE233">
            <v>3500</v>
          </cell>
          <cell r="AI233">
            <v>0</v>
          </cell>
          <cell r="AJ233">
            <v>1.49</v>
          </cell>
          <cell r="AK233">
            <v>4.82</v>
          </cell>
          <cell r="AO233">
            <v>0</v>
          </cell>
          <cell r="AP233">
            <v>4.6399999999999997</v>
          </cell>
          <cell r="AQ233">
            <v>70.209999999999994</v>
          </cell>
          <cell r="AU233">
            <v>0</v>
          </cell>
          <cell r="AV233">
            <v>0.71</v>
          </cell>
          <cell r="AW233">
            <v>58.79</v>
          </cell>
          <cell r="BA233">
            <v>0</v>
          </cell>
          <cell r="BB233">
            <v>2.1080000000000001</v>
          </cell>
          <cell r="BC233">
            <v>38.409999999999997</v>
          </cell>
          <cell r="BG233">
            <v>0</v>
          </cell>
          <cell r="BI233">
            <v>80</v>
          </cell>
          <cell r="BM233">
            <v>0</v>
          </cell>
          <cell r="BN233">
            <v>5000</v>
          </cell>
          <cell r="BO233">
            <v>6</v>
          </cell>
          <cell r="BP233">
            <v>146</v>
          </cell>
          <cell r="BS233">
            <v>0</v>
          </cell>
          <cell r="BU233">
            <v>5</v>
          </cell>
          <cell r="CD233">
            <v>31</v>
          </cell>
        </row>
        <row r="234">
          <cell r="A234">
            <v>39310</v>
          </cell>
          <cell r="H234">
            <v>0</v>
          </cell>
          <cell r="I234">
            <v>820</v>
          </cell>
          <cell r="J234">
            <v>289.10000000000002</v>
          </cell>
          <cell r="K234">
            <v>23700</v>
          </cell>
          <cell r="L234">
            <v>4150</v>
          </cell>
          <cell r="M234">
            <v>27850</v>
          </cell>
          <cell r="P234">
            <v>0</v>
          </cell>
          <cell r="R234">
            <v>-31.339999999999996</v>
          </cell>
          <cell r="S234">
            <v>36</v>
          </cell>
          <cell r="T234">
            <v>525.79999999999995</v>
          </cell>
          <cell r="V234">
            <v>525.79999999999995</v>
          </cell>
          <cell r="X234">
            <v>77.599999999999994</v>
          </cell>
          <cell r="Y234">
            <v>3400</v>
          </cell>
          <cell r="Z234">
            <v>116.5</v>
          </cell>
          <cell r="AD234">
            <v>339.9</v>
          </cell>
          <cell r="AE234">
            <v>3300</v>
          </cell>
          <cell r="AI234">
            <v>0</v>
          </cell>
          <cell r="AJ234">
            <v>0.46</v>
          </cell>
          <cell r="AK234">
            <v>4.3600000000000003</v>
          </cell>
          <cell r="AO234">
            <v>0</v>
          </cell>
          <cell r="AP234">
            <v>2.74</v>
          </cell>
          <cell r="AQ234">
            <v>67.47</v>
          </cell>
          <cell r="AU234">
            <v>0</v>
          </cell>
          <cell r="AV234">
            <v>0.24</v>
          </cell>
          <cell r="AW234">
            <v>58.55</v>
          </cell>
          <cell r="BA234">
            <v>0</v>
          </cell>
          <cell r="BB234">
            <v>2.2229999999999999</v>
          </cell>
          <cell r="BC234">
            <v>36.19</v>
          </cell>
          <cell r="BG234">
            <v>0</v>
          </cell>
          <cell r="BI234">
            <v>80</v>
          </cell>
          <cell r="BM234">
            <v>0</v>
          </cell>
          <cell r="BN234">
            <v>25000</v>
          </cell>
          <cell r="BO234">
            <v>4.8</v>
          </cell>
          <cell r="BP234">
            <v>142</v>
          </cell>
          <cell r="BS234">
            <v>0</v>
          </cell>
          <cell r="BU234">
            <v>5</v>
          </cell>
          <cell r="CD234">
            <v>31</v>
          </cell>
        </row>
        <row r="235">
          <cell r="A235">
            <v>39311</v>
          </cell>
          <cell r="C235">
            <v>2704.2</v>
          </cell>
          <cell r="H235">
            <v>2704.2</v>
          </cell>
          <cell r="I235">
            <v>674</v>
          </cell>
          <cell r="J235">
            <v>384.3</v>
          </cell>
          <cell r="K235">
            <v>23900</v>
          </cell>
          <cell r="L235">
            <v>3800</v>
          </cell>
          <cell r="M235">
            <v>27700</v>
          </cell>
          <cell r="P235">
            <v>0</v>
          </cell>
          <cell r="S235">
            <v>36</v>
          </cell>
          <cell r="V235">
            <v>0</v>
          </cell>
          <cell r="X235">
            <v>32</v>
          </cell>
          <cell r="Y235">
            <v>3400</v>
          </cell>
          <cell r="AD235">
            <v>356.1</v>
          </cell>
          <cell r="AE235">
            <v>3000</v>
          </cell>
          <cell r="AI235">
            <v>0</v>
          </cell>
          <cell r="AJ235">
            <v>0.92</v>
          </cell>
          <cell r="AK235">
            <v>3.44</v>
          </cell>
          <cell r="AO235">
            <v>0</v>
          </cell>
          <cell r="AP235">
            <v>5.12</v>
          </cell>
          <cell r="AQ235">
            <v>62.36</v>
          </cell>
          <cell r="AU235">
            <v>0</v>
          </cell>
          <cell r="AW235">
            <v>58.55</v>
          </cell>
          <cell r="BA235">
            <v>0</v>
          </cell>
          <cell r="BB235">
            <v>2.5339999999999998</v>
          </cell>
          <cell r="BC235">
            <v>33.655000000000001</v>
          </cell>
          <cell r="BG235">
            <v>0</v>
          </cell>
          <cell r="BI235">
            <v>80</v>
          </cell>
          <cell r="BM235">
            <v>0</v>
          </cell>
          <cell r="BN235">
            <v>25000</v>
          </cell>
          <cell r="BO235">
            <v>5.5</v>
          </cell>
          <cell r="BP235">
            <v>136</v>
          </cell>
          <cell r="BS235">
            <v>0</v>
          </cell>
          <cell r="BU235">
            <v>5</v>
          </cell>
          <cell r="CD235">
            <v>31</v>
          </cell>
        </row>
        <row r="236">
          <cell r="A236">
            <v>39312</v>
          </cell>
          <cell r="C236">
            <v>3081.85</v>
          </cell>
          <cell r="H236">
            <v>3081.85</v>
          </cell>
          <cell r="I236">
            <v>641</v>
          </cell>
          <cell r="J236">
            <v>396.3</v>
          </cell>
          <cell r="K236">
            <v>26350</v>
          </cell>
          <cell r="L236">
            <v>3400</v>
          </cell>
          <cell r="M236">
            <v>29750</v>
          </cell>
          <cell r="P236">
            <v>0</v>
          </cell>
          <cell r="S236">
            <v>36</v>
          </cell>
          <cell r="V236">
            <v>0</v>
          </cell>
          <cell r="X236">
            <v>31.5</v>
          </cell>
          <cell r="Y236">
            <v>3400</v>
          </cell>
          <cell r="AD236">
            <v>383.1</v>
          </cell>
          <cell r="AE236">
            <v>2600</v>
          </cell>
          <cell r="AF236">
            <v>25.06</v>
          </cell>
          <cell r="AI236">
            <v>25.06</v>
          </cell>
          <cell r="AJ236">
            <v>0.9</v>
          </cell>
          <cell r="AK236">
            <v>28.78</v>
          </cell>
          <cell r="AO236">
            <v>0</v>
          </cell>
          <cell r="AP236">
            <v>4.17</v>
          </cell>
          <cell r="AQ236">
            <v>58.19</v>
          </cell>
          <cell r="AR236">
            <v>24.8</v>
          </cell>
          <cell r="AU236">
            <v>24.8</v>
          </cell>
          <cell r="AV236">
            <v>0.76</v>
          </cell>
          <cell r="AW236">
            <v>82.59</v>
          </cell>
          <cell r="BA236">
            <v>0</v>
          </cell>
          <cell r="BB236">
            <v>2.6659999999999999</v>
          </cell>
          <cell r="BC236">
            <v>33.655000000000001</v>
          </cell>
          <cell r="BG236">
            <v>0</v>
          </cell>
          <cell r="BI236">
            <v>80</v>
          </cell>
          <cell r="BM236">
            <v>0</v>
          </cell>
          <cell r="BO236">
            <v>3.8</v>
          </cell>
          <cell r="BP236">
            <v>133</v>
          </cell>
          <cell r="BS236">
            <v>0</v>
          </cell>
          <cell r="BU236">
            <v>5</v>
          </cell>
          <cell r="CD236">
            <v>31</v>
          </cell>
        </row>
        <row r="237">
          <cell r="A237">
            <v>39313</v>
          </cell>
          <cell r="H237">
            <v>0</v>
          </cell>
          <cell r="I237">
            <v>782</v>
          </cell>
          <cell r="J237">
            <v>194.1</v>
          </cell>
          <cell r="K237">
            <v>27400</v>
          </cell>
          <cell r="L237">
            <v>3200</v>
          </cell>
          <cell r="M237">
            <v>30600</v>
          </cell>
          <cell r="P237">
            <v>0</v>
          </cell>
          <cell r="S237">
            <v>36</v>
          </cell>
          <cell r="T237">
            <v>167</v>
          </cell>
          <cell r="V237">
            <v>167</v>
          </cell>
          <cell r="X237">
            <v>19.100000000000001</v>
          </cell>
          <cell r="Y237">
            <v>3500</v>
          </cell>
          <cell r="AD237">
            <v>142.9</v>
          </cell>
          <cell r="AE237">
            <v>2450</v>
          </cell>
          <cell r="AI237">
            <v>0</v>
          </cell>
          <cell r="AJ237">
            <v>2.52</v>
          </cell>
          <cell r="AK237">
            <v>26.26</v>
          </cell>
          <cell r="AO237">
            <v>0</v>
          </cell>
          <cell r="AP237">
            <v>3.57</v>
          </cell>
          <cell r="AQ237">
            <v>54.62</v>
          </cell>
          <cell r="AU237">
            <v>0</v>
          </cell>
          <cell r="AW237">
            <v>82.59</v>
          </cell>
          <cell r="BA237">
            <v>0</v>
          </cell>
          <cell r="BB237">
            <v>1.0309999999999999</v>
          </cell>
          <cell r="BC237">
            <v>29.957999999999998</v>
          </cell>
          <cell r="BG237">
            <v>0</v>
          </cell>
          <cell r="BI237">
            <v>80</v>
          </cell>
          <cell r="BM237">
            <v>0</v>
          </cell>
          <cell r="BO237">
            <v>2.5</v>
          </cell>
          <cell r="BP237">
            <v>130</v>
          </cell>
          <cell r="BS237">
            <v>0</v>
          </cell>
          <cell r="BU237">
            <v>5</v>
          </cell>
          <cell r="CD237">
            <v>31</v>
          </cell>
        </row>
        <row r="238">
          <cell r="A238">
            <v>39314</v>
          </cell>
          <cell r="C238">
            <v>2866.1</v>
          </cell>
          <cell r="G238">
            <v>250</v>
          </cell>
          <cell r="H238">
            <v>2866.1</v>
          </cell>
          <cell r="I238">
            <v>797</v>
          </cell>
          <cell r="J238">
            <v>0</v>
          </cell>
          <cell r="K238">
            <v>27400</v>
          </cell>
          <cell r="L238">
            <v>3400</v>
          </cell>
          <cell r="M238">
            <v>30800</v>
          </cell>
          <cell r="P238">
            <v>0</v>
          </cell>
          <cell r="S238">
            <v>36</v>
          </cell>
          <cell r="T238">
            <v>586.6</v>
          </cell>
          <cell r="V238">
            <v>586.6</v>
          </cell>
          <cell r="Y238">
            <v>4000</v>
          </cell>
          <cell r="AE238">
            <v>2450</v>
          </cell>
          <cell r="AI238">
            <v>0</v>
          </cell>
          <cell r="AJ238">
            <v>1.38</v>
          </cell>
          <cell r="AK238">
            <v>24.88</v>
          </cell>
          <cell r="AO238">
            <v>0</v>
          </cell>
          <cell r="AP238">
            <v>3.09</v>
          </cell>
          <cell r="AQ238">
            <v>51.53</v>
          </cell>
          <cell r="AU238">
            <v>0</v>
          </cell>
          <cell r="AV238">
            <v>0.83</v>
          </cell>
          <cell r="AW238">
            <v>81.75</v>
          </cell>
          <cell r="BA238">
            <v>0</v>
          </cell>
          <cell r="BC238">
            <v>29.957999999999998</v>
          </cell>
          <cell r="BG238">
            <v>0</v>
          </cell>
          <cell r="BI238">
            <v>80</v>
          </cell>
          <cell r="BM238">
            <v>0</v>
          </cell>
          <cell r="BN238">
            <v>30000</v>
          </cell>
          <cell r="BP238">
            <v>130</v>
          </cell>
          <cell r="BS238">
            <v>0</v>
          </cell>
          <cell r="BU238">
            <v>5</v>
          </cell>
          <cell r="CD238">
            <v>31</v>
          </cell>
        </row>
        <row r="239">
          <cell r="A239">
            <v>39315</v>
          </cell>
          <cell r="B239">
            <v>659.8</v>
          </cell>
          <cell r="H239">
            <v>659.8</v>
          </cell>
          <cell r="I239">
            <v>624.5</v>
          </cell>
          <cell r="J239">
            <v>0</v>
          </cell>
          <cell r="K239">
            <v>29200</v>
          </cell>
          <cell r="L239">
            <v>4100</v>
          </cell>
          <cell r="M239">
            <v>33300</v>
          </cell>
          <cell r="P239">
            <v>0</v>
          </cell>
          <cell r="S239">
            <v>36</v>
          </cell>
          <cell r="T239">
            <v>53.9</v>
          </cell>
          <cell r="V239">
            <v>53.9</v>
          </cell>
          <cell r="Y239">
            <v>4100</v>
          </cell>
          <cell r="AE239">
            <v>2450</v>
          </cell>
          <cell r="AI239">
            <v>0</v>
          </cell>
          <cell r="AJ239">
            <v>2.29</v>
          </cell>
          <cell r="AK239">
            <v>22.59</v>
          </cell>
          <cell r="AL239">
            <v>24.18</v>
          </cell>
          <cell r="AO239">
            <v>24.18</v>
          </cell>
          <cell r="AP239">
            <v>2.52</v>
          </cell>
          <cell r="AQ239">
            <v>73.19</v>
          </cell>
          <cell r="AU239">
            <v>0</v>
          </cell>
          <cell r="AV239">
            <v>0.24</v>
          </cell>
          <cell r="AW239">
            <v>81.52</v>
          </cell>
          <cell r="BA239">
            <v>0</v>
          </cell>
          <cell r="BC239">
            <v>29.957999999999998</v>
          </cell>
          <cell r="BG239">
            <v>0</v>
          </cell>
          <cell r="BI239">
            <v>80</v>
          </cell>
          <cell r="BM239">
            <v>0</v>
          </cell>
          <cell r="BP239">
            <v>130</v>
          </cell>
          <cell r="BS239">
            <v>0</v>
          </cell>
          <cell r="BU239">
            <v>5</v>
          </cell>
          <cell r="CD239">
            <v>31</v>
          </cell>
        </row>
        <row r="240">
          <cell r="A240">
            <v>39316</v>
          </cell>
          <cell r="B240">
            <v>660.3</v>
          </cell>
          <cell r="C240">
            <v>3023.7</v>
          </cell>
          <cell r="H240">
            <v>3684</v>
          </cell>
          <cell r="I240">
            <v>502.4</v>
          </cell>
          <cell r="J240">
            <v>114.8</v>
          </cell>
          <cell r="K240">
            <v>29300</v>
          </cell>
          <cell r="L240">
            <v>4600</v>
          </cell>
          <cell r="M240">
            <v>33900</v>
          </cell>
          <cell r="P240">
            <v>0</v>
          </cell>
          <cell r="S240">
            <v>36</v>
          </cell>
          <cell r="T240">
            <v>195.6</v>
          </cell>
          <cell r="V240">
            <v>195.6</v>
          </cell>
          <cell r="X240">
            <v>2.2999999999999998</v>
          </cell>
          <cell r="Y240">
            <v>4300</v>
          </cell>
          <cell r="Z240">
            <v>174.6</v>
          </cell>
          <cell r="AC240">
            <v>26.9</v>
          </cell>
          <cell r="AD240">
            <v>61.5</v>
          </cell>
          <cell r="AE240">
            <v>2500</v>
          </cell>
          <cell r="AI240">
            <v>0</v>
          </cell>
          <cell r="AJ240">
            <v>2.29</v>
          </cell>
          <cell r="AK240">
            <v>20.3</v>
          </cell>
          <cell r="AO240">
            <v>0</v>
          </cell>
          <cell r="AP240">
            <v>2.5</v>
          </cell>
          <cell r="AQ240">
            <v>70.69</v>
          </cell>
          <cell r="AU240">
            <v>0</v>
          </cell>
          <cell r="AV240">
            <v>1.55</v>
          </cell>
          <cell r="AW240">
            <v>79.97</v>
          </cell>
          <cell r="BA240">
            <v>0</v>
          </cell>
          <cell r="BB240">
            <v>0.59599999999999997</v>
          </cell>
          <cell r="BC240">
            <v>29.361999999999998</v>
          </cell>
          <cell r="BG240">
            <v>0</v>
          </cell>
          <cell r="BI240">
            <v>80</v>
          </cell>
          <cell r="BM240">
            <v>0</v>
          </cell>
          <cell r="BN240">
            <v>25400</v>
          </cell>
          <cell r="BP240">
            <v>130</v>
          </cell>
          <cell r="BS240">
            <v>0</v>
          </cell>
          <cell r="BU240">
            <v>5</v>
          </cell>
          <cell r="CD240">
            <v>31</v>
          </cell>
        </row>
        <row r="241">
          <cell r="A241">
            <v>39317</v>
          </cell>
          <cell r="H241">
            <v>0</v>
          </cell>
          <cell r="I241">
            <v>742</v>
          </cell>
          <cell r="J241">
            <v>358</v>
          </cell>
          <cell r="K241">
            <v>28500</v>
          </cell>
          <cell r="L241">
            <v>4300</v>
          </cell>
          <cell r="M241">
            <v>32800</v>
          </cell>
          <cell r="P241">
            <v>0</v>
          </cell>
          <cell r="S241">
            <v>36</v>
          </cell>
          <cell r="T241">
            <v>55.4</v>
          </cell>
          <cell r="V241">
            <v>55.4</v>
          </cell>
          <cell r="X241">
            <v>14.9</v>
          </cell>
          <cell r="Y241">
            <v>4300</v>
          </cell>
          <cell r="Z241">
            <v>110</v>
          </cell>
          <cell r="AC241">
            <v>115.9</v>
          </cell>
          <cell r="AD241">
            <v>231.8</v>
          </cell>
          <cell r="AE241">
            <v>2300</v>
          </cell>
          <cell r="AI241">
            <v>0</v>
          </cell>
          <cell r="AJ241">
            <v>1.61</v>
          </cell>
          <cell r="AK241">
            <v>18.690000000000001</v>
          </cell>
          <cell r="AO241">
            <v>0</v>
          </cell>
          <cell r="AP241">
            <v>4.88</v>
          </cell>
          <cell r="AQ241">
            <v>65.81</v>
          </cell>
          <cell r="AU241">
            <v>0</v>
          </cell>
          <cell r="AV241">
            <v>2.02</v>
          </cell>
          <cell r="AW241">
            <v>77.95</v>
          </cell>
          <cell r="BA241">
            <v>0</v>
          </cell>
          <cell r="BB241">
            <v>2.2410000000000001</v>
          </cell>
          <cell r="BC241">
            <v>29.361999999999998</v>
          </cell>
          <cell r="BG241">
            <v>0</v>
          </cell>
          <cell r="BI241">
            <v>80</v>
          </cell>
          <cell r="BM241">
            <v>0</v>
          </cell>
          <cell r="BN241">
            <v>28000</v>
          </cell>
          <cell r="BP241">
            <v>130</v>
          </cell>
          <cell r="BS241">
            <v>0</v>
          </cell>
          <cell r="BU241">
            <v>5</v>
          </cell>
          <cell r="CD241">
            <v>31</v>
          </cell>
        </row>
        <row r="242">
          <cell r="A242">
            <v>39318</v>
          </cell>
          <cell r="H242">
            <v>0</v>
          </cell>
          <cell r="I242">
            <v>733</v>
          </cell>
          <cell r="J242">
            <v>419.1</v>
          </cell>
          <cell r="K242">
            <v>27800</v>
          </cell>
          <cell r="L242">
            <v>3900</v>
          </cell>
          <cell r="M242">
            <v>31700</v>
          </cell>
          <cell r="P242">
            <v>0</v>
          </cell>
          <cell r="S242">
            <v>36</v>
          </cell>
          <cell r="V242">
            <v>0</v>
          </cell>
          <cell r="X242">
            <v>34.6</v>
          </cell>
          <cell r="Y242">
            <v>4300</v>
          </cell>
          <cell r="Z242">
            <v>51.9</v>
          </cell>
          <cell r="AC242">
            <v>146</v>
          </cell>
          <cell r="AD242">
            <v>291.89999999999998</v>
          </cell>
          <cell r="AE242">
            <v>1900</v>
          </cell>
          <cell r="AI242">
            <v>0</v>
          </cell>
          <cell r="AJ242">
            <v>2.41</v>
          </cell>
          <cell r="AK242">
            <v>16.28</v>
          </cell>
          <cell r="AO242">
            <v>0</v>
          </cell>
          <cell r="AP242">
            <v>3.81</v>
          </cell>
          <cell r="AQ242">
            <v>62</v>
          </cell>
          <cell r="AU242">
            <v>0</v>
          </cell>
          <cell r="AV242">
            <v>1.78</v>
          </cell>
          <cell r="AW242">
            <v>76.16</v>
          </cell>
          <cell r="BA242">
            <v>0</v>
          </cell>
          <cell r="BB242">
            <v>2.8410000000000002</v>
          </cell>
          <cell r="BC242">
            <v>24.28</v>
          </cell>
          <cell r="BG242">
            <v>0</v>
          </cell>
          <cell r="BI242">
            <v>80</v>
          </cell>
          <cell r="BM242">
            <v>0</v>
          </cell>
          <cell r="BN242">
            <v>30000</v>
          </cell>
          <cell r="BO242">
            <v>0.6</v>
          </cell>
          <cell r="BP242">
            <v>130</v>
          </cell>
          <cell r="BS242">
            <v>0</v>
          </cell>
          <cell r="BU242">
            <v>5</v>
          </cell>
          <cell r="CD242">
            <v>31</v>
          </cell>
        </row>
        <row r="243">
          <cell r="A243">
            <v>39319</v>
          </cell>
          <cell r="C243">
            <v>810</v>
          </cell>
          <cell r="H243">
            <v>810</v>
          </cell>
          <cell r="I243">
            <v>680</v>
          </cell>
          <cell r="J243">
            <v>452.6</v>
          </cell>
          <cell r="K243">
            <v>27900</v>
          </cell>
          <cell r="L243">
            <v>3400</v>
          </cell>
          <cell r="M243">
            <v>31300</v>
          </cell>
          <cell r="P243">
            <v>0</v>
          </cell>
          <cell r="S243">
            <v>36</v>
          </cell>
          <cell r="V243">
            <v>0</v>
          </cell>
          <cell r="X243">
            <v>39.4</v>
          </cell>
          <cell r="Y243">
            <v>4300</v>
          </cell>
          <cell r="Z243">
            <v>104.3</v>
          </cell>
          <cell r="AC243">
            <v>-130.369</v>
          </cell>
          <cell r="AD243">
            <v>371.8</v>
          </cell>
          <cell r="AE243">
            <v>1550</v>
          </cell>
          <cell r="AI243">
            <v>0</v>
          </cell>
          <cell r="AJ243">
            <v>2.29</v>
          </cell>
          <cell r="AK243">
            <v>13.99</v>
          </cell>
          <cell r="AO243">
            <v>0</v>
          </cell>
          <cell r="AP243">
            <v>5.47</v>
          </cell>
          <cell r="AQ243">
            <v>56.53</v>
          </cell>
          <cell r="AU243">
            <v>0</v>
          </cell>
          <cell r="AW243">
            <v>76.16</v>
          </cell>
          <cell r="BA243">
            <v>0</v>
          </cell>
          <cell r="BB243">
            <v>3.0880000000000001</v>
          </cell>
          <cell r="BC243">
            <v>21.192</v>
          </cell>
          <cell r="BG243">
            <v>0</v>
          </cell>
          <cell r="BI243">
            <v>80</v>
          </cell>
          <cell r="BM243">
            <v>0</v>
          </cell>
          <cell r="BO243">
            <v>5.4</v>
          </cell>
          <cell r="BP243">
            <v>124</v>
          </cell>
          <cell r="BS243">
            <v>0</v>
          </cell>
          <cell r="BU243">
            <v>5</v>
          </cell>
          <cell r="CD243">
            <v>31</v>
          </cell>
        </row>
        <row r="244">
          <cell r="A244">
            <v>39320</v>
          </cell>
          <cell r="C244">
            <v>1850</v>
          </cell>
          <cell r="H244">
            <v>1850</v>
          </cell>
          <cell r="I244">
            <v>759</v>
          </cell>
          <cell r="J244">
            <v>455.4</v>
          </cell>
          <cell r="K244">
            <v>28800</v>
          </cell>
          <cell r="L244">
            <v>3100</v>
          </cell>
          <cell r="M244">
            <v>31900</v>
          </cell>
          <cell r="P244">
            <v>0</v>
          </cell>
          <cell r="S244">
            <v>36</v>
          </cell>
          <cell r="T244">
            <v>167.5</v>
          </cell>
          <cell r="V244">
            <v>167.5</v>
          </cell>
          <cell r="X244">
            <v>96.1</v>
          </cell>
          <cell r="Y244">
            <v>4400</v>
          </cell>
          <cell r="AD244">
            <v>343.8</v>
          </cell>
          <cell r="AE244">
            <v>1200</v>
          </cell>
          <cell r="AI244">
            <v>0</v>
          </cell>
          <cell r="AJ244">
            <v>1.95</v>
          </cell>
          <cell r="AK244">
            <v>12.04</v>
          </cell>
          <cell r="AO244">
            <v>0</v>
          </cell>
          <cell r="AP244">
            <v>4.4000000000000004</v>
          </cell>
          <cell r="AQ244">
            <v>52.12</v>
          </cell>
          <cell r="AU244">
            <v>0</v>
          </cell>
          <cell r="AV244">
            <v>0.71</v>
          </cell>
          <cell r="AW244">
            <v>75.45</v>
          </cell>
          <cell r="BA244">
            <v>0</v>
          </cell>
          <cell r="BB244">
            <v>2.867</v>
          </cell>
          <cell r="BC244">
            <v>18.326000000000001</v>
          </cell>
          <cell r="BG244">
            <v>0</v>
          </cell>
          <cell r="BI244">
            <v>80</v>
          </cell>
          <cell r="BM244">
            <v>0</v>
          </cell>
          <cell r="BO244">
            <v>6</v>
          </cell>
          <cell r="BP244">
            <v>118.2</v>
          </cell>
          <cell r="BS244">
            <v>0</v>
          </cell>
          <cell r="BU244">
            <v>5</v>
          </cell>
          <cell r="CD244">
            <v>31</v>
          </cell>
        </row>
        <row r="245">
          <cell r="A245">
            <v>39321</v>
          </cell>
          <cell r="G245">
            <v>640</v>
          </cell>
          <cell r="H245">
            <v>0</v>
          </cell>
          <cell r="I245">
            <v>775</v>
          </cell>
          <cell r="J245">
            <v>393.5</v>
          </cell>
          <cell r="K245">
            <v>27400</v>
          </cell>
          <cell r="L245">
            <v>3400</v>
          </cell>
          <cell r="M245">
            <v>30800</v>
          </cell>
          <cell r="P245">
            <v>0</v>
          </cell>
          <cell r="S245">
            <v>36</v>
          </cell>
          <cell r="T245">
            <v>28</v>
          </cell>
          <cell r="V245">
            <v>28</v>
          </cell>
          <cell r="X245">
            <v>335.6</v>
          </cell>
          <cell r="Y245">
            <v>4100</v>
          </cell>
          <cell r="AD245">
            <v>69.099999999999994</v>
          </cell>
          <cell r="AE245">
            <v>1100</v>
          </cell>
          <cell r="AI245">
            <v>0</v>
          </cell>
          <cell r="AJ245">
            <v>1.26</v>
          </cell>
          <cell r="AK245">
            <v>10.78</v>
          </cell>
          <cell r="AO245">
            <v>0</v>
          </cell>
          <cell r="AP245">
            <v>5.95</v>
          </cell>
          <cell r="AQ245">
            <v>46.17</v>
          </cell>
          <cell r="AU245">
            <v>0</v>
          </cell>
          <cell r="AV245">
            <v>1.07</v>
          </cell>
          <cell r="AW245">
            <v>74.38</v>
          </cell>
          <cell r="BA245">
            <v>0</v>
          </cell>
          <cell r="BB245">
            <v>2.4340000000000002</v>
          </cell>
          <cell r="BC245">
            <v>15.891999999999999</v>
          </cell>
          <cell r="BG245">
            <v>0</v>
          </cell>
          <cell r="BI245">
            <v>80</v>
          </cell>
          <cell r="BM245">
            <v>0</v>
          </cell>
          <cell r="BN245">
            <v>33000</v>
          </cell>
          <cell r="BO245">
            <v>5.5</v>
          </cell>
          <cell r="BP245">
            <v>112.8</v>
          </cell>
          <cell r="BS245">
            <v>0</v>
          </cell>
          <cell r="BU245">
            <v>5</v>
          </cell>
          <cell r="CD245">
            <v>31</v>
          </cell>
        </row>
        <row r="246">
          <cell r="A246">
            <v>39322</v>
          </cell>
          <cell r="B246">
            <v>715</v>
          </cell>
          <cell r="G246">
            <v>570</v>
          </cell>
          <cell r="H246">
            <v>715</v>
          </cell>
          <cell r="I246">
            <v>390</v>
          </cell>
          <cell r="J246">
            <v>436.6</v>
          </cell>
          <cell r="K246">
            <v>28110</v>
          </cell>
          <cell r="L246">
            <v>4240</v>
          </cell>
          <cell r="M246">
            <v>32350</v>
          </cell>
          <cell r="P246">
            <v>0</v>
          </cell>
          <cell r="S246">
            <v>36</v>
          </cell>
          <cell r="V246">
            <v>0</v>
          </cell>
          <cell r="X246">
            <v>371.7</v>
          </cell>
          <cell r="Y246">
            <v>3690</v>
          </cell>
          <cell r="AD246">
            <v>81</v>
          </cell>
          <cell r="AE246">
            <v>1050</v>
          </cell>
          <cell r="AI246">
            <v>0</v>
          </cell>
          <cell r="AJ246">
            <v>0.92</v>
          </cell>
          <cell r="AK246">
            <v>9.86</v>
          </cell>
          <cell r="AL246">
            <v>24.48</v>
          </cell>
          <cell r="AO246">
            <v>24.48</v>
          </cell>
          <cell r="AP246">
            <v>2.58</v>
          </cell>
          <cell r="AQ246">
            <v>68.069999999999993</v>
          </cell>
          <cell r="AU246">
            <v>0</v>
          </cell>
          <cell r="AV246">
            <v>2.98</v>
          </cell>
          <cell r="AW246">
            <v>71.400000000000006</v>
          </cell>
          <cell r="BA246">
            <v>0</v>
          </cell>
          <cell r="BB246">
            <v>2.7429999999999999</v>
          </cell>
          <cell r="BC246">
            <v>13.14</v>
          </cell>
          <cell r="BG246">
            <v>0</v>
          </cell>
          <cell r="BI246">
            <v>80</v>
          </cell>
          <cell r="BJ246">
            <v>24.7</v>
          </cell>
          <cell r="BM246">
            <v>24.7</v>
          </cell>
          <cell r="BN246">
            <v>30000</v>
          </cell>
          <cell r="BO246">
            <v>5.4</v>
          </cell>
          <cell r="BP246">
            <v>132</v>
          </cell>
          <cell r="BS246">
            <v>0</v>
          </cell>
          <cell r="BU246">
            <v>5</v>
          </cell>
          <cell r="CD246">
            <v>31</v>
          </cell>
        </row>
        <row r="247">
          <cell r="A247">
            <v>39323</v>
          </cell>
          <cell r="B247">
            <v>605</v>
          </cell>
          <cell r="C247">
            <v>2852.1</v>
          </cell>
          <cell r="H247">
            <v>3457.1</v>
          </cell>
          <cell r="I247">
            <v>290</v>
          </cell>
          <cell r="J247">
            <v>239.8</v>
          </cell>
          <cell r="K247">
            <v>29000</v>
          </cell>
          <cell r="L247">
            <v>4600</v>
          </cell>
          <cell r="M247">
            <v>33600</v>
          </cell>
          <cell r="P247">
            <v>0</v>
          </cell>
          <cell r="S247">
            <v>36</v>
          </cell>
          <cell r="T247">
            <v>194.5</v>
          </cell>
          <cell r="V247">
            <v>194.5</v>
          </cell>
          <cell r="X247">
            <v>158.4</v>
          </cell>
          <cell r="Y247">
            <v>3720</v>
          </cell>
          <cell r="Z247">
            <v>109.4</v>
          </cell>
          <cell r="AA247">
            <v>1039.5999999999999</v>
          </cell>
          <cell r="AD247">
            <v>51</v>
          </cell>
          <cell r="AE247">
            <v>2670</v>
          </cell>
          <cell r="AF247">
            <v>24.56</v>
          </cell>
          <cell r="AI247">
            <v>24.56</v>
          </cell>
          <cell r="AJ247">
            <v>0.35</v>
          </cell>
          <cell r="AK247">
            <v>34.520000000000003</v>
          </cell>
          <cell r="AO247">
            <v>0</v>
          </cell>
          <cell r="AP247">
            <v>3.45</v>
          </cell>
          <cell r="AQ247">
            <v>64.52</v>
          </cell>
          <cell r="AU247">
            <v>0</v>
          </cell>
          <cell r="AV247">
            <v>2.14</v>
          </cell>
          <cell r="AW247">
            <v>69.260000000000005</v>
          </cell>
          <cell r="BA247">
            <v>0</v>
          </cell>
          <cell r="BB247">
            <v>1.5609999999999999</v>
          </cell>
          <cell r="BC247">
            <v>11.58</v>
          </cell>
          <cell r="BG247">
            <v>0</v>
          </cell>
          <cell r="BI247">
            <v>80</v>
          </cell>
          <cell r="BM247">
            <v>0</v>
          </cell>
          <cell r="BN247">
            <v>25000</v>
          </cell>
          <cell r="BO247">
            <v>6</v>
          </cell>
          <cell r="BP247">
            <v>126</v>
          </cell>
          <cell r="BS247">
            <v>0</v>
          </cell>
          <cell r="BU247">
            <v>5</v>
          </cell>
          <cell r="CD247">
            <v>31</v>
          </cell>
        </row>
        <row r="248">
          <cell r="A248">
            <v>39324</v>
          </cell>
          <cell r="H248">
            <v>0</v>
          </cell>
          <cell r="I248">
            <v>143.571</v>
          </cell>
          <cell r="J248">
            <v>453.1</v>
          </cell>
          <cell r="K248">
            <v>28650</v>
          </cell>
          <cell r="L248">
            <v>4150</v>
          </cell>
          <cell r="M248">
            <v>32800</v>
          </cell>
          <cell r="P248">
            <v>0</v>
          </cell>
          <cell r="S248">
            <v>36</v>
          </cell>
          <cell r="T248">
            <v>27.5</v>
          </cell>
          <cell r="V248">
            <v>27.5</v>
          </cell>
          <cell r="X248">
            <v>370.4</v>
          </cell>
          <cell r="Y248">
            <v>3380</v>
          </cell>
          <cell r="AD248">
            <v>87.4</v>
          </cell>
          <cell r="AE248">
            <v>2580</v>
          </cell>
          <cell r="AI248">
            <v>0</v>
          </cell>
          <cell r="AJ248">
            <v>1.1499999999999999</v>
          </cell>
          <cell r="AK248">
            <v>32.909999999999997</v>
          </cell>
          <cell r="AL248">
            <v>22.98</v>
          </cell>
          <cell r="AO248">
            <v>22.98</v>
          </cell>
          <cell r="AP248">
            <v>3.11</v>
          </cell>
          <cell r="AQ248">
            <v>84.49</v>
          </cell>
          <cell r="AU248">
            <v>0</v>
          </cell>
          <cell r="AV248">
            <v>1.19</v>
          </cell>
          <cell r="AW248">
            <v>68.069999999999993</v>
          </cell>
          <cell r="BA248">
            <v>0</v>
          </cell>
          <cell r="BB248">
            <v>2.79</v>
          </cell>
          <cell r="BC248">
            <v>11.58</v>
          </cell>
          <cell r="BG248">
            <v>0</v>
          </cell>
          <cell r="BI248">
            <v>80</v>
          </cell>
          <cell r="BM248">
            <v>0</v>
          </cell>
          <cell r="BN248">
            <v>30000</v>
          </cell>
          <cell r="BO248">
            <v>5.4</v>
          </cell>
          <cell r="BP248">
            <v>120</v>
          </cell>
          <cell r="BS248">
            <v>0</v>
          </cell>
          <cell r="BU248">
            <v>5</v>
          </cell>
          <cell r="CD248">
            <v>31</v>
          </cell>
        </row>
        <row r="249">
          <cell r="A249">
            <v>39325</v>
          </cell>
          <cell r="H249">
            <v>0</v>
          </cell>
          <cell r="I249">
            <v>0</v>
          </cell>
          <cell r="J249">
            <v>505.697</v>
          </cell>
          <cell r="K249">
            <v>29500</v>
          </cell>
          <cell r="L249">
            <v>3800</v>
          </cell>
          <cell r="M249">
            <v>33300</v>
          </cell>
          <cell r="P249">
            <v>0</v>
          </cell>
          <cell r="S249">
            <v>36</v>
          </cell>
          <cell r="T249">
            <v>1.759999999999998</v>
          </cell>
          <cell r="V249">
            <v>1.759999999999998</v>
          </cell>
          <cell r="W249">
            <v>1789.6389999999999</v>
          </cell>
          <cell r="X249">
            <v>-1815.2090000000001</v>
          </cell>
          <cell r="Y249">
            <v>3300</v>
          </cell>
          <cell r="Z249">
            <v>61</v>
          </cell>
          <cell r="AA249">
            <v>-300</v>
          </cell>
          <cell r="AD249">
            <v>377.435</v>
          </cell>
          <cell r="AE249">
            <v>3500</v>
          </cell>
          <cell r="AI249">
            <v>0</v>
          </cell>
          <cell r="AJ249">
            <v>6.2799999999999994</v>
          </cell>
          <cell r="AK249">
            <v>31.65</v>
          </cell>
          <cell r="AO249">
            <v>0</v>
          </cell>
          <cell r="AP249">
            <v>5.4459999999999997</v>
          </cell>
          <cell r="AQ249">
            <v>82.71</v>
          </cell>
          <cell r="AU249">
            <v>0</v>
          </cell>
          <cell r="AV249">
            <v>2.38</v>
          </cell>
          <cell r="AW249">
            <v>65.69</v>
          </cell>
          <cell r="BA249">
            <v>0</v>
          </cell>
          <cell r="BB249">
            <v>9.843</v>
          </cell>
          <cell r="BC249">
            <v>7.39</v>
          </cell>
          <cell r="BG249">
            <v>0</v>
          </cell>
          <cell r="BI249">
            <v>80</v>
          </cell>
          <cell r="BM249">
            <v>0</v>
          </cell>
          <cell r="BN249">
            <v>30000</v>
          </cell>
          <cell r="BO249">
            <v>5.4</v>
          </cell>
          <cell r="BP249">
            <v>115</v>
          </cell>
          <cell r="BS249">
            <v>0</v>
          </cell>
          <cell r="BU249">
            <v>5</v>
          </cell>
          <cell r="CD249">
            <v>31</v>
          </cell>
        </row>
        <row r="250">
          <cell r="A250">
            <v>39326</v>
          </cell>
          <cell r="E250">
            <v>2853.1</v>
          </cell>
          <cell r="G250">
            <v>540</v>
          </cell>
          <cell r="H250">
            <v>2853.1</v>
          </cell>
          <cell r="I250">
            <v>0</v>
          </cell>
          <cell r="J250">
            <v>632.70000000000005</v>
          </cell>
          <cell r="K250">
            <v>31000</v>
          </cell>
          <cell r="L250">
            <v>3700</v>
          </cell>
          <cell r="M250">
            <v>34700</v>
          </cell>
          <cell r="P250">
            <v>0</v>
          </cell>
          <cell r="S250">
            <v>36</v>
          </cell>
          <cell r="V250">
            <v>0</v>
          </cell>
          <cell r="X250">
            <v>30.1</v>
          </cell>
          <cell r="Y250">
            <v>3200</v>
          </cell>
          <cell r="Z250">
            <v>113.8</v>
          </cell>
          <cell r="AD250">
            <v>17.7</v>
          </cell>
          <cell r="AE250">
            <v>3600</v>
          </cell>
          <cell r="AI250">
            <v>0</v>
          </cell>
          <cell r="AJ250">
            <v>2.29</v>
          </cell>
          <cell r="AK250">
            <v>29.36</v>
          </cell>
          <cell r="AO250">
            <v>0</v>
          </cell>
          <cell r="AP250">
            <v>5.36</v>
          </cell>
          <cell r="AQ250">
            <v>77.349999999999994</v>
          </cell>
          <cell r="AU250">
            <v>0</v>
          </cell>
          <cell r="AV250">
            <v>0.83</v>
          </cell>
          <cell r="AW250">
            <v>64.86</v>
          </cell>
          <cell r="AX250">
            <v>22.88</v>
          </cell>
          <cell r="BA250">
            <v>22.88</v>
          </cell>
          <cell r="BB250">
            <v>2.4300000000000002</v>
          </cell>
          <cell r="BC250">
            <v>27.84</v>
          </cell>
          <cell r="BG250">
            <v>0</v>
          </cell>
          <cell r="BI250">
            <v>80</v>
          </cell>
          <cell r="BM250">
            <v>0</v>
          </cell>
          <cell r="BN250">
            <v>5000</v>
          </cell>
          <cell r="BO250">
            <v>5.4</v>
          </cell>
          <cell r="BP250">
            <v>110</v>
          </cell>
          <cell r="BS250">
            <v>0</v>
          </cell>
          <cell r="BU250">
            <v>5</v>
          </cell>
          <cell r="CD250">
            <v>31</v>
          </cell>
        </row>
        <row r="251">
          <cell r="A251">
            <v>39327</v>
          </cell>
          <cell r="G251">
            <v>650</v>
          </cell>
          <cell r="H251">
            <v>0</v>
          </cell>
          <cell r="I251">
            <v>0</v>
          </cell>
          <cell r="J251">
            <v>649.6</v>
          </cell>
          <cell r="K251">
            <v>30300</v>
          </cell>
          <cell r="L251">
            <v>3700</v>
          </cell>
          <cell r="M251">
            <v>34000</v>
          </cell>
          <cell r="P251">
            <v>0</v>
          </cell>
          <cell r="S251">
            <v>36</v>
          </cell>
          <cell r="T251">
            <v>55.4</v>
          </cell>
          <cell r="V251">
            <v>55.4</v>
          </cell>
          <cell r="X251">
            <v>32.9</v>
          </cell>
          <cell r="Y251">
            <v>3250</v>
          </cell>
          <cell r="Z251">
            <v>104.1</v>
          </cell>
          <cell r="AD251">
            <v>49.5</v>
          </cell>
          <cell r="AE251">
            <v>3650</v>
          </cell>
          <cell r="AI251">
            <v>0</v>
          </cell>
          <cell r="AJ251">
            <v>2.29</v>
          </cell>
          <cell r="AK251">
            <v>27.06</v>
          </cell>
          <cell r="AO251">
            <v>0</v>
          </cell>
          <cell r="AP251">
            <v>6.07</v>
          </cell>
          <cell r="AQ251">
            <v>71.28</v>
          </cell>
          <cell r="AU251">
            <v>0</v>
          </cell>
          <cell r="AV251">
            <v>0.48</v>
          </cell>
          <cell r="AW251">
            <v>64.38</v>
          </cell>
          <cell r="BA251">
            <v>0</v>
          </cell>
          <cell r="BB251">
            <v>2.6459999999999999</v>
          </cell>
          <cell r="BC251">
            <v>25.2</v>
          </cell>
          <cell r="BG251">
            <v>0</v>
          </cell>
          <cell r="BI251">
            <v>80</v>
          </cell>
          <cell r="BM251">
            <v>0</v>
          </cell>
          <cell r="BN251">
            <v>0</v>
          </cell>
          <cell r="BO251">
            <v>6</v>
          </cell>
          <cell r="BP251">
            <v>104</v>
          </cell>
          <cell r="BS251">
            <v>0</v>
          </cell>
          <cell r="BU251">
            <v>5</v>
          </cell>
          <cell r="CD251">
            <v>31</v>
          </cell>
        </row>
        <row r="252">
          <cell r="A252">
            <v>39328</v>
          </cell>
          <cell r="G252">
            <v>350</v>
          </cell>
          <cell r="H252">
            <v>0</v>
          </cell>
          <cell r="I252">
            <v>0</v>
          </cell>
          <cell r="J252">
            <v>687.9</v>
          </cell>
          <cell r="K252">
            <v>29950</v>
          </cell>
          <cell r="L252">
            <v>3350</v>
          </cell>
          <cell r="M252">
            <v>33300</v>
          </cell>
          <cell r="P252">
            <v>0</v>
          </cell>
          <cell r="S252">
            <v>36</v>
          </cell>
          <cell r="T252">
            <v>111.1</v>
          </cell>
          <cell r="V252">
            <v>111.1</v>
          </cell>
          <cell r="X252">
            <v>36.700000000000003</v>
          </cell>
          <cell r="Y252">
            <v>3350</v>
          </cell>
          <cell r="Z252">
            <v>53.2</v>
          </cell>
          <cell r="AD252">
            <v>51.9</v>
          </cell>
          <cell r="AE252">
            <v>3650</v>
          </cell>
          <cell r="AI252">
            <v>0</v>
          </cell>
          <cell r="AJ252">
            <v>1.1499999999999999</v>
          </cell>
          <cell r="AK252">
            <v>25.92</v>
          </cell>
          <cell r="AO252">
            <v>0</v>
          </cell>
          <cell r="AP252">
            <v>5.83</v>
          </cell>
          <cell r="AQ252">
            <v>65.45</v>
          </cell>
          <cell r="AU252">
            <v>0</v>
          </cell>
          <cell r="AV252">
            <v>2.02</v>
          </cell>
          <cell r="AW252">
            <v>62.36</v>
          </cell>
          <cell r="BA252">
            <v>0</v>
          </cell>
          <cell r="BB252">
            <v>2.79</v>
          </cell>
          <cell r="BC252">
            <v>22.41</v>
          </cell>
          <cell r="BG252">
            <v>0</v>
          </cell>
          <cell r="BI252">
            <v>80</v>
          </cell>
          <cell r="BM252">
            <v>0</v>
          </cell>
          <cell r="BN252">
            <v>43350</v>
          </cell>
          <cell r="BO252">
            <v>5.4</v>
          </cell>
          <cell r="BP252">
            <v>98</v>
          </cell>
          <cell r="BS252">
            <v>0</v>
          </cell>
          <cell r="BU252">
            <v>5</v>
          </cell>
          <cell r="CD252">
            <v>31</v>
          </cell>
        </row>
        <row r="253">
          <cell r="A253">
            <v>39329</v>
          </cell>
          <cell r="B253">
            <v>1320.3</v>
          </cell>
          <cell r="G253">
            <v>450</v>
          </cell>
          <cell r="H253">
            <v>1320.3</v>
          </cell>
          <cell r="I253">
            <v>0</v>
          </cell>
          <cell r="J253">
            <v>699.1</v>
          </cell>
          <cell r="K253">
            <v>29500</v>
          </cell>
          <cell r="L253">
            <v>4400</v>
          </cell>
          <cell r="M253">
            <v>33900</v>
          </cell>
          <cell r="P253">
            <v>0</v>
          </cell>
          <cell r="S253">
            <v>36</v>
          </cell>
          <cell r="T253">
            <v>245</v>
          </cell>
          <cell r="V253">
            <v>245</v>
          </cell>
          <cell r="X253">
            <v>45.8</v>
          </cell>
          <cell r="Y253">
            <v>3500</v>
          </cell>
          <cell r="AD253">
            <v>43.8</v>
          </cell>
          <cell r="AE253">
            <v>3614</v>
          </cell>
          <cell r="AI253">
            <v>0</v>
          </cell>
          <cell r="AJ253">
            <v>1.1499999999999999</v>
          </cell>
          <cell r="AK253">
            <v>24.77</v>
          </cell>
          <cell r="AO253">
            <v>0</v>
          </cell>
          <cell r="AP253">
            <v>5.59</v>
          </cell>
          <cell r="AQ253">
            <v>59.86</v>
          </cell>
          <cell r="AU253">
            <v>0</v>
          </cell>
          <cell r="AV253">
            <v>0.59</v>
          </cell>
          <cell r="AW253">
            <v>61.76</v>
          </cell>
          <cell r="BA253">
            <v>0</v>
          </cell>
          <cell r="BB253">
            <v>2.79</v>
          </cell>
          <cell r="BC253">
            <v>19.62</v>
          </cell>
          <cell r="BG253">
            <v>0</v>
          </cell>
          <cell r="BI253">
            <v>80</v>
          </cell>
          <cell r="BM253">
            <v>0</v>
          </cell>
          <cell r="BN253">
            <v>35000</v>
          </cell>
          <cell r="BO253">
            <v>5.4</v>
          </cell>
          <cell r="BP253">
            <v>93</v>
          </cell>
          <cell r="BS253">
            <v>0</v>
          </cell>
          <cell r="BU253">
            <v>5</v>
          </cell>
          <cell r="CD253">
            <v>31</v>
          </cell>
        </row>
        <row r="254">
          <cell r="A254">
            <v>39330</v>
          </cell>
          <cell r="G254">
            <v>700</v>
          </cell>
          <cell r="H254">
            <v>0</v>
          </cell>
          <cell r="I254">
            <v>0</v>
          </cell>
          <cell r="J254">
            <v>719</v>
          </cell>
          <cell r="K254">
            <v>29600</v>
          </cell>
          <cell r="L254">
            <v>4400</v>
          </cell>
          <cell r="M254">
            <v>34000</v>
          </cell>
          <cell r="P254">
            <v>0</v>
          </cell>
          <cell r="S254">
            <v>36</v>
          </cell>
          <cell r="T254">
            <v>82.9</v>
          </cell>
          <cell r="V254">
            <v>82.9</v>
          </cell>
          <cell r="X254">
            <v>67.7</v>
          </cell>
          <cell r="Y254">
            <v>3500</v>
          </cell>
          <cell r="Z254">
            <v>53.9</v>
          </cell>
          <cell r="AD254">
            <v>24.2</v>
          </cell>
          <cell r="AE254">
            <v>3600</v>
          </cell>
          <cell r="AI254">
            <v>0</v>
          </cell>
          <cell r="AJ254">
            <v>2.1800000000000002</v>
          </cell>
          <cell r="AK254">
            <v>22.59</v>
          </cell>
          <cell r="AO254">
            <v>0</v>
          </cell>
          <cell r="AP254">
            <v>3.45</v>
          </cell>
          <cell r="AQ254">
            <v>56.41</v>
          </cell>
          <cell r="AU254">
            <v>0</v>
          </cell>
          <cell r="AW254">
            <v>64.760000000000005</v>
          </cell>
          <cell r="BA254">
            <v>0</v>
          </cell>
          <cell r="BB254">
            <v>2.7</v>
          </cell>
          <cell r="BC254">
            <v>16.920000000000002</v>
          </cell>
          <cell r="BG254">
            <v>0</v>
          </cell>
          <cell r="BI254">
            <v>80</v>
          </cell>
          <cell r="BM254">
            <v>0</v>
          </cell>
          <cell r="BN254">
            <v>35000</v>
          </cell>
          <cell r="BO254">
            <v>5.4</v>
          </cell>
          <cell r="BP254">
            <v>87</v>
          </cell>
          <cell r="BS254">
            <v>0</v>
          </cell>
          <cell r="BU254">
            <v>5</v>
          </cell>
          <cell r="CD254">
            <v>31</v>
          </cell>
        </row>
        <row r="255">
          <cell r="A255">
            <v>39331</v>
          </cell>
          <cell r="C255">
            <v>2786</v>
          </cell>
          <cell r="G255">
            <v>380</v>
          </cell>
          <cell r="H255">
            <v>2786</v>
          </cell>
          <cell r="I255">
            <v>0</v>
          </cell>
          <cell r="J255">
            <v>690.6</v>
          </cell>
          <cell r="K255">
            <v>31200</v>
          </cell>
          <cell r="L255">
            <v>4100</v>
          </cell>
          <cell r="M255">
            <v>35300</v>
          </cell>
          <cell r="P255">
            <v>0</v>
          </cell>
          <cell r="S255">
            <v>36</v>
          </cell>
          <cell r="T255">
            <v>140.1</v>
          </cell>
          <cell r="V255">
            <v>140.1</v>
          </cell>
          <cell r="X255">
            <v>80.5</v>
          </cell>
          <cell r="Y255">
            <v>3600</v>
          </cell>
          <cell r="Z255">
            <v>161</v>
          </cell>
          <cell r="AD255">
            <v>13.2</v>
          </cell>
          <cell r="AE255">
            <v>3800</v>
          </cell>
          <cell r="AI255">
            <v>0</v>
          </cell>
          <cell r="AJ255">
            <v>2.52</v>
          </cell>
          <cell r="AK255">
            <v>20.07</v>
          </cell>
          <cell r="AL255">
            <v>16.100000000000001</v>
          </cell>
          <cell r="AO255">
            <v>16.100000000000001</v>
          </cell>
          <cell r="AP255">
            <v>3.13</v>
          </cell>
          <cell r="AQ255">
            <v>78.78</v>
          </cell>
          <cell r="AR255">
            <v>8.06</v>
          </cell>
          <cell r="AU255">
            <v>8.06</v>
          </cell>
          <cell r="AV255">
            <v>0.08</v>
          </cell>
          <cell r="AW255">
            <v>93.17</v>
          </cell>
          <cell r="BA255">
            <v>0</v>
          </cell>
          <cell r="BB255">
            <v>2.448</v>
          </cell>
          <cell r="BC255">
            <v>14.47</v>
          </cell>
          <cell r="BG255">
            <v>0</v>
          </cell>
          <cell r="BI255">
            <v>80</v>
          </cell>
          <cell r="BM255">
            <v>0</v>
          </cell>
          <cell r="BN255">
            <v>30000</v>
          </cell>
          <cell r="BO255">
            <v>5.4</v>
          </cell>
          <cell r="BP255">
            <v>82</v>
          </cell>
          <cell r="BS255">
            <v>0</v>
          </cell>
          <cell r="BU255">
            <v>5</v>
          </cell>
          <cell r="CD255">
            <v>31</v>
          </cell>
        </row>
        <row r="256">
          <cell r="A256">
            <v>39332</v>
          </cell>
          <cell r="G256">
            <v>610</v>
          </cell>
          <cell r="H256">
            <v>0</v>
          </cell>
          <cell r="I256">
            <v>0</v>
          </cell>
          <cell r="J256">
            <v>865.6</v>
          </cell>
          <cell r="K256">
            <v>30600</v>
          </cell>
          <cell r="L256">
            <v>3900</v>
          </cell>
          <cell r="M256">
            <v>34500</v>
          </cell>
          <cell r="P256">
            <v>0</v>
          </cell>
          <cell r="S256">
            <v>36</v>
          </cell>
          <cell r="V256">
            <v>0</v>
          </cell>
          <cell r="X256">
            <v>131.30000000000001</v>
          </cell>
          <cell r="Y256">
            <v>3500</v>
          </cell>
          <cell r="Z256">
            <v>55.6</v>
          </cell>
          <cell r="AE256">
            <v>3800</v>
          </cell>
          <cell r="AF256">
            <v>25.34</v>
          </cell>
          <cell r="AI256">
            <v>25.34</v>
          </cell>
          <cell r="AJ256">
            <v>1.83</v>
          </cell>
          <cell r="AK256">
            <v>43.57</v>
          </cell>
          <cell r="AO256">
            <v>0</v>
          </cell>
          <cell r="AP256">
            <v>0.49</v>
          </cell>
          <cell r="AQ256">
            <v>71.64</v>
          </cell>
          <cell r="AU256">
            <v>0</v>
          </cell>
          <cell r="AV256">
            <v>10.71</v>
          </cell>
          <cell r="AW256">
            <v>57.72</v>
          </cell>
          <cell r="AX256">
            <v>25.18</v>
          </cell>
          <cell r="BA256">
            <v>25.18</v>
          </cell>
          <cell r="BB256">
            <v>2.97</v>
          </cell>
          <cell r="BC256">
            <v>36.68</v>
          </cell>
          <cell r="BG256">
            <v>0</v>
          </cell>
          <cell r="BI256">
            <v>80</v>
          </cell>
          <cell r="BM256">
            <v>0</v>
          </cell>
          <cell r="BN256">
            <v>22000</v>
          </cell>
          <cell r="BO256">
            <v>4.8</v>
          </cell>
          <cell r="BP256">
            <v>77</v>
          </cell>
          <cell r="BS256">
            <v>0</v>
          </cell>
          <cell r="BU256">
            <v>5</v>
          </cell>
          <cell r="CD256">
            <v>31</v>
          </cell>
        </row>
        <row r="257">
          <cell r="A257">
            <v>39333</v>
          </cell>
          <cell r="G257">
            <v>750</v>
          </cell>
          <cell r="H257">
            <v>0</v>
          </cell>
          <cell r="I257">
            <v>0</v>
          </cell>
          <cell r="J257">
            <v>855</v>
          </cell>
          <cell r="K257">
            <v>29800</v>
          </cell>
          <cell r="L257">
            <v>3800</v>
          </cell>
          <cell r="M257">
            <v>33600</v>
          </cell>
          <cell r="P257">
            <v>0</v>
          </cell>
          <cell r="S257">
            <v>36</v>
          </cell>
          <cell r="V257">
            <v>0</v>
          </cell>
          <cell r="X257">
            <v>158.4</v>
          </cell>
          <cell r="Y257">
            <v>3300</v>
          </cell>
          <cell r="Z257">
            <v>52.2</v>
          </cell>
          <cell r="AE257">
            <v>3900</v>
          </cell>
          <cell r="AI257">
            <v>0</v>
          </cell>
          <cell r="AJ257">
            <v>2.29</v>
          </cell>
          <cell r="AK257">
            <v>41.28</v>
          </cell>
          <cell r="AO257">
            <v>0</v>
          </cell>
          <cell r="AP257">
            <v>1.55</v>
          </cell>
          <cell r="AQ257">
            <v>70.09</v>
          </cell>
          <cell r="AU257">
            <v>0</v>
          </cell>
          <cell r="AV257">
            <v>2.02</v>
          </cell>
          <cell r="AW257">
            <v>55.69</v>
          </cell>
          <cell r="BA257">
            <v>0</v>
          </cell>
          <cell r="BB257">
            <v>3.1680000000000001</v>
          </cell>
          <cell r="BC257">
            <v>33.51</v>
          </cell>
          <cell r="BG257">
            <v>0</v>
          </cell>
          <cell r="BI257">
            <v>80</v>
          </cell>
          <cell r="BM257">
            <v>0</v>
          </cell>
          <cell r="BO257">
            <v>5.4</v>
          </cell>
          <cell r="BP257">
            <v>72</v>
          </cell>
          <cell r="BS257">
            <v>0</v>
          </cell>
          <cell r="BU257">
            <v>5</v>
          </cell>
          <cell r="CD257">
            <v>31</v>
          </cell>
        </row>
        <row r="258">
          <cell r="A258">
            <v>39334</v>
          </cell>
          <cell r="G258">
            <v>240</v>
          </cell>
          <cell r="H258">
            <v>0</v>
          </cell>
          <cell r="I258">
            <v>0</v>
          </cell>
          <cell r="J258">
            <v>861.4</v>
          </cell>
          <cell r="K258">
            <v>29600</v>
          </cell>
          <cell r="L258">
            <v>3100</v>
          </cell>
          <cell r="M258">
            <v>32700</v>
          </cell>
          <cell r="P258">
            <v>0</v>
          </cell>
          <cell r="S258">
            <v>36</v>
          </cell>
          <cell r="T258">
            <v>194.9</v>
          </cell>
          <cell r="V258">
            <v>194.9</v>
          </cell>
          <cell r="X258">
            <v>152.4</v>
          </cell>
          <cell r="Y258">
            <v>3400</v>
          </cell>
          <cell r="Z258">
            <v>58</v>
          </cell>
          <cell r="AE258">
            <v>4000</v>
          </cell>
          <cell r="AI258">
            <v>0</v>
          </cell>
          <cell r="AJ258">
            <v>0</v>
          </cell>
          <cell r="AK258">
            <v>41.28</v>
          </cell>
          <cell r="AO258">
            <v>0</v>
          </cell>
          <cell r="AP258">
            <v>4.05</v>
          </cell>
          <cell r="AQ258">
            <v>66.05</v>
          </cell>
          <cell r="AU258">
            <v>0</v>
          </cell>
          <cell r="AV258">
            <v>1.43</v>
          </cell>
          <cell r="AW258">
            <v>54.26</v>
          </cell>
          <cell r="BA258">
            <v>0</v>
          </cell>
          <cell r="BB258">
            <v>3.15</v>
          </cell>
          <cell r="BC258">
            <v>30.36</v>
          </cell>
          <cell r="BG258">
            <v>0</v>
          </cell>
          <cell r="BI258">
            <v>80</v>
          </cell>
          <cell r="BM258">
            <v>0</v>
          </cell>
          <cell r="BO258">
            <v>5.4</v>
          </cell>
          <cell r="BP258">
            <v>66.5</v>
          </cell>
          <cell r="BS258">
            <v>0</v>
          </cell>
          <cell r="BU258">
            <v>5</v>
          </cell>
          <cell r="CD258">
            <v>31</v>
          </cell>
        </row>
        <row r="259">
          <cell r="A259">
            <v>39335</v>
          </cell>
          <cell r="G259">
            <v>520</v>
          </cell>
          <cell r="H259">
            <v>0</v>
          </cell>
          <cell r="I259">
            <v>800</v>
          </cell>
          <cell r="J259">
            <v>848.1</v>
          </cell>
          <cell r="K259">
            <v>28300</v>
          </cell>
          <cell r="L259">
            <v>2800</v>
          </cell>
          <cell r="M259">
            <v>31100</v>
          </cell>
          <cell r="P259">
            <v>0</v>
          </cell>
          <cell r="S259">
            <v>36</v>
          </cell>
          <cell r="T259">
            <v>83.2</v>
          </cell>
          <cell r="V259">
            <v>83.2</v>
          </cell>
          <cell r="X259">
            <v>206.1</v>
          </cell>
          <cell r="Y259">
            <v>3200</v>
          </cell>
          <cell r="Z259">
            <v>51.3</v>
          </cell>
          <cell r="AE259">
            <v>4000</v>
          </cell>
          <cell r="AI259">
            <v>0</v>
          </cell>
          <cell r="AJ259">
            <v>0.8</v>
          </cell>
          <cell r="AK259">
            <v>40.479999999999997</v>
          </cell>
          <cell r="AO259">
            <v>0</v>
          </cell>
          <cell r="AP259">
            <v>2.86</v>
          </cell>
          <cell r="AQ259">
            <v>63.19</v>
          </cell>
          <cell r="AU259">
            <v>0</v>
          </cell>
          <cell r="AV259">
            <v>3.09</v>
          </cell>
          <cell r="AW259">
            <v>51.17</v>
          </cell>
          <cell r="BA259">
            <v>0</v>
          </cell>
          <cell r="BB259">
            <v>3.0059999999999998</v>
          </cell>
          <cell r="BC259">
            <v>27.36</v>
          </cell>
          <cell r="BG259">
            <v>0</v>
          </cell>
          <cell r="BI259">
            <v>80</v>
          </cell>
          <cell r="BM259">
            <v>0</v>
          </cell>
          <cell r="BN259">
            <v>10000</v>
          </cell>
          <cell r="BO259">
            <v>2.4</v>
          </cell>
          <cell r="BP259">
            <v>64</v>
          </cell>
          <cell r="BS259">
            <v>0</v>
          </cell>
          <cell r="BU259">
            <v>5</v>
          </cell>
          <cell r="CD259">
            <v>31</v>
          </cell>
        </row>
        <row r="260">
          <cell r="A260">
            <v>39336</v>
          </cell>
          <cell r="B260">
            <v>1320.1</v>
          </cell>
          <cell r="E260">
            <v>3151.2</v>
          </cell>
          <cell r="G260">
            <v>60</v>
          </cell>
          <cell r="H260">
            <v>4471.2999999999993</v>
          </cell>
          <cell r="I260">
            <v>830</v>
          </cell>
          <cell r="J260">
            <v>823.5</v>
          </cell>
          <cell r="K260">
            <v>30500</v>
          </cell>
          <cell r="L260">
            <v>3400</v>
          </cell>
          <cell r="M260">
            <v>33900</v>
          </cell>
          <cell r="P260">
            <v>0</v>
          </cell>
          <cell r="S260">
            <v>36</v>
          </cell>
          <cell r="T260">
            <v>81.099999999999994</v>
          </cell>
          <cell r="V260">
            <v>81.099999999999994</v>
          </cell>
          <cell r="X260">
            <v>189.7</v>
          </cell>
          <cell r="Y260">
            <v>3100</v>
          </cell>
          <cell r="AE260">
            <v>4000</v>
          </cell>
          <cell r="AI260">
            <v>0</v>
          </cell>
          <cell r="AJ260">
            <v>1.72</v>
          </cell>
          <cell r="AK260">
            <v>38.76</v>
          </cell>
          <cell r="AO260">
            <v>0</v>
          </cell>
          <cell r="AP260">
            <v>2.38</v>
          </cell>
          <cell r="AQ260">
            <v>60.81</v>
          </cell>
          <cell r="AR260">
            <v>23.84</v>
          </cell>
          <cell r="AU260">
            <v>23.84</v>
          </cell>
          <cell r="AV260">
            <v>1.82</v>
          </cell>
          <cell r="AW260">
            <v>73.19</v>
          </cell>
          <cell r="AX260">
            <v>24.78</v>
          </cell>
          <cell r="BA260">
            <v>24.78</v>
          </cell>
          <cell r="BB260">
            <v>2.97</v>
          </cell>
          <cell r="BC260">
            <v>49.17</v>
          </cell>
          <cell r="BG260">
            <v>0</v>
          </cell>
          <cell r="BI260">
            <v>80</v>
          </cell>
          <cell r="BM260">
            <v>0</v>
          </cell>
          <cell r="BN260">
            <v>20000</v>
          </cell>
          <cell r="BP260">
            <v>64</v>
          </cell>
          <cell r="BS260">
            <v>0</v>
          </cell>
          <cell r="BU260">
            <v>5</v>
          </cell>
          <cell r="CD260">
            <v>31</v>
          </cell>
        </row>
        <row r="261">
          <cell r="A261">
            <v>39337</v>
          </cell>
          <cell r="G261">
            <v>350</v>
          </cell>
          <cell r="H261">
            <v>0</v>
          </cell>
          <cell r="I261">
            <v>650</v>
          </cell>
          <cell r="J261">
            <v>615.20000000000005</v>
          </cell>
          <cell r="K261">
            <v>30300</v>
          </cell>
          <cell r="L261">
            <v>3100</v>
          </cell>
          <cell r="M261">
            <v>33400</v>
          </cell>
          <cell r="P261">
            <v>0</v>
          </cell>
          <cell r="S261">
            <v>36</v>
          </cell>
          <cell r="T261">
            <v>140.69999999999999</v>
          </cell>
          <cell r="V261">
            <v>140.69999999999999</v>
          </cell>
          <cell r="X261">
            <v>163</v>
          </cell>
          <cell r="Y261">
            <v>3100</v>
          </cell>
          <cell r="AE261">
            <v>4000</v>
          </cell>
          <cell r="AI261">
            <v>0</v>
          </cell>
          <cell r="AJ261">
            <v>1.95</v>
          </cell>
          <cell r="AK261">
            <v>36.81</v>
          </cell>
          <cell r="AO261">
            <v>0</v>
          </cell>
          <cell r="AP261">
            <v>6.19</v>
          </cell>
          <cell r="AQ261">
            <v>54.62</v>
          </cell>
          <cell r="AU261">
            <v>0</v>
          </cell>
          <cell r="AW261">
            <v>73.19</v>
          </cell>
          <cell r="BA261">
            <v>0</v>
          </cell>
          <cell r="BB261">
            <v>2.1960000000000002</v>
          </cell>
          <cell r="BC261">
            <v>46.97</v>
          </cell>
          <cell r="BG261">
            <v>0</v>
          </cell>
          <cell r="BI261">
            <v>80</v>
          </cell>
          <cell r="BM261">
            <v>0</v>
          </cell>
          <cell r="BN261">
            <v>30000</v>
          </cell>
          <cell r="BP261">
            <v>64</v>
          </cell>
          <cell r="BS261">
            <v>0</v>
          </cell>
          <cell r="BU261">
            <v>5</v>
          </cell>
          <cell r="CD261">
            <v>31</v>
          </cell>
        </row>
        <row r="262">
          <cell r="A262">
            <v>39338</v>
          </cell>
          <cell r="C262">
            <v>2701.4</v>
          </cell>
          <cell r="H262">
            <v>2701.4</v>
          </cell>
          <cell r="I262">
            <v>530</v>
          </cell>
          <cell r="J262">
            <v>770.4</v>
          </cell>
          <cell r="K262">
            <v>31700</v>
          </cell>
          <cell r="L262">
            <v>2300</v>
          </cell>
          <cell r="M262">
            <v>34000</v>
          </cell>
          <cell r="P262">
            <v>0</v>
          </cell>
          <cell r="S262">
            <v>36</v>
          </cell>
          <cell r="T262">
            <v>280.7</v>
          </cell>
          <cell r="V262">
            <v>280.7</v>
          </cell>
          <cell r="X262">
            <v>91.5</v>
          </cell>
          <cell r="Y262">
            <v>3300</v>
          </cell>
          <cell r="AE262">
            <v>4000</v>
          </cell>
          <cell r="AI262">
            <v>0</v>
          </cell>
          <cell r="AJ262">
            <v>1.61</v>
          </cell>
          <cell r="AK262">
            <v>35.200000000000003</v>
          </cell>
          <cell r="AO262">
            <v>0</v>
          </cell>
          <cell r="AP262">
            <v>2.74</v>
          </cell>
          <cell r="AQ262">
            <v>51.88</v>
          </cell>
          <cell r="AU262">
            <v>0</v>
          </cell>
          <cell r="AW262">
            <v>73.19</v>
          </cell>
          <cell r="BA262">
            <v>0</v>
          </cell>
          <cell r="BB262">
            <v>2.9830000000000001</v>
          </cell>
          <cell r="BC262">
            <v>43.991</v>
          </cell>
          <cell r="BG262">
            <v>0</v>
          </cell>
          <cell r="BI262">
            <v>80</v>
          </cell>
          <cell r="BM262">
            <v>0</v>
          </cell>
          <cell r="BN262">
            <v>25000</v>
          </cell>
          <cell r="BO262">
            <v>4.8</v>
          </cell>
          <cell r="BP262">
            <v>59.5</v>
          </cell>
          <cell r="BS262">
            <v>0</v>
          </cell>
          <cell r="BU262">
            <v>5</v>
          </cell>
          <cell r="CD262">
            <v>31</v>
          </cell>
        </row>
        <row r="263">
          <cell r="A263">
            <v>39339</v>
          </cell>
          <cell r="H263">
            <v>0</v>
          </cell>
          <cell r="I263">
            <v>597</v>
          </cell>
          <cell r="J263">
            <v>669.9</v>
          </cell>
          <cell r="K263">
            <v>31200</v>
          </cell>
          <cell r="L263">
            <v>1600</v>
          </cell>
          <cell r="M263">
            <v>32800</v>
          </cell>
          <cell r="P263">
            <v>0</v>
          </cell>
          <cell r="S263">
            <v>36</v>
          </cell>
          <cell r="T263">
            <v>28.1</v>
          </cell>
          <cell r="V263">
            <v>28.1</v>
          </cell>
          <cell r="X263">
            <v>162.19999999999999</v>
          </cell>
          <cell r="Y263">
            <v>3200</v>
          </cell>
          <cell r="AD263">
            <v>14.8</v>
          </cell>
          <cell r="AE263">
            <v>4000</v>
          </cell>
          <cell r="AI263">
            <v>0</v>
          </cell>
          <cell r="AJ263">
            <v>2.29</v>
          </cell>
          <cell r="AK263">
            <v>32.909999999999997</v>
          </cell>
          <cell r="AO263">
            <v>0</v>
          </cell>
          <cell r="AP263">
            <v>2.5</v>
          </cell>
          <cell r="AQ263">
            <v>49.39</v>
          </cell>
          <cell r="AU263">
            <v>0</v>
          </cell>
          <cell r="AV263">
            <v>0.12</v>
          </cell>
          <cell r="AW263">
            <v>73.069999999999993</v>
          </cell>
          <cell r="BA263">
            <v>0</v>
          </cell>
          <cell r="BB263">
            <v>2.621</v>
          </cell>
          <cell r="BC263">
            <v>41.984000000000002</v>
          </cell>
          <cell r="BG263">
            <v>0</v>
          </cell>
          <cell r="BI263">
            <v>80</v>
          </cell>
          <cell r="BJ263">
            <v>23.2</v>
          </cell>
          <cell r="BM263">
            <v>23.2</v>
          </cell>
          <cell r="BN263">
            <v>30000</v>
          </cell>
          <cell r="BO263">
            <v>6</v>
          </cell>
          <cell r="BP263">
            <v>76.7</v>
          </cell>
          <cell r="BS263">
            <v>0</v>
          </cell>
          <cell r="BU263">
            <v>5</v>
          </cell>
          <cell r="CD263">
            <v>31</v>
          </cell>
        </row>
        <row r="264">
          <cell r="A264">
            <v>39340</v>
          </cell>
          <cell r="H264">
            <v>0</v>
          </cell>
          <cell r="I264">
            <v>601</v>
          </cell>
          <cell r="J264">
            <v>763.1</v>
          </cell>
          <cell r="K264">
            <v>29600</v>
          </cell>
          <cell r="L264">
            <v>1500</v>
          </cell>
          <cell r="M264">
            <v>31100</v>
          </cell>
          <cell r="P264">
            <v>0</v>
          </cell>
          <cell r="S264">
            <v>36</v>
          </cell>
          <cell r="T264">
            <v>24.7</v>
          </cell>
          <cell r="V264">
            <v>24.7</v>
          </cell>
          <cell r="X264">
            <v>162.6</v>
          </cell>
          <cell r="Y264">
            <v>3000</v>
          </cell>
          <cell r="AD264">
            <v>20.9</v>
          </cell>
          <cell r="AE264">
            <v>4000</v>
          </cell>
          <cell r="AI264">
            <v>0</v>
          </cell>
          <cell r="AJ264">
            <v>2.41</v>
          </cell>
          <cell r="AK264">
            <v>30.5</v>
          </cell>
          <cell r="AO264">
            <v>0</v>
          </cell>
          <cell r="AP264">
            <v>4.17</v>
          </cell>
          <cell r="AQ264">
            <v>45.22</v>
          </cell>
          <cell r="AU264">
            <v>0</v>
          </cell>
          <cell r="AV264">
            <v>1.07</v>
          </cell>
          <cell r="AW264">
            <v>72</v>
          </cell>
          <cell r="BA264">
            <v>0</v>
          </cell>
          <cell r="BB264">
            <v>2.988</v>
          </cell>
          <cell r="BC264">
            <v>38.996000000000002</v>
          </cell>
          <cell r="BG264">
            <v>0</v>
          </cell>
          <cell r="BI264">
            <v>80</v>
          </cell>
          <cell r="BM264">
            <v>0</v>
          </cell>
          <cell r="BO264">
            <v>5.4</v>
          </cell>
          <cell r="BP264">
            <v>71.3</v>
          </cell>
          <cell r="BS264">
            <v>0</v>
          </cell>
          <cell r="BU264">
            <v>5</v>
          </cell>
          <cell r="CD264">
            <v>31</v>
          </cell>
        </row>
        <row r="265">
          <cell r="A265">
            <v>39341</v>
          </cell>
          <cell r="G265">
            <v>420</v>
          </cell>
          <cell r="H265">
            <v>0</v>
          </cell>
          <cell r="I265">
            <v>797</v>
          </cell>
          <cell r="J265">
            <v>697.1</v>
          </cell>
          <cell r="K265">
            <v>28400</v>
          </cell>
          <cell r="L265">
            <v>1600</v>
          </cell>
          <cell r="M265">
            <v>30000</v>
          </cell>
          <cell r="P265">
            <v>0</v>
          </cell>
          <cell r="S265">
            <v>36</v>
          </cell>
          <cell r="T265">
            <v>168.4</v>
          </cell>
          <cell r="V265">
            <v>168.4</v>
          </cell>
          <cell r="X265">
            <v>215.6</v>
          </cell>
          <cell r="Y265">
            <v>3000</v>
          </cell>
          <cell r="AD265">
            <v>26.2</v>
          </cell>
          <cell r="AE265">
            <v>4000</v>
          </cell>
          <cell r="AI265">
            <v>0</v>
          </cell>
          <cell r="AJ265">
            <v>2.41</v>
          </cell>
          <cell r="AK265">
            <v>28.09</v>
          </cell>
          <cell r="AO265">
            <v>0</v>
          </cell>
          <cell r="AP265">
            <v>5.12</v>
          </cell>
          <cell r="AQ265">
            <v>40.1</v>
          </cell>
          <cell r="AU265">
            <v>0</v>
          </cell>
          <cell r="AV265">
            <v>0.59</v>
          </cell>
          <cell r="AW265">
            <v>71.400000000000006</v>
          </cell>
          <cell r="BA265">
            <v>0</v>
          </cell>
          <cell r="BB265">
            <v>2.738</v>
          </cell>
          <cell r="BC265">
            <v>36.259</v>
          </cell>
          <cell r="BG265">
            <v>0</v>
          </cell>
          <cell r="BI265">
            <v>80</v>
          </cell>
          <cell r="BM265">
            <v>0</v>
          </cell>
          <cell r="BO265">
            <v>6</v>
          </cell>
          <cell r="BP265">
            <v>65.3</v>
          </cell>
          <cell r="BS265">
            <v>0</v>
          </cell>
          <cell r="BU265">
            <v>5</v>
          </cell>
          <cell r="CD265">
            <v>31</v>
          </cell>
        </row>
        <row r="266">
          <cell r="A266">
            <v>39342</v>
          </cell>
          <cell r="G266">
            <v>360</v>
          </cell>
          <cell r="H266">
            <v>0</v>
          </cell>
          <cell r="I266">
            <v>692.7</v>
          </cell>
          <cell r="J266">
            <v>588.79999999999995</v>
          </cell>
          <cell r="K266">
            <v>28700</v>
          </cell>
          <cell r="L266">
            <v>1300</v>
          </cell>
          <cell r="M266">
            <v>30000</v>
          </cell>
          <cell r="P266">
            <v>0</v>
          </cell>
          <cell r="S266">
            <v>36</v>
          </cell>
          <cell r="T266">
            <v>461.8</v>
          </cell>
          <cell r="V266">
            <v>461.8</v>
          </cell>
          <cell r="X266">
            <v>196</v>
          </cell>
          <cell r="Y266">
            <v>3200</v>
          </cell>
          <cell r="AD266">
            <v>164.3</v>
          </cell>
          <cell r="AE266">
            <v>3800</v>
          </cell>
          <cell r="AI266">
            <v>0</v>
          </cell>
          <cell r="AJ266">
            <v>1.1499999999999999</v>
          </cell>
          <cell r="AK266">
            <v>26.95</v>
          </cell>
          <cell r="AO266">
            <v>0</v>
          </cell>
          <cell r="AP266">
            <v>6.31</v>
          </cell>
          <cell r="AQ266">
            <v>33.799999999999997</v>
          </cell>
          <cell r="AU266">
            <v>0</v>
          </cell>
          <cell r="AW266">
            <v>71.400000000000006</v>
          </cell>
          <cell r="BA266">
            <v>0</v>
          </cell>
          <cell r="BB266">
            <v>2.59</v>
          </cell>
          <cell r="BC266">
            <v>33.667999999999999</v>
          </cell>
          <cell r="BG266">
            <v>0</v>
          </cell>
          <cell r="BI266">
            <v>80</v>
          </cell>
          <cell r="BM266">
            <v>0</v>
          </cell>
          <cell r="BN266">
            <v>30000</v>
          </cell>
          <cell r="BO266">
            <v>5.4</v>
          </cell>
          <cell r="BP266">
            <v>59.9</v>
          </cell>
          <cell r="BS266">
            <v>0</v>
          </cell>
          <cell r="BU266">
            <v>5</v>
          </cell>
          <cell r="CD266">
            <v>31</v>
          </cell>
        </row>
        <row r="267">
          <cell r="A267">
            <v>39343</v>
          </cell>
          <cell r="B267">
            <v>1320.1</v>
          </cell>
          <cell r="E267">
            <v>3181.7</v>
          </cell>
          <cell r="G267">
            <v>360</v>
          </cell>
          <cell r="H267">
            <v>4501.7999999999993</v>
          </cell>
          <cell r="I267">
            <v>591</v>
          </cell>
          <cell r="J267">
            <v>323.2</v>
          </cell>
          <cell r="K267">
            <v>29600</v>
          </cell>
          <cell r="L267">
            <v>2700</v>
          </cell>
          <cell r="M267">
            <v>32300</v>
          </cell>
          <cell r="P267">
            <v>0</v>
          </cell>
          <cell r="S267">
            <v>36</v>
          </cell>
          <cell r="T267">
            <v>53.8</v>
          </cell>
          <cell r="V267">
            <v>53.8</v>
          </cell>
          <cell r="X267">
            <v>190.3</v>
          </cell>
          <cell r="Y267">
            <v>3100</v>
          </cell>
          <cell r="AA267">
            <v>434</v>
          </cell>
          <cell r="AD267">
            <v>381.3</v>
          </cell>
          <cell r="AE267">
            <v>3800</v>
          </cell>
          <cell r="AI267">
            <v>0</v>
          </cell>
          <cell r="AJ267">
            <v>0.8</v>
          </cell>
          <cell r="AK267">
            <v>26.14</v>
          </cell>
          <cell r="AL267">
            <v>24</v>
          </cell>
          <cell r="AO267">
            <v>24</v>
          </cell>
          <cell r="AP267">
            <v>0</v>
          </cell>
          <cell r="AQ267">
            <v>55.81</v>
          </cell>
          <cell r="AU267">
            <v>0</v>
          </cell>
          <cell r="AV267">
            <v>0.36</v>
          </cell>
          <cell r="AW267">
            <v>71.040000000000006</v>
          </cell>
          <cell r="AX267">
            <v>25.38</v>
          </cell>
          <cell r="BA267">
            <v>25.38</v>
          </cell>
          <cell r="BB267">
            <v>2.0139999999999998</v>
          </cell>
          <cell r="BC267">
            <v>57.033000000000001</v>
          </cell>
          <cell r="BG267">
            <v>0</v>
          </cell>
          <cell r="BI267">
            <v>80</v>
          </cell>
          <cell r="BM267">
            <v>0</v>
          </cell>
          <cell r="BN267">
            <v>15000</v>
          </cell>
          <cell r="BO267">
            <v>5.4</v>
          </cell>
          <cell r="BP267">
            <v>54.5</v>
          </cell>
          <cell r="BS267">
            <v>0</v>
          </cell>
          <cell r="BU267">
            <v>5</v>
          </cell>
          <cell r="CD267">
            <v>31</v>
          </cell>
        </row>
        <row r="268">
          <cell r="A268">
            <v>39344</v>
          </cell>
          <cell r="H268">
            <v>0</v>
          </cell>
          <cell r="I268">
            <v>210</v>
          </cell>
          <cell r="J268">
            <v>404.5</v>
          </cell>
          <cell r="K268">
            <v>29350</v>
          </cell>
          <cell r="L268">
            <v>2300</v>
          </cell>
          <cell r="M268">
            <v>31650</v>
          </cell>
          <cell r="P268">
            <v>0</v>
          </cell>
          <cell r="S268">
            <v>36</v>
          </cell>
          <cell r="T268">
            <v>166.6</v>
          </cell>
          <cell r="V268">
            <v>166.6</v>
          </cell>
          <cell r="X268">
            <v>109.1</v>
          </cell>
          <cell r="Y268">
            <v>3200</v>
          </cell>
          <cell r="Z268">
            <v>349.7</v>
          </cell>
          <cell r="AD268">
            <v>509</v>
          </cell>
          <cell r="AE268">
            <v>3700</v>
          </cell>
          <cell r="AI268">
            <v>0</v>
          </cell>
          <cell r="AJ268">
            <v>2.29</v>
          </cell>
          <cell r="AK268">
            <v>23.85</v>
          </cell>
          <cell r="AO268">
            <v>0</v>
          </cell>
          <cell r="AP268">
            <v>3.09</v>
          </cell>
          <cell r="AQ268">
            <v>52.72</v>
          </cell>
          <cell r="AU268">
            <v>0</v>
          </cell>
          <cell r="AV268">
            <v>3.09</v>
          </cell>
          <cell r="AW268">
            <v>67.95</v>
          </cell>
          <cell r="BA268">
            <v>0</v>
          </cell>
          <cell r="BB268">
            <v>2.734</v>
          </cell>
          <cell r="BC268">
            <v>54.3</v>
          </cell>
          <cell r="BG268">
            <v>0</v>
          </cell>
          <cell r="BI268">
            <v>80</v>
          </cell>
          <cell r="BM268">
            <v>0</v>
          </cell>
          <cell r="BO268">
            <v>5</v>
          </cell>
          <cell r="BP268">
            <v>49</v>
          </cell>
          <cell r="BS268">
            <v>0</v>
          </cell>
          <cell r="BU268">
            <v>5</v>
          </cell>
          <cell r="CD268">
            <v>31</v>
          </cell>
        </row>
        <row r="269">
          <cell r="A269">
            <v>39345</v>
          </cell>
          <cell r="H269">
            <v>0</v>
          </cell>
          <cell r="I269">
            <v>320</v>
          </cell>
          <cell r="J269">
            <v>363.6</v>
          </cell>
          <cell r="K269">
            <v>28900</v>
          </cell>
          <cell r="L269">
            <v>1900</v>
          </cell>
          <cell r="M269">
            <v>30800</v>
          </cell>
          <cell r="P269">
            <v>0</v>
          </cell>
          <cell r="S269">
            <v>36</v>
          </cell>
          <cell r="T269">
            <v>223.4</v>
          </cell>
          <cell r="V269">
            <v>223.4</v>
          </cell>
          <cell r="X269">
            <v>150.30000000000001</v>
          </cell>
          <cell r="Y269">
            <v>3200</v>
          </cell>
          <cell r="Z269">
            <v>113.5</v>
          </cell>
          <cell r="AD269">
            <v>431.1</v>
          </cell>
          <cell r="AE269">
            <v>3300</v>
          </cell>
          <cell r="AF269">
            <v>23.22</v>
          </cell>
          <cell r="AI269">
            <v>23.22</v>
          </cell>
          <cell r="AJ269">
            <v>3.5</v>
          </cell>
          <cell r="AK269">
            <v>43.57</v>
          </cell>
          <cell r="AL269">
            <v>23.94</v>
          </cell>
          <cell r="AO269">
            <v>23.94</v>
          </cell>
          <cell r="AP269">
            <v>7.16</v>
          </cell>
          <cell r="AQ269">
            <v>69.5</v>
          </cell>
          <cell r="AU269">
            <v>0</v>
          </cell>
          <cell r="AV269">
            <v>0.24</v>
          </cell>
          <cell r="AW269">
            <v>67.709999999999994</v>
          </cell>
          <cell r="BA269">
            <v>0</v>
          </cell>
          <cell r="BB269">
            <v>2.4980000000000002</v>
          </cell>
          <cell r="BC269">
            <v>51.8</v>
          </cell>
          <cell r="BG269">
            <v>0</v>
          </cell>
          <cell r="BI269">
            <v>80</v>
          </cell>
          <cell r="BM269">
            <v>0</v>
          </cell>
          <cell r="BO269">
            <v>5</v>
          </cell>
          <cell r="BP269">
            <v>44</v>
          </cell>
          <cell r="BS269">
            <v>0</v>
          </cell>
          <cell r="BU269">
            <v>5</v>
          </cell>
          <cell r="CD269">
            <v>31</v>
          </cell>
        </row>
        <row r="270">
          <cell r="A270">
            <v>39346</v>
          </cell>
          <cell r="G270">
            <v>160</v>
          </cell>
          <cell r="H270">
            <v>0</v>
          </cell>
          <cell r="I270">
            <v>380</v>
          </cell>
          <cell r="J270">
            <v>364.8</v>
          </cell>
          <cell r="K270">
            <v>28500</v>
          </cell>
          <cell r="L270">
            <v>2500</v>
          </cell>
          <cell r="M270">
            <v>31000</v>
          </cell>
          <cell r="P270">
            <v>0</v>
          </cell>
          <cell r="R270">
            <v>92.9</v>
          </cell>
          <cell r="S270">
            <v>47.1</v>
          </cell>
          <cell r="T270">
            <v>83.5</v>
          </cell>
          <cell r="V270">
            <v>83.5</v>
          </cell>
          <cell r="X270">
            <v>122.4</v>
          </cell>
          <cell r="Y270">
            <v>3200</v>
          </cell>
          <cell r="Z270">
            <v>340.4</v>
          </cell>
          <cell r="AD270">
            <v>437.8</v>
          </cell>
          <cell r="AE270">
            <v>3300</v>
          </cell>
          <cell r="AI270">
            <v>0</v>
          </cell>
          <cell r="AJ270">
            <v>0.46</v>
          </cell>
          <cell r="AK270">
            <v>43.12</v>
          </cell>
          <cell r="AO270">
            <v>0</v>
          </cell>
          <cell r="AP270">
            <v>8.33</v>
          </cell>
          <cell r="AQ270">
            <v>61.17</v>
          </cell>
          <cell r="AU270">
            <v>0</v>
          </cell>
          <cell r="AV270">
            <v>0</v>
          </cell>
          <cell r="AW270">
            <v>67.709999999999994</v>
          </cell>
          <cell r="BA270">
            <v>0</v>
          </cell>
          <cell r="BB270">
            <v>2.6150000000000002</v>
          </cell>
          <cell r="BC270">
            <v>49.18</v>
          </cell>
          <cell r="BG270">
            <v>0</v>
          </cell>
          <cell r="BI270">
            <v>80</v>
          </cell>
          <cell r="BJ270">
            <v>24.3</v>
          </cell>
          <cell r="BM270">
            <v>24.3</v>
          </cell>
          <cell r="BO270">
            <v>1.9</v>
          </cell>
          <cell r="BP270">
            <v>67</v>
          </cell>
          <cell r="BS270">
            <v>0</v>
          </cell>
          <cell r="BU270">
            <v>5</v>
          </cell>
          <cell r="CD270">
            <v>31</v>
          </cell>
        </row>
        <row r="271">
          <cell r="A271">
            <v>39347</v>
          </cell>
          <cell r="C271">
            <v>2833.5</v>
          </cell>
          <cell r="H271">
            <v>2833.5</v>
          </cell>
          <cell r="I271">
            <v>400</v>
          </cell>
          <cell r="J271">
            <v>349.6</v>
          </cell>
          <cell r="K271">
            <v>29600</v>
          </cell>
          <cell r="L271">
            <v>1600</v>
          </cell>
          <cell r="M271">
            <v>31200</v>
          </cell>
          <cell r="P271">
            <v>0</v>
          </cell>
          <cell r="R271">
            <v>47.4</v>
          </cell>
          <cell r="S271">
            <v>47.1</v>
          </cell>
          <cell r="V271">
            <v>0</v>
          </cell>
          <cell r="X271">
            <v>167.5</v>
          </cell>
          <cell r="Y271">
            <v>3000</v>
          </cell>
          <cell r="Z271">
            <v>282.89999999999998</v>
          </cell>
          <cell r="AD271">
            <v>353.3</v>
          </cell>
          <cell r="AE271">
            <v>3200</v>
          </cell>
          <cell r="AI271">
            <v>0</v>
          </cell>
          <cell r="AJ271">
            <v>1.83</v>
          </cell>
          <cell r="AK271">
            <v>41.28</v>
          </cell>
          <cell r="AO271">
            <v>0</v>
          </cell>
          <cell r="AP271">
            <v>7.73</v>
          </cell>
          <cell r="AQ271">
            <v>53.43</v>
          </cell>
          <cell r="AU271">
            <v>0</v>
          </cell>
          <cell r="AV271">
            <v>0.6</v>
          </cell>
          <cell r="AW271">
            <v>67.12</v>
          </cell>
          <cell r="BA271">
            <v>0</v>
          </cell>
          <cell r="BB271">
            <v>2.7</v>
          </cell>
          <cell r="BC271">
            <v>46.48</v>
          </cell>
          <cell r="BG271">
            <v>0</v>
          </cell>
          <cell r="BI271">
            <v>80</v>
          </cell>
          <cell r="BM271">
            <v>0</v>
          </cell>
          <cell r="BP271">
            <v>67</v>
          </cell>
          <cell r="BS271">
            <v>0</v>
          </cell>
          <cell r="BU271">
            <v>5</v>
          </cell>
          <cell r="CD271">
            <v>31</v>
          </cell>
        </row>
        <row r="272">
          <cell r="A272">
            <v>39348</v>
          </cell>
          <cell r="G272">
            <v>800</v>
          </cell>
          <cell r="H272">
            <v>0</v>
          </cell>
          <cell r="I272">
            <v>220</v>
          </cell>
          <cell r="J272">
            <v>511.1</v>
          </cell>
          <cell r="K272">
            <v>29700</v>
          </cell>
          <cell r="L272">
            <v>2800</v>
          </cell>
          <cell r="M272">
            <v>32500</v>
          </cell>
          <cell r="P272">
            <v>0</v>
          </cell>
          <cell r="S272">
            <v>1.7</v>
          </cell>
          <cell r="T272">
            <v>140</v>
          </cell>
          <cell r="V272">
            <v>140</v>
          </cell>
          <cell r="X272">
            <v>120.3</v>
          </cell>
          <cell r="Y272">
            <v>3050</v>
          </cell>
          <cell r="AD272">
            <v>83.5</v>
          </cell>
          <cell r="AE272">
            <v>3100</v>
          </cell>
          <cell r="AI272">
            <v>0</v>
          </cell>
          <cell r="AJ272">
            <v>2.1800000000000002</v>
          </cell>
          <cell r="AK272">
            <v>39.1</v>
          </cell>
          <cell r="AO272">
            <v>0</v>
          </cell>
          <cell r="AP272">
            <v>5.24</v>
          </cell>
          <cell r="AQ272">
            <v>48.2</v>
          </cell>
          <cell r="AU272">
            <v>0</v>
          </cell>
          <cell r="AV272">
            <v>3.69</v>
          </cell>
          <cell r="AW272">
            <v>63.43</v>
          </cell>
          <cell r="BA272">
            <v>0</v>
          </cell>
          <cell r="BB272">
            <v>2.7</v>
          </cell>
          <cell r="BC272">
            <v>43.78</v>
          </cell>
          <cell r="BG272">
            <v>0</v>
          </cell>
          <cell r="BI272">
            <v>80</v>
          </cell>
          <cell r="BM272">
            <v>0</v>
          </cell>
          <cell r="BP272">
            <v>67</v>
          </cell>
          <cell r="BS272">
            <v>0</v>
          </cell>
          <cell r="BU272">
            <v>5</v>
          </cell>
          <cell r="CD272">
            <v>31</v>
          </cell>
        </row>
        <row r="273">
          <cell r="A273">
            <v>39349</v>
          </cell>
          <cell r="G273">
            <v>580</v>
          </cell>
          <cell r="H273">
            <v>0</v>
          </cell>
          <cell r="I273">
            <v>280</v>
          </cell>
          <cell r="J273">
            <v>550.70000000000005</v>
          </cell>
          <cell r="K273">
            <v>28400</v>
          </cell>
          <cell r="L273">
            <v>2800</v>
          </cell>
          <cell r="M273">
            <v>31200</v>
          </cell>
          <cell r="P273">
            <v>0</v>
          </cell>
          <cell r="S273">
            <v>25</v>
          </cell>
          <cell r="T273">
            <v>390.4</v>
          </cell>
          <cell r="V273">
            <v>390.4</v>
          </cell>
          <cell r="X273">
            <v>134</v>
          </cell>
          <cell r="Y273">
            <v>3300</v>
          </cell>
          <cell r="Z273">
            <v>46.8</v>
          </cell>
          <cell r="AD273">
            <v>85.8</v>
          </cell>
          <cell r="AE273">
            <v>3050</v>
          </cell>
          <cell r="AI273">
            <v>0</v>
          </cell>
          <cell r="AJ273">
            <v>2.06</v>
          </cell>
          <cell r="AK273">
            <v>37.04</v>
          </cell>
          <cell r="AO273">
            <v>0</v>
          </cell>
          <cell r="AP273">
            <v>7.14</v>
          </cell>
          <cell r="AQ273">
            <v>41.06</v>
          </cell>
          <cell r="AU273">
            <v>0</v>
          </cell>
          <cell r="AV273">
            <v>2.02</v>
          </cell>
          <cell r="AW273">
            <v>60.4</v>
          </cell>
          <cell r="BA273">
            <v>0</v>
          </cell>
          <cell r="BB273">
            <v>2.952</v>
          </cell>
          <cell r="BC273">
            <v>40.83</v>
          </cell>
          <cell r="BG273">
            <v>0</v>
          </cell>
          <cell r="BI273">
            <v>80</v>
          </cell>
          <cell r="BM273">
            <v>0</v>
          </cell>
          <cell r="BP273">
            <v>67</v>
          </cell>
          <cell r="BS273">
            <v>0</v>
          </cell>
          <cell r="BU273">
            <v>5</v>
          </cell>
          <cell r="CD273">
            <v>31</v>
          </cell>
        </row>
        <row r="274">
          <cell r="A274">
            <v>39350</v>
          </cell>
          <cell r="B274">
            <v>660.1</v>
          </cell>
          <cell r="G274">
            <v>230</v>
          </cell>
          <cell r="H274">
            <v>660.1</v>
          </cell>
          <cell r="I274">
            <v>430</v>
          </cell>
          <cell r="J274">
            <v>591.4</v>
          </cell>
          <cell r="K274">
            <v>27800</v>
          </cell>
          <cell r="L274">
            <v>3100</v>
          </cell>
          <cell r="M274">
            <v>30900</v>
          </cell>
          <cell r="P274">
            <v>0</v>
          </cell>
          <cell r="S274">
            <v>25</v>
          </cell>
          <cell r="T274">
            <v>84.1</v>
          </cell>
          <cell r="V274">
            <v>84.1</v>
          </cell>
          <cell r="X274">
            <v>125.3</v>
          </cell>
          <cell r="Y274">
            <v>3300</v>
          </cell>
          <cell r="Z274">
            <v>59</v>
          </cell>
          <cell r="AD274">
            <v>91.5</v>
          </cell>
          <cell r="AE274">
            <v>3000</v>
          </cell>
          <cell r="AI274">
            <v>0</v>
          </cell>
          <cell r="AJ274">
            <v>1.1499999999999999</v>
          </cell>
          <cell r="AK274">
            <v>35.89</v>
          </cell>
          <cell r="AL274">
            <v>22.3</v>
          </cell>
          <cell r="AO274">
            <v>22.3</v>
          </cell>
          <cell r="AP274">
            <v>0.64</v>
          </cell>
          <cell r="AQ274">
            <v>62.71</v>
          </cell>
          <cell r="AU274">
            <v>0</v>
          </cell>
          <cell r="AV274">
            <v>7.85</v>
          </cell>
          <cell r="AW274">
            <v>53.55</v>
          </cell>
          <cell r="AX274">
            <v>20.54</v>
          </cell>
          <cell r="BA274">
            <v>20.54</v>
          </cell>
          <cell r="BB274">
            <v>3.15</v>
          </cell>
          <cell r="BC274">
            <v>58.22</v>
          </cell>
          <cell r="BG274">
            <v>0</v>
          </cell>
          <cell r="BI274">
            <v>80</v>
          </cell>
          <cell r="BM274">
            <v>0</v>
          </cell>
          <cell r="BP274">
            <v>67</v>
          </cell>
          <cell r="BS274">
            <v>0</v>
          </cell>
          <cell r="BU274">
            <v>5</v>
          </cell>
          <cell r="CD274">
            <v>31</v>
          </cell>
        </row>
        <row r="275">
          <cell r="A275">
            <v>39351</v>
          </cell>
          <cell r="B275">
            <v>605</v>
          </cell>
          <cell r="G275">
            <v>150</v>
          </cell>
          <cell r="H275">
            <v>605</v>
          </cell>
          <cell r="I275">
            <v>400</v>
          </cell>
          <cell r="J275">
            <v>576</v>
          </cell>
          <cell r="K275">
            <v>27200</v>
          </cell>
          <cell r="L275">
            <v>3300</v>
          </cell>
          <cell r="M275">
            <v>30500</v>
          </cell>
          <cell r="P275">
            <v>0</v>
          </cell>
          <cell r="S275">
            <v>25</v>
          </cell>
          <cell r="T275">
            <v>83.8</v>
          </cell>
          <cell r="V275">
            <v>83.8</v>
          </cell>
          <cell r="X275">
            <v>45.5</v>
          </cell>
          <cell r="Y275">
            <v>3300</v>
          </cell>
          <cell r="Z275">
            <v>59</v>
          </cell>
          <cell r="AD275">
            <v>88.8</v>
          </cell>
          <cell r="AE275">
            <v>3000</v>
          </cell>
          <cell r="AI275">
            <v>0</v>
          </cell>
          <cell r="AJ275">
            <v>2.29</v>
          </cell>
          <cell r="AK275">
            <v>33.6</v>
          </cell>
          <cell r="AO275">
            <v>0</v>
          </cell>
          <cell r="AP275">
            <v>3.81</v>
          </cell>
          <cell r="AQ275">
            <v>58.91</v>
          </cell>
          <cell r="AU275">
            <v>0</v>
          </cell>
          <cell r="AV275">
            <v>0</v>
          </cell>
          <cell r="AW275">
            <v>53.55</v>
          </cell>
          <cell r="BA275">
            <v>0</v>
          </cell>
          <cell r="BB275">
            <v>3.1320000000000001</v>
          </cell>
          <cell r="BC275">
            <v>55.09</v>
          </cell>
          <cell r="BG275">
            <v>0</v>
          </cell>
          <cell r="BI275">
            <v>80</v>
          </cell>
          <cell r="BM275">
            <v>0</v>
          </cell>
          <cell r="BO275">
            <v>4.2</v>
          </cell>
          <cell r="BP275">
            <v>62</v>
          </cell>
          <cell r="BS275">
            <v>0</v>
          </cell>
          <cell r="BU275">
            <v>5</v>
          </cell>
          <cell r="CD275">
            <v>31</v>
          </cell>
        </row>
        <row r="276">
          <cell r="A276">
            <v>39352</v>
          </cell>
          <cell r="G276">
            <v>150</v>
          </cell>
          <cell r="H276">
            <v>0</v>
          </cell>
          <cell r="I276">
            <v>350</v>
          </cell>
          <cell r="J276">
            <v>475.6</v>
          </cell>
          <cell r="K276">
            <v>26700</v>
          </cell>
          <cell r="L276">
            <v>3000</v>
          </cell>
          <cell r="M276">
            <v>29700</v>
          </cell>
          <cell r="P276">
            <v>0</v>
          </cell>
          <cell r="S276">
            <v>25</v>
          </cell>
          <cell r="T276">
            <v>417</v>
          </cell>
          <cell r="V276">
            <v>417</v>
          </cell>
          <cell r="X276">
            <v>54.2</v>
          </cell>
          <cell r="Y276">
            <v>3600</v>
          </cell>
          <cell r="AD276">
            <v>58.3</v>
          </cell>
          <cell r="AE276">
            <v>2900</v>
          </cell>
          <cell r="AI276">
            <v>0</v>
          </cell>
          <cell r="AJ276">
            <v>1.49</v>
          </cell>
          <cell r="AK276">
            <v>32.11</v>
          </cell>
          <cell r="AO276">
            <v>0</v>
          </cell>
          <cell r="AP276">
            <v>3.45</v>
          </cell>
          <cell r="AQ276">
            <v>55.45</v>
          </cell>
          <cell r="AR276">
            <v>24.18</v>
          </cell>
          <cell r="AU276">
            <v>24.18</v>
          </cell>
          <cell r="AV276">
            <v>0.38</v>
          </cell>
          <cell r="AW276">
            <v>77.349999999999994</v>
          </cell>
          <cell r="BA276">
            <v>0</v>
          </cell>
          <cell r="BB276">
            <v>2.4119999999999999</v>
          </cell>
          <cell r="BC276">
            <v>52.68</v>
          </cell>
          <cell r="BG276">
            <v>0</v>
          </cell>
          <cell r="BI276">
            <v>80</v>
          </cell>
          <cell r="BM276">
            <v>0</v>
          </cell>
          <cell r="BN276">
            <v>30000</v>
          </cell>
          <cell r="BO276">
            <v>5.5</v>
          </cell>
          <cell r="BP276">
            <v>57</v>
          </cell>
          <cell r="BS276">
            <v>0</v>
          </cell>
          <cell r="BU276">
            <v>5</v>
          </cell>
          <cell r="CD276">
            <v>31</v>
          </cell>
        </row>
        <row r="277">
          <cell r="A277">
            <v>39353</v>
          </cell>
          <cell r="G277">
            <v>780</v>
          </cell>
          <cell r="H277">
            <v>0</v>
          </cell>
          <cell r="I277">
            <v>590</v>
          </cell>
          <cell r="J277">
            <v>600.4</v>
          </cell>
          <cell r="K277">
            <v>25400</v>
          </cell>
          <cell r="L277">
            <v>3200</v>
          </cell>
          <cell r="M277">
            <v>28600</v>
          </cell>
          <cell r="P277">
            <v>0</v>
          </cell>
          <cell r="S277">
            <v>25</v>
          </cell>
          <cell r="T277">
            <v>27.2</v>
          </cell>
          <cell r="V277">
            <v>27.2</v>
          </cell>
          <cell r="X277">
            <v>56.1</v>
          </cell>
          <cell r="Y277">
            <v>3500</v>
          </cell>
          <cell r="Z277">
            <v>116</v>
          </cell>
          <cell r="AD277">
            <v>157.1</v>
          </cell>
          <cell r="AE277">
            <v>3700</v>
          </cell>
          <cell r="AI277">
            <v>0</v>
          </cell>
          <cell r="AJ277">
            <v>1.61</v>
          </cell>
          <cell r="AK277">
            <v>30.5</v>
          </cell>
          <cell r="AO277">
            <v>0</v>
          </cell>
          <cell r="AP277">
            <v>7.85</v>
          </cell>
          <cell r="AQ277">
            <v>47.6</v>
          </cell>
          <cell r="AU277">
            <v>0</v>
          </cell>
          <cell r="AV277">
            <v>6.5</v>
          </cell>
          <cell r="AW277">
            <v>77.349999999999994</v>
          </cell>
          <cell r="BA277">
            <v>0</v>
          </cell>
          <cell r="BB277">
            <v>2.6459999999999999</v>
          </cell>
          <cell r="BC277">
            <v>50.03</v>
          </cell>
          <cell r="BG277">
            <v>0</v>
          </cell>
          <cell r="BI277">
            <v>80</v>
          </cell>
          <cell r="BJ277">
            <v>25.4</v>
          </cell>
          <cell r="BM277">
            <v>25.4</v>
          </cell>
          <cell r="BN277">
            <v>20000</v>
          </cell>
          <cell r="BO277">
            <v>5.4</v>
          </cell>
          <cell r="BP277">
            <v>77</v>
          </cell>
          <cell r="BS277">
            <v>0</v>
          </cell>
          <cell r="BU277">
            <v>5</v>
          </cell>
          <cell r="CD277">
            <v>31</v>
          </cell>
        </row>
        <row r="278">
          <cell r="A278">
            <v>39354</v>
          </cell>
          <cell r="H278">
            <v>0</v>
          </cell>
          <cell r="I278">
            <v>544</v>
          </cell>
          <cell r="J278">
            <v>302.5</v>
          </cell>
          <cell r="K278">
            <v>26100</v>
          </cell>
          <cell r="L278">
            <v>2600</v>
          </cell>
          <cell r="M278">
            <v>28700</v>
          </cell>
          <cell r="P278">
            <v>0</v>
          </cell>
          <cell r="S278">
            <v>25</v>
          </cell>
          <cell r="V278">
            <v>0</v>
          </cell>
          <cell r="X278">
            <v>118.9</v>
          </cell>
          <cell r="Y278">
            <v>3400</v>
          </cell>
          <cell r="Z278">
            <v>173</v>
          </cell>
          <cell r="AD278">
            <v>302.5</v>
          </cell>
          <cell r="AE278">
            <v>3600</v>
          </cell>
          <cell r="AI278">
            <v>0</v>
          </cell>
          <cell r="AJ278">
            <v>1.72</v>
          </cell>
          <cell r="AK278">
            <v>28.78</v>
          </cell>
          <cell r="AO278">
            <v>0</v>
          </cell>
          <cell r="AP278">
            <v>6.43</v>
          </cell>
          <cell r="AQ278">
            <v>41.17</v>
          </cell>
          <cell r="AU278">
            <v>0</v>
          </cell>
          <cell r="AW278">
            <v>77.349999999999994</v>
          </cell>
          <cell r="BA278">
            <v>0</v>
          </cell>
          <cell r="BB278">
            <v>2.9609999999999999</v>
          </cell>
          <cell r="BC278">
            <v>47.073</v>
          </cell>
          <cell r="BG278">
            <v>0</v>
          </cell>
          <cell r="BI278">
            <v>80</v>
          </cell>
          <cell r="BM278">
            <v>0</v>
          </cell>
          <cell r="BO278">
            <v>6</v>
          </cell>
          <cell r="BP278">
            <v>71.2</v>
          </cell>
          <cell r="BS278">
            <v>0</v>
          </cell>
          <cell r="BU278">
            <v>5</v>
          </cell>
          <cell r="CD278">
            <v>31</v>
          </cell>
        </row>
        <row r="279">
          <cell r="A279">
            <v>39355</v>
          </cell>
          <cell r="B279">
            <v>51.14</v>
          </cell>
          <cell r="C279">
            <v>2701.8</v>
          </cell>
          <cell r="H279">
            <v>2752.94</v>
          </cell>
          <cell r="I279">
            <v>69.805999999999983</v>
          </cell>
          <cell r="J279">
            <v>491.47600000000006</v>
          </cell>
          <cell r="K279">
            <v>27100</v>
          </cell>
          <cell r="L279">
            <v>2000</v>
          </cell>
          <cell r="M279">
            <v>29100</v>
          </cell>
          <cell r="P279">
            <v>0</v>
          </cell>
          <cell r="R279">
            <v>-34.26</v>
          </cell>
          <cell r="S279">
            <v>25</v>
          </cell>
          <cell r="V279">
            <v>0</v>
          </cell>
          <cell r="W279">
            <v>2273.788</v>
          </cell>
          <cell r="X279">
            <v>-1697.499</v>
          </cell>
          <cell r="Y279">
            <v>3500</v>
          </cell>
          <cell r="AB279">
            <v>1322.318</v>
          </cell>
          <cell r="AD279">
            <v>242.76300000000001</v>
          </cell>
          <cell r="AE279">
            <v>3300</v>
          </cell>
          <cell r="AI279">
            <v>0</v>
          </cell>
          <cell r="AJ279">
            <v>1.31</v>
          </cell>
          <cell r="AK279">
            <v>26.49</v>
          </cell>
          <cell r="AO279">
            <v>0</v>
          </cell>
          <cell r="AP279">
            <v>-13.893000000000001</v>
          </cell>
          <cell r="AQ279">
            <v>34.15</v>
          </cell>
          <cell r="AU279">
            <v>0</v>
          </cell>
          <cell r="AW279">
            <v>77.349999999999994</v>
          </cell>
          <cell r="BA279">
            <v>0</v>
          </cell>
          <cell r="BB279">
            <v>11.783999999999999</v>
          </cell>
          <cell r="BC279">
            <v>44.225999999999999</v>
          </cell>
          <cell r="BG279">
            <v>0</v>
          </cell>
          <cell r="BI279">
            <v>80</v>
          </cell>
          <cell r="BM279">
            <v>0</v>
          </cell>
          <cell r="BO279">
            <v>5.4</v>
          </cell>
          <cell r="BP279">
            <v>65.8</v>
          </cell>
          <cell r="BS279">
            <v>0</v>
          </cell>
          <cell r="BU279">
            <v>5</v>
          </cell>
          <cell r="CD279">
            <v>31</v>
          </cell>
        </row>
        <row r="280">
          <cell r="A280">
            <v>39356</v>
          </cell>
          <cell r="G280">
            <v>600</v>
          </cell>
          <cell r="H280">
            <v>0</v>
          </cell>
          <cell r="I280">
            <v>483</v>
          </cell>
          <cell r="J280">
            <v>806.3</v>
          </cell>
          <cell r="K280">
            <v>27100</v>
          </cell>
          <cell r="L280">
            <v>2800</v>
          </cell>
          <cell r="M280">
            <v>29900</v>
          </cell>
          <cell r="P280">
            <v>0</v>
          </cell>
          <cell r="S280">
            <v>25</v>
          </cell>
          <cell r="T280">
            <v>275.60000000000002</v>
          </cell>
          <cell r="V280">
            <v>275.60000000000002</v>
          </cell>
          <cell r="X280">
            <v>58.1</v>
          </cell>
          <cell r="Y280">
            <v>3200</v>
          </cell>
          <cell r="AD280">
            <v>40.1</v>
          </cell>
          <cell r="AE280">
            <v>3000</v>
          </cell>
          <cell r="AI280">
            <v>0</v>
          </cell>
          <cell r="AJ280">
            <v>4.7</v>
          </cell>
          <cell r="AK280">
            <v>24.08</v>
          </cell>
          <cell r="AO280">
            <v>0</v>
          </cell>
          <cell r="AP280">
            <v>3.93</v>
          </cell>
          <cell r="AQ280">
            <v>30.23</v>
          </cell>
          <cell r="AU280">
            <v>0</v>
          </cell>
          <cell r="AW280">
            <v>77.349999999999994</v>
          </cell>
          <cell r="BA280">
            <v>0</v>
          </cell>
          <cell r="BB280">
            <v>2.97</v>
          </cell>
          <cell r="BC280">
            <v>41.256</v>
          </cell>
          <cell r="BG280">
            <v>0</v>
          </cell>
          <cell r="BI280">
            <v>80</v>
          </cell>
          <cell r="BJ280">
            <v>25</v>
          </cell>
          <cell r="BM280">
            <v>25</v>
          </cell>
          <cell r="BP280">
            <v>65.8</v>
          </cell>
          <cell r="BS280">
            <v>0</v>
          </cell>
          <cell r="BU280">
            <v>5</v>
          </cell>
          <cell r="CD280">
            <v>31</v>
          </cell>
        </row>
        <row r="281">
          <cell r="A281">
            <v>39357</v>
          </cell>
          <cell r="B281">
            <v>1315.44</v>
          </cell>
          <cell r="E281">
            <v>3193</v>
          </cell>
          <cell r="G281">
            <v>480</v>
          </cell>
          <cell r="H281">
            <v>4508.4400000000005</v>
          </cell>
          <cell r="I281">
            <v>559.29999999999995</v>
          </cell>
          <cell r="J281">
            <v>420.3</v>
          </cell>
          <cell r="K281">
            <v>27400</v>
          </cell>
          <cell r="L281">
            <v>3900</v>
          </cell>
          <cell r="M281">
            <v>31300</v>
          </cell>
          <cell r="P281">
            <v>0</v>
          </cell>
          <cell r="S281">
            <v>25</v>
          </cell>
          <cell r="V281">
            <v>0</v>
          </cell>
          <cell r="X281">
            <v>73.5</v>
          </cell>
          <cell r="Y281">
            <v>2800</v>
          </cell>
          <cell r="Z281">
            <v>227</v>
          </cell>
          <cell r="AD281">
            <v>239.9</v>
          </cell>
          <cell r="AE281">
            <v>2700</v>
          </cell>
          <cell r="AI281">
            <v>0</v>
          </cell>
          <cell r="AJ281">
            <v>5.5</v>
          </cell>
          <cell r="AK281">
            <v>23.16</v>
          </cell>
          <cell r="AO281">
            <v>0</v>
          </cell>
          <cell r="AP281">
            <v>7.14</v>
          </cell>
          <cell r="AQ281">
            <v>21.42</v>
          </cell>
          <cell r="AU281">
            <v>0</v>
          </cell>
          <cell r="AV281">
            <v>1.19</v>
          </cell>
          <cell r="AW281">
            <v>75.45</v>
          </cell>
          <cell r="BA281">
            <v>0</v>
          </cell>
          <cell r="BB281">
            <v>2.2090000000000001</v>
          </cell>
          <cell r="BC281">
            <v>39.046999999999997</v>
          </cell>
          <cell r="BG281">
            <v>0</v>
          </cell>
          <cell r="BI281">
            <v>80</v>
          </cell>
          <cell r="BM281">
            <v>0</v>
          </cell>
          <cell r="BN281">
            <v>25000</v>
          </cell>
          <cell r="BO281">
            <v>4.4000000000000004</v>
          </cell>
          <cell r="BP281">
            <v>55.8</v>
          </cell>
          <cell r="BS281">
            <v>0</v>
          </cell>
          <cell r="BU281">
            <v>5</v>
          </cell>
          <cell r="CD281">
            <v>31</v>
          </cell>
        </row>
        <row r="282">
          <cell r="A282">
            <v>39358</v>
          </cell>
          <cell r="G282">
            <v>780</v>
          </cell>
          <cell r="H282">
            <v>0</v>
          </cell>
          <cell r="I282">
            <v>605</v>
          </cell>
          <cell r="J282">
            <v>484.9</v>
          </cell>
          <cell r="K282">
            <v>26000</v>
          </cell>
          <cell r="L282">
            <v>4100</v>
          </cell>
          <cell r="M282">
            <v>30100</v>
          </cell>
          <cell r="P282">
            <v>0</v>
          </cell>
          <cell r="S282">
            <v>30</v>
          </cell>
          <cell r="T282">
            <v>28</v>
          </cell>
          <cell r="V282">
            <v>28</v>
          </cell>
          <cell r="X282">
            <v>54.1</v>
          </cell>
          <cell r="Y282">
            <v>2800</v>
          </cell>
          <cell r="Z282">
            <v>113</v>
          </cell>
          <cell r="AD282">
            <v>338.8</v>
          </cell>
          <cell r="AE282">
            <v>2600</v>
          </cell>
          <cell r="AI282">
            <v>0</v>
          </cell>
          <cell r="AJ282">
            <v>1.95</v>
          </cell>
          <cell r="AK282">
            <v>21.21</v>
          </cell>
          <cell r="AO282">
            <v>0</v>
          </cell>
          <cell r="AP282">
            <v>4.6399999999999997</v>
          </cell>
          <cell r="AQ282">
            <v>16.78</v>
          </cell>
          <cell r="AU282">
            <v>0</v>
          </cell>
          <cell r="AV282">
            <v>2.38</v>
          </cell>
          <cell r="AW282">
            <v>73.069999999999993</v>
          </cell>
          <cell r="AX282">
            <v>17.559999999999999</v>
          </cell>
          <cell r="BA282">
            <v>17.559999999999999</v>
          </cell>
          <cell r="BB282">
            <v>2.7650000000000001</v>
          </cell>
          <cell r="BC282">
            <v>53.843000000000004</v>
          </cell>
          <cell r="BG282">
            <v>0</v>
          </cell>
          <cell r="BI282">
            <v>80</v>
          </cell>
          <cell r="BM282">
            <v>0</v>
          </cell>
          <cell r="BN282">
            <v>30000</v>
          </cell>
          <cell r="BO282">
            <v>5.4</v>
          </cell>
          <cell r="BP282">
            <v>50.4</v>
          </cell>
          <cell r="BS282">
            <v>0</v>
          </cell>
          <cell r="BU282">
            <v>5</v>
          </cell>
          <cell r="CD282">
            <v>31</v>
          </cell>
        </row>
        <row r="283">
          <cell r="A283">
            <v>39359</v>
          </cell>
          <cell r="H283">
            <v>0</v>
          </cell>
          <cell r="I283">
            <v>564.6</v>
          </cell>
          <cell r="J283">
            <v>452.7</v>
          </cell>
          <cell r="K283">
            <v>24900</v>
          </cell>
          <cell r="L283">
            <v>3700</v>
          </cell>
          <cell r="M283">
            <v>28600</v>
          </cell>
          <cell r="P283">
            <v>0</v>
          </cell>
          <cell r="S283">
            <v>30</v>
          </cell>
          <cell r="T283">
            <v>27.5</v>
          </cell>
          <cell r="V283">
            <v>27.5</v>
          </cell>
          <cell r="X283">
            <v>11.5</v>
          </cell>
          <cell r="Y283">
            <v>2800</v>
          </cell>
          <cell r="AD283">
            <v>202.6</v>
          </cell>
          <cell r="AE283">
            <v>2400</v>
          </cell>
          <cell r="AI283">
            <v>0</v>
          </cell>
          <cell r="AJ283">
            <v>1.61</v>
          </cell>
          <cell r="AK283">
            <v>19.61</v>
          </cell>
          <cell r="AO283">
            <v>0</v>
          </cell>
          <cell r="AP283">
            <v>4.76</v>
          </cell>
          <cell r="AQ283">
            <v>12.02</v>
          </cell>
          <cell r="AU283">
            <v>0</v>
          </cell>
          <cell r="AW283">
            <v>73.069999999999993</v>
          </cell>
          <cell r="BA283">
            <v>0</v>
          </cell>
          <cell r="BB283">
            <v>2.113</v>
          </cell>
          <cell r="BC283">
            <v>51.728999999999999</v>
          </cell>
          <cell r="BG283">
            <v>0</v>
          </cell>
          <cell r="BI283">
            <v>80</v>
          </cell>
          <cell r="BM283">
            <v>0</v>
          </cell>
          <cell r="BN283">
            <v>20000</v>
          </cell>
          <cell r="BO283">
            <v>6</v>
          </cell>
          <cell r="BP283">
            <v>44.4</v>
          </cell>
          <cell r="BS283">
            <v>0</v>
          </cell>
          <cell r="BU283">
            <v>5</v>
          </cell>
          <cell r="CD283">
            <v>31</v>
          </cell>
        </row>
        <row r="284">
          <cell r="A284">
            <v>39360</v>
          </cell>
          <cell r="G284">
            <v>470</v>
          </cell>
          <cell r="H284">
            <v>0</v>
          </cell>
          <cell r="I284">
            <v>650</v>
          </cell>
          <cell r="J284">
            <v>499.6</v>
          </cell>
          <cell r="K284">
            <v>24100</v>
          </cell>
          <cell r="L284">
            <v>3700</v>
          </cell>
          <cell r="M284">
            <v>27800</v>
          </cell>
          <cell r="P284">
            <v>0</v>
          </cell>
          <cell r="S284">
            <v>30</v>
          </cell>
          <cell r="V284">
            <v>0</v>
          </cell>
          <cell r="X284">
            <v>14</v>
          </cell>
          <cell r="Y284">
            <v>2800</v>
          </cell>
          <cell r="Z284">
            <v>58.2</v>
          </cell>
          <cell r="AD284">
            <v>70.3</v>
          </cell>
          <cell r="AE284">
            <v>3100</v>
          </cell>
          <cell r="AI284">
            <v>0</v>
          </cell>
          <cell r="AJ284">
            <v>1.95</v>
          </cell>
          <cell r="AK284">
            <v>17.66</v>
          </cell>
          <cell r="AL284">
            <v>24.4</v>
          </cell>
          <cell r="AO284">
            <v>24.4</v>
          </cell>
          <cell r="AP284">
            <v>8.69</v>
          </cell>
          <cell r="AQ284">
            <v>27.73</v>
          </cell>
          <cell r="AU284">
            <v>0</v>
          </cell>
          <cell r="AV284">
            <v>0.59</v>
          </cell>
          <cell r="AW284">
            <v>72.47</v>
          </cell>
          <cell r="BA284">
            <v>0</v>
          </cell>
          <cell r="BB284">
            <v>2.569</v>
          </cell>
          <cell r="BC284">
            <v>51.27</v>
          </cell>
          <cell r="BG284">
            <v>0</v>
          </cell>
          <cell r="BI284">
            <v>80</v>
          </cell>
          <cell r="BJ284">
            <v>25.1</v>
          </cell>
          <cell r="BM284">
            <v>25.1</v>
          </cell>
          <cell r="BN284">
            <v>10000</v>
          </cell>
          <cell r="BO284">
            <v>5</v>
          </cell>
          <cell r="BP284">
            <v>64</v>
          </cell>
          <cell r="BS284">
            <v>0</v>
          </cell>
          <cell r="BU284">
            <v>5</v>
          </cell>
          <cell r="CD284">
            <v>31</v>
          </cell>
        </row>
        <row r="285">
          <cell r="A285">
            <v>39361</v>
          </cell>
          <cell r="E285">
            <v>3187.5</v>
          </cell>
          <cell r="G285">
            <v>1040</v>
          </cell>
          <cell r="H285">
            <v>3187.5</v>
          </cell>
          <cell r="I285">
            <v>540</v>
          </cell>
          <cell r="J285">
            <v>538.29999999999995</v>
          </cell>
          <cell r="K285">
            <v>24900</v>
          </cell>
          <cell r="L285">
            <v>4200</v>
          </cell>
          <cell r="M285">
            <v>29100</v>
          </cell>
          <cell r="P285">
            <v>0</v>
          </cell>
          <cell r="S285">
            <v>30</v>
          </cell>
          <cell r="V285">
            <v>0</v>
          </cell>
          <cell r="X285">
            <v>26.8</v>
          </cell>
          <cell r="Y285">
            <v>2800</v>
          </cell>
          <cell r="AD285">
            <v>78</v>
          </cell>
          <cell r="AE285">
            <v>2850</v>
          </cell>
          <cell r="AI285">
            <v>0</v>
          </cell>
          <cell r="AJ285">
            <v>2.64</v>
          </cell>
          <cell r="AK285">
            <v>15.02</v>
          </cell>
          <cell r="AO285">
            <v>0</v>
          </cell>
          <cell r="AP285">
            <v>5.24</v>
          </cell>
          <cell r="AQ285">
            <v>22.49</v>
          </cell>
          <cell r="AU285">
            <v>0</v>
          </cell>
          <cell r="AV285">
            <v>0.12</v>
          </cell>
          <cell r="AW285">
            <v>72.349999999999994</v>
          </cell>
          <cell r="BA285">
            <v>0</v>
          </cell>
          <cell r="BB285">
            <v>2.8319999999999999</v>
          </cell>
          <cell r="BC285">
            <v>48.44</v>
          </cell>
          <cell r="BG285">
            <v>0</v>
          </cell>
          <cell r="BI285">
            <v>80</v>
          </cell>
          <cell r="BM285">
            <v>0</v>
          </cell>
          <cell r="BO285">
            <v>5</v>
          </cell>
          <cell r="BP285">
            <v>59</v>
          </cell>
          <cell r="BS285">
            <v>0</v>
          </cell>
          <cell r="BU285">
            <v>5</v>
          </cell>
          <cell r="CD285">
            <v>31</v>
          </cell>
        </row>
        <row r="286">
          <cell r="A286">
            <v>39362</v>
          </cell>
          <cell r="G286">
            <v>1110</v>
          </cell>
          <cell r="H286">
            <v>0</v>
          </cell>
          <cell r="I286">
            <v>320</v>
          </cell>
          <cell r="J286">
            <v>400.5</v>
          </cell>
          <cell r="K286">
            <v>24000</v>
          </cell>
          <cell r="L286">
            <v>4900</v>
          </cell>
          <cell r="M286">
            <v>28900</v>
          </cell>
          <cell r="P286">
            <v>0</v>
          </cell>
          <cell r="S286">
            <v>30</v>
          </cell>
          <cell r="T286">
            <v>139.19999999999999</v>
          </cell>
          <cell r="V286">
            <v>139.19999999999999</v>
          </cell>
          <cell r="X286">
            <v>28.2</v>
          </cell>
          <cell r="Y286">
            <v>2900</v>
          </cell>
          <cell r="AD286">
            <v>62.9</v>
          </cell>
          <cell r="AE286">
            <v>2800</v>
          </cell>
          <cell r="AI286">
            <v>0</v>
          </cell>
          <cell r="AJ286">
            <v>2.29</v>
          </cell>
          <cell r="AK286">
            <v>12.73</v>
          </cell>
          <cell r="AO286">
            <v>0</v>
          </cell>
          <cell r="AP286">
            <v>3.45</v>
          </cell>
          <cell r="AQ286">
            <v>19.04</v>
          </cell>
          <cell r="AU286">
            <v>0</v>
          </cell>
          <cell r="AV286">
            <v>7.97</v>
          </cell>
          <cell r="AW286">
            <v>64.38</v>
          </cell>
          <cell r="BA286">
            <v>0</v>
          </cell>
          <cell r="BB286">
            <v>2.1240000000000001</v>
          </cell>
          <cell r="BC286">
            <v>46.31</v>
          </cell>
          <cell r="BG286">
            <v>0</v>
          </cell>
          <cell r="BI286">
            <v>80</v>
          </cell>
          <cell r="BM286">
            <v>0</v>
          </cell>
          <cell r="BO286">
            <v>5</v>
          </cell>
          <cell r="BP286">
            <v>54</v>
          </cell>
          <cell r="BS286">
            <v>0</v>
          </cell>
          <cell r="BU286">
            <v>5</v>
          </cell>
          <cell r="CD286">
            <v>31</v>
          </cell>
        </row>
        <row r="287">
          <cell r="A287">
            <v>39363</v>
          </cell>
          <cell r="G287">
            <v>1400</v>
          </cell>
          <cell r="H287">
            <v>0</v>
          </cell>
          <cell r="I287">
            <v>33</v>
          </cell>
          <cell r="J287">
            <v>358.7</v>
          </cell>
          <cell r="K287">
            <v>22500</v>
          </cell>
          <cell r="L287">
            <v>5900</v>
          </cell>
          <cell r="M287">
            <v>28400</v>
          </cell>
          <cell r="P287">
            <v>0</v>
          </cell>
          <cell r="S287">
            <v>30</v>
          </cell>
          <cell r="T287">
            <v>250.8</v>
          </cell>
          <cell r="V287">
            <v>250.8</v>
          </cell>
          <cell r="X287">
            <v>27.3</v>
          </cell>
          <cell r="Y287">
            <v>3100</v>
          </cell>
          <cell r="AD287">
            <v>58.7</v>
          </cell>
          <cell r="AE287">
            <v>2650</v>
          </cell>
          <cell r="AI287">
            <v>0</v>
          </cell>
          <cell r="AJ287">
            <v>2.06</v>
          </cell>
          <cell r="AK287">
            <v>10.66</v>
          </cell>
          <cell r="AO287">
            <v>0</v>
          </cell>
          <cell r="AP287">
            <v>0.36</v>
          </cell>
          <cell r="AQ287">
            <v>18.68</v>
          </cell>
          <cell r="AU287">
            <v>0</v>
          </cell>
          <cell r="AV287">
            <v>4.88</v>
          </cell>
          <cell r="AW287">
            <v>59.5</v>
          </cell>
          <cell r="BA287">
            <v>0</v>
          </cell>
          <cell r="BB287">
            <v>1.948</v>
          </cell>
          <cell r="BC287">
            <v>44.37</v>
          </cell>
          <cell r="BG287">
            <v>0</v>
          </cell>
          <cell r="BI287">
            <v>80</v>
          </cell>
          <cell r="BM287">
            <v>0</v>
          </cell>
          <cell r="BN287">
            <v>20000</v>
          </cell>
          <cell r="BO287">
            <v>6</v>
          </cell>
          <cell r="BP287">
            <v>48</v>
          </cell>
          <cell r="BS287">
            <v>0</v>
          </cell>
          <cell r="BU287">
            <v>5</v>
          </cell>
          <cell r="CD287">
            <v>31</v>
          </cell>
        </row>
        <row r="288">
          <cell r="A288">
            <v>39364</v>
          </cell>
          <cell r="B288">
            <v>1317.8</v>
          </cell>
          <cell r="H288">
            <v>1317.8</v>
          </cell>
          <cell r="I288">
            <v>180</v>
          </cell>
          <cell r="J288">
            <v>615.1</v>
          </cell>
          <cell r="K288">
            <v>24000</v>
          </cell>
          <cell r="L288">
            <v>6600</v>
          </cell>
          <cell r="M288">
            <v>30600</v>
          </cell>
          <cell r="P288">
            <v>0</v>
          </cell>
          <cell r="S288">
            <v>30</v>
          </cell>
          <cell r="T288">
            <v>112.4</v>
          </cell>
          <cell r="V288">
            <v>112.4</v>
          </cell>
          <cell r="X288">
            <v>30.1</v>
          </cell>
          <cell r="Y288">
            <v>3200</v>
          </cell>
          <cell r="Z288">
            <v>115.5</v>
          </cell>
          <cell r="AD288">
            <v>258.8</v>
          </cell>
          <cell r="AE288">
            <v>2500</v>
          </cell>
          <cell r="AI288">
            <v>0</v>
          </cell>
          <cell r="AJ288">
            <v>2.1800000000000002</v>
          </cell>
          <cell r="AK288">
            <v>8.49</v>
          </cell>
          <cell r="AO288">
            <v>0</v>
          </cell>
          <cell r="AP288">
            <v>2.14</v>
          </cell>
          <cell r="AQ288">
            <v>16.54</v>
          </cell>
          <cell r="AU288">
            <v>0</v>
          </cell>
          <cell r="AV288">
            <v>6.31</v>
          </cell>
          <cell r="AW288">
            <v>53.19</v>
          </cell>
          <cell r="BA288">
            <v>0</v>
          </cell>
          <cell r="BB288">
            <v>3.0619999999999998</v>
          </cell>
          <cell r="BC288">
            <v>41.3</v>
          </cell>
          <cell r="BG288">
            <v>0</v>
          </cell>
          <cell r="BI288">
            <v>80</v>
          </cell>
          <cell r="BM288">
            <v>0</v>
          </cell>
          <cell r="BN288">
            <v>25000</v>
          </cell>
          <cell r="BO288">
            <v>5.4</v>
          </cell>
          <cell r="BP288">
            <v>43</v>
          </cell>
          <cell r="BS288">
            <v>0</v>
          </cell>
          <cell r="BU288">
            <v>5</v>
          </cell>
          <cell r="CD288">
            <v>31</v>
          </cell>
        </row>
        <row r="289">
          <cell r="A289">
            <v>39365</v>
          </cell>
          <cell r="E289">
            <v>3038.1</v>
          </cell>
          <cell r="G289">
            <v>650</v>
          </cell>
          <cell r="H289">
            <v>3038.1</v>
          </cell>
          <cell r="I289">
            <v>360</v>
          </cell>
          <cell r="J289">
            <v>538.29999999999995</v>
          </cell>
          <cell r="K289">
            <v>24400</v>
          </cell>
          <cell r="L289">
            <v>6700</v>
          </cell>
          <cell r="M289">
            <v>31100</v>
          </cell>
          <cell r="P289">
            <v>0</v>
          </cell>
          <cell r="S289">
            <v>30</v>
          </cell>
          <cell r="T289">
            <v>111.3</v>
          </cell>
          <cell r="V289">
            <v>111.3</v>
          </cell>
          <cell r="X289">
            <v>13.7</v>
          </cell>
          <cell r="Y289">
            <v>3300</v>
          </cell>
          <cell r="AD289">
            <v>28.8</v>
          </cell>
          <cell r="AE289">
            <v>2500</v>
          </cell>
          <cell r="AI289">
            <v>0</v>
          </cell>
          <cell r="AJ289">
            <v>1.49</v>
          </cell>
          <cell r="AK289">
            <v>6.99</v>
          </cell>
          <cell r="AL289">
            <v>25.14</v>
          </cell>
          <cell r="AO289">
            <v>25.14</v>
          </cell>
          <cell r="AP289">
            <v>2.0499999999999998</v>
          </cell>
          <cell r="AQ289">
            <v>39.630000000000003</v>
          </cell>
          <cell r="AU289">
            <v>0</v>
          </cell>
          <cell r="AV289">
            <v>2.02</v>
          </cell>
          <cell r="AW289">
            <v>51.17</v>
          </cell>
          <cell r="BA289">
            <v>0</v>
          </cell>
          <cell r="BB289">
            <v>1.962</v>
          </cell>
          <cell r="BC289">
            <v>39.340000000000003</v>
          </cell>
          <cell r="BG289">
            <v>0</v>
          </cell>
          <cell r="BI289">
            <v>80</v>
          </cell>
          <cell r="BM289">
            <v>0</v>
          </cell>
          <cell r="BN289">
            <v>35000</v>
          </cell>
          <cell r="BO289">
            <v>6</v>
          </cell>
          <cell r="BP289">
            <v>37</v>
          </cell>
          <cell r="BS289">
            <v>0</v>
          </cell>
          <cell r="BU289">
            <v>5</v>
          </cell>
          <cell r="CD289">
            <v>31</v>
          </cell>
        </row>
        <row r="290">
          <cell r="A290">
            <v>39366</v>
          </cell>
          <cell r="G290">
            <v>800</v>
          </cell>
          <cell r="H290">
            <v>0</v>
          </cell>
          <cell r="I290">
            <v>280</v>
          </cell>
          <cell r="J290">
            <v>664.3</v>
          </cell>
          <cell r="K290">
            <v>23300</v>
          </cell>
          <cell r="L290">
            <v>6900</v>
          </cell>
          <cell r="M290">
            <v>30200</v>
          </cell>
          <cell r="P290">
            <v>0</v>
          </cell>
          <cell r="S290">
            <v>30</v>
          </cell>
          <cell r="T290">
            <v>139</v>
          </cell>
          <cell r="V290">
            <v>139</v>
          </cell>
          <cell r="X290">
            <v>56.5</v>
          </cell>
          <cell r="Y290">
            <v>3400</v>
          </cell>
          <cell r="AD290">
            <v>17.100000000000001</v>
          </cell>
          <cell r="AE290">
            <v>2500</v>
          </cell>
          <cell r="AF290">
            <v>25.28</v>
          </cell>
          <cell r="AI290">
            <v>25.28</v>
          </cell>
          <cell r="AJ290">
            <v>0.4</v>
          </cell>
          <cell r="AK290">
            <v>31.88</v>
          </cell>
          <cell r="AO290">
            <v>0</v>
          </cell>
          <cell r="AP290">
            <v>2.5</v>
          </cell>
          <cell r="AQ290">
            <v>37.130000000000003</v>
          </cell>
          <cell r="AU290">
            <v>0</v>
          </cell>
          <cell r="AW290">
            <v>51.17</v>
          </cell>
          <cell r="BA290">
            <v>0</v>
          </cell>
          <cell r="BB290">
            <v>2.6280000000000001</v>
          </cell>
          <cell r="BC290">
            <v>36.71</v>
          </cell>
          <cell r="BG290">
            <v>0</v>
          </cell>
          <cell r="BI290">
            <v>80</v>
          </cell>
          <cell r="BM290">
            <v>0</v>
          </cell>
          <cell r="BN290">
            <v>15000</v>
          </cell>
          <cell r="BO290">
            <v>4.8</v>
          </cell>
          <cell r="BP290">
            <v>32</v>
          </cell>
          <cell r="BS290">
            <v>0</v>
          </cell>
          <cell r="BU290">
            <v>5</v>
          </cell>
          <cell r="CD290">
            <v>31</v>
          </cell>
        </row>
        <row r="291">
          <cell r="A291">
            <v>39367</v>
          </cell>
          <cell r="G291">
            <v>370</v>
          </cell>
          <cell r="H291">
            <v>0</v>
          </cell>
          <cell r="I291">
            <v>350</v>
          </cell>
          <cell r="J291">
            <v>855.1</v>
          </cell>
          <cell r="K291">
            <v>22600</v>
          </cell>
          <cell r="L291">
            <v>6400</v>
          </cell>
          <cell r="M291">
            <v>29000</v>
          </cell>
          <cell r="P291">
            <v>0</v>
          </cell>
          <cell r="S291">
            <v>30</v>
          </cell>
          <cell r="T291">
            <v>56.2</v>
          </cell>
          <cell r="V291">
            <v>56.2</v>
          </cell>
          <cell r="X291">
            <v>128.6</v>
          </cell>
          <cell r="Y291">
            <v>3300</v>
          </cell>
          <cell r="AD291">
            <v>30.4</v>
          </cell>
          <cell r="AE291">
            <v>2400</v>
          </cell>
          <cell r="AI291">
            <v>0</v>
          </cell>
          <cell r="AJ291">
            <v>2.52</v>
          </cell>
          <cell r="AK291">
            <v>29.36</v>
          </cell>
          <cell r="AO291">
            <v>0</v>
          </cell>
          <cell r="AP291">
            <v>2.38</v>
          </cell>
          <cell r="AQ291">
            <v>34.75</v>
          </cell>
          <cell r="AU291">
            <v>0</v>
          </cell>
          <cell r="AV291">
            <v>0.24</v>
          </cell>
          <cell r="AW291">
            <v>50.93</v>
          </cell>
          <cell r="BA291">
            <v>0</v>
          </cell>
          <cell r="BB291">
            <v>3.3660000000000001</v>
          </cell>
          <cell r="BC291">
            <v>33.35</v>
          </cell>
          <cell r="BG291">
            <v>0</v>
          </cell>
          <cell r="BI291">
            <v>80</v>
          </cell>
          <cell r="BJ291">
            <v>23.2</v>
          </cell>
          <cell r="BM291">
            <v>23.2</v>
          </cell>
          <cell r="BN291">
            <v>10000</v>
          </cell>
          <cell r="BO291">
            <v>6</v>
          </cell>
          <cell r="BP291">
            <v>49</v>
          </cell>
          <cell r="BS291">
            <v>0</v>
          </cell>
          <cell r="BU291">
            <v>5</v>
          </cell>
          <cell r="CD291">
            <v>31</v>
          </cell>
        </row>
        <row r="292">
          <cell r="A292">
            <v>39368</v>
          </cell>
          <cell r="G292">
            <v>820</v>
          </cell>
          <cell r="H292">
            <v>0</v>
          </cell>
          <cell r="I292">
            <v>340</v>
          </cell>
          <cell r="J292">
            <v>845.1</v>
          </cell>
          <cell r="K292">
            <v>21450</v>
          </cell>
          <cell r="L292">
            <v>6350</v>
          </cell>
          <cell r="M292">
            <v>27800</v>
          </cell>
          <cell r="P292">
            <v>0</v>
          </cell>
          <cell r="S292">
            <v>30</v>
          </cell>
          <cell r="V292">
            <v>0</v>
          </cell>
          <cell r="X292">
            <v>120.4</v>
          </cell>
          <cell r="Y292">
            <v>3200</v>
          </cell>
          <cell r="Z292">
            <v>227</v>
          </cell>
          <cell r="AD292">
            <v>31.3</v>
          </cell>
          <cell r="AE292">
            <v>2600</v>
          </cell>
          <cell r="AI292">
            <v>0</v>
          </cell>
          <cell r="AJ292">
            <v>1.26</v>
          </cell>
          <cell r="AK292">
            <v>28.09</v>
          </cell>
          <cell r="AO292">
            <v>0</v>
          </cell>
          <cell r="AP292">
            <v>2.38</v>
          </cell>
          <cell r="AQ292">
            <v>32.369999999999997</v>
          </cell>
          <cell r="AU292">
            <v>0</v>
          </cell>
          <cell r="AV292">
            <v>0.83</v>
          </cell>
          <cell r="AW292">
            <v>50.1</v>
          </cell>
          <cell r="BA292">
            <v>0</v>
          </cell>
          <cell r="BB292">
            <v>3.294</v>
          </cell>
          <cell r="BC292">
            <v>30.05</v>
          </cell>
          <cell r="BG292">
            <v>0</v>
          </cell>
          <cell r="BI292">
            <v>80</v>
          </cell>
          <cell r="BM292">
            <v>0</v>
          </cell>
          <cell r="BO292">
            <v>6</v>
          </cell>
          <cell r="BP292">
            <v>43</v>
          </cell>
          <cell r="BS292">
            <v>0</v>
          </cell>
          <cell r="BU292">
            <v>5</v>
          </cell>
          <cell r="CD292">
            <v>31</v>
          </cell>
        </row>
        <row r="293">
          <cell r="A293">
            <v>39369</v>
          </cell>
          <cell r="G293">
            <v>520</v>
          </cell>
          <cell r="H293">
            <v>0</v>
          </cell>
          <cell r="I293">
            <v>320</v>
          </cell>
          <cell r="J293">
            <v>870.1</v>
          </cell>
          <cell r="K293">
            <v>20600</v>
          </cell>
          <cell r="L293">
            <v>6000</v>
          </cell>
          <cell r="M293">
            <v>26600</v>
          </cell>
          <cell r="P293">
            <v>0</v>
          </cell>
          <cell r="S293">
            <v>30</v>
          </cell>
          <cell r="T293">
            <v>253.2</v>
          </cell>
          <cell r="V293">
            <v>253.2</v>
          </cell>
          <cell r="X293">
            <v>122</v>
          </cell>
          <cell r="Y293">
            <v>3300</v>
          </cell>
          <cell r="Z293">
            <v>117</v>
          </cell>
          <cell r="AD293">
            <v>33.200000000000003</v>
          </cell>
          <cell r="AE293">
            <v>2700</v>
          </cell>
          <cell r="AI293">
            <v>0</v>
          </cell>
          <cell r="AJ293">
            <v>3.1</v>
          </cell>
          <cell r="AK293">
            <v>25</v>
          </cell>
          <cell r="AO293">
            <v>0</v>
          </cell>
          <cell r="AP293">
            <v>2.2599999999999998</v>
          </cell>
          <cell r="AQ293">
            <v>30.11</v>
          </cell>
          <cell r="AU293">
            <v>0</v>
          </cell>
          <cell r="AW293">
            <v>50.1</v>
          </cell>
          <cell r="BA293">
            <v>0</v>
          </cell>
          <cell r="BB293">
            <v>3.3650000000000002</v>
          </cell>
          <cell r="BC293">
            <v>26.69</v>
          </cell>
          <cell r="BG293">
            <v>0</v>
          </cell>
          <cell r="BI293">
            <v>80</v>
          </cell>
          <cell r="BM293">
            <v>0</v>
          </cell>
          <cell r="BO293">
            <v>5.4</v>
          </cell>
          <cell r="BP293">
            <v>38</v>
          </cell>
          <cell r="BS293">
            <v>0</v>
          </cell>
          <cell r="BU293">
            <v>5</v>
          </cell>
          <cell r="CD293">
            <v>31</v>
          </cell>
        </row>
        <row r="294">
          <cell r="A294">
            <v>39370</v>
          </cell>
          <cell r="H294">
            <v>0</v>
          </cell>
          <cell r="I294">
            <v>320</v>
          </cell>
          <cell r="J294">
            <v>646.20000000000005</v>
          </cell>
          <cell r="K294">
            <v>20300</v>
          </cell>
          <cell r="L294">
            <v>5400</v>
          </cell>
          <cell r="M294">
            <v>25700</v>
          </cell>
          <cell r="P294">
            <v>0</v>
          </cell>
          <cell r="S294">
            <v>30</v>
          </cell>
          <cell r="T294">
            <v>305.5</v>
          </cell>
          <cell r="V294">
            <v>305.5</v>
          </cell>
          <cell r="X294">
            <v>110.5</v>
          </cell>
          <cell r="Y294">
            <v>3500</v>
          </cell>
          <cell r="AD294">
            <v>23.3</v>
          </cell>
          <cell r="AE294">
            <v>2700</v>
          </cell>
          <cell r="AI294">
            <v>0</v>
          </cell>
          <cell r="AJ294">
            <v>1.83</v>
          </cell>
          <cell r="AK294">
            <v>23.16</v>
          </cell>
          <cell r="AO294">
            <v>0</v>
          </cell>
          <cell r="AP294">
            <v>3.57</v>
          </cell>
          <cell r="AQ294">
            <v>26.54</v>
          </cell>
          <cell r="AU294">
            <v>0</v>
          </cell>
          <cell r="AW294">
            <v>50.1</v>
          </cell>
          <cell r="BA294">
            <v>0</v>
          </cell>
          <cell r="BB294">
            <v>2.5019999999999998</v>
          </cell>
          <cell r="BC294">
            <v>24.19</v>
          </cell>
          <cell r="BG294">
            <v>0</v>
          </cell>
          <cell r="BI294">
            <v>80</v>
          </cell>
          <cell r="BM294">
            <v>0</v>
          </cell>
          <cell r="BO294">
            <v>5.4</v>
          </cell>
          <cell r="BP294">
            <v>32.5</v>
          </cell>
          <cell r="BS294">
            <v>0</v>
          </cell>
          <cell r="BU294">
            <v>5</v>
          </cell>
          <cell r="CD294">
            <v>31</v>
          </cell>
        </row>
        <row r="295">
          <cell r="A295">
            <v>39371</v>
          </cell>
          <cell r="B295">
            <v>1319.36</v>
          </cell>
          <cell r="H295">
            <v>1319.36</v>
          </cell>
          <cell r="I295">
            <v>400</v>
          </cell>
          <cell r="J295">
            <v>488.3</v>
          </cell>
          <cell r="K295">
            <v>19900</v>
          </cell>
          <cell r="L295">
            <v>6700</v>
          </cell>
          <cell r="M295">
            <v>26600</v>
          </cell>
          <cell r="P295">
            <v>0</v>
          </cell>
          <cell r="S295">
            <v>30</v>
          </cell>
          <cell r="T295">
            <v>83.4</v>
          </cell>
          <cell r="V295">
            <v>83.4</v>
          </cell>
          <cell r="X295">
            <v>125.7</v>
          </cell>
          <cell r="Y295">
            <v>3500</v>
          </cell>
          <cell r="AD295">
            <v>0</v>
          </cell>
          <cell r="AE295">
            <v>2700</v>
          </cell>
          <cell r="AI295">
            <v>0</v>
          </cell>
          <cell r="AJ295">
            <v>1.1499999999999999</v>
          </cell>
          <cell r="AK295">
            <v>22.02</v>
          </cell>
          <cell r="AL295">
            <v>23.52</v>
          </cell>
          <cell r="AO295">
            <v>23.52</v>
          </cell>
          <cell r="AP295">
            <v>2.7</v>
          </cell>
          <cell r="AQ295">
            <v>47.36</v>
          </cell>
          <cell r="AU295">
            <v>0</v>
          </cell>
          <cell r="AW295">
            <v>50.1</v>
          </cell>
          <cell r="BA295">
            <v>0</v>
          </cell>
          <cell r="BB295">
            <v>1.76</v>
          </cell>
          <cell r="BC295">
            <v>24.19</v>
          </cell>
          <cell r="BG295">
            <v>0</v>
          </cell>
          <cell r="BI295">
            <v>80</v>
          </cell>
          <cell r="BJ295">
            <v>24.9</v>
          </cell>
          <cell r="BM295">
            <v>24.9</v>
          </cell>
          <cell r="BN295">
            <v>5000</v>
          </cell>
          <cell r="BO295">
            <v>6</v>
          </cell>
          <cell r="BP295">
            <v>51.5</v>
          </cell>
          <cell r="BS295">
            <v>0</v>
          </cell>
          <cell r="BU295">
            <v>5</v>
          </cell>
          <cell r="CD295">
            <v>31</v>
          </cell>
        </row>
        <row r="296">
          <cell r="A296">
            <v>39372</v>
          </cell>
          <cell r="H296">
            <v>0</v>
          </cell>
          <cell r="I296">
            <v>412</v>
          </cell>
          <cell r="J296">
            <v>351.8</v>
          </cell>
          <cell r="K296">
            <v>19500</v>
          </cell>
          <cell r="L296">
            <v>5800</v>
          </cell>
          <cell r="M296">
            <v>25300</v>
          </cell>
          <cell r="P296">
            <v>0</v>
          </cell>
          <cell r="S296">
            <v>30</v>
          </cell>
          <cell r="T296">
            <v>142.1</v>
          </cell>
          <cell r="V296">
            <v>142.1</v>
          </cell>
          <cell r="X296">
            <v>127.9</v>
          </cell>
          <cell r="Y296">
            <v>3500</v>
          </cell>
          <cell r="Z296">
            <v>112</v>
          </cell>
          <cell r="AD296">
            <v>0</v>
          </cell>
          <cell r="AE296">
            <v>2800</v>
          </cell>
          <cell r="AI296">
            <v>0</v>
          </cell>
          <cell r="AJ296">
            <v>2.29</v>
          </cell>
          <cell r="AK296">
            <v>19.72</v>
          </cell>
          <cell r="AO296">
            <v>0</v>
          </cell>
          <cell r="AP296">
            <v>5.12</v>
          </cell>
          <cell r="AQ296">
            <v>42.25</v>
          </cell>
          <cell r="AU296">
            <v>0</v>
          </cell>
          <cell r="AV296">
            <v>4.17</v>
          </cell>
          <cell r="AW296">
            <v>45.93</v>
          </cell>
          <cell r="BA296">
            <v>0</v>
          </cell>
          <cell r="BB296">
            <v>1.296</v>
          </cell>
          <cell r="BC296">
            <v>21.13</v>
          </cell>
          <cell r="BG296">
            <v>0</v>
          </cell>
          <cell r="BI296">
            <v>80</v>
          </cell>
          <cell r="BM296">
            <v>0</v>
          </cell>
          <cell r="BN296">
            <v>20000</v>
          </cell>
          <cell r="BO296">
            <v>4</v>
          </cell>
          <cell r="BP296">
            <v>47</v>
          </cell>
          <cell r="BS296">
            <v>0</v>
          </cell>
          <cell r="BU296">
            <v>5</v>
          </cell>
          <cell r="CD296">
            <v>31</v>
          </cell>
        </row>
        <row r="297">
          <cell r="A297">
            <v>39373</v>
          </cell>
          <cell r="G297">
            <v>640</v>
          </cell>
          <cell r="H297">
            <v>0</v>
          </cell>
          <cell r="I297">
            <v>290</v>
          </cell>
          <cell r="J297">
            <v>537.6</v>
          </cell>
          <cell r="K297">
            <v>18550</v>
          </cell>
          <cell r="L297">
            <v>5950</v>
          </cell>
          <cell r="M297">
            <v>24500</v>
          </cell>
          <cell r="P297">
            <v>0</v>
          </cell>
          <cell r="S297">
            <v>30</v>
          </cell>
          <cell r="T297">
            <v>27.7</v>
          </cell>
          <cell r="V297">
            <v>27.7</v>
          </cell>
          <cell r="X297">
            <v>92.2</v>
          </cell>
          <cell r="Y297">
            <v>3400</v>
          </cell>
          <cell r="Z297">
            <v>170</v>
          </cell>
          <cell r="AD297">
            <v>13.7</v>
          </cell>
          <cell r="AE297">
            <v>2950</v>
          </cell>
          <cell r="AF297">
            <v>25.18</v>
          </cell>
          <cell r="AI297">
            <v>25.18</v>
          </cell>
          <cell r="AJ297">
            <v>1.33</v>
          </cell>
          <cell r="AK297">
            <v>43.57</v>
          </cell>
          <cell r="AO297">
            <v>0</v>
          </cell>
          <cell r="AP297">
            <v>1.67</v>
          </cell>
          <cell r="AQ297">
            <v>40.58</v>
          </cell>
          <cell r="AU297">
            <v>0</v>
          </cell>
          <cell r="AW297">
            <v>45.93</v>
          </cell>
          <cell r="BA297">
            <v>0</v>
          </cell>
          <cell r="BB297">
            <v>2.0699999999999998</v>
          </cell>
          <cell r="BC297">
            <v>19.059999999999999</v>
          </cell>
          <cell r="BG297">
            <v>0</v>
          </cell>
          <cell r="BI297">
            <v>80</v>
          </cell>
          <cell r="BM297">
            <v>0</v>
          </cell>
          <cell r="BN297">
            <v>20000</v>
          </cell>
          <cell r="BO297">
            <v>4.8</v>
          </cell>
          <cell r="BP297">
            <v>42.5</v>
          </cell>
          <cell r="BS297">
            <v>0</v>
          </cell>
          <cell r="BU297">
            <v>5</v>
          </cell>
          <cell r="CD297">
            <v>31</v>
          </cell>
        </row>
        <row r="298">
          <cell r="A298">
            <v>39374</v>
          </cell>
          <cell r="G298">
            <v>680</v>
          </cell>
          <cell r="H298">
            <v>0</v>
          </cell>
          <cell r="I298">
            <v>380</v>
          </cell>
          <cell r="J298">
            <v>687.2</v>
          </cell>
          <cell r="K298">
            <v>17450</v>
          </cell>
          <cell r="L298">
            <v>5950</v>
          </cell>
          <cell r="M298">
            <v>23400</v>
          </cell>
          <cell r="P298">
            <v>0</v>
          </cell>
          <cell r="S298">
            <v>30</v>
          </cell>
          <cell r="T298">
            <v>28.3</v>
          </cell>
          <cell r="V298">
            <v>28.3</v>
          </cell>
          <cell r="X298">
            <v>127</v>
          </cell>
          <cell r="Y298">
            <v>3300</v>
          </cell>
          <cell r="Z298">
            <v>174</v>
          </cell>
          <cell r="AD298">
            <v>39.700000000000003</v>
          </cell>
          <cell r="AE298">
            <v>3100</v>
          </cell>
          <cell r="AI298">
            <v>0</v>
          </cell>
          <cell r="AJ298">
            <v>0.23</v>
          </cell>
          <cell r="AK298">
            <v>43.35</v>
          </cell>
          <cell r="AO298">
            <v>0</v>
          </cell>
          <cell r="AP298">
            <v>2.74</v>
          </cell>
          <cell r="AQ298">
            <v>37.840000000000003</v>
          </cell>
          <cell r="AU298">
            <v>0</v>
          </cell>
          <cell r="AV298">
            <v>0.36</v>
          </cell>
          <cell r="AW298">
            <v>45.58</v>
          </cell>
          <cell r="BA298">
            <v>0</v>
          </cell>
          <cell r="BB298">
            <v>2.9159999999999999</v>
          </cell>
          <cell r="BC298">
            <v>16.14</v>
          </cell>
          <cell r="BG298">
            <v>0</v>
          </cell>
          <cell r="BI298">
            <v>80</v>
          </cell>
          <cell r="BM298">
            <v>0</v>
          </cell>
          <cell r="BN298">
            <v>25000</v>
          </cell>
          <cell r="BO298">
            <v>5.4</v>
          </cell>
          <cell r="BP298">
            <v>37</v>
          </cell>
          <cell r="BS298">
            <v>0</v>
          </cell>
          <cell r="BU298">
            <v>5</v>
          </cell>
          <cell r="CD298">
            <v>31</v>
          </cell>
        </row>
        <row r="299">
          <cell r="A299">
            <v>39375</v>
          </cell>
          <cell r="G299">
            <v>380</v>
          </cell>
          <cell r="H299">
            <v>0</v>
          </cell>
          <cell r="I299">
            <v>360</v>
          </cell>
          <cell r="J299">
            <v>747.6</v>
          </cell>
          <cell r="K299">
            <v>16700</v>
          </cell>
          <cell r="L299">
            <v>5600</v>
          </cell>
          <cell r="M299">
            <v>22300</v>
          </cell>
          <cell r="P299">
            <v>0</v>
          </cell>
          <cell r="S299">
            <v>30</v>
          </cell>
          <cell r="V299">
            <v>0</v>
          </cell>
          <cell r="X299">
            <v>77.8</v>
          </cell>
          <cell r="Y299">
            <v>3200</v>
          </cell>
          <cell r="Z299">
            <v>177</v>
          </cell>
          <cell r="AD299">
            <v>40.5</v>
          </cell>
          <cell r="AE299">
            <v>3200</v>
          </cell>
          <cell r="AI299">
            <v>0</v>
          </cell>
          <cell r="AJ299">
            <v>1.1499999999999999</v>
          </cell>
          <cell r="AK299">
            <v>42.2</v>
          </cell>
          <cell r="AO299">
            <v>0</v>
          </cell>
          <cell r="AP299">
            <v>2.98</v>
          </cell>
          <cell r="AQ299">
            <v>34.869999999999997</v>
          </cell>
          <cell r="AU299">
            <v>0</v>
          </cell>
          <cell r="AW299">
            <v>45.58</v>
          </cell>
          <cell r="BA299">
            <v>0</v>
          </cell>
          <cell r="BB299">
            <v>3.0870000000000002</v>
          </cell>
          <cell r="BC299">
            <v>13.058</v>
          </cell>
          <cell r="BG299">
            <v>0</v>
          </cell>
          <cell r="BI299">
            <v>80</v>
          </cell>
          <cell r="BM299">
            <v>0</v>
          </cell>
          <cell r="BO299">
            <v>6</v>
          </cell>
          <cell r="BP299">
            <v>31</v>
          </cell>
          <cell r="BS299">
            <v>0</v>
          </cell>
          <cell r="BU299">
            <v>5</v>
          </cell>
          <cell r="CD299">
            <v>31</v>
          </cell>
        </row>
        <row r="300">
          <cell r="A300">
            <v>39376</v>
          </cell>
          <cell r="G300">
            <v>400</v>
          </cell>
          <cell r="H300">
            <v>0</v>
          </cell>
          <cell r="I300">
            <v>380</v>
          </cell>
          <cell r="J300">
            <v>648.20000000000005</v>
          </cell>
          <cell r="K300">
            <v>15950</v>
          </cell>
          <cell r="L300">
            <v>5250</v>
          </cell>
          <cell r="M300">
            <v>21200</v>
          </cell>
          <cell r="P300">
            <v>0</v>
          </cell>
          <cell r="S300">
            <v>30</v>
          </cell>
          <cell r="T300">
            <v>83.6</v>
          </cell>
          <cell r="V300">
            <v>83.6</v>
          </cell>
          <cell r="X300">
            <v>54.6</v>
          </cell>
          <cell r="Y300">
            <v>3300</v>
          </cell>
          <cell r="AD300">
            <v>38</v>
          </cell>
          <cell r="AE300">
            <v>3200</v>
          </cell>
          <cell r="AI300">
            <v>0</v>
          </cell>
          <cell r="AJ300">
            <v>1.03</v>
          </cell>
          <cell r="AK300">
            <v>41.17</v>
          </cell>
          <cell r="AO300">
            <v>0</v>
          </cell>
          <cell r="AP300">
            <v>3.33</v>
          </cell>
          <cell r="AQ300">
            <v>31.54</v>
          </cell>
          <cell r="AU300">
            <v>0</v>
          </cell>
          <cell r="AV300">
            <v>0.24</v>
          </cell>
          <cell r="AW300">
            <v>45.34</v>
          </cell>
          <cell r="BA300">
            <v>0</v>
          </cell>
          <cell r="BB300">
            <v>2.9569999999999999</v>
          </cell>
          <cell r="BC300">
            <v>10.1</v>
          </cell>
          <cell r="BG300">
            <v>0</v>
          </cell>
          <cell r="BI300">
            <v>80</v>
          </cell>
          <cell r="BM300">
            <v>0</v>
          </cell>
          <cell r="BO300">
            <v>6</v>
          </cell>
          <cell r="BP300">
            <v>25</v>
          </cell>
          <cell r="BS300">
            <v>0</v>
          </cell>
          <cell r="BU300">
            <v>5</v>
          </cell>
          <cell r="CD300">
            <v>31</v>
          </cell>
        </row>
        <row r="301">
          <cell r="A301">
            <v>39377</v>
          </cell>
          <cell r="H301">
            <v>0</v>
          </cell>
          <cell r="I301">
            <v>388</v>
          </cell>
          <cell r="J301">
            <v>752.2</v>
          </cell>
          <cell r="K301">
            <v>15300</v>
          </cell>
          <cell r="L301">
            <v>4500</v>
          </cell>
          <cell r="M301">
            <v>19800</v>
          </cell>
          <cell r="P301">
            <v>0</v>
          </cell>
          <cell r="S301">
            <v>30</v>
          </cell>
          <cell r="T301">
            <v>139.1</v>
          </cell>
          <cell r="V301">
            <v>139.1</v>
          </cell>
          <cell r="X301">
            <v>55.6</v>
          </cell>
          <cell r="Y301">
            <v>3300</v>
          </cell>
          <cell r="AD301">
            <v>41.6</v>
          </cell>
          <cell r="AE301">
            <v>3100</v>
          </cell>
          <cell r="AI301">
            <v>0</v>
          </cell>
          <cell r="AJ301">
            <v>0.8</v>
          </cell>
          <cell r="AK301">
            <v>40.36</v>
          </cell>
          <cell r="AO301">
            <v>0</v>
          </cell>
          <cell r="AP301">
            <v>3.33</v>
          </cell>
          <cell r="AQ301">
            <v>28.2</v>
          </cell>
          <cell r="AU301">
            <v>0</v>
          </cell>
          <cell r="AW301">
            <v>45.34</v>
          </cell>
          <cell r="BA301">
            <v>0</v>
          </cell>
          <cell r="BB301">
            <v>3.0649999999999999</v>
          </cell>
          <cell r="BC301">
            <v>7.0350000000000001</v>
          </cell>
          <cell r="BG301">
            <v>0</v>
          </cell>
          <cell r="BI301">
            <v>80</v>
          </cell>
          <cell r="BJ301">
            <v>24</v>
          </cell>
          <cell r="BM301">
            <v>24</v>
          </cell>
          <cell r="BN301">
            <v>30000</v>
          </cell>
          <cell r="BO301">
            <v>5.4</v>
          </cell>
          <cell r="BP301">
            <v>43.9</v>
          </cell>
          <cell r="BS301">
            <v>0</v>
          </cell>
          <cell r="BU301">
            <v>5</v>
          </cell>
          <cell r="CD301">
            <v>31</v>
          </cell>
        </row>
        <row r="302">
          <cell r="A302">
            <v>39378</v>
          </cell>
          <cell r="B302">
            <v>1320</v>
          </cell>
          <cell r="G302">
            <v>140</v>
          </cell>
          <cell r="H302">
            <v>1320</v>
          </cell>
          <cell r="I302">
            <v>402</v>
          </cell>
          <cell r="J302">
            <v>773.8</v>
          </cell>
          <cell r="K302">
            <v>16200</v>
          </cell>
          <cell r="L302">
            <v>5500</v>
          </cell>
          <cell r="M302">
            <v>21700</v>
          </cell>
          <cell r="P302">
            <v>0</v>
          </cell>
          <cell r="S302">
            <v>30</v>
          </cell>
          <cell r="T302">
            <v>190.5</v>
          </cell>
          <cell r="V302">
            <v>190.5</v>
          </cell>
          <cell r="X302">
            <v>66</v>
          </cell>
          <cell r="Y302">
            <v>3500</v>
          </cell>
          <cell r="AD302">
            <v>48.8</v>
          </cell>
          <cell r="AE302">
            <v>3100</v>
          </cell>
          <cell r="AI302">
            <v>0</v>
          </cell>
          <cell r="AJ302">
            <v>1.1499999999999999</v>
          </cell>
          <cell r="AK302">
            <v>39.22</v>
          </cell>
          <cell r="AO302">
            <v>0</v>
          </cell>
          <cell r="AP302">
            <v>4.28</v>
          </cell>
          <cell r="AQ302">
            <v>23.92</v>
          </cell>
          <cell r="AU302">
            <v>0</v>
          </cell>
          <cell r="AW302">
            <v>45.34</v>
          </cell>
          <cell r="AX302">
            <v>24.2</v>
          </cell>
          <cell r="BA302">
            <v>24.2</v>
          </cell>
          <cell r="BB302">
            <v>3.1120000000000001</v>
          </cell>
          <cell r="BC302">
            <v>28.123000000000001</v>
          </cell>
          <cell r="BG302">
            <v>0</v>
          </cell>
          <cell r="BI302">
            <v>80</v>
          </cell>
          <cell r="BM302">
            <v>0</v>
          </cell>
          <cell r="BN302">
            <v>30000</v>
          </cell>
          <cell r="BO302">
            <v>6</v>
          </cell>
          <cell r="BP302">
            <v>37.9</v>
          </cell>
          <cell r="BS302">
            <v>0</v>
          </cell>
          <cell r="BU302">
            <v>5</v>
          </cell>
          <cell r="CD302">
            <v>31</v>
          </cell>
        </row>
        <row r="303">
          <cell r="A303">
            <v>39379</v>
          </cell>
          <cell r="C303">
            <v>2707.9</v>
          </cell>
          <cell r="G303">
            <v>180</v>
          </cell>
          <cell r="H303">
            <v>2707.9</v>
          </cell>
          <cell r="I303">
            <v>161.1</v>
          </cell>
          <cell r="J303">
            <v>338.7</v>
          </cell>
          <cell r="K303">
            <v>17100</v>
          </cell>
          <cell r="L303">
            <v>5300</v>
          </cell>
          <cell r="M303">
            <v>22400</v>
          </cell>
          <cell r="P303">
            <v>0</v>
          </cell>
          <cell r="S303">
            <v>30</v>
          </cell>
          <cell r="T303">
            <v>305.5</v>
          </cell>
          <cell r="V303">
            <v>305.5</v>
          </cell>
          <cell r="X303">
            <v>44.1</v>
          </cell>
          <cell r="Y303">
            <v>3700</v>
          </cell>
          <cell r="AD303">
            <v>175.7</v>
          </cell>
          <cell r="AE303">
            <v>2900</v>
          </cell>
          <cell r="AI303">
            <v>0</v>
          </cell>
          <cell r="AJ303">
            <v>0.56999999999999995</v>
          </cell>
          <cell r="AK303">
            <v>38.64</v>
          </cell>
          <cell r="AO303">
            <v>0</v>
          </cell>
          <cell r="AP303">
            <v>1.07</v>
          </cell>
          <cell r="AQ303">
            <v>22.85</v>
          </cell>
          <cell r="AU303">
            <v>0</v>
          </cell>
          <cell r="AV303">
            <v>0.48</v>
          </cell>
          <cell r="AW303">
            <v>44.86</v>
          </cell>
          <cell r="BA303">
            <v>0</v>
          </cell>
          <cell r="BB303">
            <v>1.6220000000000001</v>
          </cell>
          <cell r="BC303">
            <v>26.501000000000001</v>
          </cell>
          <cell r="BG303">
            <v>0</v>
          </cell>
          <cell r="BI303">
            <v>80</v>
          </cell>
          <cell r="BJ303">
            <v>25.5</v>
          </cell>
          <cell r="BM303">
            <v>25.5</v>
          </cell>
          <cell r="BN303">
            <v>30000</v>
          </cell>
          <cell r="BO303">
            <v>5.4</v>
          </cell>
          <cell r="BP303">
            <v>58.1</v>
          </cell>
          <cell r="BS303">
            <v>0</v>
          </cell>
          <cell r="BU303">
            <v>5</v>
          </cell>
          <cell r="CD303">
            <v>31</v>
          </cell>
        </row>
        <row r="304">
          <cell r="A304">
            <v>39380</v>
          </cell>
          <cell r="G304">
            <v>570</v>
          </cell>
          <cell r="H304">
            <v>0</v>
          </cell>
          <cell r="I304">
            <v>117.2</v>
          </cell>
          <cell r="J304">
            <v>274.39999999999998</v>
          </cell>
          <cell r="K304">
            <v>18400</v>
          </cell>
          <cell r="L304">
            <v>5600</v>
          </cell>
          <cell r="M304">
            <v>24000</v>
          </cell>
          <cell r="P304">
            <v>0</v>
          </cell>
          <cell r="S304">
            <v>30</v>
          </cell>
          <cell r="T304">
            <v>385.6</v>
          </cell>
          <cell r="V304">
            <v>385.6</v>
          </cell>
          <cell r="X304">
            <v>38.799999999999997</v>
          </cell>
          <cell r="Y304">
            <v>4100</v>
          </cell>
          <cell r="Z304">
            <v>57</v>
          </cell>
          <cell r="AD304">
            <v>389.1</v>
          </cell>
          <cell r="AE304">
            <v>2600</v>
          </cell>
          <cell r="AI304">
            <v>0</v>
          </cell>
          <cell r="AJ304">
            <v>0.92</v>
          </cell>
          <cell r="AK304">
            <v>37.729999999999997</v>
          </cell>
          <cell r="AO304">
            <v>0</v>
          </cell>
          <cell r="AP304">
            <v>1.19</v>
          </cell>
          <cell r="AQ304">
            <v>21.66</v>
          </cell>
          <cell r="AU304">
            <v>0</v>
          </cell>
          <cell r="AV304">
            <v>1.19</v>
          </cell>
          <cell r="AW304">
            <v>43.67</v>
          </cell>
          <cell r="BA304">
            <v>0</v>
          </cell>
          <cell r="BB304">
            <v>2.6960000000000002</v>
          </cell>
          <cell r="BC304">
            <v>23.805</v>
          </cell>
          <cell r="BG304">
            <v>0</v>
          </cell>
          <cell r="BI304">
            <v>80</v>
          </cell>
          <cell r="BM304">
            <v>0</v>
          </cell>
          <cell r="BN304">
            <v>30000</v>
          </cell>
          <cell r="BO304">
            <v>6.1</v>
          </cell>
          <cell r="BP304">
            <v>52</v>
          </cell>
          <cell r="BS304">
            <v>0</v>
          </cell>
          <cell r="BU304">
            <v>5</v>
          </cell>
          <cell r="CD304">
            <v>31</v>
          </cell>
        </row>
        <row r="305">
          <cell r="A305">
            <v>39381</v>
          </cell>
          <cell r="C305">
            <v>3006.4</v>
          </cell>
          <cell r="G305">
            <v>410</v>
          </cell>
          <cell r="H305">
            <v>3006.4</v>
          </cell>
          <cell r="I305">
            <v>420</v>
          </cell>
          <cell r="J305">
            <v>271.5</v>
          </cell>
          <cell r="K305">
            <v>18550</v>
          </cell>
          <cell r="L305">
            <v>5750</v>
          </cell>
          <cell r="M305">
            <v>24300</v>
          </cell>
          <cell r="P305">
            <v>0</v>
          </cell>
          <cell r="S305">
            <v>30</v>
          </cell>
          <cell r="V305">
            <v>0</v>
          </cell>
          <cell r="X305">
            <v>68.5</v>
          </cell>
          <cell r="Y305">
            <v>4000</v>
          </cell>
          <cell r="AD305">
            <v>373.7</v>
          </cell>
          <cell r="AE305">
            <v>2200</v>
          </cell>
          <cell r="AI305">
            <v>0</v>
          </cell>
          <cell r="AJ305">
            <v>1.03</v>
          </cell>
          <cell r="AK305">
            <v>36.69</v>
          </cell>
          <cell r="AO305">
            <v>0</v>
          </cell>
          <cell r="AP305">
            <v>1.67</v>
          </cell>
          <cell r="AQ305">
            <v>19.989999999999998</v>
          </cell>
          <cell r="AU305">
            <v>0</v>
          </cell>
          <cell r="AV305">
            <v>0.59</v>
          </cell>
          <cell r="AW305">
            <v>43.08</v>
          </cell>
          <cell r="AX305">
            <v>21</v>
          </cell>
          <cell r="BA305">
            <v>21</v>
          </cell>
          <cell r="BB305">
            <v>2.5649999999999999</v>
          </cell>
          <cell r="BC305">
            <v>21.26</v>
          </cell>
          <cell r="BG305">
            <v>0</v>
          </cell>
          <cell r="BI305">
            <v>80</v>
          </cell>
          <cell r="BJ305">
            <v>50.6</v>
          </cell>
          <cell r="BM305">
            <v>50.6</v>
          </cell>
          <cell r="BN305">
            <v>15000</v>
          </cell>
          <cell r="BO305">
            <v>5.5</v>
          </cell>
          <cell r="BP305">
            <v>97</v>
          </cell>
          <cell r="BS305">
            <v>0</v>
          </cell>
          <cell r="BU305">
            <v>5</v>
          </cell>
          <cell r="CD305">
            <v>31</v>
          </cell>
        </row>
        <row r="306">
          <cell r="A306">
            <v>39382</v>
          </cell>
          <cell r="G306">
            <v>330</v>
          </cell>
          <cell r="H306">
            <v>0</v>
          </cell>
          <cell r="I306">
            <v>520</v>
          </cell>
          <cell r="J306">
            <v>338.6</v>
          </cell>
          <cell r="K306">
            <v>17750</v>
          </cell>
          <cell r="L306">
            <v>5750</v>
          </cell>
          <cell r="M306">
            <v>23500</v>
          </cell>
          <cell r="P306">
            <v>0</v>
          </cell>
          <cell r="S306">
            <v>30</v>
          </cell>
          <cell r="T306">
            <v>54.2</v>
          </cell>
          <cell r="V306">
            <v>54.2</v>
          </cell>
          <cell r="X306">
            <v>55.4</v>
          </cell>
          <cell r="Y306">
            <v>4000</v>
          </cell>
          <cell r="AD306">
            <v>307</v>
          </cell>
          <cell r="AE306">
            <v>1900</v>
          </cell>
          <cell r="AI306">
            <v>0</v>
          </cell>
          <cell r="AJ306">
            <v>0.56999999999999995</v>
          </cell>
          <cell r="AK306">
            <v>36.119999999999997</v>
          </cell>
          <cell r="AO306">
            <v>0</v>
          </cell>
          <cell r="AP306">
            <v>2.14</v>
          </cell>
          <cell r="AQ306">
            <v>17.850000000000001</v>
          </cell>
          <cell r="AU306">
            <v>0</v>
          </cell>
          <cell r="AV306">
            <v>0.95</v>
          </cell>
          <cell r="AW306">
            <v>42.13</v>
          </cell>
          <cell r="BA306">
            <v>0</v>
          </cell>
          <cell r="BB306">
            <v>2.714</v>
          </cell>
          <cell r="BC306">
            <v>19.14</v>
          </cell>
          <cell r="BG306">
            <v>0</v>
          </cell>
          <cell r="BI306">
            <v>80</v>
          </cell>
          <cell r="BM306">
            <v>0</v>
          </cell>
          <cell r="BO306">
            <v>5.2</v>
          </cell>
          <cell r="BP306">
            <v>92</v>
          </cell>
          <cell r="BS306">
            <v>0</v>
          </cell>
          <cell r="BU306">
            <v>5</v>
          </cell>
          <cell r="CD306">
            <v>31</v>
          </cell>
        </row>
        <row r="307">
          <cell r="A307">
            <v>39383</v>
          </cell>
          <cell r="E307">
            <v>3091</v>
          </cell>
          <cell r="G307">
            <v>920</v>
          </cell>
          <cell r="H307">
            <v>3091</v>
          </cell>
          <cell r="I307">
            <v>480</v>
          </cell>
          <cell r="J307">
            <v>420.2</v>
          </cell>
          <cell r="K307">
            <v>18750</v>
          </cell>
          <cell r="L307">
            <v>6250</v>
          </cell>
          <cell r="M307">
            <v>25000</v>
          </cell>
          <cell r="P307">
            <v>0</v>
          </cell>
          <cell r="S307">
            <v>30</v>
          </cell>
          <cell r="T307">
            <v>392.4</v>
          </cell>
          <cell r="V307">
            <v>392.4</v>
          </cell>
          <cell r="X307">
            <v>60.3</v>
          </cell>
          <cell r="Y307">
            <v>4150</v>
          </cell>
          <cell r="AD307">
            <v>195.4</v>
          </cell>
          <cell r="AE307">
            <v>1900</v>
          </cell>
          <cell r="AI307">
            <v>0</v>
          </cell>
          <cell r="AJ307">
            <v>0.92</v>
          </cell>
          <cell r="AK307">
            <v>35.200000000000003</v>
          </cell>
          <cell r="AO307">
            <v>0</v>
          </cell>
          <cell r="AP307">
            <v>2.38</v>
          </cell>
          <cell r="AQ307">
            <v>15.47</v>
          </cell>
          <cell r="AU307">
            <v>0</v>
          </cell>
          <cell r="AV307">
            <v>1.9</v>
          </cell>
          <cell r="AW307">
            <v>40.22</v>
          </cell>
          <cell r="BA307">
            <v>0</v>
          </cell>
          <cell r="BB307">
            <v>2.819</v>
          </cell>
          <cell r="BC307">
            <v>15.72</v>
          </cell>
          <cell r="BG307">
            <v>0</v>
          </cell>
          <cell r="BI307">
            <v>80</v>
          </cell>
          <cell r="BM307">
            <v>0</v>
          </cell>
          <cell r="BO307">
            <v>5</v>
          </cell>
          <cell r="BP307">
            <v>87</v>
          </cell>
          <cell r="BS307">
            <v>0</v>
          </cell>
          <cell r="BU307">
            <v>5</v>
          </cell>
          <cell r="CD307">
            <v>31</v>
          </cell>
        </row>
        <row r="308">
          <cell r="A308">
            <v>39384</v>
          </cell>
          <cell r="G308">
            <v>280</v>
          </cell>
          <cell r="H308">
            <v>0</v>
          </cell>
          <cell r="I308">
            <v>420</v>
          </cell>
          <cell r="J308">
            <v>387.2</v>
          </cell>
          <cell r="K308">
            <v>18750</v>
          </cell>
          <cell r="L308">
            <v>6150</v>
          </cell>
          <cell r="M308">
            <v>24900</v>
          </cell>
          <cell r="P308">
            <v>0</v>
          </cell>
          <cell r="S308">
            <v>30</v>
          </cell>
          <cell r="T308">
            <v>252.7</v>
          </cell>
          <cell r="V308">
            <v>252.7</v>
          </cell>
          <cell r="X308">
            <v>50</v>
          </cell>
          <cell r="Y308">
            <v>4350</v>
          </cell>
          <cell r="Z308">
            <v>320.3</v>
          </cell>
          <cell r="AD308">
            <v>159.69999999999999</v>
          </cell>
          <cell r="AE308">
            <v>2050</v>
          </cell>
          <cell r="AI308">
            <v>0</v>
          </cell>
          <cell r="AJ308">
            <v>1.1499999999999999</v>
          </cell>
          <cell r="AK308">
            <v>34.06</v>
          </cell>
          <cell r="AO308">
            <v>0</v>
          </cell>
          <cell r="AP308">
            <v>2.98</v>
          </cell>
          <cell r="AQ308">
            <v>12.5</v>
          </cell>
          <cell r="AU308">
            <v>0</v>
          </cell>
          <cell r="AV308">
            <v>0</v>
          </cell>
          <cell r="AW308">
            <v>40.22</v>
          </cell>
          <cell r="BA308">
            <v>0</v>
          </cell>
          <cell r="BB308">
            <v>2.5270000000000001</v>
          </cell>
          <cell r="BC308">
            <v>13.2</v>
          </cell>
          <cell r="BG308">
            <v>0</v>
          </cell>
          <cell r="BI308">
            <v>80</v>
          </cell>
          <cell r="BJ308">
            <v>24.7</v>
          </cell>
          <cell r="BM308">
            <v>24.7</v>
          </cell>
          <cell r="BO308">
            <v>6.1</v>
          </cell>
          <cell r="BP308">
            <v>105</v>
          </cell>
          <cell r="BS308">
            <v>0</v>
          </cell>
          <cell r="BU308">
            <v>5</v>
          </cell>
          <cell r="CD308">
            <v>31</v>
          </cell>
        </row>
        <row r="309">
          <cell r="A309">
            <v>39385</v>
          </cell>
          <cell r="B309">
            <v>1317.6</v>
          </cell>
          <cell r="G309">
            <v>310</v>
          </cell>
          <cell r="H309">
            <v>1317.6</v>
          </cell>
          <cell r="I309">
            <v>256</v>
          </cell>
          <cell r="J309">
            <v>429.3</v>
          </cell>
          <cell r="K309">
            <v>18000</v>
          </cell>
          <cell r="L309">
            <v>7100</v>
          </cell>
          <cell r="M309">
            <v>25100</v>
          </cell>
          <cell r="P309">
            <v>0</v>
          </cell>
          <cell r="S309">
            <v>220</v>
          </cell>
          <cell r="V309">
            <v>0</v>
          </cell>
          <cell r="X309">
            <v>24.8</v>
          </cell>
          <cell r="Y309">
            <v>4300</v>
          </cell>
          <cell r="AD309">
            <v>12.4</v>
          </cell>
          <cell r="AE309">
            <v>2000</v>
          </cell>
          <cell r="AI309">
            <v>0</v>
          </cell>
          <cell r="AJ309">
            <v>0.9</v>
          </cell>
          <cell r="AK309">
            <v>33.1</v>
          </cell>
          <cell r="AO309">
            <v>0</v>
          </cell>
          <cell r="AP309">
            <v>1.8</v>
          </cell>
          <cell r="AQ309">
            <v>10.7</v>
          </cell>
          <cell r="AU309">
            <v>0</v>
          </cell>
          <cell r="AV309">
            <v>0.9</v>
          </cell>
          <cell r="AW309">
            <v>39.299999999999997</v>
          </cell>
          <cell r="AX309">
            <v>24</v>
          </cell>
          <cell r="BA309">
            <v>24</v>
          </cell>
          <cell r="BB309">
            <v>1.728</v>
          </cell>
          <cell r="BC309">
            <v>38</v>
          </cell>
          <cell r="BG309">
            <v>0</v>
          </cell>
          <cell r="BI309">
            <v>80</v>
          </cell>
          <cell r="BM309">
            <v>0</v>
          </cell>
          <cell r="BO309">
            <v>10.199999999999999</v>
          </cell>
          <cell r="BP309">
            <v>95</v>
          </cell>
          <cell r="BS309">
            <v>0</v>
          </cell>
          <cell r="BU309">
            <v>5</v>
          </cell>
          <cell r="CD309">
            <v>31</v>
          </cell>
        </row>
        <row r="310">
          <cell r="A310">
            <v>39386</v>
          </cell>
          <cell r="H310">
            <v>0</v>
          </cell>
          <cell r="I310">
            <v>-601.32799999999997</v>
          </cell>
          <cell r="J310">
            <v>402.54500000000002</v>
          </cell>
          <cell r="K310">
            <v>17500</v>
          </cell>
          <cell r="L310">
            <v>6400</v>
          </cell>
          <cell r="M310">
            <v>23900</v>
          </cell>
          <cell r="P310">
            <v>0</v>
          </cell>
          <cell r="S310">
            <v>250</v>
          </cell>
          <cell r="T310">
            <v>-216.1</v>
          </cell>
          <cell r="V310">
            <v>-216.1</v>
          </cell>
          <cell r="W310">
            <v>1734.35</v>
          </cell>
          <cell r="X310">
            <v>-1298.7429999999999</v>
          </cell>
          <cell r="Y310">
            <v>4250</v>
          </cell>
          <cell r="Z310">
            <v>-300.52</v>
          </cell>
          <cell r="AD310">
            <v>805.68599999999992</v>
          </cell>
          <cell r="AE310">
            <v>2050</v>
          </cell>
          <cell r="AI310">
            <v>0</v>
          </cell>
          <cell r="AJ310">
            <v>-5.48</v>
          </cell>
          <cell r="AK310">
            <v>31.99</v>
          </cell>
          <cell r="AO310">
            <v>0</v>
          </cell>
          <cell r="AP310">
            <v>16.21</v>
          </cell>
          <cell r="AQ310">
            <v>0</v>
          </cell>
          <cell r="AU310">
            <v>0</v>
          </cell>
          <cell r="AV310">
            <v>0</v>
          </cell>
          <cell r="AW310">
            <v>39.270000000000003</v>
          </cell>
          <cell r="AX310">
            <v>25.83</v>
          </cell>
          <cell r="BA310">
            <v>25.83</v>
          </cell>
          <cell r="BB310">
            <v>43.439</v>
          </cell>
          <cell r="BC310">
            <v>52.5</v>
          </cell>
          <cell r="BG310">
            <v>0</v>
          </cell>
          <cell r="BI310">
            <v>80</v>
          </cell>
          <cell r="BJ310">
            <v>-24.74</v>
          </cell>
          <cell r="BM310">
            <v>-24.74</v>
          </cell>
          <cell r="BN310">
            <v>30000</v>
          </cell>
          <cell r="BO310">
            <v>6.8</v>
          </cell>
          <cell r="BP310">
            <v>88</v>
          </cell>
          <cell r="BS310">
            <v>0</v>
          </cell>
          <cell r="BU310">
            <v>5</v>
          </cell>
          <cell r="CD310">
            <v>31</v>
          </cell>
        </row>
        <row r="311">
          <cell r="A311">
            <v>39387</v>
          </cell>
          <cell r="G311">
            <v>440</v>
          </cell>
          <cell r="H311">
            <v>0</v>
          </cell>
          <cell r="I311">
            <v>604</v>
          </cell>
          <cell r="J311">
            <v>557.9</v>
          </cell>
          <cell r="K311">
            <v>16400</v>
          </cell>
          <cell r="L311">
            <v>6300</v>
          </cell>
          <cell r="M311">
            <v>22700</v>
          </cell>
          <cell r="N311">
            <v>220.38</v>
          </cell>
          <cell r="P311">
            <v>220.38</v>
          </cell>
          <cell r="S311">
            <v>250</v>
          </cell>
          <cell r="V311">
            <v>0</v>
          </cell>
          <cell r="X311">
            <v>74.599999999999994</v>
          </cell>
          <cell r="Y311">
            <v>4200</v>
          </cell>
          <cell r="AD311">
            <v>291.3</v>
          </cell>
          <cell r="AE311">
            <v>1800</v>
          </cell>
          <cell r="AI311">
            <v>0</v>
          </cell>
          <cell r="AJ311">
            <v>0.92</v>
          </cell>
          <cell r="AK311">
            <v>31.08</v>
          </cell>
          <cell r="AO311">
            <v>0</v>
          </cell>
          <cell r="AP311">
            <v>6.55</v>
          </cell>
          <cell r="AQ311">
            <v>0</v>
          </cell>
          <cell r="AU311">
            <v>0</v>
          </cell>
          <cell r="AV311">
            <v>0</v>
          </cell>
          <cell r="AW311">
            <v>32.729999999999997</v>
          </cell>
          <cell r="BA311">
            <v>0</v>
          </cell>
          <cell r="BB311">
            <v>2.617</v>
          </cell>
          <cell r="BC311">
            <v>49.88</v>
          </cell>
          <cell r="BG311">
            <v>0</v>
          </cell>
          <cell r="BI311">
            <v>80</v>
          </cell>
          <cell r="BM311">
            <v>0</v>
          </cell>
          <cell r="BO311">
            <v>5.4</v>
          </cell>
          <cell r="BP311">
            <v>83</v>
          </cell>
          <cell r="BS311">
            <v>0</v>
          </cell>
          <cell r="BU311">
            <v>5</v>
          </cell>
          <cell r="CD311">
            <v>31</v>
          </cell>
        </row>
        <row r="312">
          <cell r="A312">
            <v>39388</v>
          </cell>
          <cell r="G312">
            <v>630</v>
          </cell>
          <cell r="H312">
            <v>0</v>
          </cell>
          <cell r="I312">
            <v>489</v>
          </cell>
          <cell r="J312">
            <v>488.6</v>
          </cell>
          <cell r="K312">
            <v>16000</v>
          </cell>
          <cell r="L312">
            <v>6400</v>
          </cell>
          <cell r="M312">
            <v>22400</v>
          </cell>
          <cell r="N312">
            <v>139.38</v>
          </cell>
          <cell r="P312">
            <v>139.38</v>
          </cell>
          <cell r="S312">
            <v>278</v>
          </cell>
          <cell r="T312">
            <v>110.6</v>
          </cell>
          <cell r="V312">
            <v>110.6</v>
          </cell>
          <cell r="X312">
            <v>105.2</v>
          </cell>
          <cell r="Y312">
            <v>4200</v>
          </cell>
          <cell r="AD312">
            <v>323.8</v>
          </cell>
          <cell r="AE312">
            <v>1450</v>
          </cell>
          <cell r="AI312">
            <v>0</v>
          </cell>
          <cell r="AJ312">
            <v>0</v>
          </cell>
          <cell r="AK312">
            <v>31.08</v>
          </cell>
          <cell r="AO312">
            <v>0</v>
          </cell>
          <cell r="AP312">
            <v>1.31</v>
          </cell>
          <cell r="AQ312">
            <v>7.5</v>
          </cell>
          <cell r="AU312">
            <v>0</v>
          </cell>
          <cell r="AV312">
            <v>2.2599999999999998</v>
          </cell>
          <cell r="AW312">
            <v>30.46</v>
          </cell>
          <cell r="BA312">
            <v>0</v>
          </cell>
          <cell r="BB312">
            <v>2.4119999999999999</v>
          </cell>
          <cell r="BC312">
            <v>47.47</v>
          </cell>
          <cell r="BG312">
            <v>0</v>
          </cell>
          <cell r="BI312">
            <v>80</v>
          </cell>
          <cell r="BM312">
            <v>0</v>
          </cell>
          <cell r="BN312">
            <v>35000</v>
          </cell>
          <cell r="BO312">
            <v>6</v>
          </cell>
          <cell r="BP312">
            <v>77</v>
          </cell>
          <cell r="BS312">
            <v>0</v>
          </cell>
          <cell r="BU312">
            <v>5</v>
          </cell>
          <cell r="CD312">
            <v>31</v>
          </cell>
        </row>
        <row r="313">
          <cell r="A313">
            <v>39389</v>
          </cell>
          <cell r="E313">
            <v>3135.5</v>
          </cell>
          <cell r="G313">
            <v>400</v>
          </cell>
          <cell r="H313">
            <v>3135.5</v>
          </cell>
          <cell r="I313">
            <v>906</v>
          </cell>
          <cell r="J313">
            <v>530.5</v>
          </cell>
          <cell r="K313">
            <v>16700</v>
          </cell>
          <cell r="L313">
            <v>6300</v>
          </cell>
          <cell r="M313">
            <v>23000</v>
          </cell>
          <cell r="P313">
            <v>0</v>
          </cell>
          <cell r="S313">
            <v>278</v>
          </cell>
          <cell r="V313">
            <v>0</v>
          </cell>
          <cell r="X313">
            <v>62.9</v>
          </cell>
          <cell r="Y313">
            <v>4200</v>
          </cell>
          <cell r="AD313">
            <v>308.2</v>
          </cell>
          <cell r="AE313">
            <v>1100</v>
          </cell>
          <cell r="AI313">
            <v>0</v>
          </cell>
          <cell r="AJ313">
            <v>0.92</v>
          </cell>
          <cell r="AK313">
            <v>30.16</v>
          </cell>
          <cell r="AL313">
            <v>25.08</v>
          </cell>
          <cell r="AO313">
            <v>25.08</v>
          </cell>
          <cell r="AP313">
            <v>5.33</v>
          </cell>
          <cell r="AQ313">
            <v>27.5</v>
          </cell>
          <cell r="AU313">
            <v>0</v>
          </cell>
          <cell r="AV313">
            <v>2.5760000000000001</v>
          </cell>
          <cell r="AW313">
            <v>30.46</v>
          </cell>
          <cell r="BA313">
            <v>0</v>
          </cell>
          <cell r="BB313">
            <v>2.5760000000000001</v>
          </cell>
          <cell r="BC313">
            <v>44.895000000000003</v>
          </cell>
          <cell r="BG313">
            <v>0</v>
          </cell>
          <cell r="BI313">
            <v>80</v>
          </cell>
          <cell r="BM313">
            <v>0</v>
          </cell>
          <cell r="BP313">
            <v>88.5</v>
          </cell>
          <cell r="BS313">
            <v>0</v>
          </cell>
          <cell r="BU313">
            <v>5</v>
          </cell>
          <cell r="CD313">
            <v>31</v>
          </cell>
        </row>
        <row r="314">
          <cell r="A314">
            <v>39390</v>
          </cell>
          <cell r="H314">
            <v>0</v>
          </cell>
          <cell r="I314">
            <v>928</v>
          </cell>
          <cell r="J314">
            <v>561.29999999999995</v>
          </cell>
          <cell r="K314">
            <v>17400</v>
          </cell>
          <cell r="L314">
            <v>5700</v>
          </cell>
          <cell r="M314">
            <v>23100</v>
          </cell>
          <cell r="N314">
            <v>55</v>
          </cell>
          <cell r="P314">
            <v>55</v>
          </cell>
          <cell r="S314">
            <v>333</v>
          </cell>
          <cell r="T314">
            <v>55.5</v>
          </cell>
          <cell r="V314">
            <v>55.5</v>
          </cell>
          <cell r="X314">
            <v>71.3</v>
          </cell>
          <cell r="Y314">
            <v>4200</v>
          </cell>
          <cell r="Z314">
            <v>397.5</v>
          </cell>
          <cell r="AD314">
            <v>326.39999999999998</v>
          </cell>
          <cell r="AE314">
            <v>1200</v>
          </cell>
          <cell r="AI314">
            <v>0</v>
          </cell>
          <cell r="AJ314">
            <v>1.38</v>
          </cell>
          <cell r="AK314">
            <v>28.78</v>
          </cell>
          <cell r="AO314">
            <v>0</v>
          </cell>
          <cell r="AP314">
            <v>5.95</v>
          </cell>
          <cell r="AQ314">
            <v>21.3</v>
          </cell>
          <cell r="AU314">
            <v>0</v>
          </cell>
          <cell r="AW314">
            <v>30.46</v>
          </cell>
          <cell r="BA314">
            <v>0</v>
          </cell>
          <cell r="BB314">
            <v>2.77</v>
          </cell>
          <cell r="BC314">
            <v>42.12</v>
          </cell>
          <cell r="BG314">
            <v>0</v>
          </cell>
          <cell r="BI314">
            <v>80</v>
          </cell>
          <cell r="BM314">
            <v>0</v>
          </cell>
          <cell r="BP314">
            <v>88.5</v>
          </cell>
          <cell r="BS314">
            <v>0</v>
          </cell>
          <cell r="BU314">
            <v>5</v>
          </cell>
          <cell r="CD314">
            <v>31</v>
          </cell>
        </row>
        <row r="315">
          <cell r="A315">
            <v>39391</v>
          </cell>
          <cell r="C315">
            <v>2920.8</v>
          </cell>
          <cell r="H315">
            <v>2920.8</v>
          </cell>
          <cell r="I315">
            <v>1003</v>
          </cell>
          <cell r="J315">
            <v>284.8</v>
          </cell>
          <cell r="K315">
            <v>17700</v>
          </cell>
          <cell r="L315">
            <v>5450</v>
          </cell>
          <cell r="M315">
            <v>23150</v>
          </cell>
          <cell r="N315">
            <v>55.7</v>
          </cell>
          <cell r="P315">
            <v>55.7</v>
          </cell>
          <cell r="S315">
            <v>388</v>
          </cell>
          <cell r="V315">
            <v>0</v>
          </cell>
          <cell r="X315">
            <v>45.2</v>
          </cell>
          <cell r="Y315">
            <v>4400</v>
          </cell>
          <cell r="Z315">
            <v>289</v>
          </cell>
          <cell r="AD315">
            <v>252.5</v>
          </cell>
          <cell r="AE315">
            <v>1250</v>
          </cell>
          <cell r="AI315">
            <v>0</v>
          </cell>
          <cell r="AJ315">
            <v>0.11</v>
          </cell>
          <cell r="AK315">
            <v>28.67</v>
          </cell>
          <cell r="AO315">
            <v>0</v>
          </cell>
          <cell r="AP315">
            <v>6.07</v>
          </cell>
          <cell r="AQ315">
            <v>15.23</v>
          </cell>
          <cell r="AU315">
            <v>0</v>
          </cell>
          <cell r="AV315">
            <v>0.12</v>
          </cell>
          <cell r="AW315">
            <v>30.35</v>
          </cell>
          <cell r="BA315">
            <v>0</v>
          </cell>
          <cell r="BB315">
            <v>1.3859999999999999</v>
          </cell>
          <cell r="BC315">
            <v>40.729999999999997</v>
          </cell>
          <cell r="BG315">
            <v>0</v>
          </cell>
          <cell r="BI315">
            <v>80</v>
          </cell>
          <cell r="BM315">
            <v>0</v>
          </cell>
          <cell r="BN315">
            <v>30000</v>
          </cell>
          <cell r="BO315">
            <v>5.4</v>
          </cell>
          <cell r="BP315">
            <v>61</v>
          </cell>
          <cell r="BS315">
            <v>0</v>
          </cell>
          <cell r="BU315">
            <v>5</v>
          </cell>
          <cell r="CD315">
            <v>31</v>
          </cell>
        </row>
        <row r="316">
          <cell r="A316">
            <v>39392</v>
          </cell>
          <cell r="B316">
            <v>1320</v>
          </cell>
          <cell r="H316">
            <v>1320</v>
          </cell>
          <cell r="I316">
            <v>1081</v>
          </cell>
          <cell r="J316">
            <v>136.69999999999999</v>
          </cell>
          <cell r="K316">
            <v>17450</v>
          </cell>
          <cell r="L316">
            <v>6650</v>
          </cell>
          <cell r="M316">
            <v>24100</v>
          </cell>
          <cell r="P316">
            <v>0</v>
          </cell>
          <cell r="S316">
            <v>388</v>
          </cell>
          <cell r="T316">
            <v>165.9</v>
          </cell>
          <cell r="V316">
            <v>165.9</v>
          </cell>
          <cell r="X316">
            <v>25.5</v>
          </cell>
          <cell r="Y316">
            <v>4600</v>
          </cell>
          <cell r="Z316">
            <v>112.2</v>
          </cell>
          <cell r="AD316">
            <v>246</v>
          </cell>
          <cell r="AE316">
            <v>1300</v>
          </cell>
          <cell r="AI316">
            <v>0</v>
          </cell>
          <cell r="AJ316">
            <v>1.95</v>
          </cell>
          <cell r="AK316">
            <v>26.72</v>
          </cell>
          <cell r="AO316">
            <v>0</v>
          </cell>
          <cell r="AP316">
            <v>4.88</v>
          </cell>
          <cell r="AQ316">
            <v>10.35</v>
          </cell>
          <cell r="AU316">
            <v>0</v>
          </cell>
          <cell r="AV316">
            <v>1.55</v>
          </cell>
          <cell r="AW316">
            <v>28.8</v>
          </cell>
          <cell r="BA316">
            <v>0</v>
          </cell>
          <cell r="BB316">
            <v>0.95399999999999996</v>
          </cell>
          <cell r="BC316">
            <v>12.28</v>
          </cell>
          <cell r="BG316">
            <v>0</v>
          </cell>
          <cell r="BI316">
            <v>80</v>
          </cell>
          <cell r="BM316">
            <v>0</v>
          </cell>
          <cell r="BO316">
            <v>5.4</v>
          </cell>
          <cell r="BP316">
            <v>55</v>
          </cell>
          <cell r="BS316">
            <v>0</v>
          </cell>
          <cell r="BU316">
            <v>5</v>
          </cell>
          <cell r="CD316">
            <v>31</v>
          </cell>
        </row>
        <row r="317">
          <cell r="A317">
            <v>39393</v>
          </cell>
          <cell r="C317">
            <v>2708.1</v>
          </cell>
          <cell r="G317">
            <v>330</v>
          </cell>
          <cell r="H317">
            <v>2708.1</v>
          </cell>
          <cell r="I317">
            <v>1041</v>
          </cell>
          <cell r="J317">
            <v>21.8</v>
          </cell>
          <cell r="K317">
            <v>17950</v>
          </cell>
          <cell r="L317">
            <v>6950</v>
          </cell>
          <cell r="M317">
            <v>24900</v>
          </cell>
          <cell r="P317">
            <v>0</v>
          </cell>
          <cell r="S317">
            <v>388</v>
          </cell>
          <cell r="T317">
            <v>82.6</v>
          </cell>
          <cell r="V317">
            <v>82.6</v>
          </cell>
          <cell r="X317">
            <v>3.3</v>
          </cell>
          <cell r="Y317">
            <v>4650</v>
          </cell>
          <cell r="Z317">
            <v>288</v>
          </cell>
          <cell r="AD317">
            <v>38</v>
          </cell>
          <cell r="AE317">
            <v>1550</v>
          </cell>
          <cell r="AI317">
            <v>0</v>
          </cell>
          <cell r="AJ317">
            <v>0.23</v>
          </cell>
          <cell r="AK317">
            <v>26.48</v>
          </cell>
          <cell r="AO317">
            <v>0</v>
          </cell>
          <cell r="AP317">
            <v>4.05</v>
          </cell>
          <cell r="AQ317">
            <v>6.31</v>
          </cell>
          <cell r="AU317">
            <v>0</v>
          </cell>
          <cell r="AV317">
            <v>0.24</v>
          </cell>
          <cell r="AW317">
            <v>28.56</v>
          </cell>
          <cell r="BA317">
            <v>0</v>
          </cell>
          <cell r="BB317">
            <v>0.14399999999999999</v>
          </cell>
          <cell r="BC317">
            <v>12.14</v>
          </cell>
          <cell r="BG317">
            <v>0</v>
          </cell>
          <cell r="BI317">
            <v>80</v>
          </cell>
          <cell r="BM317">
            <v>0</v>
          </cell>
          <cell r="BN317">
            <v>30000</v>
          </cell>
          <cell r="BO317">
            <v>5.4</v>
          </cell>
          <cell r="BP317">
            <v>49.5</v>
          </cell>
          <cell r="BS317">
            <v>0</v>
          </cell>
          <cell r="BU317">
            <v>5</v>
          </cell>
          <cell r="CD317">
            <v>31</v>
          </cell>
        </row>
        <row r="318">
          <cell r="A318">
            <v>39394</v>
          </cell>
          <cell r="H318">
            <v>0</v>
          </cell>
          <cell r="I318">
            <v>1023</v>
          </cell>
          <cell r="J318">
            <v>166.6</v>
          </cell>
          <cell r="K318">
            <v>16950</v>
          </cell>
          <cell r="L318">
            <v>6750</v>
          </cell>
          <cell r="M318">
            <v>23700</v>
          </cell>
          <cell r="P318">
            <v>0</v>
          </cell>
          <cell r="S318">
            <v>388</v>
          </cell>
          <cell r="T318">
            <v>167.6</v>
          </cell>
          <cell r="V318">
            <v>167.6</v>
          </cell>
          <cell r="X318">
            <v>34.700000000000003</v>
          </cell>
          <cell r="Y318">
            <v>4750</v>
          </cell>
          <cell r="AD318">
            <v>298.8</v>
          </cell>
          <cell r="AE318">
            <v>1800</v>
          </cell>
          <cell r="AF318">
            <v>18</v>
          </cell>
          <cell r="AI318">
            <v>18</v>
          </cell>
          <cell r="AJ318">
            <v>1.6</v>
          </cell>
          <cell r="AK318">
            <v>42.89</v>
          </cell>
          <cell r="AL318">
            <v>49.2</v>
          </cell>
          <cell r="AO318">
            <v>49.2</v>
          </cell>
          <cell r="AP318">
            <v>7.43</v>
          </cell>
          <cell r="AQ318">
            <v>48.08</v>
          </cell>
          <cell r="AR318">
            <v>6.58</v>
          </cell>
          <cell r="AU318">
            <v>6.58</v>
          </cell>
          <cell r="AV318">
            <v>2.89</v>
          </cell>
          <cell r="AW318">
            <v>32.25</v>
          </cell>
          <cell r="BA318">
            <v>0</v>
          </cell>
          <cell r="BB318">
            <v>1.26</v>
          </cell>
          <cell r="BC318">
            <v>10.88</v>
          </cell>
          <cell r="BG318">
            <v>0</v>
          </cell>
          <cell r="BI318">
            <v>80</v>
          </cell>
          <cell r="BM318">
            <v>0</v>
          </cell>
          <cell r="BN318">
            <v>30000</v>
          </cell>
          <cell r="BO318">
            <v>8.4</v>
          </cell>
          <cell r="BP318">
            <v>41</v>
          </cell>
          <cell r="BS318">
            <v>0</v>
          </cell>
          <cell r="BU318">
            <v>5</v>
          </cell>
          <cell r="CD318">
            <v>31</v>
          </cell>
        </row>
        <row r="319">
          <cell r="A319">
            <v>39395</v>
          </cell>
          <cell r="H319">
            <v>0</v>
          </cell>
          <cell r="I319">
            <v>830</v>
          </cell>
          <cell r="J319">
            <v>285.8</v>
          </cell>
          <cell r="K319">
            <v>16100</v>
          </cell>
          <cell r="L319">
            <v>6500</v>
          </cell>
          <cell r="M319">
            <v>22600</v>
          </cell>
          <cell r="P319">
            <v>0</v>
          </cell>
          <cell r="S319">
            <v>388</v>
          </cell>
          <cell r="T319">
            <v>55.6</v>
          </cell>
          <cell r="V319">
            <v>55.6</v>
          </cell>
          <cell r="X319">
            <v>94.9</v>
          </cell>
          <cell r="Y319">
            <v>4750</v>
          </cell>
          <cell r="AD319">
            <v>295.7</v>
          </cell>
          <cell r="AE319">
            <v>1900</v>
          </cell>
          <cell r="AI319">
            <v>0</v>
          </cell>
          <cell r="AJ319">
            <v>0.11</v>
          </cell>
          <cell r="AK319">
            <v>44.38</v>
          </cell>
          <cell r="AO319">
            <v>0</v>
          </cell>
          <cell r="AP319">
            <v>3.33</v>
          </cell>
          <cell r="AQ319">
            <v>44.74</v>
          </cell>
          <cell r="AU319">
            <v>0</v>
          </cell>
          <cell r="AV319">
            <v>0.71</v>
          </cell>
          <cell r="AW319">
            <v>31.54</v>
          </cell>
          <cell r="BA319">
            <v>0</v>
          </cell>
          <cell r="BB319">
            <v>1.843</v>
          </cell>
          <cell r="BC319">
            <v>9.0299999999999994</v>
          </cell>
          <cell r="BG319">
            <v>0</v>
          </cell>
          <cell r="BI319">
            <v>80</v>
          </cell>
          <cell r="BJ319">
            <v>25.4</v>
          </cell>
          <cell r="BM319">
            <v>25.4</v>
          </cell>
          <cell r="BN319">
            <v>30000</v>
          </cell>
          <cell r="BO319">
            <v>11.4</v>
          </cell>
          <cell r="BP319">
            <v>55</v>
          </cell>
          <cell r="BS319">
            <v>0</v>
          </cell>
          <cell r="BU319">
            <v>5</v>
          </cell>
          <cell r="CD319">
            <v>31</v>
          </cell>
        </row>
        <row r="320">
          <cell r="A320">
            <v>39396</v>
          </cell>
          <cell r="H320">
            <v>0</v>
          </cell>
          <cell r="I320">
            <v>797</v>
          </cell>
          <cell r="J320">
            <v>597.6</v>
          </cell>
          <cell r="K320">
            <v>15300</v>
          </cell>
          <cell r="L320">
            <v>5900</v>
          </cell>
          <cell r="M320">
            <v>21200</v>
          </cell>
          <cell r="P320">
            <v>0</v>
          </cell>
          <cell r="S320">
            <v>388</v>
          </cell>
          <cell r="V320">
            <v>0</v>
          </cell>
          <cell r="X320">
            <v>168.3</v>
          </cell>
          <cell r="Y320">
            <v>4600</v>
          </cell>
          <cell r="AD320">
            <v>309.5</v>
          </cell>
          <cell r="AE320">
            <v>2000</v>
          </cell>
          <cell r="AI320">
            <v>0</v>
          </cell>
          <cell r="AJ320">
            <v>0.11</v>
          </cell>
          <cell r="AK320">
            <v>44.26</v>
          </cell>
          <cell r="AO320">
            <v>0</v>
          </cell>
          <cell r="AP320">
            <v>5.47</v>
          </cell>
          <cell r="AQ320">
            <v>39.270000000000003</v>
          </cell>
          <cell r="AU320">
            <v>0</v>
          </cell>
          <cell r="AV320">
            <v>0.83</v>
          </cell>
          <cell r="AW320">
            <v>30.7</v>
          </cell>
          <cell r="AX320">
            <v>25</v>
          </cell>
          <cell r="BA320">
            <v>25</v>
          </cell>
          <cell r="BB320">
            <v>2.8849999999999998</v>
          </cell>
          <cell r="BC320">
            <v>39.15</v>
          </cell>
          <cell r="BG320">
            <v>0</v>
          </cell>
          <cell r="BI320">
            <v>80</v>
          </cell>
          <cell r="BM320">
            <v>0</v>
          </cell>
          <cell r="BO320">
            <v>6.6</v>
          </cell>
          <cell r="BP320">
            <v>48.5</v>
          </cell>
          <cell r="BS320">
            <v>0</v>
          </cell>
          <cell r="BU320">
            <v>5</v>
          </cell>
          <cell r="CD320">
            <v>31</v>
          </cell>
        </row>
        <row r="321">
          <cell r="A321">
            <v>39397</v>
          </cell>
          <cell r="H321">
            <v>0</v>
          </cell>
          <cell r="I321">
            <v>369</v>
          </cell>
          <cell r="J321">
            <v>500.2</v>
          </cell>
          <cell r="K321">
            <v>14900</v>
          </cell>
          <cell r="L321">
            <v>5400</v>
          </cell>
          <cell r="M321">
            <v>20300</v>
          </cell>
          <cell r="P321">
            <v>0</v>
          </cell>
          <cell r="S321">
            <v>388</v>
          </cell>
          <cell r="T321">
            <v>111.6</v>
          </cell>
          <cell r="V321">
            <v>111.6</v>
          </cell>
          <cell r="X321">
            <v>157.80000000000001</v>
          </cell>
          <cell r="Y321">
            <v>4500</v>
          </cell>
          <cell r="Z321">
            <v>58</v>
          </cell>
          <cell r="AD321">
            <v>190.4</v>
          </cell>
          <cell r="AE321">
            <v>1900</v>
          </cell>
          <cell r="AI321">
            <v>0</v>
          </cell>
          <cell r="AJ321">
            <v>0.23</v>
          </cell>
          <cell r="AK321">
            <v>44.03</v>
          </cell>
          <cell r="AO321">
            <v>0</v>
          </cell>
          <cell r="AP321">
            <v>3.93</v>
          </cell>
          <cell r="AQ321">
            <v>35.340000000000003</v>
          </cell>
          <cell r="AU321">
            <v>0</v>
          </cell>
          <cell r="AV321">
            <v>0.12</v>
          </cell>
          <cell r="AW321">
            <v>30.58</v>
          </cell>
          <cell r="BA321">
            <v>0</v>
          </cell>
          <cell r="BB321">
            <v>2.2360000000000002</v>
          </cell>
          <cell r="BC321">
            <v>36.917000000000002</v>
          </cell>
          <cell r="BG321">
            <v>0</v>
          </cell>
          <cell r="BI321">
            <v>80</v>
          </cell>
          <cell r="BM321">
            <v>0</v>
          </cell>
          <cell r="BO321">
            <v>6</v>
          </cell>
          <cell r="BP321">
            <v>42.5</v>
          </cell>
          <cell r="BS321">
            <v>0</v>
          </cell>
          <cell r="BU321">
            <v>5</v>
          </cell>
          <cell r="CD321">
            <v>31</v>
          </cell>
        </row>
        <row r="322">
          <cell r="A322">
            <v>39398</v>
          </cell>
          <cell r="H322">
            <v>0</v>
          </cell>
          <cell r="I322">
            <v>241.8</v>
          </cell>
          <cell r="J322">
            <v>585.20000000000005</v>
          </cell>
          <cell r="K322">
            <v>14600</v>
          </cell>
          <cell r="L322">
            <v>4800</v>
          </cell>
          <cell r="M322">
            <v>19400</v>
          </cell>
          <cell r="P322">
            <v>0</v>
          </cell>
          <cell r="S322">
            <v>388</v>
          </cell>
          <cell r="T322">
            <v>164.5</v>
          </cell>
          <cell r="V322">
            <v>164.5</v>
          </cell>
          <cell r="X322">
            <v>181.3</v>
          </cell>
          <cell r="Y322">
            <v>4500</v>
          </cell>
          <cell r="AD322">
            <v>316.2</v>
          </cell>
          <cell r="AE322">
            <v>1600</v>
          </cell>
          <cell r="AI322">
            <v>0</v>
          </cell>
          <cell r="AJ322">
            <v>0.92</v>
          </cell>
          <cell r="AK322">
            <v>42.89</v>
          </cell>
          <cell r="AO322">
            <v>0</v>
          </cell>
          <cell r="AP322">
            <v>2.74</v>
          </cell>
          <cell r="AQ322">
            <v>32.61</v>
          </cell>
          <cell r="AU322">
            <v>0</v>
          </cell>
          <cell r="AW322">
            <v>30.58</v>
          </cell>
          <cell r="BA322">
            <v>0</v>
          </cell>
          <cell r="BB322">
            <v>2.9289999999999998</v>
          </cell>
          <cell r="BC322">
            <v>29.928000000000001</v>
          </cell>
          <cell r="BG322">
            <v>0</v>
          </cell>
          <cell r="BI322">
            <v>80</v>
          </cell>
          <cell r="BM322">
            <v>0</v>
          </cell>
          <cell r="BN322">
            <v>35000</v>
          </cell>
          <cell r="BO322">
            <v>6</v>
          </cell>
          <cell r="BP322">
            <v>36.5</v>
          </cell>
          <cell r="BS322">
            <v>0</v>
          </cell>
          <cell r="BU322">
            <v>5</v>
          </cell>
          <cell r="CD322">
            <v>31</v>
          </cell>
        </row>
        <row r="323">
          <cell r="A323">
            <v>39399</v>
          </cell>
          <cell r="E323">
            <v>1850</v>
          </cell>
          <cell r="G323">
            <v>210</v>
          </cell>
          <cell r="H323">
            <v>1850</v>
          </cell>
          <cell r="I323">
            <v>400</v>
          </cell>
          <cell r="J323">
            <v>515.5</v>
          </cell>
          <cell r="K323">
            <v>15800</v>
          </cell>
          <cell r="L323">
            <v>4500</v>
          </cell>
          <cell r="M323">
            <v>20300</v>
          </cell>
          <cell r="P323">
            <v>0</v>
          </cell>
          <cell r="S323">
            <v>388</v>
          </cell>
          <cell r="T323">
            <v>139.1</v>
          </cell>
          <cell r="V323">
            <v>139.1</v>
          </cell>
          <cell r="X323">
            <v>191.1</v>
          </cell>
          <cell r="Y323">
            <v>4500</v>
          </cell>
          <cell r="AD323">
            <v>322.8</v>
          </cell>
          <cell r="AE323">
            <v>1200</v>
          </cell>
          <cell r="AI323">
            <v>0</v>
          </cell>
          <cell r="AJ323">
            <v>1.1499999999999999</v>
          </cell>
          <cell r="AK323">
            <v>41.74</v>
          </cell>
          <cell r="AL323">
            <v>24.18</v>
          </cell>
          <cell r="AO323">
            <v>24.18</v>
          </cell>
          <cell r="AP323">
            <v>2.0499999999999998</v>
          </cell>
          <cell r="AQ323">
            <v>54.74</v>
          </cell>
          <cell r="AU323">
            <v>0</v>
          </cell>
          <cell r="AV323">
            <v>0.83</v>
          </cell>
          <cell r="AW323">
            <v>29.75</v>
          </cell>
          <cell r="BA323">
            <v>0</v>
          </cell>
          <cell r="BB323">
            <v>2.718</v>
          </cell>
          <cell r="BC323">
            <v>27.21</v>
          </cell>
          <cell r="BG323">
            <v>0</v>
          </cell>
          <cell r="BI323">
            <v>40</v>
          </cell>
          <cell r="BM323">
            <v>0</v>
          </cell>
          <cell r="BN323">
            <v>35000</v>
          </cell>
          <cell r="BO323">
            <v>5.6</v>
          </cell>
          <cell r="BP323">
            <v>30.9</v>
          </cell>
          <cell r="BS323">
            <v>0</v>
          </cell>
          <cell r="BU323">
            <v>5</v>
          </cell>
          <cell r="CD323">
            <v>31</v>
          </cell>
        </row>
        <row r="324">
          <cell r="A324">
            <v>39400</v>
          </cell>
          <cell r="E324">
            <v>1302</v>
          </cell>
          <cell r="G324">
            <v>140</v>
          </cell>
          <cell r="H324">
            <v>1302</v>
          </cell>
          <cell r="I324">
            <v>418.3</v>
          </cell>
          <cell r="J324">
            <v>484.7</v>
          </cell>
          <cell r="K324">
            <v>16600</v>
          </cell>
          <cell r="L324">
            <v>4200</v>
          </cell>
          <cell r="M324">
            <v>20800</v>
          </cell>
          <cell r="P324">
            <v>0</v>
          </cell>
          <cell r="S324">
            <v>388</v>
          </cell>
          <cell r="T324">
            <v>166.8</v>
          </cell>
          <cell r="V324">
            <v>166.8</v>
          </cell>
          <cell r="X324">
            <v>163.69999999999999</v>
          </cell>
          <cell r="Y324">
            <v>4500</v>
          </cell>
          <cell r="Z324">
            <v>59</v>
          </cell>
          <cell r="AD324">
            <v>169.5</v>
          </cell>
          <cell r="AE324">
            <v>1300</v>
          </cell>
          <cell r="AI324">
            <v>0</v>
          </cell>
          <cell r="AJ324">
            <v>1.03</v>
          </cell>
          <cell r="AK324">
            <v>40.71</v>
          </cell>
          <cell r="AO324">
            <v>0</v>
          </cell>
          <cell r="AP324">
            <v>3.45</v>
          </cell>
          <cell r="AQ324">
            <v>51.29</v>
          </cell>
          <cell r="AU324">
            <v>0</v>
          </cell>
          <cell r="AW324">
            <v>29.75</v>
          </cell>
          <cell r="AX324">
            <v>24.96</v>
          </cell>
          <cell r="BA324">
            <v>24.96</v>
          </cell>
          <cell r="BB324">
            <v>2.0699999999999998</v>
          </cell>
          <cell r="BC324">
            <v>50.1</v>
          </cell>
          <cell r="BG324">
            <v>0</v>
          </cell>
          <cell r="BI324">
            <v>40</v>
          </cell>
          <cell r="BM324">
            <v>0</v>
          </cell>
          <cell r="BN324">
            <v>40000</v>
          </cell>
          <cell r="BO324">
            <v>10</v>
          </cell>
          <cell r="BP324">
            <v>20.9</v>
          </cell>
          <cell r="BS324">
            <v>0</v>
          </cell>
          <cell r="BU324">
            <v>5</v>
          </cell>
          <cell r="CD324">
            <v>31</v>
          </cell>
        </row>
        <row r="325">
          <cell r="A325">
            <v>39401</v>
          </cell>
          <cell r="B325">
            <v>605.16</v>
          </cell>
          <cell r="G325">
            <v>200</v>
          </cell>
          <cell r="H325">
            <v>605.16</v>
          </cell>
          <cell r="I325">
            <v>434.5</v>
          </cell>
          <cell r="J325">
            <v>568.29999999999995</v>
          </cell>
          <cell r="K325">
            <v>17500</v>
          </cell>
          <cell r="L325">
            <v>4400</v>
          </cell>
          <cell r="M325">
            <v>21900</v>
          </cell>
          <cell r="P325">
            <v>0</v>
          </cell>
          <cell r="S325">
            <v>388</v>
          </cell>
          <cell r="T325">
            <v>138.30000000000001</v>
          </cell>
          <cell r="V325">
            <v>138.30000000000001</v>
          </cell>
          <cell r="X325">
            <v>171.6</v>
          </cell>
          <cell r="Y325">
            <v>4400</v>
          </cell>
          <cell r="AD325">
            <v>264</v>
          </cell>
          <cell r="AE325">
            <v>1000</v>
          </cell>
          <cell r="AI325">
            <v>0</v>
          </cell>
          <cell r="AJ325">
            <v>0.92</v>
          </cell>
          <cell r="AK325">
            <v>39.79</v>
          </cell>
          <cell r="AO325">
            <v>0</v>
          </cell>
          <cell r="AP325">
            <v>3.57</v>
          </cell>
          <cell r="AQ325">
            <v>47.72</v>
          </cell>
          <cell r="AU325">
            <v>0</v>
          </cell>
          <cell r="AW325">
            <v>29.75</v>
          </cell>
          <cell r="BA325">
            <v>0</v>
          </cell>
          <cell r="BB325">
            <v>2.5760000000000001</v>
          </cell>
          <cell r="BC325">
            <v>47.524000000000001</v>
          </cell>
          <cell r="BG325">
            <v>0</v>
          </cell>
          <cell r="BI325">
            <v>40</v>
          </cell>
          <cell r="BM325">
            <v>0</v>
          </cell>
          <cell r="BN325">
            <v>30000</v>
          </cell>
          <cell r="BO325">
            <v>6</v>
          </cell>
          <cell r="BP325">
            <v>14.9</v>
          </cell>
          <cell r="BS325">
            <v>0</v>
          </cell>
          <cell r="BU325">
            <v>5</v>
          </cell>
          <cell r="CD325">
            <v>31</v>
          </cell>
        </row>
        <row r="326">
          <cell r="A326">
            <v>39402</v>
          </cell>
          <cell r="B326">
            <v>659.8</v>
          </cell>
          <cell r="C326">
            <v>2901</v>
          </cell>
          <cell r="G326">
            <v>330</v>
          </cell>
          <cell r="H326">
            <v>3560.8</v>
          </cell>
          <cell r="I326">
            <v>321</v>
          </cell>
          <cell r="J326">
            <v>799.2</v>
          </cell>
          <cell r="K326">
            <v>18200</v>
          </cell>
          <cell r="L326">
            <v>4250</v>
          </cell>
          <cell r="M326">
            <v>22450</v>
          </cell>
          <cell r="P326">
            <v>0</v>
          </cell>
          <cell r="S326">
            <v>500</v>
          </cell>
          <cell r="T326">
            <v>27.5</v>
          </cell>
          <cell r="V326">
            <v>27.5</v>
          </cell>
          <cell r="X326">
            <v>147.1</v>
          </cell>
          <cell r="Y326">
            <v>4300</v>
          </cell>
          <cell r="AD326">
            <v>63.7</v>
          </cell>
          <cell r="AE326">
            <v>800</v>
          </cell>
          <cell r="AI326">
            <v>0</v>
          </cell>
          <cell r="AJ326">
            <v>1.26</v>
          </cell>
          <cell r="AK326">
            <v>38.53</v>
          </cell>
          <cell r="AO326">
            <v>0</v>
          </cell>
          <cell r="AP326">
            <v>3.09</v>
          </cell>
          <cell r="AQ326">
            <v>44.63</v>
          </cell>
          <cell r="AU326">
            <v>0</v>
          </cell>
          <cell r="AV326">
            <v>1.07</v>
          </cell>
          <cell r="AW326">
            <v>28.68</v>
          </cell>
          <cell r="BA326">
            <v>0</v>
          </cell>
          <cell r="BB326">
            <v>3.0979999999999999</v>
          </cell>
          <cell r="BC326">
            <v>44.42</v>
          </cell>
          <cell r="BG326">
            <v>0</v>
          </cell>
          <cell r="BI326">
            <v>40</v>
          </cell>
          <cell r="BJ326">
            <v>25.6</v>
          </cell>
          <cell r="BM326">
            <v>25.6</v>
          </cell>
          <cell r="BN326">
            <v>30000</v>
          </cell>
          <cell r="BO326">
            <v>3.6</v>
          </cell>
          <cell r="BP326">
            <v>37</v>
          </cell>
          <cell r="BS326">
            <v>0</v>
          </cell>
          <cell r="BU326">
            <v>5</v>
          </cell>
          <cell r="CD326">
            <v>31</v>
          </cell>
        </row>
        <row r="327">
          <cell r="A327">
            <v>39403</v>
          </cell>
          <cell r="B327">
            <v>55</v>
          </cell>
          <cell r="G327">
            <v>1130</v>
          </cell>
          <cell r="H327">
            <v>55</v>
          </cell>
          <cell r="I327">
            <v>346</v>
          </cell>
          <cell r="J327">
            <v>747.3</v>
          </cell>
          <cell r="K327">
            <v>16700</v>
          </cell>
          <cell r="L327">
            <v>5000</v>
          </cell>
          <cell r="M327">
            <v>21700</v>
          </cell>
          <cell r="P327">
            <v>0</v>
          </cell>
          <cell r="S327">
            <v>500</v>
          </cell>
          <cell r="V327">
            <v>0</v>
          </cell>
          <cell r="X327">
            <v>149.69999999999999</v>
          </cell>
          <cell r="Y327">
            <v>4150</v>
          </cell>
          <cell r="AD327">
            <v>60.2</v>
          </cell>
          <cell r="AE327">
            <v>750</v>
          </cell>
          <cell r="AI327">
            <v>0</v>
          </cell>
          <cell r="AJ327">
            <v>0.92</v>
          </cell>
          <cell r="AK327">
            <v>37.61</v>
          </cell>
          <cell r="AO327">
            <v>0</v>
          </cell>
          <cell r="AP327">
            <v>3.09</v>
          </cell>
          <cell r="AQ327">
            <v>41.53</v>
          </cell>
          <cell r="AU327">
            <v>0</v>
          </cell>
          <cell r="AV327">
            <v>1.9</v>
          </cell>
          <cell r="AW327">
            <v>26.78</v>
          </cell>
          <cell r="BA327">
            <v>0</v>
          </cell>
          <cell r="BB327">
            <v>2.8959999999999999</v>
          </cell>
          <cell r="BC327">
            <v>41.53</v>
          </cell>
          <cell r="BG327">
            <v>0</v>
          </cell>
          <cell r="BI327">
            <v>40</v>
          </cell>
          <cell r="BM327">
            <v>0</v>
          </cell>
          <cell r="BO327">
            <v>5.4</v>
          </cell>
          <cell r="BP327">
            <v>31</v>
          </cell>
          <cell r="BS327">
            <v>0</v>
          </cell>
          <cell r="BU327">
            <v>5</v>
          </cell>
          <cell r="CD327">
            <v>31</v>
          </cell>
        </row>
        <row r="328">
          <cell r="A328">
            <v>39404</v>
          </cell>
          <cell r="G328">
            <v>970</v>
          </cell>
          <cell r="H328">
            <v>0</v>
          </cell>
          <cell r="I328">
            <v>365</v>
          </cell>
          <cell r="J328">
            <v>644</v>
          </cell>
          <cell r="K328">
            <v>15350</v>
          </cell>
          <cell r="L328">
            <v>5350</v>
          </cell>
          <cell r="M328">
            <v>20700</v>
          </cell>
          <cell r="P328">
            <v>0</v>
          </cell>
          <cell r="S328">
            <v>500</v>
          </cell>
          <cell r="T328">
            <v>193.3</v>
          </cell>
          <cell r="V328">
            <v>193.3</v>
          </cell>
          <cell r="X328">
            <v>150.5</v>
          </cell>
          <cell r="Y328">
            <v>4200</v>
          </cell>
          <cell r="AD328">
            <v>53.7</v>
          </cell>
          <cell r="AE328">
            <v>700</v>
          </cell>
          <cell r="AI328">
            <v>0</v>
          </cell>
          <cell r="AJ328">
            <v>0.92</v>
          </cell>
          <cell r="AK328">
            <v>36.69</v>
          </cell>
          <cell r="AO328">
            <v>0</v>
          </cell>
          <cell r="AP328">
            <v>3.45</v>
          </cell>
          <cell r="AQ328">
            <v>38.08</v>
          </cell>
          <cell r="AU328">
            <v>0</v>
          </cell>
          <cell r="AV328">
            <v>0.7</v>
          </cell>
          <cell r="AW328">
            <v>26.06</v>
          </cell>
          <cell r="BA328">
            <v>0</v>
          </cell>
          <cell r="BB328">
            <v>2.605</v>
          </cell>
          <cell r="BC328">
            <v>38.92</v>
          </cell>
          <cell r="BG328">
            <v>0</v>
          </cell>
          <cell r="BI328">
            <v>40</v>
          </cell>
          <cell r="BM328">
            <v>0</v>
          </cell>
          <cell r="BO328">
            <v>6</v>
          </cell>
          <cell r="BP328">
            <v>25</v>
          </cell>
          <cell r="BS328">
            <v>0</v>
          </cell>
          <cell r="BU328">
            <v>5</v>
          </cell>
          <cell r="CD328">
            <v>31</v>
          </cell>
        </row>
        <row r="329">
          <cell r="A329">
            <v>39405</v>
          </cell>
          <cell r="G329">
            <v>270</v>
          </cell>
          <cell r="H329">
            <v>0</v>
          </cell>
          <cell r="I329">
            <v>370</v>
          </cell>
          <cell r="J329">
            <v>532.4</v>
          </cell>
          <cell r="K329">
            <v>15850</v>
          </cell>
          <cell r="L329">
            <v>5050</v>
          </cell>
          <cell r="M329">
            <v>20900</v>
          </cell>
          <cell r="P329">
            <v>0</v>
          </cell>
          <cell r="S329">
            <v>500</v>
          </cell>
          <cell r="T329">
            <v>167</v>
          </cell>
          <cell r="V329">
            <v>167</v>
          </cell>
          <cell r="X329">
            <v>224</v>
          </cell>
          <cell r="Y329">
            <v>4150</v>
          </cell>
          <cell r="AD329">
            <v>45.9</v>
          </cell>
          <cell r="AE329">
            <v>650</v>
          </cell>
          <cell r="AI329">
            <v>0</v>
          </cell>
          <cell r="AJ329">
            <v>1.03</v>
          </cell>
          <cell r="AK329">
            <v>35.659999999999997</v>
          </cell>
          <cell r="AO329">
            <v>0</v>
          </cell>
          <cell r="AP329">
            <v>3.33</v>
          </cell>
          <cell r="AQ329">
            <v>34.75</v>
          </cell>
          <cell r="AU329">
            <v>0</v>
          </cell>
          <cell r="AV329">
            <v>1.07</v>
          </cell>
          <cell r="AW329">
            <v>24.99</v>
          </cell>
          <cell r="BA329">
            <v>0</v>
          </cell>
          <cell r="BB329">
            <v>2.5489999999999999</v>
          </cell>
          <cell r="BC329">
            <v>36.369999999999997</v>
          </cell>
          <cell r="BG329">
            <v>0</v>
          </cell>
          <cell r="BI329">
            <v>40</v>
          </cell>
          <cell r="BM329">
            <v>0</v>
          </cell>
          <cell r="BN329">
            <v>20000</v>
          </cell>
          <cell r="BO329">
            <v>5.5</v>
          </cell>
          <cell r="BP329">
            <v>20</v>
          </cell>
          <cell r="BS329">
            <v>0</v>
          </cell>
          <cell r="BU329">
            <v>5</v>
          </cell>
          <cell r="CD329">
            <v>31</v>
          </cell>
        </row>
        <row r="330">
          <cell r="A330">
            <v>39406</v>
          </cell>
          <cell r="B330">
            <v>605.1</v>
          </cell>
          <cell r="E330">
            <v>3162.3</v>
          </cell>
          <cell r="G330">
            <v>240</v>
          </cell>
          <cell r="H330">
            <v>3767.4</v>
          </cell>
          <cell r="I330">
            <v>349</v>
          </cell>
          <cell r="J330">
            <v>494.8</v>
          </cell>
          <cell r="K330">
            <v>17300</v>
          </cell>
          <cell r="L330">
            <v>5450</v>
          </cell>
          <cell r="M330">
            <v>22750</v>
          </cell>
          <cell r="P330">
            <v>0</v>
          </cell>
          <cell r="S330">
            <v>500</v>
          </cell>
          <cell r="T330">
            <v>139.30000000000001</v>
          </cell>
          <cell r="V330">
            <v>139.30000000000001</v>
          </cell>
          <cell r="X330">
            <v>182.6</v>
          </cell>
          <cell r="Y330">
            <v>4100</v>
          </cell>
          <cell r="Z330">
            <v>231.2</v>
          </cell>
          <cell r="AD330">
            <v>42.6</v>
          </cell>
          <cell r="AE330">
            <v>850</v>
          </cell>
          <cell r="AI330">
            <v>0</v>
          </cell>
          <cell r="AJ330">
            <v>1.03</v>
          </cell>
          <cell r="AK330">
            <v>34.630000000000003</v>
          </cell>
          <cell r="AO330">
            <v>0</v>
          </cell>
          <cell r="AP330">
            <v>3.21</v>
          </cell>
          <cell r="AQ330">
            <v>31.54</v>
          </cell>
          <cell r="AU330">
            <v>0</v>
          </cell>
          <cell r="AV330">
            <v>1.43</v>
          </cell>
          <cell r="AW330">
            <v>23.56</v>
          </cell>
          <cell r="AX330">
            <v>20.98</v>
          </cell>
          <cell r="BA330">
            <v>20.98</v>
          </cell>
          <cell r="BB330">
            <v>2.3559999999999999</v>
          </cell>
          <cell r="BC330">
            <v>46</v>
          </cell>
          <cell r="BG330">
            <v>0</v>
          </cell>
          <cell r="BI330">
            <v>40</v>
          </cell>
          <cell r="BJ330">
            <v>25.5</v>
          </cell>
          <cell r="BM330">
            <v>25.5</v>
          </cell>
          <cell r="BN330">
            <v>30000</v>
          </cell>
          <cell r="BO330">
            <v>5.4</v>
          </cell>
          <cell r="BP330">
            <v>40</v>
          </cell>
          <cell r="BS330">
            <v>0</v>
          </cell>
          <cell r="BU330">
            <v>5</v>
          </cell>
          <cell r="CD330">
            <v>28</v>
          </cell>
        </row>
        <row r="331">
          <cell r="A331">
            <v>39407</v>
          </cell>
          <cell r="B331">
            <v>659.9</v>
          </cell>
          <cell r="H331">
            <v>659.9</v>
          </cell>
          <cell r="I331">
            <v>153</v>
          </cell>
          <cell r="J331">
            <v>531.6</v>
          </cell>
          <cell r="K331">
            <v>17150</v>
          </cell>
          <cell r="L331">
            <v>5550</v>
          </cell>
          <cell r="M331">
            <v>22700</v>
          </cell>
          <cell r="P331">
            <v>0</v>
          </cell>
          <cell r="S331">
            <v>500</v>
          </cell>
          <cell r="T331">
            <v>27.8</v>
          </cell>
          <cell r="V331">
            <v>27.8</v>
          </cell>
          <cell r="X331">
            <v>226.8</v>
          </cell>
          <cell r="Y331">
            <v>3900</v>
          </cell>
          <cell r="Z331">
            <v>174.5</v>
          </cell>
          <cell r="AD331">
            <v>51.9</v>
          </cell>
          <cell r="AE331">
            <v>950</v>
          </cell>
          <cell r="AI331">
            <v>0</v>
          </cell>
          <cell r="AJ331">
            <v>1.03</v>
          </cell>
          <cell r="AK331">
            <v>33.6</v>
          </cell>
          <cell r="AO331">
            <v>0</v>
          </cell>
          <cell r="AP331">
            <v>1.55</v>
          </cell>
          <cell r="AQ331">
            <v>29.99</v>
          </cell>
          <cell r="AU331">
            <v>0</v>
          </cell>
          <cell r="AV331">
            <v>0.36</v>
          </cell>
          <cell r="AW331">
            <v>23.21</v>
          </cell>
          <cell r="BA331">
            <v>0</v>
          </cell>
          <cell r="BB331">
            <v>2.552</v>
          </cell>
          <cell r="BC331">
            <v>43.44</v>
          </cell>
          <cell r="BG331">
            <v>0</v>
          </cell>
          <cell r="BI331">
            <v>40</v>
          </cell>
          <cell r="BM331">
            <v>0</v>
          </cell>
          <cell r="BN331">
            <v>35000</v>
          </cell>
          <cell r="BO331">
            <v>5.4</v>
          </cell>
          <cell r="BP331">
            <v>34.5</v>
          </cell>
          <cell r="BS331">
            <v>0</v>
          </cell>
          <cell r="BU331">
            <v>5</v>
          </cell>
          <cell r="CD331">
            <v>28</v>
          </cell>
        </row>
        <row r="332">
          <cell r="A332">
            <v>39408</v>
          </cell>
          <cell r="H332">
            <v>0</v>
          </cell>
          <cell r="I332">
            <v>112</v>
          </cell>
          <cell r="J332">
            <v>582.6</v>
          </cell>
          <cell r="K332">
            <v>17050</v>
          </cell>
          <cell r="L332">
            <v>5000</v>
          </cell>
          <cell r="M332">
            <v>22050</v>
          </cell>
          <cell r="P332">
            <v>0</v>
          </cell>
          <cell r="S332">
            <v>500</v>
          </cell>
          <cell r="T332">
            <v>223.7</v>
          </cell>
          <cell r="V332">
            <v>223.7</v>
          </cell>
          <cell r="X332">
            <v>222.5</v>
          </cell>
          <cell r="Y332">
            <v>3900</v>
          </cell>
          <cell r="Z332">
            <v>228</v>
          </cell>
          <cell r="AD332">
            <v>61.1</v>
          </cell>
          <cell r="AE332">
            <v>1100</v>
          </cell>
          <cell r="AI332">
            <v>0</v>
          </cell>
          <cell r="AJ332">
            <v>1.03</v>
          </cell>
          <cell r="AK332">
            <v>32.57</v>
          </cell>
          <cell r="AO332">
            <v>0</v>
          </cell>
          <cell r="AP332">
            <v>1.31</v>
          </cell>
          <cell r="AQ332">
            <v>28.68</v>
          </cell>
          <cell r="AU332">
            <v>0</v>
          </cell>
          <cell r="AV332">
            <v>0.83</v>
          </cell>
          <cell r="AW332">
            <v>22.37</v>
          </cell>
          <cell r="BA332">
            <v>0</v>
          </cell>
          <cell r="BB332">
            <v>2.7280000000000002</v>
          </cell>
          <cell r="BC332">
            <v>40.72</v>
          </cell>
          <cell r="BG332">
            <v>0</v>
          </cell>
          <cell r="BI332">
            <v>40</v>
          </cell>
          <cell r="BM332">
            <v>0</v>
          </cell>
          <cell r="BN332">
            <v>10000</v>
          </cell>
          <cell r="BO332">
            <v>10.199999999999999</v>
          </cell>
          <cell r="BP332">
            <v>24.5</v>
          </cell>
          <cell r="BS332">
            <v>0</v>
          </cell>
          <cell r="BU332">
            <v>5</v>
          </cell>
          <cell r="CD332">
            <v>28</v>
          </cell>
        </row>
        <row r="333">
          <cell r="A333">
            <v>39409</v>
          </cell>
          <cell r="G333">
            <v>120</v>
          </cell>
          <cell r="H333">
            <v>0</v>
          </cell>
          <cell r="I333">
            <v>401</v>
          </cell>
          <cell r="J333">
            <v>615.1</v>
          </cell>
          <cell r="K333">
            <v>16500</v>
          </cell>
          <cell r="L333">
            <v>4500</v>
          </cell>
          <cell r="M333">
            <v>21000</v>
          </cell>
          <cell r="P333">
            <v>0</v>
          </cell>
          <cell r="S333">
            <v>500</v>
          </cell>
          <cell r="T333">
            <v>53.4</v>
          </cell>
          <cell r="V333">
            <v>53.4</v>
          </cell>
          <cell r="X333">
            <v>184.6</v>
          </cell>
          <cell r="Y333">
            <v>3800</v>
          </cell>
          <cell r="Z333">
            <v>598.1</v>
          </cell>
          <cell r="AD333">
            <v>61.03</v>
          </cell>
          <cell r="AE333">
            <v>1650</v>
          </cell>
          <cell r="AI333">
            <v>0</v>
          </cell>
          <cell r="AJ333">
            <v>1.03</v>
          </cell>
          <cell r="AK333">
            <v>31.53</v>
          </cell>
          <cell r="AL333">
            <v>23.14</v>
          </cell>
          <cell r="AO333">
            <v>23.14</v>
          </cell>
          <cell r="AP333">
            <v>4.34</v>
          </cell>
          <cell r="AQ333">
            <v>47.48</v>
          </cell>
          <cell r="AU333">
            <v>0</v>
          </cell>
          <cell r="AV333">
            <v>0.71</v>
          </cell>
          <cell r="AW333">
            <v>21.66</v>
          </cell>
          <cell r="BA333">
            <v>0</v>
          </cell>
          <cell r="BB333">
            <v>2.7320000000000002</v>
          </cell>
          <cell r="BC333">
            <v>38.229999999999997</v>
          </cell>
          <cell r="BG333">
            <v>0</v>
          </cell>
          <cell r="BI333">
            <v>40</v>
          </cell>
          <cell r="BJ333">
            <v>24.4</v>
          </cell>
          <cell r="BM333">
            <v>24.4</v>
          </cell>
          <cell r="BO333">
            <v>10</v>
          </cell>
          <cell r="BP333">
            <v>39</v>
          </cell>
          <cell r="BS333">
            <v>0</v>
          </cell>
          <cell r="BU333">
            <v>5</v>
          </cell>
          <cell r="CD333">
            <v>28</v>
          </cell>
        </row>
        <row r="334">
          <cell r="A334">
            <v>39410</v>
          </cell>
          <cell r="H334">
            <v>0</v>
          </cell>
          <cell r="I334">
            <v>384</v>
          </cell>
          <cell r="J334">
            <v>419.3</v>
          </cell>
          <cell r="K334">
            <v>16100</v>
          </cell>
          <cell r="L334">
            <v>4100</v>
          </cell>
          <cell r="M334">
            <v>20200</v>
          </cell>
          <cell r="P334">
            <v>0</v>
          </cell>
          <cell r="S334">
            <v>500</v>
          </cell>
          <cell r="V334">
            <v>0</v>
          </cell>
          <cell r="X334">
            <v>1.9</v>
          </cell>
          <cell r="Y334">
            <v>3800</v>
          </cell>
          <cell r="Z334">
            <v>287.3</v>
          </cell>
          <cell r="AD334">
            <v>131</v>
          </cell>
          <cell r="AE334">
            <v>1800</v>
          </cell>
          <cell r="AI334">
            <v>0</v>
          </cell>
          <cell r="AJ334">
            <v>0.92</v>
          </cell>
          <cell r="AK334">
            <v>30.62</v>
          </cell>
          <cell r="AO334">
            <v>0</v>
          </cell>
          <cell r="AP334">
            <v>1.67</v>
          </cell>
          <cell r="AQ334">
            <v>45.82</v>
          </cell>
          <cell r="AU334">
            <v>0</v>
          </cell>
          <cell r="AV334">
            <v>0.95</v>
          </cell>
          <cell r="AW334">
            <v>20.71</v>
          </cell>
          <cell r="BA334">
            <v>0</v>
          </cell>
          <cell r="BB334">
            <v>2.1509999999999998</v>
          </cell>
          <cell r="BC334">
            <v>35.936999999999998</v>
          </cell>
          <cell r="BG334">
            <v>0</v>
          </cell>
          <cell r="BI334">
            <v>40</v>
          </cell>
          <cell r="BM334">
            <v>0</v>
          </cell>
          <cell r="BO334">
            <v>5.7</v>
          </cell>
          <cell r="BP334">
            <v>33.299999999999997</v>
          </cell>
          <cell r="BS334">
            <v>0</v>
          </cell>
          <cell r="BU334">
            <v>5</v>
          </cell>
          <cell r="CD334">
            <v>28</v>
          </cell>
        </row>
        <row r="335">
          <cell r="A335">
            <v>39411</v>
          </cell>
          <cell r="G335">
            <v>650</v>
          </cell>
          <cell r="H335">
            <v>0</v>
          </cell>
          <cell r="I335">
            <v>363</v>
          </cell>
          <cell r="J335">
            <v>456.4</v>
          </cell>
          <cell r="K335">
            <v>16300</v>
          </cell>
          <cell r="L335">
            <v>4300</v>
          </cell>
          <cell r="M335">
            <v>20600</v>
          </cell>
          <cell r="P335">
            <v>0</v>
          </cell>
          <cell r="S335">
            <v>500</v>
          </cell>
          <cell r="T335">
            <v>28.2</v>
          </cell>
          <cell r="V335">
            <v>28.2</v>
          </cell>
          <cell r="X335">
            <v>3</v>
          </cell>
          <cell r="Y335">
            <v>3800</v>
          </cell>
          <cell r="Z335">
            <v>116</v>
          </cell>
          <cell r="AD335">
            <v>164.4</v>
          </cell>
          <cell r="AE335">
            <v>1800</v>
          </cell>
          <cell r="AI335">
            <v>0</v>
          </cell>
          <cell r="AJ335">
            <v>1.1499999999999999</v>
          </cell>
          <cell r="AK335">
            <v>29.47</v>
          </cell>
          <cell r="AO335">
            <v>0</v>
          </cell>
          <cell r="AP335">
            <v>2.98</v>
          </cell>
          <cell r="AQ335">
            <v>42.84</v>
          </cell>
          <cell r="AU335">
            <v>0</v>
          </cell>
          <cell r="AV335">
            <v>1.67</v>
          </cell>
          <cell r="AW335">
            <v>19.04</v>
          </cell>
          <cell r="BA335">
            <v>0</v>
          </cell>
          <cell r="BB335">
            <v>2.8479999999999999</v>
          </cell>
          <cell r="BC335">
            <v>33</v>
          </cell>
          <cell r="BG335">
            <v>0</v>
          </cell>
          <cell r="BI335">
            <v>40</v>
          </cell>
          <cell r="BM335">
            <v>0</v>
          </cell>
          <cell r="BO335">
            <v>5.5</v>
          </cell>
          <cell r="BP335">
            <v>27.7</v>
          </cell>
          <cell r="BS335">
            <v>0</v>
          </cell>
          <cell r="BU335">
            <v>5</v>
          </cell>
          <cell r="CD335">
            <v>28</v>
          </cell>
        </row>
        <row r="336">
          <cell r="A336">
            <v>39412</v>
          </cell>
          <cell r="E336">
            <v>3123.7</v>
          </cell>
          <cell r="G336">
            <v>950</v>
          </cell>
          <cell r="H336">
            <v>3123.7</v>
          </cell>
          <cell r="I336">
            <v>370</v>
          </cell>
          <cell r="J336">
            <v>450</v>
          </cell>
          <cell r="K336">
            <v>16900</v>
          </cell>
          <cell r="L336">
            <v>4800</v>
          </cell>
          <cell r="M336">
            <v>21700</v>
          </cell>
          <cell r="P336">
            <v>0</v>
          </cell>
          <cell r="S336">
            <v>500</v>
          </cell>
          <cell r="V336">
            <v>0</v>
          </cell>
          <cell r="X336">
            <v>21.6</v>
          </cell>
          <cell r="Y336">
            <v>3800</v>
          </cell>
          <cell r="Z336">
            <v>166.5</v>
          </cell>
          <cell r="AD336">
            <v>140.5</v>
          </cell>
          <cell r="AE336">
            <v>1800</v>
          </cell>
          <cell r="AI336">
            <v>0</v>
          </cell>
          <cell r="AJ336">
            <v>0.8</v>
          </cell>
          <cell r="AK336">
            <v>28.67</v>
          </cell>
          <cell r="AO336">
            <v>0</v>
          </cell>
          <cell r="AP336">
            <v>2.38</v>
          </cell>
          <cell r="AQ336">
            <v>40.46</v>
          </cell>
          <cell r="AU336">
            <v>0</v>
          </cell>
          <cell r="AV336">
            <v>0.95</v>
          </cell>
          <cell r="AW336">
            <v>18.09</v>
          </cell>
          <cell r="BA336">
            <v>0</v>
          </cell>
          <cell r="BB336">
            <v>2.556</v>
          </cell>
          <cell r="BC336">
            <v>30.433</v>
          </cell>
          <cell r="BG336">
            <v>0</v>
          </cell>
          <cell r="BI336">
            <v>40</v>
          </cell>
          <cell r="BJ336">
            <v>25</v>
          </cell>
          <cell r="BM336">
            <v>25</v>
          </cell>
          <cell r="BN336">
            <v>30000</v>
          </cell>
          <cell r="BO336">
            <v>6</v>
          </cell>
          <cell r="BP336">
            <v>46.7</v>
          </cell>
          <cell r="BS336">
            <v>0</v>
          </cell>
          <cell r="BU336">
            <v>5</v>
          </cell>
          <cell r="CD336">
            <v>28</v>
          </cell>
        </row>
        <row r="337">
          <cell r="A337">
            <v>39413</v>
          </cell>
          <cell r="B337">
            <v>660</v>
          </cell>
          <cell r="G337">
            <v>550</v>
          </cell>
          <cell r="H337">
            <v>660</v>
          </cell>
          <cell r="I337">
            <v>406</v>
          </cell>
          <cell r="J337">
            <v>461.6</v>
          </cell>
          <cell r="K337">
            <v>16000</v>
          </cell>
          <cell r="L337">
            <v>5000</v>
          </cell>
          <cell r="M337">
            <v>21000</v>
          </cell>
          <cell r="P337">
            <v>0</v>
          </cell>
          <cell r="S337">
            <v>500</v>
          </cell>
          <cell r="T337">
            <v>109.5</v>
          </cell>
          <cell r="V337">
            <v>109.5</v>
          </cell>
          <cell r="X337">
            <v>27.7</v>
          </cell>
          <cell r="Y337">
            <v>3800</v>
          </cell>
          <cell r="Z337">
            <v>58</v>
          </cell>
          <cell r="AD337">
            <v>212.9</v>
          </cell>
          <cell r="AE337">
            <v>1600</v>
          </cell>
          <cell r="AI337">
            <v>0</v>
          </cell>
          <cell r="AK337">
            <v>28.67</v>
          </cell>
          <cell r="AO337">
            <v>0</v>
          </cell>
          <cell r="AP337">
            <v>2.38</v>
          </cell>
          <cell r="AQ337">
            <v>38.08</v>
          </cell>
          <cell r="AU337">
            <v>0</v>
          </cell>
          <cell r="AV337">
            <v>0.24</v>
          </cell>
          <cell r="AW337">
            <v>17.850000000000001</v>
          </cell>
          <cell r="AX337">
            <v>20.62</v>
          </cell>
          <cell r="BA337">
            <v>20.62</v>
          </cell>
          <cell r="BB337">
            <v>3.089</v>
          </cell>
          <cell r="BC337">
            <v>48</v>
          </cell>
          <cell r="BG337">
            <v>0</v>
          </cell>
          <cell r="BI337">
            <v>40</v>
          </cell>
          <cell r="BJ337">
            <v>25</v>
          </cell>
          <cell r="BM337">
            <v>25</v>
          </cell>
          <cell r="BN337">
            <v>24850</v>
          </cell>
          <cell r="BO337">
            <v>5.4</v>
          </cell>
          <cell r="BP337">
            <v>66.400000000000006</v>
          </cell>
          <cell r="BS337">
            <v>0</v>
          </cell>
          <cell r="BU337">
            <v>5</v>
          </cell>
          <cell r="CD337">
            <v>28</v>
          </cell>
        </row>
        <row r="338">
          <cell r="A338">
            <v>39414</v>
          </cell>
          <cell r="B338">
            <v>660.1</v>
          </cell>
          <cell r="H338">
            <v>660.1</v>
          </cell>
          <cell r="I338">
            <v>400</v>
          </cell>
          <cell r="J338">
            <v>294.3</v>
          </cell>
          <cell r="K338">
            <v>15600</v>
          </cell>
          <cell r="L338">
            <v>5300</v>
          </cell>
          <cell r="M338">
            <v>20900</v>
          </cell>
          <cell r="P338">
            <v>0</v>
          </cell>
          <cell r="S338">
            <v>500</v>
          </cell>
          <cell r="T338">
            <v>132</v>
          </cell>
          <cell r="V338">
            <v>132</v>
          </cell>
          <cell r="X338">
            <v>14.5</v>
          </cell>
          <cell r="Y338">
            <v>3900</v>
          </cell>
          <cell r="Z338">
            <v>172</v>
          </cell>
          <cell r="AD338">
            <v>181.4</v>
          </cell>
          <cell r="AE338">
            <v>1600</v>
          </cell>
          <cell r="AI338">
            <v>0</v>
          </cell>
          <cell r="AJ338">
            <v>1.1499999999999999</v>
          </cell>
          <cell r="AK338">
            <v>26.83</v>
          </cell>
          <cell r="AO338">
            <v>0</v>
          </cell>
          <cell r="AP338">
            <v>2.62</v>
          </cell>
          <cell r="AQ338">
            <v>35.46</v>
          </cell>
          <cell r="AR338">
            <v>23.8</v>
          </cell>
          <cell r="AU338">
            <v>23.8</v>
          </cell>
          <cell r="AV338">
            <v>3.69</v>
          </cell>
          <cell r="AW338">
            <v>37.96</v>
          </cell>
          <cell r="BA338">
            <v>0</v>
          </cell>
          <cell r="BB338">
            <v>2.464</v>
          </cell>
          <cell r="BC338">
            <v>45.5</v>
          </cell>
          <cell r="BG338">
            <v>0</v>
          </cell>
          <cell r="BI338">
            <v>40</v>
          </cell>
          <cell r="BM338">
            <v>0</v>
          </cell>
          <cell r="BN338">
            <v>15000</v>
          </cell>
          <cell r="BO338">
            <v>6</v>
          </cell>
          <cell r="BP338">
            <v>60.4</v>
          </cell>
          <cell r="BS338">
            <v>0</v>
          </cell>
          <cell r="BU338">
            <v>5</v>
          </cell>
          <cell r="CD338">
            <v>28</v>
          </cell>
        </row>
        <row r="339">
          <cell r="A339">
            <v>39415</v>
          </cell>
          <cell r="H339">
            <v>0</v>
          </cell>
          <cell r="I339">
            <v>474</v>
          </cell>
          <cell r="J339">
            <v>344.4</v>
          </cell>
          <cell r="K339">
            <v>15100</v>
          </cell>
          <cell r="L339">
            <v>5000</v>
          </cell>
          <cell r="M339">
            <v>20100</v>
          </cell>
          <cell r="P339">
            <v>0</v>
          </cell>
          <cell r="S339">
            <v>500</v>
          </cell>
          <cell r="T339">
            <v>27.2</v>
          </cell>
          <cell r="V339">
            <v>27.2</v>
          </cell>
          <cell r="X339">
            <v>21.5</v>
          </cell>
          <cell r="Y339">
            <v>4000</v>
          </cell>
          <cell r="AD339">
            <v>240.5</v>
          </cell>
          <cell r="AE339">
            <v>2100</v>
          </cell>
          <cell r="AI339">
            <v>0</v>
          </cell>
          <cell r="AJ339">
            <v>1.03</v>
          </cell>
          <cell r="AK339">
            <v>25.8</v>
          </cell>
          <cell r="AO339">
            <v>0</v>
          </cell>
          <cell r="AP339">
            <v>2.74</v>
          </cell>
          <cell r="AQ339">
            <v>32.729999999999997</v>
          </cell>
          <cell r="AU339">
            <v>0</v>
          </cell>
          <cell r="AV339">
            <v>2.02</v>
          </cell>
          <cell r="AW339">
            <v>35.94</v>
          </cell>
          <cell r="BA339">
            <v>0</v>
          </cell>
          <cell r="BB339">
            <v>3.081</v>
          </cell>
          <cell r="BC339">
            <v>42.42</v>
          </cell>
          <cell r="BG339">
            <v>0</v>
          </cell>
          <cell r="BI339">
            <v>40</v>
          </cell>
          <cell r="BM339">
            <v>0</v>
          </cell>
          <cell r="BN339">
            <v>25000</v>
          </cell>
          <cell r="BO339">
            <v>5.2</v>
          </cell>
          <cell r="BP339">
            <v>55.2</v>
          </cell>
          <cell r="BS339">
            <v>0</v>
          </cell>
          <cell r="BU339">
            <v>5</v>
          </cell>
          <cell r="CD339">
            <v>28</v>
          </cell>
        </row>
        <row r="340">
          <cell r="A340">
            <v>39416</v>
          </cell>
          <cell r="B340">
            <v>50.88</v>
          </cell>
          <cell r="C340">
            <v>0.9</v>
          </cell>
          <cell r="E340">
            <v>9.1999999999999993</v>
          </cell>
          <cell r="G340">
            <v>530</v>
          </cell>
          <cell r="H340">
            <v>60.980000000000004</v>
          </cell>
          <cell r="I340">
            <v>594.35</v>
          </cell>
          <cell r="J340">
            <v>463.14700000000005</v>
          </cell>
          <cell r="K340">
            <v>15700</v>
          </cell>
          <cell r="L340">
            <v>4800</v>
          </cell>
          <cell r="M340">
            <v>20500</v>
          </cell>
          <cell r="P340">
            <v>0</v>
          </cell>
          <cell r="S340">
            <v>500</v>
          </cell>
          <cell r="T340">
            <v>450.34</v>
          </cell>
          <cell r="V340">
            <v>450.34</v>
          </cell>
          <cell r="W340">
            <v>1648.5809999999999</v>
          </cell>
          <cell r="X340">
            <v>-298.22699999999998</v>
          </cell>
          <cell r="Y340">
            <v>4000</v>
          </cell>
          <cell r="Z340">
            <v>-126.4</v>
          </cell>
          <cell r="AD340">
            <v>-115.62200000000001</v>
          </cell>
          <cell r="AE340">
            <v>2000</v>
          </cell>
          <cell r="AI340">
            <v>0</v>
          </cell>
          <cell r="AJ340">
            <v>3.52</v>
          </cell>
          <cell r="AK340">
            <v>25.23</v>
          </cell>
          <cell r="AO340">
            <v>0</v>
          </cell>
          <cell r="AP340">
            <v>11.619</v>
          </cell>
          <cell r="AQ340">
            <v>28.08</v>
          </cell>
          <cell r="AU340">
            <v>0</v>
          </cell>
          <cell r="AV340">
            <v>1.67</v>
          </cell>
          <cell r="AW340">
            <v>34.270000000000003</v>
          </cell>
          <cell r="BA340">
            <v>0</v>
          </cell>
          <cell r="BB340">
            <v>9.1639999999999997</v>
          </cell>
          <cell r="BC340">
            <v>39.549999999999997</v>
          </cell>
          <cell r="BG340">
            <v>0</v>
          </cell>
          <cell r="BI340">
            <v>40</v>
          </cell>
          <cell r="BJ340">
            <v>23.599999999999998</v>
          </cell>
          <cell r="BM340">
            <v>23.599999999999998</v>
          </cell>
          <cell r="BN340">
            <v>39400</v>
          </cell>
          <cell r="BO340">
            <v>5.7</v>
          </cell>
          <cell r="BP340">
            <v>73</v>
          </cell>
          <cell r="BS340">
            <v>0</v>
          </cell>
          <cell r="BU340">
            <v>5</v>
          </cell>
          <cell r="CD340">
            <v>28</v>
          </cell>
        </row>
        <row r="341">
          <cell r="A341">
            <v>39417</v>
          </cell>
          <cell r="E341">
            <v>2856.3</v>
          </cell>
          <cell r="G341">
            <v>170</v>
          </cell>
          <cell r="H341">
            <v>2856.3</v>
          </cell>
          <cell r="I341">
            <v>408</v>
          </cell>
          <cell r="J341">
            <v>778.8</v>
          </cell>
          <cell r="K341">
            <v>16400</v>
          </cell>
          <cell r="L341">
            <v>4200</v>
          </cell>
          <cell r="M341">
            <v>20600</v>
          </cell>
          <cell r="P341">
            <v>0</v>
          </cell>
          <cell r="S341">
            <v>500</v>
          </cell>
          <cell r="T341">
            <v>54.5</v>
          </cell>
          <cell r="V341">
            <v>54.5</v>
          </cell>
          <cell r="X341">
            <v>116.3</v>
          </cell>
          <cell r="Y341">
            <v>2150</v>
          </cell>
          <cell r="AD341">
            <v>31.2</v>
          </cell>
          <cell r="AE341">
            <v>1350</v>
          </cell>
          <cell r="AI341">
            <v>0</v>
          </cell>
          <cell r="AK341">
            <v>25.23</v>
          </cell>
          <cell r="AO341">
            <v>0</v>
          </cell>
          <cell r="AP341">
            <v>5.12</v>
          </cell>
          <cell r="AQ341">
            <v>22.97</v>
          </cell>
          <cell r="AU341">
            <v>0</v>
          </cell>
          <cell r="AW341">
            <v>34.270000000000003</v>
          </cell>
          <cell r="BA341">
            <v>0</v>
          </cell>
          <cell r="BB341">
            <v>3.1230000000000002</v>
          </cell>
          <cell r="BC341">
            <v>41.1</v>
          </cell>
          <cell r="BG341">
            <v>0</v>
          </cell>
          <cell r="BI341">
            <v>40</v>
          </cell>
          <cell r="BM341">
            <v>0</v>
          </cell>
          <cell r="BO341">
            <v>5.6</v>
          </cell>
          <cell r="BP341">
            <v>64.5</v>
          </cell>
          <cell r="BS341">
            <v>0</v>
          </cell>
          <cell r="BU341">
            <v>5</v>
          </cell>
          <cell r="CD341">
            <v>28</v>
          </cell>
        </row>
        <row r="342">
          <cell r="A342">
            <v>39418</v>
          </cell>
          <cell r="G342">
            <v>860</v>
          </cell>
          <cell r="H342">
            <v>0</v>
          </cell>
          <cell r="I342">
            <v>375</v>
          </cell>
          <cell r="J342">
            <v>762.5</v>
          </cell>
          <cell r="K342">
            <v>15200</v>
          </cell>
          <cell r="L342">
            <v>4300</v>
          </cell>
          <cell r="M342">
            <v>19500</v>
          </cell>
          <cell r="P342">
            <v>0</v>
          </cell>
          <cell r="S342">
            <v>500</v>
          </cell>
          <cell r="T342">
            <v>222</v>
          </cell>
          <cell r="V342">
            <v>222</v>
          </cell>
          <cell r="X342">
            <v>131.80000000000001</v>
          </cell>
          <cell r="Y342">
            <v>2200</v>
          </cell>
          <cell r="AD342">
            <v>32.200000000000003</v>
          </cell>
          <cell r="AE342">
            <v>1350</v>
          </cell>
          <cell r="AI342">
            <v>0</v>
          </cell>
          <cell r="AK342">
            <v>25.23</v>
          </cell>
          <cell r="AO342">
            <v>0</v>
          </cell>
          <cell r="AP342">
            <v>4.4000000000000004</v>
          </cell>
          <cell r="AQ342">
            <v>18.559999999999999</v>
          </cell>
          <cell r="AU342">
            <v>0</v>
          </cell>
          <cell r="AV342">
            <v>0.36</v>
          </cell>
          <cell r="AW342">
            <v>33.92</v>
          </cell>
          <cell r="BA342">
            <v>0</v>
          </cell>
          <cell r="BB342">
            <v>3.0779999999999998</v>
          </cell>
          <cell r="BC342">
            <v>41.1</v>
          </cell>
          <cell r="BG342">
            <v>0</v>
          </cell>
          <cell r="BI342">
            <v>40</v>
          </cell>
          <cell r="BM342">
            <v>0</v>
          </cell>
          <cell r="BO342">
            <v>4.4000000000000004</v>
          </cell>
          <cell r="BP342">
            <v>60</v>
          </cell>
          <cell r="BS342">
            <v>0</v>
          </cell>
          <cell r="BU342">
            <v>5</v>
          </cell>
          <cell r="CD342">
            <v>28</v>
          </cell>
        </row>
        <row r="343">
          <cell r="A343">
            <v>39419</v>
          </cell>
          <cell r="G343">
            <v>580</v>
          </cell>
          <cell r="H343">
            <v>0</v>
          </cell>
          <cell r="I343">
            <v>294</v>
          </cell>
          <cell r="J343">
            <v>757.4</v>
          </cell>
          <cell r="K343">
            <v>14300</v>
          </cell>
          <cell r="L343">
            <v>4100</v>
          </cell>
          <cell r="M343">
            <v>18400</v>
          </cell>
          <cell r="P343">
            <v>0</v>
          </cell>
          <cell r="S343">
            <v>500</v>
          </cell>
          <cell r="T343">
            <v>167.2</v>
          </cell>
          <cell r="V343">
            <v>167.2</v>
          </cell>
          <cell r="X343">
            <v>111.7</v>
          </cell>
          <cell r="Y343">
            <v>2300</v>
          </cell>
          <cell r="AD343">
            <v>47.1</v>
          </cell>
          <cell r="AE343">
            <v>1300</v>
          </cell>
          <cell r="AI343">
            <v>0</v>
          </cell>
          <cell r="AK343">
            <v>25.23</v>
          </cell>
          <cell r="AO343">
            <v>0</v>
          </cell>
          <cell r="AP343">
            <v>1.31</v>
          </cell>
          <cell r="AQ343">
            <v>17.260000000000002</v>
          </cell>
          <cell r="AU343">
            <v>0</v>
          </cell>
          <cell r="AW343">
            <v>33.92</v>
          </cell>
          <cell r="BA343">
            <v>0</v>
          </cell>
          <cell r="BB343">
            <v>3.089</v>
          </cell>
          <cell r="BC343">
            <v>34.93</v>
          </cell>
          <cell r="BG343">
            <v>0</v>
          </cell>
          <cell r="BI343">
            <v>40</v>
          </cell>
          <cell r="BM343">
            <v>0</v>
          </cell>
          <cell r="BN343">
            <v>25000</v>
          </cell>
          <cell r="BO343">
            <v>5.4</v>
          </cell>
          <cell r="BP343">
            <v>55</v>
          </cell>
          <cell r="BS343">
            <v>0</v>
          </cell>
          <cell r="BU343">
            <v>5</v>
          </cell>
          <cell r="CD343">
            <v>28</v>
          </cell>
        </row>
        <row r="344">
          <cell r="A344">
            <v>39420</v>
          </cell>
          <cell r="B344">
            <v>1320.1</v>
          </cell>
          <cell r="H344">
            <v>1320.1</v>
          </cell>
          <cell r="I344">
            <v>23</v>
          </cell>
          <cell r="J344">
            <v>833.5</v>
          </cell>
          <cell r="K344">
            <v>15650</v>
          </cell>
          <cell r="L344">
            <v>4600</v>
          </cell>
          <cell r="M344">
            <v>20250</v>
          </cell>
          <cell r="P344">
            <v>0</v>
          </cell>
          <cell r="S344">
            <v>500</v>
          </cell>
          <cell r="T344">
            <v>300.7</v>
          </cell>
          <cell r="V344">
            <v>300.7</v>
          </cell>
          <cell r="X344">
            <v>114.8</v>
          </cell>
          <cell r="Y344">
            <v>2450</v>
          </cell>
          <cell r="Z344">
            <v>59.5</v>
          </cell>
          <cell r="AD344">
            <v>41.9</v>
          </cell>
          <cell r="AE344">
            <v>1300</v>
          </cell>
          <cell r="AI344">
            <v>0</v>
          </cell>
          <cell r="AJ344">
            <v>0.46</v>
          </cell>
          <cell r="AK344">
            <v>24.77</v>
          </cell>
          <cell r="AO344">
            <v>0</v>
          </cell>
          <cell r="AQ344">
            <v>17.260000000000002</v>
          </cell>
          <cell r="AU344">
            <v>0</v>
          </cell>
          <cell r="AV344">
            <v>0.6</v>
          </cell>
          <cell r="AW344">
            <v>33.32</v>
          </cell>
          <cell r="BA344">
            <v>0</v>
          </cell>
          <cell r="BB344">
            <v>3.2850000000000001</v>
          </cell>
          <cell r="BC344">
            <v>31.65</v>
          </cell>
          <cell r="BG344">
            <v>0</v>
          </cell>
          <cell r="BI344">
            <v>40</v>
          </cell>
          <cell r="BM344">
            <v>0</v>
          </cell>
          <cell r="BN344">
            <v>25000</v>
          </cell>
          <cell r="BO344">
            <v>6</v>
          </cell>
          <cell r="BP344">
            <v>49</v>
          </cell>
          <cell r="BS344">
            <v>0</v>
          </cell>
          <cell r="BU344">
            <v>5</v>
          </cell>
          <cell r="CD344">
            <v>28</v>
          </cell>
        </row>
        <row r="345">
          <cell r="A345">
            <v>39421</v>
          </cell>
          <cell r="E345">
            <v>3164.4</v>
          </cell>
          <cell r="H345">
            <v>3164.4</v>
          </cell>
          <cell r="I345">
            <v>242</v>
          </cell>
          <cell r="J345">
            <v>672.9</v>
          </cell>
          <cell r="K345">
            <v>17200</v>
          </cell>
          <cell r="L345">
            <v>3900</v>
          </cell>
          <cell r="M345">
            <v>21100</v>
          </cell>
          <cell r="P345">
            <v>0</v>
          </cell>
          <cell r="S345">
            <v>500</v>
          </cell>
          <cell r="T345">
            <v>328.4</v>
          </cell>
          <cell r="V345">
            <v>328.4</v>
          </cell>
          <cell r="X345">
            <v>87.5</v>
          </cell>
          <cell r="Y345">
            <v>2700</v>
          </cell>
          <cell r="AA345">
            <v>331.8</v>
          </cell>
          <cell r="AD345">
            <v>41.6</v>
          </cell>
          <cell r="AE345">
            <v>1600</v>
          </cell>
          <cell r="AI345">
            <v>0</v>
          </cell>
          <cell r="AJ345">
            <v>1.26</v>
          </cell>
          <cell r="AK345">
            <v>23.51</v>
          </cell>
          <cell r="AL345">
            <v>23.2</v>
          </cell>
          <cell r="AO345">
            <v>23.2</v>
          </cell>
          <cell r="AP345">
            <v>4.5199999999999996</v>
          </cell>
          <cell r="AQ345">
            <v>35.94</v>
          </cell>
          <cell r="AU345">
            <v>0</v>
          </cell>
          <cell r="AV345">
            <v>0.59</v>
          </cell>
          <cell r="AW345">
            <v>32.729999999999997</v>
          </cell>
          <cell r="BA345">
            <v>0</v>
          </cell>
          <cell r="BB345">
            <v>2.7669999999999999</v>
          </cell>
          <cell r="BC345">
            <v>32.17</v>
          </cell>
          <cell r="BG345">
            <v>0</v>
          </cell>
          <cell r="BI345">
            <v>40</v>
          </cell>
          <cell r="BM345">
            <v>0</v>
          </cell>
          <cell r="BN345">
            <v>15000</v>
          </cell>
          <cell r="BO345">
            <v>5</v>
          </cell>
          <cell r="BP345">
            <v>44</v>
          </cell>
          <cell r="BS345">
            <v>0</v>
          </cell>
          <cell r="BU345">
            <v>5</v>
          </cell>
          <cell r="CD345">
            <v>28</v>
          </cell>
        </row>
        <row r="346">
          <cell r="A346">
            <v>39422</v>
          </cell>
          <cell r="E346">
            <v>3198.5</v>
          </cell>
          <cell r="G346">
            <v>350</v>
          </cell>
          <cell r="H346">
            <v>3198.5</v>
          </cell>
          <cell r="I346">
            <v>318</v>
          </cell>
          <cell r="J346">
            <v>783.3</v>
          </cell>
          <cell r="K346">
            <v>19050</v>
          </cell>
          <cell r="L346">
            <v>3500</v>
          </cell>
          <cell r="M346">
            <v>22550</v>
          </cell>
          <cell r="P346">
            <v>0</v>
          </cell>
          <cell r="S346">
            <v>500</v>
          </cell>
          <cell r="T346">
            <v>54.9</v>
          </cell>
          <cell r="V346">
            <v>54.9</v>
          </cell>
          <cell r="X346">
            <v>124</v>
          </cell>
          <cell r="Y346">
            <v>2650</v>
          </cell>
          <cell r="AD346">
            <v>29</v>
          </cell>
          <cell r="AE346">
            <v>1850</v>
          </cell>
          <cell r="AI346">
            <v>0</v>
          </cell>
          <cell r="AJ346">
            <v>0.92</v>
          </cell>
          <cell r="AK346">
            <v>22.59</v>
          </cell>
          <cell r="AO346">
            <v>0</v>
          </cell>
          <cell r="AP346">
            <v>3.57</v>
          </cell>
          <cell r="AQ346">
            <v>32.369999999999997</v>
          </cell>
          <cell r="AU346">
            <v>0</v>
          </cell>
          <cell r="AV346">
            <v>0.59</v>
          </cell>
          <cell r="AW346">
            <v>32.130000000000003</v>
          </cell>
          <cell r="AX346">
            <v>25</v>
          </cell>
          <cell r="BA346">
            <v>25</v>
          </cell>
          <cell r="BB346">
            <v>3.0329999999999999</v>
          </cell>
          <cell r="BC346">
            <v>29.16</v>
          </cell>
          <cell r="BG346">
            <v>0</v>
          </cell>
          <cell r="BI346">
            <v>40</v>
          </cell>
          <cell r="BM346">
            <v>0</v>
          </cell>
          <cell r="BN346">
            <v>25000</v>
          </cell>
          <cell r="BO346">
            <v>10.199999999999999</v>
          </cell>
          <cell r="BP346">
            <v>31</v>
          </cell>
          <cell r="BS346">
            <v>0</v>
          </cell>
          <cell r="BU346">
            <v>5</v>
          </cell>
          <cell r="CD346">
            <v>28</v>
          </cell>
        </row>
        <row r="347">
          <cell r="A347">
            <v>39423</v>
          </cell>
          <cell r="H347">
            <v>0</v>
          </cell>
          <cell r="I347">
            <v>370</v>
          </cell>
          <cell r="J347">
            <v>744.1</v>
          </cell>
          <cell r="K347">
            <v>19350</v>
          </cell>
          <cell r="L347">
            <v>2750</v>
          </cell>
          <cell r="M347">
            <v>22100</v>
          </cell>
          <cell r="P347">
            <v>0</v>
          </cell>
          <cell r="S347">
            <v>500</v>
          </cell>
          <cell r="T347">
            <v>54</v>
          </cell>
          <cell r="V347">
            <v>54</v>
          </cell>
          <cell r="X347">
            <v>101.4</v>
          </cell>
          <cell r="Y347">
            <v>2600</v>
          </cell>
          <cell r="AD347">
            <v>24</v>
          </cell>
          <cell r="AE347">
            <v>2400</v>
          </cell>
          <cell r="AI347">
            <v>0</v>
          </cell>
          <cell r="AJ347">
            <v>0.92</v>
          </cell>
          <cell r="AK347">
            <v>21.67</v>
          </cell>
          <cell r="AO347">
            <v>0</v>
          </cell>
          <cell r="AP347">
            <v>2.74</v>
          </cell>
          <cell r="AQ347">
            <v>29.63</v>
          </cell>
          <cell r="AU347">
            <v>0</v>
          </cell>
          <cell r="AW347">
            <v>32.130000000000003</v>
          </cell>
          <cell r="BA347">
            <v>0</v>
          </cell>
          <cell r="BB347">
            <v>2.9249999999999998</v>
          </cell>
          <cell r="BC347">
            <v>26.23</v>
          </cell>
          <cell r="BG347">
            <v>0</v>
          </cell>
          <cell r="BI347">
            <v>40</v>
          </cell>
          <cell r="BJ347">
            <v>25.2</v>
          </cell>
          <cell r="BM347">
            <v>25.2</v>
          </cell>
          <cell r="BN347">
            <v>25000</v>
          </cell>
          <cell r="BO347">
            <v>10.4</v>
          </cell>
          <cell r="BP347">
            <v>45.5</v>
          </cell>
          <cell r="BS347">
            <v>0</v>
          </cell>
          <cell r="BU347">
            <v>5</v>
          </cell>
          <cell r="CD347">
            <v>28</v>
          </cell>
        </row>
        <row r="348">
          <cell r="A348">
            <v>39424</v>
          </cell>
          <cell r="G348">
            <v>330</v>
          </cell>
          <cell r="H348">
            <v>0</v>
          </cell>
          <cell r="I348">
            <v>362</v>
          </cell>
          <cell r="J348">
            <v>725.3</v>
          </cell>
          <cell r="K348">
            <v>18650</v>
          </cell>
          <cell r="L348">
            <v>2350</v>
          </cell>
          <cell r="M348">
            <v>21000</v>
          </cell>
          <cell r="P348">
            <v>0</v>
          </cell>
          <cell r="S348">
            <v>500</v>
          </cell>
          <cell r="V348">
            <v>0</v>
          </cell>
          <cell r="X348">
            <v>33.5</v>
          </cell>
          <cell r="Y348">
            <v>2550</v>
          </cell>
          <cell r="Z348">
            <v>55</v>
          </cell>
          <cell r="AD348">
            <v>2.5</v>
          </cell>
          <cell r="AE348">
            <v>2450</v>
          </cell>
          <cell r="AI348">
            <v>0</v>
          </cell>
          <cell r="AJ348">
            <v>0.8</v>
          </cell>
          <cell r="AK348">
            <v>20.87</v>
          </cell>
          <cell r="AO348">
            <v>0</v>
          </cell>
          <cell r="AP348">
            <v>3.21</v>
          </cell>
          <cell r="AQ348">
            <v>26.42</v>
          </cell>
          <cell r="AU348">
            <v>0</v>
          </cell>
          <cell r="AV348">
            <v>3.57</v>
          </cell>
          <cell r="AW348">
            <v>28.56</v>
          </cell>
          <cell r="BA348">
            <v>0</v>
          </cell>
          <cell r="BB348">
            <v>2.7250000000000001</v>
          </cell>
          <cell r="BC348">
            <v>23.51</v>
          </cell>
          <cell r="BG348">
            <v>0</v>
          </cell>
          <cell r="BI348">
            <v>40</v>
          </cell>
          <cell r="BM348">
            <v>0</v>
          </cell>
          <cell r="BO348">
            <v>9.8000000000000007</v>
          </cell>
          <cell r="BP348">
            <v>36</v>
          </cell>
          <cell r="BS348">
            <v>0</v>
          </cell>
          <cell r="BU348">
            <v>5</v>
          </cell>
          <cell r="CD348">
            <v>28</v>
          </cell>
        </row>
        <row r="349">
          <cell r="A349">
            <v>39425</v>
          </cell>
          <cell r="G349">
            <v>700</v>
          </cell>
          <cell r="H349">
            <v>0</v>
          </cell>
          <cell r="I349">
            <v>255</v>
          </cell>
          <cell r="J349">
            <v>823.6</v>
          </cell>
          <cell r="K349">
            <v>15750</v>
          </cell>
          <cell r="L349">
            <v>4250</v>
          </cell>
          <cell r="M349">
            <v>20000</v>
          </cell>
          <cell r="P349">
            <v>0</v>
          </cell>
          <cell r="S349">
            <v>500</v>
          </cell>
          <cell r="T349">
            <v>110.4</v>
          </cell>
          <cell r="V349">
            <v>110.4</v>
          </cell>
          <cell r="X349">
            <v>37.6</v>
          </cell>
          <cell r="Y349">
            <v>2650</v>
          </cell>
          <cell r="Z349">
            <v>112.5</v>
          </cell>
          <cell r="AD349">
            <v>24.2</v>
          </cell>
          <cell r="AE349">
            <v>2550</v>
          </cell>
          <cell r="AI349">
            <v>0</v>
          </cell>
          <cell r="AJ349">
            <v>1.03</v>
          </cell>
          <cell r="AK349">
            <v>19.84</v>
          </cell>
          <cell r="AO349">
            <v>0</v>
          </cell>
          <cell r="AP349">
            <v>2.2599999999999998</v>
          </cell>
          <cell r="AQ349">
            <v>24.16</v>
          </cell>
          <cell r="AU349">
            <v>0</v>
          </cell>
          <cell r="AV349">
            <v>4.76</v>
          </cell>
          <cell r="AW349">
            <v>23.8</v>
          </cell>
          <cell r="BA349">
            <v>0</v>
          </cell>
          <cell r="BB349">
            <v>3.2759999999999998</v>
          </cell>
          <cell r="BC349">
            <v>20.23</v>
          </cell>
          <cell r="BG349">
            <v>0</v>
          </cell>
          <cell r="BI349">
            <v>40</v>
          </cell>
          <cell r="BM349">
            <v>0</v>
          </cell>
          <cell r="BO349">
            <v>4.7</v>
          </cell>
          <cell r="BP349">
            <v>31</v>
          </cell>
          <cell r="BS349">
            <v>0</v>
          </cell>
          <cell r="BU349">
            <v>5</v>
          </cell>
          <cell r="CD349">
            <v>28</v>
          </cell>
        </row>
        <row r="350">
          <cell r="A350">
            <v>39426</v>
          </cell>
          <cell r="G350">
            <v>730</v>
          </cell>
          <cell r="H350">
            <v>0</v>
          </cell>
          <cell r="I350">
            <v>772</v>
          </cell>
          <cell r="J350">
            <v>771.9</v>
          </cell>
          <cell r="K350">
            <v>14200</v>
          </cell>
          <cell r="L350">
            <v>4200</v>
          </cell>
          <cell r="M350">
            <v>18400</v>
          </cell>
          <cell r="P350">
            <v>0</v>
          </cell>
          <cell r="S350">
            <v>500</v>
          </cell>
          <cell r="T350">
            <v>441.6</v>
          </cell>
          <cell r="V350">
            <v>441.6</v>
          </cell>
          <cell r="X350">
            <v>43.4</v>
          </cell>
          <cell r="Y350">
            <v>3000</v>
          </cell>
          <cell r="AD350">
            <v>22.5</v>
          </cell>
          <cell r="AE350">
            <v>2500</v>
          </cell>
          <cell r="AI350">
            <v>0</v>
          </cell>
          <cell r="AJ350">
            <v>0.69</v>
          </cell>
          <cell r="AK350">
            <v>19.149999999999999</v>
          </cell>
          <cell r="AO350">
            <v>0</v>
          </cell>
          <cell r="AP350">
            <v>3.21</v>
          </cell>
          <cell r="AQ350">
            <v>20.94</v>
          </cell>
          <cell r="AU350">
            <v>0</v>
          </cell>
          <cell r="AV350">
            <v>3.81</v>
          </cell>
          <cell r="AW350">
            <v>19.989999999999998</v>
          </cell>
          <cell r="BA350">
            <v>0</v>
          </cell>
          <cell r="BB350">
            <v>2.9740000000000002</v>
          </cell>
          <cell r="BC350">
            <v>17.262</v>
          </cell>
          <cell r="BG350">
            <v>0</v>
          </cell>
          <cell r="BI350">
            <v>40</v>
          </cell>
          <cell r="BM350">
            <v>0</v>
          </cell>
          <cell r="BN350">
            <v>25000</v>
          </cell>
          <cell r="BO350">
            <v>5.5</v>
          </cell>
          <cell r="BP350">
            <v>25.5</v>
          </cell>
          <cell r="BS350">
            <v>0</v>
          </cell>
          <cell r="BU350">
            <v>5</v>
          </cell>
          <cell r="CD350">
            <v>28</v>
          </cell>
        </row>
        <row r="351">
          <cell r="A351">
            <v>39427</v>
          </cell>
          <cell r="B351">
            <v>1155</v>
          </cell>
          <cell r="G351">
            <v>190</v>
          </cell>
          <cell r="H351">
            <v>1155</v>
          </cell>
          <cell r="I351">
            <v>761</v>
          </cell>
          <cell r="J351">
            <v>840.3</v>
          </cell>
          <cell r="K351">
            <v>13300</v>
          </cell>
          <cell r="L351">
            <v>4700</v>
          </cell>
          <cell r="M351">
            <v>18000</v>
          </cell>
          <cell r="P351">
            <v>0</v>
          </cell>
          <cell r="S351">
            <v>500</v>
          </cell>
          <cell r="V351">
            <v>0</v>
          </cell>
          <cell r="X351">
            <v>83.6</v>
          </cell>
          <cell r="Y351">
            <v>3000</v>
          </cell>
          <cell r="AD351">
            <v>33</v>
          </cell>
          <cell r="AE351">
            <v>2500</v>
          </cell>
          <cell r="AI351">
            <v>0</v>
          </cell>
          <cell r="AJ351">
            <v>0.34</v>
          </cell>
          <cell r="AK351">
            <v>18.809999999999999</v>
          </cell>
          <cell r="AO351">
            <v>0</v>
          </cell>
          <cell r="AP351">
            <v>2.5</v>
          </cell>
          <cell r="AQ351">
            <v>18.45</v>
          </cell>
          <cell r="AU351">
            <v>0</v>
          </cell>
          <cell r="AV351">
            <v>0.6</v>
          </cell>
          <cell r="AW351">
            <v>19.399999999999999</v>
          </cell>
          <cell r="BA351">
            <v>0</v>
          </cell>
          <cell r="BB351">
            <v>3.3479999999999999</v>
          </cell>
          <cell r="BC351">
            <v>13.9</v>
          </cell>
          <cell r="BG351">
            <v>0</v>
          </cell>
          <cell r="BI351">
            <v>40</v>
          </cell>
          <cell r="BM351">
            <v>0</v>
          </cell>
          <cell r="BN351">
            <v>24000</v>
          </cell>
          <cell r="BO351">
            <v>5.4</v>
          </cell>
          <cell r="BP351">
            <v>20.100000000000001</v>
          </cell>
          <cell r="BS351">
            <v>0</v>
          </cell>
          <cell r="BU351">
            <v>5</v>
          </cell>
          <cell r="CD351">
            <v>28</v>
          </cell>
        </row>
        <row r="352">
          <cell r="A352">
            <v>39428</v>
          </cell>
          <cell r="B352">
            <v>165.1</v>
          </cell>
          <cell r="G352">
            <v>500</v>
          </cell>
          <cell r="H352">
            <v>165.1</v>
          </cell>
          <cell r="I352">
            <v>713</v>
          </cell>
          <cell r="J352">
            <v>768.1</v>
          </cell>
          <cell r="K352">
            <v>14200</v>
          </cell>
          <cell r="L352">
            <v>4600</v>
          </cell>
          <cell r="M352">
            <v>18800</v>
          </cell>
          <cell r="P352">
            <v>0</v>
          </cell>
          <cell r="S352">
            <v>500</v>
          </cell>
          <cell r="T352">
            <v>245.8</v>
          </cell>
          <cell r="V352">
            <v>245.8</v>
          </cell>
          <cell r="X352">
            <v>147.19999999999999</v>
          </cell>
          <cell r="Y352">
            <v>3000</v>
          </cell>
          <cell r="AD352">
            <v>35.6</v>
          </cell>
          <cell r="AE352">
            <v>2500</v>
          </cell>
          <cell r="AI352">
            <v>0</v>
          </cell>
          <cell r="AJ352">
            <v>0</v>
          </cell>
          <cell r="AK352">
            <v>18.809999999999999</v>
          </cell>
          <cell r="AL352">
            <v>23.98</v>
          </cell>
          <cell r="AO352">
            <v>23.98</v>
          </cell>
          <cell r="AP352">
            <v>5.18</v>
          </cell>
          <cell r="AQ352">
            <v>37.25</v>
          </cell>
          <cell r="AU352">
            <v>0</v>
          </cell>
          <cell r="AV352">
            <v>1.31</v>
          </cell>
          <cell r="AW352">
            <v>18.09</v>
          </cell>
          <cell r="BA352">
            <v>0</v>
          </cell>
          <cell r="BB352">
            <v>3.101</v>
          </cell>
          <cell r="BC352">
            <v>10.811999999999999</v>
          </cell>
          <cell r="BG352">
            <v>0</v>
          </cell>
          <cell r="BI352">
            <v>40</v>
          </cell>
          <cell r="BJ352">
            <v>24.8</v>
          </cell>
          <cell r="BM352">
            <v>24.8</v>
          </cell>
          <cell r="BN352">
            <v>20000</v>
          </cell>
          <cell r="BO352">
            <v>5.4</v>
          </cell>
          <cell r="BP352">
            <v>39.5</v>
          </cell>
          <cell r="BS352">
            <v>0</v>
          </cell>
          <cell r="BU352">
            <v>5</v>
          </cell>
          <cell r="CD352">
            <v>28</v>
          </cell>
        </row>
        <row r="353">
          <cell r="A353">
            <v>39429</v>
          </cell>
          <cell r="E353">
            <v>3157.7</v>
          </cell>
          <cell r="H353">
            <v>3157.7</v>
          </cell>
          <cell r="I353">
            <v>457</v>
          </cell>
          <cell r="J353">
            <v>866</v>
          </cell>
          <cell r="K353">
            <v>14800</v>
          </cell>
          <cell r="L353">
            <v>3700</v>
          </cell>
          <cell r="M353">
            <v>18500</v>
          </cell>
          <cell r="P353">
            <v>0</v>
          </cell>
          <cell r="S353">
            <v>500</v>
          </cell>
          <cell r="T353">
            <v>271.60000000000002</v>
          </cell>
          <cell r="V353">
            <v>271.60000000000002</v>
          </cell>
          <cell r="X353">
            <v>129.4</v>
          </cell>
          <cell r="Y353">
            <v>3200</v>
          </cell>
          <cell r="Z353">
            <v>58</v>
          </cell>
          <cell r="AD353">
            <v>35.700000000000003</v>
          </cell>
          <cell r="AE353">
            <v>2500</v>
          </cell>
          <cell r="AI353">
            <v>0</v>
          </cell>
          <cell r="AJ353">
            <v>1.26</v>
          </cell>
          <cell r="AK353">
            <v>17.54</v>
          </cell>
          <cell r="AO353">
            <v>0</v>
          </cell>
          <cell r="AP353">
            <v>6.19</v>
          </cell>
          <cell r="AQ353">
            <v>31.06</v>
          </cell>
          <cell r="AU353">
            <v>0</v>
          </cell>
          <cell r="AV353">
            <v>0.12</v>
          </cell>
          <cell r="AW353">
            <v>17.97</v>
          </cell>
          <cell r="BA353">
            <v>0</v>
          </cell>
          <cell r="BB353">
            <v>3.4039999999999999</v>
          </cell>
          <cell r="BC353">
            <v>7.4080000000000004</v>
          </cell>
          <cell r="BG353">
            <v>0</v>
          </cell>
          <cell r="BI353">
            <v>40</v>
          </cell>
          <cell r="BJ353">
            <v>24.5</v>
          </cell>
          <cell r="BM353">
            <v>24.5</v>
          </cell>
          <cell r="BN353">
            <v>24000</v>
          </cell>
          <cell r="BO353">
            <v>6</v>
          </cell>
          <cell r="BP353">
            <v>58</v>
          </cell>
          <cell r="BS353">
            <v>0</v>
          </cell>
          <cell r="BU353">
            <v>5</v>
          </cell>
          <cell r="CD353">
            <v>28</v>
          </cell>
        </row>
        <row r="354">
          <cell r="A354">
            <v>39430</v>
          </cell>
          <cell r="G354">
            <v>290</v>
          </cell>
          <cell r="H354">
            <v>0</v>
          </cell>
          <cell r="I354">
            <v>652</v>
          </cell>
          <cell r="J354">
            <v>867.5</v>
          </cell>
          <cell r="K354">
            <v>13800</v>
          </cell>
          <cell r="L354">
            <v>3150</v>
          </cell>
          <cell r="M354">
            <v>16950</v>
          </cell>
          <cell r="P354">
            <v>0</v>
          </cell>
          <cell r="S354">
            <v>500</v>
          </cell>
          <cell r="T354">
            <v>111</v>
          </cell>
          <cell r="V354">
            <v>111</v>
          </cell>
          <cell r="X354">
            <v>134.1</v>
          </cell>
          <cell r="Y354">
            <v>3200</v>
          </cell>
          <cell r="Z354">
            <v>57</v>
          </cell>
          <cell r="AD354">
            <v>45.2</v>
          </cell>
          <cell r="AE354">
            <v>2500</v>
          </cell>
          <cell r="AF354">
            <v>24.48</v>
          </cell>
          <cell r="AI354">
            <v>24.48</v>
          </cell>
          <cell r="AJ354">
            <v>0.28000000000000003</v>
          </cell>
          <cell r="AK354">
            <v>41.85</v>
          </cell>
          <cell r="AO354">
            <v>0</v>
          </cell>
          <cell r="AP354">
            <v>4.6399999999999997</v>
          </cell>
          <cell r="AQ354">
            <v>26.42</v>
          </cell>
          <cell r="AU354">
            <v>0</v>
          </cell>
          <cell r="AW354">
            <v>17.97</v>
          </cell>
          <cell r="BA354">
            <v>0</v>
          </cell>
          <cell r="BB354">
            <v>3.51</v>
          </cell>
          <cell r="BC354">
            <v>27.9</v>
          </cell>
          <cell r="BG354">
            <v>0</v>
          </cell>
          <cell r="BI354">
            <v>40</v>
          </cell>
          <cell r="BJ354">
            <v>24.5</v>
          </cell>
          <cell r="BM354">
            <v>24.5</v>
          </cell>
          <cell r="BN354">
            <v>10000</v>
          </cell>
          <cell r="BO354">
            <v>5.5</v>
          </cell>
          <cell r="BP354">
            <v>77</v>
          </cell>
          <cell r="BS354">
            <v>0</v>
          </cell>
          <cell r="BU354">
            <v>5</v>
          </cell>
          <cell r="CD354">
            <v>28</v>
          </cell>
        </row>
        <row r="355">
          <cell r="A355">
            <v>39431</v>
          </cell>
          <cell r="G355">
            <v>210</v>
          </cell>
          <cell r="H355">
            <v>0</v>
          </cell>
          <cell r="I355">
            <v>604</v>
          </cell>
          <cell r="J355">
            <v>519.70000000000005</v>
          </cell>
          <cell r="K355">
            <v>13000</v>
          </cell>
          <cell r="L355">
            <v>2800</v>
          </cell>
          <cell r="M355">
            <v>15800</v>
          </cell>
          <cell r="P355">
            <v>0</v>
          </cell>
          <cell r="S355">
            <v>500</v>
          </cell>
          <cell r="V355">
            <v>0</v>
          </cell>
          <cell r="X355">
            <v>105.4</v>
          </cell>
          <cell r="Y355">
            <v>3100</v>
          </cell>
          <cell r="Z355">
            <v>57</v>
          </cell>
          <cell r="AD355">
            <v>54.6</v>
          </cell>
          <cell r="AE355">
            <v>2500</v>
          </cell>
          <cell r="AI355">
            <v>0</v>
          </cell>
          <cell r="AJ355">
            <v>0.11</v>
          </cell>
          <cell r="AK355">
            <v>41.74</v>
          </cell>
          <cell r="AO355">
            <v>0</v>
          </cell>
          <cell r="AP355">
            <v>4.76</v>
          </cell>
          <cell r="AQ355">
            <v>21.66</v>
          </cell>
          <cell r="AU355">
            <v>0</v>
          </cell>
          <cell r="AV355">
            <v>0.12</v>
          </cell>
          <cell r="AW355">
            <v>17.850000000000001</v>
          </cell>
          <cell r="AX355">
            <v>25</v>
          </cell>
          <cell r="BA355">
            <v>25</v>
          </cell>
          <cell r="BB355">
            <v>2.2360000000000002</v>
          </cell>
          <cell r="BC355">
            <v>25.687999999999999</v>
          </cell>
          <cell r="BG355">
            <v>0</v>
          </cell>
          <cell r="BI355">
            <v>40</v>
          </cell>
          <cell r="BM355">
            <v>0</v>
          </cell>
          <cell r="BO355">
            <v>6</v>
          </cell>
          <cell r="BP355">
            <v>71</v>
          </cell>
          <cell r="BS355">
            <v>0</v>
          </cell>
          <cell r="BU355">
            <v>5</v>
          </cell>
          <cell r="CD355">
            <v>28</v>
          </cell>
        </row>
        <row r="356">
          <cell r="A356">
            <v>39432</v>
          </cell>
          <cell r="G356">
            <v>650</v>
          </cell>
          <cell r="H356">
            <v>0</v>
          </cell>
          <cell r="I356">
            <v>926</v>
          </cell>
          <cell r="J356">
            <v>797.7</v>
          </cell>
          <cell r="K356">
            <v>11400</v>
          </cell>
          <cell r="L356">
            <v>2700</v>
          </cell>
          <cell r="M356">
            <v>14100</v>
          </cell>
          <cell r="P356">
            <v>0</v>
          </cell>
          <cell r="S356">
            <v>500</v>
          </cell>
          <cell r="T356">
            <v>249.9</v>
          </cell>
          <cell r="V356">
            <v>249.9</v>
          </cell>
          <cell r="X356">
            <v>105.4</v>
          </cell>
          <cell r="Y356">
            <v>3200</v>
          </cell>
          <cell r="Z356">
            <v>115.5</v>
          </cell>
          <cell r="AD356">
            <v>40.5</v>
          </cell>
          <cell r="AE356">
            <v>2600</v>
          </cell>
          <cell r="AI356">
            <v>0</v>
          </cell>
          <cell r="AJ356">
            <v>0.11</v>
          </cell>
          <cell r="AK356">
            <v>41.63</v>
          </cell>
          <cell r="AO356">
            <v>0</v>
          </cell>
          <cell r="AP356">
            <v>6.19</v>
          </cell>
          <cell r="AQ356">
            <v>15.47</v>
          </cell>
          <cell r="AU356">
            <v>0</v>
          </cell>
          <cell r="AW356">
            <v>17.850000000000001</v>
          </cell>
          <cell r="BA356">
            <v>0</v>
          </cell>
          <cell r="BB356">
            <v>3.2440000000000002</v>
          </cell>
          <cell r="BC356">
            <v>22.443999999999999</v>
          </cell>
          <cell r="BG356">
            <v>0</v>
          </cell>
          <cell r="BI356">
            <v>40</v>
          </cell>
          <cell r="BM356">
            <v>0</v>
          </cell>
          <cell r="BO356">
            <v>5.4</v>
          </cell>
          <cell r="BP356">
            <v>65.599999999999994</v>
          </cell>
          <cell r="BS356">
            <v>0</v>
          </cell>
          <cell r="BU356">
            <v>5</v>
          </cell>
          <cell r="CD356">
            <v>28</v>
          </cell>
        </row>
        <row r="357">
          <cell r="A357">
            <v>39433</v>
          </cell>
          <cell r="H357">
            <v>0</v>
          </cell>
          <cell r="I357">
            <v>911</v>
          </cell>
          <cell r="J357">
            <v>316.89999999999998</v>
          </cell>
          <cell r="K357">
            <v>12800</v>
          </cell>
          <cell r="L357">
            <v>3400</v>
          </cell>
          <cell r="M357">
            <v>16200</v>
          </cell>
          <cell r="P357">
            <v>0</v>
          </cell>
          <cell r="S357">
            <v>500</v>
          </cell>
          <cell r="T357">
            <v>221.8</v>
          </cell>
          <cell r="V357">
            <v>221.8</v>
          </cell>
          <cell r="X357">
            <v>130.30000000000001</v>
          </cell>
          <cell r="Y357">
            <v>3250</v>
          </cell>
          <cell r="Z357">
            <v>59</v>
          </cell>
          <cell r="AA357">
            <v>435</v>
          </cell>
          <cell r="AD357">
            <v>25.5</v>
          </cell>
          <cell r="AE357">
            <v>3050</v>
          </cell>
          <cell r="AI357">
            <v>0</v>
          </cell>
          <cell r="AJ357">
            <v>1.03</v>
          </cell>
          <cell r="AK357">
            <v>40.590000000000003</v>
          </cell>
          <cell r="AL357">
            <v>22.19</v>
          </cell>
          <cell r="AO357">
            <v>22.19</v>
          </cell>
          <cell r="AP357">
            <v>4.46</v>
          </cell>
          <cell r="AQ357">
            <v>33.200000000000003</v>
          </cell>
          <cell r="AR357">
            <v>1.79</v>
          </cell>
          <cell r="AU357">
            <v>1.79</v>
          </cell>
          <cell r="AV357">
            <v>0</v>
          </cell>
          <cell r="AW357">
            <v>19.64</v>
          </cell>
          <cell r="BA357">
            <v>0</v>
          </cell>
          <cell r="BB357">
            <v>1.4039999999999999</v>
          </cell>
          <cell r="BC357">
            <v>21.04</v>
          </cell>
          <cell r="BG357">
            <v>0</v>
          </cell>
          <cell r="BI357">
            <v>40</v>
          </cell>
          <cell r="BJ357">
            <v>25.2</v>
          </cell>
          <cell r="BM357">
            <v>25.2</v>
          </cell>
          <cell r="BN357">
            <v>35000</v>
          </cell>
          <cell r="BO357">
            <v>9.6</v>
          </cell>
          <cell r="BP357">
            <v>81</v>
          </cell>
          <cell r="BS357">
            <v>0</v>
          </cell>
          <cell r="BU357">
            <v>5</v>
          </cell>
          <cell r="CD357">
            <v>28</v>
          </cell>
        </row>
        <row r="358">
          <cell r="A358">
            <v>39434</v>
          </cell>
          <cell r="B358">
            <v>1320</v>
          </cell>
          <cell r="E358">
            <v>3150</v>
          </cell>
          <cell r="H358">
            <v>4470</v>
          </cell>
          <cell r="I358">
            <v>941</v>
          </cell>
          <cell r="J358">
            <v>397</v>
          </cell>
          <cell r="K358">
            <v>12700</v>
          </cell>
          <cell r="L358">
            <v>4300</v>
          </cell>
          <cell r="M358">
            <v>17000</v>
          </cell>
          <cell r="P358">
            <v>0</v>
          </cell>
          <cell r="S358">
            <v>500</v>
          </cell>
          <cell r="T358">
            <v>164.8</v>
          </cell>
          <cell r="V358">
            <v>164.8</v>
          </cell>
          <cell r="X358">
            <v>89.8</v>
          </cell>
          <cell r="Y358">
            <v>3300</v>
          </cell>
          <cell r="Z358">
            <v>58</v>
          </cell>
          <cell r="AD358">
            <v>49.9</v>
          </cell>
          <cell r="AE358">
            <v>3050</v>
          </cell>
          <cell r="AI358">
            <v>0</v>
          </cell>
          <cell r="AJ358">
            <v>1.1499999999999999</v>
          </cell>
          <cell r="AK358">
            <v>39.450000000000003</v>
          </cell>
          <cell r="AO358">
            <v>0</v>
          </cell>
          <cell r="AP358">
            <v>7.15</v>
          </cell>
          <cell r="AQ358">
            <v>25.7</v>
          </cell>
          <cell r="AU358">
            <v>0</v>
          </cell>
          <cell r="AW358">
            <v>19.64</v>
          </cell>
          <cell r="BA358">
            <v>0</v>
          </cell>
          <cell r="BB358">
            <v>1.8</v>
          </cell>
          <cell r="BC358">
            <v>19.239999999999998</v>
          </cell>
          <cell r="BG358">
            <v>0</v>
          </cell>
          <cell r="BI358">
            <v>40</v>
          </cell>
          <cell r="BJ358">
            <v>23.5</v>
          </cell>
          <cell r="BM358">
            <v>23.5</v>
          </cell>
          <cell r="BN358">
            <v>55000</v>
          </cell>
          <cell r="BO358">
            <v>10.8</v>
          </cell>
          <cell r="BP358">
            <v>95.5</v>
          </cell>
          <cell r="BS358">
            <v>0</v>
          </cell>
          <cell r="BU358">
            <v>5</v>
          </cell>
          <cell r="CD358">
            <v>28</v>
          </cell>
        </row>
        <row r="359">
          <cell r="A359">
            <v>39435</v>
          </cell>
          <cell r="H359">
            <v>0</v>
          </cell>
          <cell r="I359">
            <v>625</v>
          </cell>
          <cell r="J359">
            <v>328.1</v>
          </cell>
          <cell r="K359">
            <v>12100</v>
          </cell>
          <cell r="L359">
            <v>3950</v>
          </cell>
          <cell r="M359">
            <v>16050</v>
          </cell>
          <cell r="P359">
            <v>0</v>
          </cell>
          <cell r="S359">
            <v>500</v>
          </cell>
          <cell r="T359">
            <v>84.6</v>
          </cell>
          <cell r="V359">
            <v>84.6</v>
          </cell>
          <cell r="X359">
            <v>109.7</v>
          </cell>
          <cell r="Y359">
            <v>3300</v>
          </cell>
          <cell r="AD359">
            <v>28.6</v>
          </cell>
          <cell r="AE359">
            <v>3050</v>
          </cell>
          <cell r="AI359">
            <v>0</v>
          </cell>
          <cell r="AJ359">
            <v>0.69</v>
          </cell>
          <cell r="AK359">
            <v>38.46</v>
          </cell>
          <cell r="AO359">
            <v>0</v>
          </cell>
          <cell r="AP359">
            <v>2.74</v>
          </cell>
          <cell r="AQ359">
            <v>22.97</v>
          </cell>
          <cell r="AU359">
            <v>0</v>
          </cell>
          <cell r="AV359">
            <v>1.19</v>
          </cell>
          <cell r="AW359">
            <v>18.45</v>
          </cell>
          <cell r="BA359">
            <v>0</v>
          </cell>
          <cell r="BB359">
            <v>1.49</v>
          </cell>
          <cell r="BC359">
            <v>17.75</v>
          </cell>
          <cell r="BG359">
            <v>0</v>
          </cell>
          <cell r="BI359">
            <v>40</v>
          </cell>
          <cell r="BM359">
            <v>0</v>
          </cell>
          <cell r="BN359">
            <v>55000</v>
          </cell>
          <cell r="BO359">
            <v>10.9</v>
          </cell>
          <cell r="BP359">
            <v>85</v>
          </cell>
          <cell r="BS359">
            <v>0</v>
          </cell>
          <cell r="BU359">
            <v>5</v>
          </cell>
          <cell r="CD359">
            <v>28</v>
          </cell>
        </row>
        <row r="360">
          <cell r="A360">
            <v>39436</v>
          </cell>
          <cell r="H360">
            <v>0</v>
          </cell>
          <cell r="I360">
            <v>486</v>
          </cell>
          <cell r="J360">
            <v>542.20000000000005</v>
          </cell>
          <cell r="K360">
            <v>11600</v>
          </cell>
          <cell r="L360">
            <v>3400</v>
          </cell>
          <cell r="M360">
            <v>15000</v>
          </cell>
          <cell r="N360">
            <v>82.6</v>
          </cell>
          <cell r="P360">
            <v>82.6</v>
          </cell>
          <cell r="S360">
            <v>580</v>
          </cell>
          <cell r="T360">
            <v>112.1</v>
          </cell>
          <cell r="V360">
            <v>112.1</v>
          </cell>
          <cell r="X360">
            <v>63.4</v>
          </cell>
          <cell r="Y360">
            <v>3350</v>
          </cell>
          <cell r="Z360">
            <v>176</v>
          </cell>
          <cell r="AD360">
            <v>45.6</v>
          </cell>
          <cell r="AE360">
            <v>3150</v>
          </cell>
          <cell r="AI360">
            <v>0</v>
          </cell>
          <cell r="AJ360">
            <v>1.72</v>
          </cell>
          <cell r="AK360">
            <v>37.04</v>
          </cell>
          <cell r="AO360">
            <v>0</v>
          </cell>
          <cell r="AP360">
            <v>3.45</v>
          </cell>
          <cell r="AQ360">
            <v>19.52</v>
          </cell>
          <cell r="AU360">
            <v>0</v>
          </cell>
          <cell r="AV360">
            <v>0.36</v>
          </cell>
          <cell r="AW360">
            <v>18.09</v>
          </cell>
          <cell r="BA360">
            <v>0</v>
          </cell>
          <cell r="BB360">
            <v>2.4300000000000002</v>
          </cell>
          <cell r="BC360">
            <v>15.32</v>
          </cell>
          <cell r="BG360">
            <v>0</v>
          </cell>
          <cell r="BI360">
            <v>40</v>
          </cell>
          <cell r="BM360">
            <v>0</v>
          </cell>
          <cell r="BN360">
            <v>44500</v>
          </cell>
          <cell r="BO360">
            <v>11.4</v>
          </cell>
          <cell r="BP360">
            <v>73.5</v>
          </cell>
          <cell r="BS360">
            <v>0</v>
          </cell>
          <cell r="BU360">
            <v>5</v>
          </cell>
          <cell r="CD360">
            <v>28</v>
          </cell>
        </row>
        <row r="361">
          <cell r="A361">
            <v>39437</v>
          </cell>
          <cell r="B361">
            <v>660</v>
          </cell>
          <cell r="H361">
            <v>660</v>
          </cell>
          <cell r="I361">
            <v>430</v>
          </cell>
          <cell r="J361">
            <v>724.8</v>
          </cell>
          <cell r="K361">
            <v>11150</v>
          </cell>
          <cell r="L361">
            <v>3350</v>
          </cell>
          <cell r="M361">
            <v>14500</v>
          </cell>
          <cell r="N361">
            <v>55.9</v>
          </cell>
          <cell r="P361">
            <v>55.9</v>
          </cell>
          <cell r="S361">
            <v>635</v>
          </cell>
          <cell r="T361">
            <v>54.7</v>
          </cell>
          <cell r="V361">
            <v>54.7</v>
          </cell>
          <cell r="X361">
            <v>61.4</v>
          </cell>
          <cell r="Y361">
            <v>3350</v>
          </cell>
          <cell r="Z361">
            <v>57.5</v>
          </cell>
          <cell r="AD361">
            <v>32.200000000000003</v>
          </cell>
          <cell r="AE361">
            <v>3150</v>
          </cell>
          <cell r="AI361">
            <v>0</v>
          </cell>
          <cell r="AJ361">
            <v>0.8</v>
          </cell>
          <cell r="AK361">
            <v>36.24</v>
          </cell>
          <cell r="AL361">
            <v>23.86</v>
          </cell>
          <cell r="AO361">
            <v>23.86</v>
          </cell>
          <cell r="AP361">
            <v>3.63</v>
          </cell>
          <cell r="AQ361">
            <v>39.75</v>
          </cell>
          <cell r="AU361">
            <v>0</v>
          </cell>
          <cell r="AV361">
            <v>0.48</v>
          </cell>
          <cell r="AW361">
            <v>17.61</v>
          </cell>
          <cell r="AX361">
            <v>24.02</v>
          </cell>
          <cell r="BA361">
            <v>24.02</v>
          </cell>
          <cell r="BB361">
            <v>3.2469999999999999</v>
          </cell>
          <cell r="BC361">
            <v>55.67</v>
          </cell>
          <cell r="BG361">
            <v>0</v>
          </cell>
          <cell r="BI361">
            <v>40</v>
          </cell>
          <cell r="BJ361">
            <v>49.7</v>
          </cell>
          <cell r="BM361">
            <v>49.7</v>
          </cell>
          <cell r="BN361">
            <v>50000</v>
          </cell>
          <cell r="BO361">
            <v>11.4</v>
          </cell>
          <cell r="BP361">
            <v>111.5</v>
          </cell>
          <cell r="BS361">
            <v>0</v>
          </cell>
          <cell r="BU361">
            <v>5</v>
          </cell>
          <cell r="CD361">
            <v>28</v>
          </cell>
        </row>
        <row r="362">
          <cell r="A362">
            <v>39438</v>
          </cell>
          <cell r="B362">
            <v>660</v>
          </cell>
          <cell r="H362">
            <v>660</v>
          </cell>
          <cell r="I362">
            <v>721</v>
          </cell>
          <cell r="J362">
            <v>749</v>
          </cell>
          <cell r="K362">
            <v>10500</v>
          </cell>
          <cell r="L362">
            <v>3300</v>
          </cell>
          <cell r="M362">
            <v>13800</v>
          </cell>
          <cell r="P362">
            <v>0</v>
          </cell>
          <cell r="S362">
            <v>638</v>
          </cell>
          <cell r="V362">
            <v>0</v>
          </cell>
          <cell r="X362">
            <v>48.8</v>
          </cell>
          <cell r="Y362">
            <v>3300</v>
          </cell>
          <cell r="AD362">
            <v>61.1</v>
          </cell>
          <cell r="AE362">
            <v>3100</v>
          </cell>
          <cell r="AI362">
            <v>0</v>
          </cell>
          <cell r="AJ362">
            <v>1.38</v>
          </cell>
          <cell r="AK362">
            <v>34.86</v>
          </cell>
          <cell r="AO362">
            <v>0</v>
          </cell>
          <cell r="AP362">
            <v>6.43</v>
          </cell>
          <cell r="AQ362">
            <v>33.32</v>
          </cell>
          <cell r="AU362">
            <v>0</v>
          </cell>
          <cell r="AV362">
            <v>0.71</v>
          </cell>
          <cell r="AW362">
            <v>16.899999999999999</v>
          </cell>
          <cell r="BA362">
            <v>0</v>
          </cell>
          <cell r="BB362">
            <v>3.3250000000000002</v>
          </cell>
          <cell r="BC362">
            <v>54.341999999999999</v>
          </cell>
          <cell r="BG362">
            <v>0</v>
          </cell>
          <cell r="BI362">
            <v>40</v>
          </cell>
          <cell r="BJ362">
            <v>24.3</v>
          </cell>
          <cell r="BM362">
            <v>24.3</v>
          </cell>
          <cell r="BN362">
            <v>10000</v>
          </cell>
          <cell r="BO362">
            <v>10.5</v>
          </cell>
          <cell r="BP362">
            <v>125.6</v>
          </cell>
          <cell r="BS362">
            <v>0</v>
          </cell>
          <cell r="BU362">
            <v>5</v>
          </cell>
          <cell r="BV362">
            <v>725</v>
          </cell>
          <cell r="BX362">
            <v>725</v>
          </cell>
          <cell r="CD362">
            <v>28</v>
          </cell>
        </row>
        <row r="363">
          <cell r="A363">
            <v>39439</v>
          </cell>
          <cell r="G363">
            <v>970</v>
          </cell>
          <cell r="H363">
            <v>0</v>
          </cell>
          <cell r="I363">
            <v>774</v>
          </cell>
          <cell r="J363">
            <v>746.6</v>
          </cell>
          <cell r="K363">
            <v>11300</v>
          </cell>
          <cell r="L363">
            <v>3500</v>
          </cell>
          <cell r="M363">
            <v>14800</v>
          </cell>
          <cell r="P363">
            <v>0</v>
          </cell>
          <cell r="S363">
            <v>638</v>
          </cell>
          <cell r="V363">
            <v>0</v>
          </cell>
          <cell r="X363">
            <v>44.8</v>
          </cell>
          <cell r="Y363">
            <v>3200</v>
          </cell>
          <cell r="AD363">
            <v>72.7</v>
          </cell>
          <cell r="AE363">
            <v>3000</v>
          </cell>
          <cell r="AI363">
            <v>0</v>
          </cell>
          <cell r="AJ363">
            <v>0.56999999999999995</v>
          </cell>
          <cell r="AK363">
            <v>34.29</v>
          </cell>
          <cell r="AO363">
            <v>0</v>
          </cell>
          <cell r="AP363">
            <v>4.05</v>
          </cell>
          <cell r="AQ363">
            <v>29.27</v>
          </cell>
          <cell r="AU363">
            <v>0</v>
          </cell>
          <cell r="AV363">
            <v>0.48</v>
          </cell>
          <cell r="AW363">
            <v>16.420000000000002</v>
          </cell>
          <cell r="BA363">
            <v>0</v>
          </cell>
          <cell r="BB363">
            <v>3.3260000000000001</v>
          </cell>
          <cell r="BC363">
            <v>51.015999999999998</v>
          </cell>
          <cell r="BG363">
            <v>0</v>
          </cell>
          <cell r="BI363">
            <v>40</v>
          </cell>
          <cell r="BM363">
            <v>0</v>
          </cell>
          <cell r="BN363">
            <v>14000</v>
          </cell>
          <cell r="BO363">
            <v>9.8000000000000007</v>
          </cell>
          <cell r="BP363">
            <v>115.8</v>
          </cell>
          <cell r="BS363">
            <v>0</v>
          </cell>
          <cell r="BU363">
            <v>5</v>
          </cell>
          <cell r="BV363">
            <v>250</v>
          </cell>
          <cell r="BX363">
            <v>975</v>
          </cell>
          <cell r="CD363">
            <v>28</v>
          </cell>
        </row>
        <row r="364">
          <cell r="A364">
            <v>39440</v>
          </cell>
          <cell r="G364">
            <v>580</v>
          </cell>
          <cell r="H364">
            <v>0</v>
          </cell>
          <cell r="I364">
            <v>666</v>
          </cell>
          <cell r="J364">
            <v>655.8</v>
          </cell>
          <cell r="K364">
            <v>12400</v>
          </cell>
          <cell r="L364">
            <v>3400</v>
          </cell>
          <cell r="M364">
            <v>15800</v>
          </cell>
          <cell r="P364">
            <v>0</v>
          </cell>
          <cell r="S364">
            <v>638</v>
          </cell>
          <cell r="V364">
            <v>0</v>
          </cell>
          <cell r="X364">
            <v>36.200000000000003</v>
          </cell>
          <cell r="Y364">
            <v>3200</v>
          </cell>
          <cell r="Z364">
            <v>56.5</v>
          </cell>
          <cell r="AD364">
            <v>68.8</v>
          </cell>
          <cell r="AE364">
            <v>3000</v>
          </cell>
          <cell r="AI364">
            <v>0</v>
          </cell>
          <cell r="AJ364">
            <v>2.1800000000000002</v>
          </cell>
          <cell r="AK364">
            <v>32.11</v>
          </cell>
          <cell r="AO364">
            <v>0</v>
          </cell>
          <cell r="AP364">
            <v>6.28</v>
          </cell>
          <cell r="AQ364">
            <v>19.989999999999998</v>
          </cell>
          <cell r="AR364">
            <v>3</v>
          </cell>
          <cell r="AU364">
            <v>3</v>
          </cell>
          <cell r="AV364">
            <v>0.74</v>
          </cell>
          <cell r="AW364">
            <v>18.68</v>
          </cell>
          <cell r="BA364">
            <v>0</v>
          </cell>
          <cell r="BB364">
            <v>2.9630000000000001</v>
          </cell>
          <cell r="BC364">
            <v>48.052999999999997</v>
          </cell>
          <cell r="BG364">
            <v>0</v>
          </cell>
          <cell r="BI364">
            <v>40</v>
          </cell>
          <cell r="BM364">
            <v>0</v>
          </cell>
          <cell r="BN364">
            <v>10000</v>
          </cell>
          <cell r="BO364">
            <v>3</v>
          </cell>
          <cell r="BP364">
            <v>112.8</v>
          </cell>
          <cell r="BS364">
            <v>0</v>
          </cell>
          <cell r="BU364">
            <v>5</v>
          </cell>
          <cell r="BX364">
            <v>975</v>
          </cell>
          <cell r="CD364">
            <v>28</v>
          </cell>
        </row>
        <row r="365">
          <cell r="A365">
            <v>39441</v>
          </cell>
          <cell r="E365">
            <v>2899.7</v>
          </cell>
          <cell r="G365">
            <v>420</v>
          </cell>
          <cell r="H365">
            <v>2899.7</v>
          </cell>
          <cell r="I365">
            <v>804</v>
          </cell>
          <cell r="J365">
            <v>696.1</v>
          </cell>
          <cell r="K365">
            <v>12350</v>
          </cell>
          <cell r="L365">
            <v>3150</v>
          </cell>
          <cell r="M365">
            <v>15500</v>
          </cell>
          <cell r="P365">
            <v>0</v>
          </cell>
          <cell r="S365">
            <v>638</v>
          </cell>
          <cell r="V365">
            <v>0</v>
          </cell>
          <cell r="X365">
            <v>26.2</v>
          </cell>
          <cell r="Y365">
            <v>3200</v>
          </cell>
          <cell r="AD365">
            <v>82.6</v>
          </cell>
          <cell r="AE365">
            <v>2950</v>
          </cell>
          <cell r="AI365">
            <v>0</v>
          </cell>
          <cell r="AJ365">
            <v>2.06</v>
          </cell>
          <cell r="AK365">
            <v>30.04</v>
          </cell>
          <cell r="AO365">
            <v>0</v>
          </cell>
          <cell r="AP365">
            <v>7.62</v>
          </cell>
          <cell r="AQ365">
            <v>12.38</v>
          </cell>
          <cell r="AU365">
            <v>0</v>
          </cell>
          <cell r="AV365">
            <v>2.38</v>
          </cell>
          <cell r="AW365">
            <v>16.3</v>
          </cell>
          <cell r="BA365">
            <v>0</v>
          </cell>
          <cell r="BB365">
            <v>3.15</v>
          </cell>
          <cell r="BC365">
            <v>44.9</v>
          </cell>
          <cell r="BG365">
            <v>0</v>
          </cell>
          <cell r="BI365">
            <v>40</v>
          </cell>
          <cell r="BM365">
            <v>0</v>
          </cell>
          <cell r="BP365">
            <v>112.8</v>
          </cell>
          <cell r="BS365">
            <v>0</v>
          </cell>
          <cell r="BU365">
            <v>5</v>
          </cell>
          <cell r="BX365">
            <v>975</v>
          </cell>
          <cell r="CD365">
            <v>28</v>
          </cell>
        </row>
        <row r="366">
          <cell r="A366">
            <v>39442</v>
          </cell>
          <cell r="G366">
            <v>250</v>
          </cell>
          <cell r="H366">
            <v>0</v>
          </cell>
          <cell r="I366">
            <v>753</v>
          </cell>
          <cell r="J366">
            <v>784</v>
          </cell>
          <cell r="K366">
            <v>12750</v>
          </cell>
          <cell r="L366">
            <v>2600</v>
          </cell>
          <cell r="M366">
            <v>15350</v>
          </cell>
          <cell r="P366">
            <v>0</v>
          </cell>
          <cell r="S366">
            <v>638</v>
          </cell>
          <cell r="V366">
            <v>0</v>
          </cell>
          <cell r="X366">
            <v>51.2</v>
          </cell>
          <cell r="Y366">
            <v>3150</v>
          </cell>
          <cell r="Z366">
            <v>56</v>
          </cell>
          <cell r="AD366">
            <v>88.2</v>
          </cell>
          <cell r="AE366">
            <v>2900</v>
          </cell>
          <cell r="AI366">
            <v>0</v>
          </cell>
          <cell r="AJ366">
            <v>2.06</v>
          </cell>
          <cell r="AK366">
            <v>27.98</v>
          </cell>
          <cell r="AO366">
            <v>0</v>
          </cell>
          <cell r="AP366">
            <v>4.5199999999999996</v>
          </cell>
          <cell r="AQ366">
            <v>7.85</v>
          </cell>
          <cell r="AU366">
            <v>0</v>
          </cell>
          <cell r="AV366">
            <v>1.67</v>
          </cell>
          <cell r="AW366">
            <v>14.64</v>
          </cell>
          <cell r="BA366">
            <v>0</v>
          </cell>
          <cell r="BB366">
            <v>3.512</v>
          </cell>
          <cell r="BC366">
            <v>41.39</v>
          </cell>
          <cell r="BG366">
            <v>0</v>
          </cell>
          <cell r="BI366">
            <v>40</v>
          </cell>
          <cell r="BM366">
            <v>0</v>
          </cell>
          <cell r="BP366">
            <v>112.8</v>
          </cell>
          <cell r="BS366">
            <v>0</v>
          </cell>
          <cell r="BU366">
            <v>5</v>
          </cell>
          <cell r="BX366">
            <v>975</v>
          </cell>
          <cell r="CD366">
            <v>28</v>
          </cell>
        </row>
        <row r="367">
          <cell r="A367">
            <v>39443</v>
          </cell>
          <cell r="E367">
            <v>3001.9</v>
          </cell>
          <cell r="G367">
            <v>530</v>
          </cell>
          <cell r="H367">
            <v>3001.9</v>
          </cell>
          <cell r="I367">
            <v>683</v>
          </cell>
          <cell r="J367">
            <v>667.9</v>
          </cell>
          <cell r="K367">
            <v>13150</v>
          </cell>
          <cell r="L367">
            <v>2450</v>
          </cell>
          <cell r="M367">
            <v>15600</v>
          </cell>
          <cell r="N367">
            <v>351</v>
          </cell>
          <cell r="P367">
            <v>351</v>
          </cell>
          <cell r="S367">
            <v>990</v>
          </cell>
          <cell r="T367">
            <v>27.4</v>
          </cell>
          <cell r="V367">
            <v>27.4</v>
          </cell>
          <cell r="X367">
            <v>51.9</v>
          </cell>
          <cell r="Y367">
            <v>3100</v>
          </cell>
          <cell r="Z367">
            <v>57.5</v>
          </cell>
          <cell r="AD367">
            <v>88.1</v>
          </cell>
          <cell r="AE367">
            <v>2900</v>
          </cell>
          <cell r="AI367">
            <v>0</v>
          </cell>
          <cell r="AJ367">
            <v>2.64</v>
          </cell>
          <cell r="AK367">
            <v>25.34</v>
          </cell>
          <cell r="AL367">
            <v>17.420000000000002</v>
          </cell>
          <cell r="AO367">
            <v>17.420000000000002</v>
          </cell>
          <cell r="AP367">
            <v>7.19</v>
          </cell>
          <cell r="AQ367">
            <v>18.09</v>
          </cell>
          <cell r="AR367">
            <v>9.1999999999999993</v>
          </cell>
          <cell r="AU367">
            <v>9.1999999999999993</v>
          </cell>
          <cell r="AV367">
            <v>4.5599999999999996</v>
          </cell>
          <cell r="AW367">
            <v>19.28</v>
          </cell>
          <cell r="BA367">
            <v>0</v>
          </cell>
          <cell r="BB367">
            <v>3.0470000000000002</v>
          </cell>
          <cell r="BC367">
            <v>38.340000000000003</v>
          </cell>
          <cell r="BG367">
            <v>0</v>
          </cell>
          <cell r="BI367">
            <v>40</v>
          </cell>
          <cell r="BJ367">
            <v>24.9</v>
          </cell>
          <cell r="BM367">
            <v>24.9</v>
          </cell>
          <cell r="BN367">
            <v>20000</v>
          </cell>
          <cell r="BO367">
            <v>4.8</v>
          </cell>
          <cell r="BP367">
            <v>133</v>
          </cell>
          <cell r="BS367">
            <v>0</v>
          </cell>
          <cell r="BU367">
            <v>5</v>
          </cell>
          <cell r="BX367">
            <v>975</v>
          </cell>
          <cell r="CD367">
            <v>28</v>
          </cell>
        </row>
        <row r="368">
          <cell r="A368">
            <v>39444</v>
          </cell>
          <cell r="B368">
            <v>1320.1</v>
          </cell>
          <cell r="H368">
            <v>1320.1</v>
          </cell>
          <cell r="I368">
            <v>533</v>
          </cell>
          <cell r="J368">
            <v>473.7</v>
          </cell>
          <cell r="K368">
            <v>14550</v>
          </cell>
          <cell r="L368">
            <v>3300</v>
          </cell>
          <cell r="M368">
            <v>17850</v>
          </cell>
          <cell r="N368">
            <v>27.9</v>
          </cell>
          <cell r="P368">
            <v>27.9</v>
          </cell>
          <cell r="S368">
            <v>1015</v>
          </cell>
          <cell r="V368">
            <v>0</v>
          </cell>
          <cell r="X368">
            <v>32.299999999999997</v>
          </cell>
          <cell r="Y368">
            <v>3050</v>
          </cell>
          <cell r="Z368">
            <v>115</v>
          </cell>
          <cell r="AD368">
            <v>85.8</v>
          </cell>
          <cell r="AE368">
            <v>3450</v>
          </cell>
          <cell r="AF368">
            <v>24.64</v>
          </cell>
          <cell r="AI368">
            <v>24.64</v>
          </cell>
          <cell r="AJ368">
            <v>5.26</v>
          </cell>
          <cell r="AK368">
            <v>44.72</v>
          </cell>
          <cell r="AL368">
            <v>39.72</v>
          </cell>
          <cell r="AO368">
            <v>39.72</v>
          </cell>
          <cell r="AP368">
            <v>5.75</v>
          </cell>
          <cell r="AQ368">
            <v>34.630000000000003</v>
          </cell>
          <cell r="AR368">
            <v>35.24</v>
          </cell>
          <cell r="AU368">
            <v>35.24</v>
          </cell>
          <cell r="AV368">
            <v>3.35</v>
          </cell>
          <cell r="AW368">
            <v>42.84</v>
          </cell>
          <cell r="AX368">
            <v>26.62</v>
          </cell>
          <cell r="BA368">
            <v>26.62</v>
          </cell>
          <cell r="BB368">
            <v>2.1280000000000001</v>
          </cell>
          <cell r="BC368">
            <v>62.83</v>
          </cell>
          <cell r="BG368">
            <v>0</v>
          </cell>
          <cell r="BI368">
            <v>40</v>
          </cell>
          <cell r="BM368">
            <v>0</v>
          </cell>
          <cell r="BN368">
            <v>30000</v>
          </cell>
          <cell r="BO368">
            <v>5.6</v>
          </cell>
          <cell r="BP368">
            <v>127.5</v>
          </cell>
          <cell r="BS368">
            <v>0</v>
          </cell>
          <cell r="BU368">
            <v>5</v>
          </cell>
          <cell r="BX368">
            <v>975</v>
          </cell>
          <cell r="CD368">
            <v>28</v>
          </cell>
        </row>
        <row r="369">
          <cell r="A369">
            <v>39445</v>
          </cell>
          <cell r="E369">
            <v>3182.2</v>
          </cell>
          <cell r="G369">
            <v>490</v>
          </cell>
          <cell r="H369">
            <v>3182.2</v>
          </cell>
          <cell r="I369">
            <v>587</v>
          </cell>
          <cell r="J369">
            <v>742.5</v>
          </cell>
          <cell r="K369">
            <v>14700</v>
          </cell>
          <cell r="L369">
            <v>3050</v>
          </cell>
          <cell r="M369">
            <v>17750</v>
          </cell>
          <cell r="P369">
            <v>0</v>
          </cell>
          <cell r="S369">
            <v>1015</v>
          </cell>
          <cell r="V369">
            <v>0</v>
          </cell>
          <cell r="X369">
            <v>38.700000000000003</v>
          </cell>
          <cell r="Y369">
            <v>3050</v>
          </cell>
          <cell r="Z369">
            <v>56</v>
          </cell>
          <cell r="AD369">
            <v>53.4</v>
          </cell>
          <cell r="AE369">
            <v>3650</v>
          </cell>
          <cell r="AI369">
            <v>0</v>
          </cell>
          <cell r="AJ369">
            <v>1.03</v>
          </cell>
          <cell r="AK369">
            <v>43.69</v>
          </cell>
          <cell r="AO369">
            <v>0</v>
          </cell>
          <cell r="AP369">
            <v>5.83</v>
          </cell>
          <cell r="AQ369">
            <v>28.8</v>
          </cell>
          <cell r="AU369">
            <v>0</v>
          </cell>
          <cell r="AW369">
            <v>42.84</v>
          </cell>
          <cell r="BA369">
            <v>0</v>
          </cell>
          <cell r="BB369">
            <v>3.1280000000000001</v>
          </cell>
          <cell r="BC369">
            <v>59.7</v>
          </cell>
          <cell r="BG369">
            <v>0</v>
          </cell>
          <cell r="BI369">
            <v>40</v>
          </cell>
          <cell r="BM369">
            <v>0</v>
          </cell>
          <cell r="BN369">
            <v>15000</v>
          </cell>
          <cell r="BO369">
            <v>6</v>
          </cell>
          <cell r="BP369">
            <v>121.5</v>
          </cell>
          <cell r="BS369">
            <v>0</v>
          </cell>
          <cell r="BU369">
            <v>5</v>
          </cell>
          <cell r="BX369">
            <v>975</v>
          </cell>
          <cell r="CD369">
            <v>28</v>
          </cell>
        </row>
        <row r="370">
          <cell r="A370">
            <v>39446</v>
          </cell>
          <cell r="G370">
            <v>900</v>
          </cell>
          <cell r="H370">
            <v>0</v>
          </cell>
          <cell r="I370">
            <v>604</v>
          </cell>
          <cell r="J370">
            <v>775.3</v>
          </cell>
          <cell r="K370">
            <v>14700</v>
          </cell>
          <cell r="L370">
            <v>3200</v>
          </cell>
          <cell r="M370">
            <v>17900</v>
          </cell>
          <cell r="P370">
            <v>0</v>
          </cell>
          <cell r="S370">
            <v>1015</v>
          </cell>
          <cell r="V370">
            <v>0</v>
          </cell>
          <cell r="X370">
            <v>57.6</v>
          </cell>
          <cell r="Y370">
            <v>3000</v>
          </cell>
          <cell r="Z370">
            <v>117</v>
          </cell>
          <cell r="AD370">
            <v>85.8</v>
          </cell>
          <cell r="AE370">
            <v>3600</v>
          </cell>
          <cell r="AI370">
            <v>0</v>
          </cell>
          <cell r="AJ370">
            <v>1.83</v>
          </cell>
          <cell r="AK370">
            <v>41.85</v>
          </cell>
          <cell r="AO370">
            <v>0</v>
          </cell>
          <cell r="AP370">
            <v>4.6399999999999997</v>
          </cell>
          <cell r="AQ370">
            <v>24.16</v>
          </cell>
          <cell r="AU370">
            <v>0</v>
          </cell>
          <cell r="AV370">
            <v>1.19</v>
          </cell>
          <cell r="AW370">
            <v>41.65</v>
          </cell>
          <cell r="BA370">
            <v>0</v>
          </cell>
          <cell r="BB370">
            <v>3.3050000000000002</v>
          </cell>
          <cell r="BC370">
            <v>56.402999999999999</v>
          </cell>
          <cell r="BG370">
            <v>0</v>
          </cell>
          <cell r="BI370">
            <v>40</v>
          </cell>
          <cell r="BM370">
            <v>0</v>
          </cell>
          <cell r="BN370">
            <v>40000</v>
          </cell>
          <cell r="BO370">
            <v>6</v>
          </cell>
          <cell r="BP370">
            <v>115</v>
          </cell>
          <cell r="BS370">
            <v>0</v>
          </cell>
          <cell r="BU370">
            <v>5</v>
          </cell>
          <cell r="BX370">
            <v>975</v>
          </cell>
          <cell r="CD370">
            <v>28</v>
          </cell>
        </row>
        <row r="371">
          <cell r="A371">
            <v>39447</v>
          </cell>
          <cell r="E371">
            <v>3174.2</v>
          </cell>
          <cell r="G371">
            <v>180</v>
          </cell>
          <cell r="H371">
            <v>3174.2</v>
          </cell>
          <cell r="I371">
            <v>589</v>
          </cell>
          <cell r="J371">
            <v>581.79999999999995</v>
          </cell>
          <cell r="K371">
            <v>14600</v>
          </cell>
          <cell r="L371">
            <v>3800</v>
          </cell>
          <cell r="M371">
            <v>18400</v>
          </cell>
          <cell r="P371">
            <v>0</v>
          </cell>
          <cell r="S371">
            <v>1015</v>
          </cell>
          <cell r="V371">
            <v>0</v>
          </cell>
          <cell r="X371">
            <v>51.9</v>
          </cell>
          <cell r="Y371">
            <v>2900</v>
          </cell>
          <cell r="Z371">
            <v>120</v>
          </cell>
          <cell r="AD371">
            <v>281.10000000000002</v>
          </cell>
          <cell r="AE371">
            <v>3450</v>
          </cell>
          <cell r="AI371">
            <v>0</v>
          </cell>
          <cell r="AJ371">
            <v>2.52</v>
          </cell>
          <cell r="AK371">
            <v>39.33</v>
          </cell>
          <cell r="AO371">
            <v>0</v>
          </cell>
          <cell r="AP371">
            <v>4.88</v>
          </cell>
          <cell r="AQ371">
            <v>19.28</v>
          </cell>
          <cell r="AU371">
            <v>0</v>
          </cell>
          <cell r="AV371">
            <v>2.5</v>
          </cell>
          <cell r="AW371">
            <v>39.15</v>
          </cell>
          <cell r="BA371">
            <v>0</v>
          </cell>
          <cell r="BB371">
            <v>2.9340000000000002</v>
          </cell>
          <cell r="BC371">
            <v>53.47</v>
          </cell>
          <cell r="BG371">
            <v>0</v>
          </cell>
          <cell r="BI371">
            <v>40</v>
          </cell>
          <cell r="BM371">
            <v>0</v>
          </cell>
          <cell r="BP371">
            <v>115</v>
          </cell>
          <cell r="BS371">
            <v>0</v>
          </cell>
          <cell r="BU371">
            <v>5</v>
          </cell>
          <cell r="BX371">
            <v>975</v>
          </cell>
          <cell r="CD371">
            <v>28</v>
          </cell>
        </row>
        <row r="372">
          <cell r="A372" t="str">
            <v>Suma</v>
          </cell>
          <cell r="B372">
            <v>64619.433000000012</v>
          </cell>
          <cell r="C372">
            <v>159941.49</v>
          </cell>
          <cell r="D372">
            <v>0</v>
          </cell>
          <cell r="E372">
            <v>98207.199999999968</v>
          </cell>
          <cell r="F372">
            <v>0</v>
          </cell>
          <cell r="G372">
            <v>77260.399999999994</v>
          </cell>
          <cell r="H372">
            <v>322768.12300000002</v>
          </cell>
          <cell r="I372">
            <v>178573.96699999998</v>
          </cell>
          <cell r="J372">
            <v>156251.10000000009</v>
          </cell>
          <cell r="K372">
            <v>14600</v>
          </cell>
          <cell r="L372">
            <v>3800</v>
          </cell>
          <cell r="M372">
            <v>18400</v>
          </cell>
          <cell r="N372">
            <v>2167.64</v>
          </cell>
          <cell r="O372">
            <v>0</v>
          </cell>
          <cell r="P372">
            <v>2167.64</v>
          </cell>
          <cell r="Q372">
            <v>0</v>
          </cell>
          <cell r="R372">
            <v>1549.7100000000005</v>
          </cell>
          <cell r="S372">
            <v>1015</v>
          </cell>
          <cell r="T372">
            <v>48789.369999999981</v>
          </cell>
          <cell r="U372">
            <v>0</v>
          </cell>
          <cell r="V372">
            <v>48789.369999999981</v>
          </cell>
          <cell r="W372">
            <v>19332.920999999998</v>
          </cell>
          <cell r="X372">
            <v>29453.676999999992</v>
          </cell>
          <cell r="Y372">
            <v>2900</v>
          </cell>
          <cell r="Z372">
            <v>24452.98</v>
          </cell>
          <cell r="AA372">
            <v>11342.42</v>
          </cell>
          <cell r="AB372">
            <v>4313.6129999999994</v>
          </cell>
          <cell r="AC372">
            <v>1400.9310000000003</v>
          </cell>
          <cell r="AD372">
            <v>49031.347999999991</v>
          </cell>
          <cell r="AE372">
            <v>3450</v>
          </cell>
          <cell r="AF372">
            <v>615.07999999999993</v>
          </cell>
          <cell r="AG372">
            <v>0</v>
          </cell>
          <cell r="AH372">
            <v>0</v>
          </cell>
          <cell r="AI372">
            <v>615.07999999999993</v>
          </cell>
          <cell r="AJ372">
            <v>617.63499999999942</v>
          </cell>
          <cell r="AK372">
            <v>39.33</v>
          </cell>
          <cell r="AL372">
            <v>1468.6100000000001</v>
          </cell>
          <cell r="AM372">
            <v>0</v>
          </cell>
          <cell r="AN372">
            <v>0</v>
          </cell>
          <cell r="AO372">
            <v>1468.6100000000001</v>
          </cell>
          <cell r="AP372">
            <v>1436.0080000000014</v>
          </cell>
          <cell r="AQ372">
            <v>19.28</v>
          </cell>
          <cell r="AR372">
            <v>357.88600000000002</v>
          </cell>
          <cell r="AS372">
            <v>0</v>
          </cell>
          <cell r="AT372">
            <v>0</v>
          </cell>
          <cell r="AU372">
            <v>357.88600000000002</v>
          </cell>
          <cell r="AV372">
            <v>341.74600000000009</v>
          </cell>
          <cell r="AW372">
            <v>39.15</v>
          </cell>
          <cell r="AX372">
            <v>941.95</v>
          </cell>
          <cell r="AY372">
            <v>0</v>
          </cell>
          <cell r="AZ372">
            <v>0</v>
          </cell>
          <cell r="BA372">
            <v>941.95</v>
          </cell>
          <cell r="BB372">
            <v>923.95299999999963</v>
          </cell>
          <cell r="BC372">
            <v>53.47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276.2</v>
          </cell>
          <cell r="BI372">
            <v>40</v>
          </cell>
          <cell r="BJ372">
            <v>2183.3199999999997</v>
          </cell>
          <cell r="BK372">
            <v>0</v>
          </cell>
          <cell r="BL372">
            <v>0</v>
          </cell>
          <cell r="BM372">
            <v>2183.3199999999997</v>
          </cell>
          <cell r="BN372">
            <v>6053450</v>
          </cell>
          <cell r="BO372">
            <v>2084.7650000000053</v>
          </cell>
          <cell r="BP372">
            <v>115</v>
          </cell>
          <cell r="BQ372">
            <v>169.89999999999998</v>
          </cell>
          <cell r="BR372">
            <v>0</v>
          </cell>
          <cell r="BS372">
            <v>169.89999999999998</v>
          </cell>
          <cell r="BT372">
            <v>162.09</v>
          </cell>
          <cell r="BU372">
            <v>5</v>
          </cell>
          <cell r="BV372">
            <v>3666.0600000000004</v>
          </cell>
          <cell r="BW372">
            <v>2622.2870000000003</v>
          </cell>
          <cell r="BX372">
            <v>975</v>
          </cell>
          <cell r="BY372">
            <v>113.04</v>
          </cell>
          <cell r="BZ372">
            <v>72.599999999999994</v>
          </cell>
          <cell r="CA372">
            <v>0</v>
          </cell>
          <cell r="CB372">
            <v>529.56000000000006</v>
          </cell>
          <cell r="CC372">
            <v>601.58800000000008</v>
          </cell>
          <cell r="CD372">
            <v>28</v>
          </cell>
        </row>
        <row r="374">
          <cell r="B374">
            <v>5277.62</v>
          </cell>
          <cell r="C374">
            <v>0</v>
          </cell>
          <cell r="D374">
            <v>0</v>
          </cell>
          <cell r="E374">
            <v>9239.2000000000007</v>
          </cell>
          <cell r="F374">
            <v>0</v>
          </cell>
          <cell r="G374">
            <v>5785</v>
          </cell>
          <cell r="H374">
            <v>14516.82</v>
          </cell>
          <cell r="I374">
            <v>19139</v>
          </cell>
          <cell r="J374">
            <v>11760.062</v>
          </cell>
          <cell r="N374">
            <v>249.48</v>
          </cell>
          <cell r="O374">
            <v>0</v>
          </cell>
          <cell r="P374">
            <v>249.48</v>
          </cell>
          <cell r="Q374">
            <v>0</v>
          </cell>
          <cell r="R374">
            <v>577.28800000000001</v>
          </cell>
          <cell r="T374">
            <v>5594.5</v>
          </cell>
          <cell r="U374">
            <v>0</v>
          </cell>
          <cell r="V374">
            <v>5594.5</v>
          </cell>
          <cell r="W374">
            <v>2866.002</v>
          </cell>
          <cell r="X374">
            <v>2570.9</v>
          </cell>
          <cell r="Z374">
            <v>1355.05</v>
          </cell>
          <cell r="AA374">
            <v>1831.75</v>
          </cell>
          <cell r="AB374">
            <v>584</v>
          </cell>
          <cell r="AD374">
            <v>2124.297</v>
          </cell>
          <cell r="AF374">
            <v>49.88</v>
          </cell>
          <cell r="AG374">
            <v>0</v>
          </cell>
          <cell r="AH374">
            <v>0</v>
          </cell>
          <cell r="AI374">
            <v>49.88</v>
          </cell>
          <cell r="AJ374">
            <v>59.27</v>
          </cell>
          <cell r="AL374">
            <v>119.66</v>
          </cell>
          <cell r="AM374">
            <v>0</v>
          </cell>
          <cell r="AN374">
            <v>0</v>
          </cell>
          <cell r="AO374">
            <v>119.66</v>
          </cell>
          <cell r="AP374">
            <v>114.05</v>
          </cell>
          <cell r="AR374">
            <v>24.2</v>
          </cell>
          <cell r="AS374">
            <v>0</v>
          </cell>
          <cell r="AT374">
            <v>0</v>
          </cell>
          <cell r="AU374">
            <v>24.2</v>
          </cell>
          <cell r="AV374">
            <v>5.38</v>
          </cell>
          <cell r="AX374">
            <v>77.78</v>
          </cell>
          <cell r="AY374">
            <v>0</v>
          </cell>
          <cell r="AZ374">
            <v>0</v>
          </cell>
          <cell r="BA374">
            <v>77.78</v>
          </cell>
          <cell r="BB374">
            <v>77.313000000000002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J374">
            <v>337.6</v>
          </cell>
          <cell r="BK374">
            <v>0</v>
          </cell>
          <cell r="BL374">
            <v>0</v>
          </cell>
          <cell r="BM374">
            <v>337.6</v>
          </cell>
          <cell r="BN374">
            <v>854950</v>
          </cell>
          <cell r="BO374">
            <v>274.39999999999998</v>
          </cell>
          <cell r="BQ374">
            <v>99.9</v>
          </cell>
          <cell r="BR374">
            <v>0</v>
          </cell>
          <cell r="BS374">
            <v>99.9</v>
          </cell>
          <cell r="BT374">
            <v>94.9</v>
          </cell>
          <cell r="BV374">
            <v>1793.68</v>
          </cell>
          <cell r="BW374">
            <v>1372.14</v>
          </cell>
          <cell r="BY374">
            <v>0</v>
          </cell>
          <cell r="BZ374">
            <v>0</v>
          </cell>
          <cell r="CB374">
            <v>252.98</v>
          </cell>
          <cell r="CC374">
            <v>100.46</v>
          </cell>
        </row>
        <row r="375">
          <cell r="A375" t="str">
            <v>STYCZEŃ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V375">
            <v>0</v>
          </cell>
          <cell r="BW375">
            <v>0</v>
          </cell>
          <cell r="BY375">
            <v>0</v>
          </cell>
          <cell r="BZ375">
            <v>0</v>
          </cell>
          <cell r="CB375">
            <v>0</v>
          </cell>
          <cell r="CC375">
            <v>0</v>
          </cell>
        </row>
        <row r="376">
          <cell r="B376">
            <v>5277.62</v>
          </cell>
          <cell r="C376">
            <v>0</v>
          </cell>
          <cell r="D376">
            <v>0</v>
          </cell>
          <cell r="E376">
            <v>9239.2000000000007</v>
          </cell>
          <cell r="F376">
            <v>0</v>
          </cell>
          <cell r="G376">
            <v>5785</v>
          </cell>
          <cell r="H376">
            <v>14516.820000000002</v>
          </cell>
          <cell r="I376">
            <v>19139</v>
          </cell>
          <cell r="J376">
            <v>11760.062000000004</v>
          </cell>
          <cell r="N376">
            <v>249.48</v>
          </cell>
          <cell r="O376">
            <v>0</v>
          </cell>
          <cell r="P376">
            <v>249.48</v>
          </cell>
          <cell r="Q376">
            <v>0</v>
          </cell>
          <cell r="R376">
            <v>577.28800000000001</v>
          </cell>
          <cell r="T376">
            <v>5594.5</v>
          </cell>
          <cell r="U376">
            <v>0</v>
          </cell>
          <cell r="V376">
            <v>5594.5</v>
          </cell>
          <cell r="W376">
            <v>2866.002</v>
          </cell>
          <cell r="X376">
            <v>2570.8999999999996</v>
          </cell>
          <cell r="Z376">
            <v>1355.05</v>
          </cell>
          <cell r="AA376">
            <v>1831.75</v>
          </cell>
          <cell r="AB376">
            <v>584</v>
          </cell>
          <cell r="AC376">
            <v>0</v>
          </cell>
          <cell r="AD376">
            <v>2124.2970000000005</v>
          </cell>
          <cell r="AF376">
            <v>49.879999999999995</v>
          </cell>
          <cell r="AG376">
            <v>0</v>
          </cell>
          <cell r="AH376">
            <v>0</v>
          </cell>
          <cell r="AI376">
            <v>49.879999999999995</v>
          </cell>
          <cell r="AJ376">
            <v>59.269999999999996</v>
          </cell>
          <cell r="AL376">
            <v>119.66</v>
          </cell>
          <cell r="AM376">
            <v>0</v>
          </cell>
          <cell r="AN376">
            <v>0</v>
          </cell>
          <cell r="AO376">
            <v>119.66</v>
          </cell>
          <cell r="AP376">
            <v>114.05</v>
          </cell>
          <cell r="AR376">
            <v>24.2</v>
          </cell>
          <cell r="AS376">
            <v>0</v>
          </cell>
          <cell r="AT376">
            <v>0</v>
          </cell>
          <cell r="AU376">
            <v>24.2</v>
          </cell>
          <cell r="AV376">
            <v>5.3800000000000008</v>
          </cell>
          <cell r="AX376">
            <v>77.78</v>
          </cell>
          <cell r="AY376">
            <v>0</v>
          </cell>
          <cell r="AZ376">
            <v>0</v>
          </cell>
          <cell r="BA376">
            <v>77.78</v>
          </cell>
          <cell r="BB376">
            <v>77.312999999999988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J376">
            <v>337.6</v>
          </cell>
          <cell r="BK376">
            <v>0</v>
          </cell>
          <cell r="BL376">
            <v>0</v>
          </cell>
          <cell r="BM376">
            <v>337.6</v>
          </cell>
          <cell r="BN376">
            <v>854950</v>
          </cell>
          <cell r="BO376">
            <v>274.40000000000009</v>
          </cell>
          <cell r="BQ376">
            <v>99.899999999999991</v>
          </cell>
          <cell r="BR376">
            <v>0</v>
          </cell>
          <cell r="BS376">
            <v>99.899999999999991</v>
          </cell>
          <cell r="BT376">
            <v>94.9</v>
          </cell>
          <cell r="BV376">
            <v>1793.68</v>
          </cell>
          <cell r="BW376">
            <v>1372.1400000000003</v>
          </cell>
          <cell r="BY376">
            <v>0</v>
          </cell>
          <cell r="BZ376">
            <v>0</v>
          </cell>
          <cell r="CB376">
            <v>252.98</v>
          </cell>
          <cell r="CC376">
            <v>100.46</v>
          </cell>
        </row>
        <row r="378">
          <cell r="B378">
            <v>5270.94</v>
          </cell>
          <cell r="C378">
            <v>5775.1</v>
          </cell>
          <cell r="D378">
            <v>0</v>
          </cell>
          <cell r="E378">
            <v>21014.3</v>
          </cell>
          <cell r="F378">
            <v>0</v>
          </cell>
          <cell r="G378">
            <v>1740</v>
          </cell>
          <cell r="H378">
            <v>32060.34</v>
          </cell>
          <cell r="I378">
            <v>16480.417000000001</v>
          </cell>
          <cell r="J378">
            <v>6152.1620000000003</v>
          </cell>
          <cell r="N378">
            <v>184.42</v>
          </cell>
          <cell r="O378">
            <v>0</v>
          </cell>
          <cell r="P378">
            <v>184.42</v>
          </cell>
          <cell r="Q378">
            <v>0</v>
          </cell>
          <cell r="R378">
            <v>97.709000000000003</v>
          </cell>
          <cell r="T378">
            <v>2741.17</v>
          </cell>
          <cell r="U378">
            <v>0</v>
          </cell>
          <cell r="V378">
            <v>2741.17</v>
          </cell>
          <cell r="W378">
            <v>2585.3029999999999</v>
          </cell>
          <cell r="X378">
            <v>2166.6860000000001</v>
          </cell>
          <cell r="Z378">
            <v>3086.91</v>
          </cell>
          <cell r="AA378">
            <v>1901.37</v>
          </cell>
          <cell r="AB378">
            <v>84</v>
          </cell>
          <cell r="AC378">
            <v>0</v>
          </cell>
          <cell r="AD378">
            <v>6532.1959999999999</v>
          </cell>
          <cell r="AF378">
            <v>50</v>
          </cell>
          <cell r="AG378">
            <v>0</v>
          </cell>
          <cell r="AH378">
            <v>0</v>
          </cell>
          <cell r="AI378">
            <v>50</v>
          </cell>
          <cell r="AJ378">
            <v>47.19</v>
          </cell>
          <cell r="AL378">
            <v>118.94</v>
          </cell>
          <cell r="AM378">
            <v>0</v>
          </cell>
          <cell r="AN378">
            <v>0</v>
          </cell>
          <cell r="AO378">
            <v>118.94</v>
          </cell>
          <cell r="AP378">
            <v>88.27</v>
          </cell>
          <cell r="AR378">
            <v>24.54</v>
          </cell>
          <cell r="AS378">
            <v>0</v>
          </cell>
          <cell r="AT378">
            <v>0</v>
          </cell>
          <cell r="AU378">
            <v>24.54</v>
          </cell>
          <cell r="AV378">
            <v>5.05</v>
          </cell>
          <cell r="AX378">
            <v>76.86</v>
          </cell>
          <cell r="AY378">
            <v>0</v>
          </cell>
          <cell r="AZ378">
            <v>0</v>
          </cell>
          <cell r="BA378">
            <v>76.86</v>
          </cell>
          <cell r="BB378">
            <v>61.49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J378">
            <v>290.39999999999998</v>
          </cell>
          <cell r="BK378">
            <v>0</v>
          </cell>
          <cell r="BL378">
            <v>0</v>
          </cell>
          <cell r="BM378">
            <v>290.39999999999998</v>
          </cell>
          <cell r="BN378">
            <v>698600</v>
          </cell>
          <cell r="BO378">
            <v>245.04</v>
          </cell>
          <cell r="BQ378">
            <v>0</v>
          </cell>
          <cell r="BR378">
            <v>0</v>
          </cell>
          <cell r="BS378">
            <v>0</v>
          </cell>
          <cell r="BT378">
            <v>3.76</v>
          </cell>
          <cell r="BV378">
            <v>0</v>
          </cell>
          <cell r="BW378">
            <v>157.30699999999999</v>
          </cell>
          <cell r="BY378">
            <v>113.04</v>
          </cell>
          <cell r="BZ378">
            <v>72.599999999999994</v>
          </cell>
          <cell r="CB378">
            <v>48</v>
          </cell>
          <cell r="CC378">
            <v>131.94</v>
          </cell>
        </row>
        <row r="379">
          <cell r="A379" t="str">
            <v>LUTY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V379">
            <v>0</v>
          </cell>
          <cell r="BW379">
            <v>0</v>
          </cell>
          <cell r="BY379">
            <v>0</v>
          </cell>
          <cell r="BZ379">
            <v>0</v>
          </cell>
          <cell r="CB379">
            <v>0</v>
          </cell>
          <cell r="CC379">
            <v>0</v>
          </cell>
        </row>
        <row r="380">
          <cell r="B380">
            <v>5270.94</v>
          </cell>
          <cell r="C380">
            <v>5775.1</v>
          </cell>
          <cell r="D380">
            <v>0</v>
          </cell>
          <cell r="E380">
            <v>21014.300000000003</v>
          </cell>
          <cell r="F380">
            <v>0</v>
          </cell>
          <cell r="G380">
            <v>1740</v>
          </cell>
          <cell r="H380">
            <v>32060.340000000004</v>
          </cell>
          <cell r="I380">
            <v>16480.417000000001</v>
          </cell>
          <cell r="J380">
            <v>6152.1620000000003</v>
          </cell>
          <cell r="N380">
            <v>184.42000000000002</v>
          </cell>
          <cell r="O380">
            <v>0</v>
          </cell>
          <cell r="P380">
            <v>184.42000000000002</v>
          </cell>
          <cell r="Q380">
            <v>0</v>
          </cell>
          <cell r="R380">
            <v>97.709000000000003</v>
          </cell>
          <cell r="T380">
            <v>2741.1699999999992</v>
          </cell>
          <cell r="U380">
            <v>0</v>
          </cell>
          <cell r="V380">
            <v>2741.1699999999992</v>
          </cell>
          <cell r="W380">
            <v>2585.3029999999999</v>
          </cell>
          <cell r="X380">
            <v>2166.6860000000006</v>
          </cell>
          <cell r="Z380">
            <v>3086.91</v>
          </cell>
          <cell r="AA380">
            <v>1901.37</v>
          </cell>
          <cell r="AB380">
            <v>84</v>
          </cell>
          <cell r="AC380">
            <v>0</v>
          </cell>
          <cell r="AD380">
            <v>6532.1960000000017</v>
          </cell>
          <cell r="AF380">
            <v>50</v>
          </cell>
          <cell r="AG380">
            <v>0</v>
          </cell>
          <cell r="AH380">
            <v>0</v>
          </cell>
          <cell r="AI380">
            <v>50</v>
          </cell>
          <cell r="AJ380">
            <v>47.19</v>
          </cell>
          <cell r="AL380">
            <v>118.94</v>
          </cell>
          <cell r="AM380">
            <v>0</v>
          </cell>
          <cell r="AN380">
            <v>0</v>
          </cell>
          <cell r="AO380">
            <v>118.94</v>
          </cell>
          <cell r="AP380">
            <v>88.27000000000001</v>
          </cell>
          <cell r="AR380">
            <v>24.54</v>
          </cell>
          <cell r="AS380">
            <v>0</v>
          </cell>
          <cell r="AT380">
            <v>0</v>
          </cell>
          <cell r="AU380">
            <v>24.54</v>
          </cell>
          <cell r="AV380">
            <v>5.0500000000000007</v>
          </cell>
          <cell r="AX380">
            <v>76.86</v>
          </cell>
          <cell r="AY380">
            <v>0</v>
          </cell>
          <cell r="AZ380">
            <v>0</v>
          </cell>
          <cell r="BA380">
            <v>76.86</v>
          </cell>
          <cell r="BB380">
            <v>61.49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J380">
            <v>290.39999999999998</v>
          </cell>
          <cell r="BK380">
            <v>0</v>
          </cell>
          <cell r="BL380">
            <v>0</v>
          </cell>
          <cell r="BM380">
            <v>290.39999999999998</v>
          </cell>
          <cell r="BN380">
            <v>698600</v>
          </cell>
          <cell r="BO380">
            <v>245.04000000000002</v>
          </cell>
          <cell r="BQ380">
            <v>0</v>
          </cell>
          <cell r="BR380">
            <v>0</v>
          </cell>
          <cell r="BS380">
            <v>0</v>
          </cell>
          <cell r="BT380">
            <v>3.76</v>
          </cell>
          <cell r="BV380">
            <v>0</v>
          </cell>
          <cell r="BW380">
            <v>157.30699999999999</v>
          </cell>
          <cell r="BY380">
            <v>113.04</v>
          </cell>
          <cell r="BZ380">
            <v>72.599999999999994</v>
          </cell>
          <cell r="CB380">
            <v>48</v>
          </cell>
          <cell r="CC380">
            <v>131.93999999999997</v>
          </cell>
        </row>
        <row r="382">
          <cell r="B382">
            <v>5272</v>
          </cell>
          <cell r="C382">
            <v>12175.4</v>
          </cell>
          <cell r="D382">
            <v>0</v>
          </cell>
          <cell r="E382">
            <v>5890.5</v>
          </cell>
          <cell r="I382">
            <v>8217.74</v>
          </cell>
          <cell r="J382">
            <v>11307.816999999999</v>
          </cell>
          <cell r="N382">
            <v>469.38</v>
          </cell>
          <cell r="R382">
            <v>103.553</v>
          </cell>
          <cell r="T382">
            <v>6277.5</v>
          </cell>
          <cell r="X382">
            <v>4872.3809999999994</v>
          </cell>
          <cell r="Z382">
            <v>2260</v>
          </cell>
          <cell r="AB382">
            <v>2089.8000000000002</v>
          </cell>
          <cell r="AD382">
            <v>5003.9089999999997</v>
          </cell>
          <cell r="AF382">
            <v>75.099999999999994</v>
          </cell>
          <cell r="AJ382">
            <v>58.42</v>
          </cell>
          <cell r="AP382">
            <v>132.25</v>
          </cell>
          <cell r="AV382">
            <v>26.6</v>
          </cell>
          <cell r="AX382">
            <v>47.04</v>
          </cell>
          <cell r="BB382">
            <v>76.11</v>
          </cell>
          <cell r="BH382">
            <v>207</v>
          </cell>
          <cell r="BJ382">
            <v>199.1</v>
          </cell>
          <cell r="BO382">
            <v>242.8</v>
          </cell>
          <cell r="BQ382">
            <v>70</v>
          </cell>
          <cell r="BV382">
            <v>897.38</v>
          </cell>
          <cell r="CC382">
            <v>16.600000000000001</v>
          </cell>
        </row>
        <row r="383">
          <cell r="A383" t="str">
            <v>MARZEC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4272.3</v>
          </cell>
          <cell r="H383">
            <v>23337.899999999998</v>
          </cell>
          <cell r="I383">
            <v>0</v>
          </cell>
          <cell r="J383">
            <v>0</v>
          </cell>
          <cell r="N383">
            <v>0</v>
          </cell>
          <cell r="O383">
            <v>0</v>
          </cell>
          <cell r="P383">
            <v>469.38</v>
          </cell>
          <cell r="Q383">
            <v>0</v>
          </cell>
          <cell r="R383">
            <v>0</v>
          </cell>
          <cell r="T383">
            <v>0</v>
          </cell>
          <cell r="U383">
            <v>0</v>
          </cell>
          <cell r="V383">
            <v>6277.5</v>
          </cell>
          <cell r="W383">
            <v>0</v>
          </cell>
          <cell r="X383">
            <v>0</v>
          </cell>
          <cell r="Z383">
            <v>-0.1999999999998181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75.100000000000009</v>
          </cell>
          <cell r="AJ383">
            <v>0</v>
          </cell>
          <cell r="AL383">
            <v>130.84</v>
          </cell>
          <cell r="AM383">
            <v>0</v>
          </cell>
          <cell r="AN383">
            <v>0</v>
          </cell>
          <cell r="AO383">
            <v>130.84</v>
          </cell>
          <cell r="AP383">
            <v>0</v>
          </cell>
          <cell r="AR383">
            <v>15</v>
          </cell>
          <cell r="AS383">
            <v>0</v>
          </cell>
          <cell r="AT383">
            <v>0</v>
          </cell>
          <cell r="AU383">
            <v>15</v>
          </cell>
          <cell r="AV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47.040000000000006</v>
          </cell>
          <cell r="BB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199.10000000000002</v>
          </cell>
          <cell r="BN383">
            <v>531800</v>
          </cell>
          <cell r="BO383">
            <v>9.9999999999994316E-2</v>
          </cell>
          <cell r="BQ383">
            <v>0</v>
          </cell>
          <cell r="BR383">
            <v>0</v>
          </cell>
          <cell r="BS383">
            <v>70</v>
          </cell>
          <cell r="BT383">
            <v>0</v>
          </cell>
          <cell r="BV383">
            <v>0</v>
          </cell>
          <cell r="BW383">
            <v>0</v>
          </cell>
          <cell r="BY383">
            <v>0</v>
          </cell>
          <cell r="BZ383">
            <v>0</v>
          </cell>
          <cell r="CB383">
            <v>0</v>
          </cell>
          <cell r="CC383">
            <v>0</v>
          </cell>
        </row>
        <row r="384">
          <cell r="B384">
            <v>5272</v>
          </cell>
          <cell r="C384">
            <v>12175.400000000001</v>
          </cell>
          <cell r="D384">
            <v>0</v>
          </cell>
          <cell r="E384">
            <v>5890.5</v>
          </cell>
          <cell r="F384">
            <v>0</v>
          </cell>
          <cell r="G384">
            <v>4272.3</v>
          </cell>
          <cell r="H384">
            <v>23337.899999999998</v>
          </cell>
          <cell r="I384">
            <v>8217.74</v>
          </cell>
          <cell r="J384">
            <v>11307.816999999999</v>
          </cell>
          <cell r="N384">
            <v>469.38</v>
          </cell>
          <cell r="O384">
            <v>0</v>
          </cell>
          <cell r="P384">
            <v>469.38</v>
          </cell>
          <cell r="Q384">
            <v>0</v>
          </cell>
          <cell r="R384">
            <v>103.553</v>
          </cell>
          <cell r="T384">
            <v>6277.5</v>
          </cell>
          <cell r="U384">
            <v>0</v>
          </cell>
          <cell r="V384">
            <v>6277.5</v>
          </cell>
          <cell r="W384">
            <v>0</v>
          </cell>
          <cell r="X384">
            <v>4872.3809999999994</v>
          </cell>
          <cell r="Z384">
            <v>2259.8000000000002</v>
          </cell>
          <cell r="AA384">
            <v>0</v>
          </cell>
          <cell r="AB384">
            <v>2089.7999999999997</v>
          </cell>
          <cell r="AC384">
            <v>0</v>
          </cell>
          <cell r="AD384">
            <v>5003.9089999999997</v>
          </cell>
          <cell r="AF384">
            <v>75.100000000000009</v>
          </cell>
          <cell r="AG384">
            <v>0</v>
          </cell>
          <cell r="AH384">
            <v>0</v>
          </cell>
          <cell r="AI384">
            <v>75.100000000000009</v>
          </cell>
          <cell r="AJ384">
            <v>58.420000000000016</v>
          </cell>
          <cell r="AL384">
            <v>130.84</v>
          </cell>
          <cell r="AM384">
            <v>0</v>
          </cell>
          <cell r="AN384">
            <v>0</v>
          </cell>
          <cell r="AO384">
            <v>130.84</v>
          </cell>
          <cell r="AP384">
            <v>132.24999999999997</v>
          </cell>
          <cell r="AR384">
            <v>15</v>
          </cell>
          <cell r="AS384">
            <v>0</v>
          </cell>
          <cell r="AT384">
            <v>0</v>
          </cell>
          <cell r="AU384">
            <v>15</v>
          </cell>
          <cell r="AV384">
            <v>26.6</v>
          </cell>
          <cell r="AX384">
            <v>47.040000000000006</v>
          </cell>
          <cell r="AY384">
            <v>0</v>
          </cell>
          <cell r="AZ384">
            <v>0</v>
          </cell>
          <cell r="BA384">
            <v>47.040000000000006</v>
          </cell>
          <cell r="BB384">
            <v>76.11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207</v>
          </cell>
          <cell r="BJ384">
            <v>199.10000000000002</v>
          </cell>
          <cell r="BK384">
            <v>0</v>
          </cell>
          <cell r="BL384">
            <v>0</v>
          </cell>
          <cell r="BM384">
            <v>199.10000000000002</v>
          </cell>
          <cell r="BN384">
            <v>531800</v>
          </cell>
          <cell r="BO384">
            <v>242.9</v>
          </cell>
          <cell r="BQ384">
            <v>70</v>
          </cell>
          <cell r="BR384">
            <v>0</v>
          </cell>
          <cell r="BS384">
            <v>70</v>
          </cell>
          <cell r="BT384">
            <v>0</v>
          </cell>
          <cell r="BV384">
            <v>897.38</v>
          </cell>
          <cell r="BW384">
            <v>0</v>
          </cell>
          <cell r="BY384">
            <v>0</v>
          </cell>
          <cell r="BZ384">
            <v>0</v>
          </cell>
          <cell r="CB384">
            <v>0</v>
          </cell>
          <cell r="CC384">
            <v>16.599999999999998</v>
          </cell>
        </row>
        <row r="386">
          <cell r="B386">
            <v>5270.86</v>
          </cell>
          <cell r="C386">
            <v>21530</v>
          </cell>
          <cell r="G386">
            <v>2310</v>
          </cell>
          <cell r="I386">
            <v>7064.4040000000005</v>
          </cell>
          <cell r="J386">
            <v>7726</v>
          </cell>
          <cell r="R386">
            <v>418.66</v>
          </cell>
          <cell r="T386">
            <v>2943.06</v>
          </cell>
          <cell r="X386">
            <v>2866.424</v>
          </cell>
          <cell r="Z386">
            <v>2131.5</v>
          </cell>
          <cell r="AA386">
            <v>2130.5</v>
          </cell>
          <cell r="AC386">
            <v>1020.9</v>
          </cell>
          <cell r="AD386">
            <v>5521.5</v>
          </cell>
          <cell r="AF386">
            <v>49.9</v>
          </cell>
          <cell r="AJ386">
            <v>64.545000000000002</v>
          </cell>
          <cell r="AL386">
            <v>121</v>
          </cell>
          <cell r="AP386">
            <v>140.22999999999999</v>
          </cell>
          <cell r="AR386">
            <v>50.335999999999999</v>
          </cell>
          <cell r="AV386">
            <v>30.78</v>
          </cell>
          <cell r="AX386">
            <v>72.819999999999993</v>
          </cell>
          <cell r="BB386">
            <v>66.17</v>
          </cell>
          <cell r="BJ386">
            <v>221</v>
          </cell>
          <cell r="BO386">
            <v>175.47</v>
          </cell>
          <cell r="BT386">
            <v>63.43</v>
          </cell>
          <cell r="BW386">
            <v>1092.8399999999999</v>
          </cell>
        </row>
        <row r="387">
          <cell r="A387" t="str">
            <v>KWIECIEŃ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26800.86</v>
          </cell>
          <cell r="I387">
            <v>0</v>
          </cell>
          <cell r="J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T387">
            <v>0</v>
          </cell>
          <cell r="U387">
            <v>0</v>
          </cell>
          <cell r="V387">
            <v>2943.06</v>
          </cell>
          <cell r="W387">
            <v>0</v>
          </cell>
          <cell r="X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49.9</v>
          </cell>
          <cell r="AJ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121</v>
          </cell>
          <cell r="AP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50.335999999999999</v>
          </cell>
          <cell r="AV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72.819999999999993</v>
          </cell>
          <cell r="BB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221</v>
          </cell>
          <cell r="BN387">
            <v>383200</v>
          </cell>
          <cell r="BO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V387">
            <v>0</v>
          </cell>
          <cell r="BW387">
            <v>0</v>
          </cell>
          <cell r="BY387">
            <v>0</v>
          </cell>
          <cell r="BZ387">
            <v>0</v>
          </cell>
          <cell r="CB387">
            <v>0</v>
          </cell>
          <cell r="CC387">
            <v>0</v>
          </cell>
        </row>
        <row r="388">
          <cell r="B388">
            <v>5270.8600000000006</v>
          </cell>
          <cell r="C388">
            <v>21530</v>
          </cell>
          <cell r="D388">
            <v>0</v>
          </cell>
          <cell r="E388">
            <v>0</v>
          </cell>
          <cell r="F388">
            <v>0</v>
          </cell>
          <cell r="G388">
            <v>2310</v>
          </cell>
          <cell r="H388">
            <v>26800.86</v>
          </cell>
          <cell r="I388">
            <v>7064.4040000000005</v>
          </cell>
          <cell r="J388">
            <v>7726.0000000000027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418.65999999999997</v>
          </cell>
          <cell r="T388">
            <v>2943.06</v>
          </cell>
          <cell r="U388">
            <v>0</v>
          </cell>
          <cell r="V388">
            <v>2943.06</v>
          </cell>
          <cell r="W388">
            <v>0</v>
          </cell>
          <cell r="X388">
            <v>2866.4240000000004</v>
          </cell>
          <cell r="Z388">
            <v>2131.5</v>
          </cell>
          <cell r="AA388">
            <v>2130.4999999999995</v>
          </cell>
          <cell r="AB388">
            <v>0</v>
          </cell>
          <cell r="AC388">
            <v>1020.9</v>
          </cell>
          <cell r="AD388">
            <v>5521.5</v>
          </cell>
          <cell r="AF388">
            <v>49.9</v>
          </cell>
          <cell r="AG388">
            <v>0</v>
          </cell>
          <cell r="AH388">
            <v>0</v>
          </cell>
          <cell r="AI388">
            <v>49.9</v>
          </cell>
          <cell r="AJ388">
            <v>64.545000000000002</v>
          </cell>
          <cell r="AL388">
            <v>121</v>
          </cell>
          <cell r="AM388">
            <v>0</v>
          </cell>
          <cell r="AN388">
            <v>0</v>
          </cell>
          <cell r="AO388">
            <v>121</v>
          </cell>
          <cell r="AP388">
            <v>140.23000000000002</v>
          </cell>
          <cell r="AR388">
            <v>50.335999999999999</v>
          </cell>
          <cell r="AS388">
            <v>0</v>
          </cell>
          <cell r="AT388">
            <v>0</v>
          </cell>
          <cell r="AU388">
            <v>50.335999999999999</v>
          </cell>
          <cell r="AV388">
            <v>30.78</v>
          </cell>
          <cell r="AX388">
            <v>72.819999999999993</v>
          </cell>
          <cell r="AY388">
            <v>0</v>
          </cell>
          <cell r="AZ388">
            <v>0</v>
          </cell>
          <cell r="BA388">
            <v>72.819999999999993</v>
          </cell>
          <cell r="BB388">
            <v>66.169999999999987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J388">
            <v>221</v>
          </cell>
          <cell r="BK388">
            <v>0</v>
          </cell>
          <cell r="BL388">
            <v>0</v>
          </cell>
          <cell r="BM388">
            <v>221</v>
          </cell>
          <cell r="BN388">
            <v>383200</v>
          </cell>
          <cell r="BO388">
            <v>175.47000000000008</v>
          </cell>
          <cell r="BQ388">
            <v>0</v>
          </cell>
          <cell r="BR388">
            <v>0</v>
          </cell>
          <cell r="BS388">
            <v>0</v>
          </cell>
          <cell r="BT388">
            <v>63.429999999999993</v>
          </cell>
          <cell r="BV388">
            <v>0</v>
          </cell>
          <cell r="BW388">
            <v>1092.8400000000001</v>
          </cell>
          <cell r="BY388">
            <v>0</v>
          </cell>
          <cell r="BZ388">
            <v>0</v>
          </cell>
          <cell r="CB388">
            <v>0</v>
          </cell>
          <cell r="CC388">
            <v>0</v>
          </cell>
        </row>
        <row r="390">
          <cell r="B390">
            <v>3955.28</v>
          </cell>
          <cell r="C390">
            <v>26599.439999999999</v>
          </cell>
          <cell r="G390">
            <v>2456</v>
          </cell>
          <cell r="I390">
            <v>17355.198</v>
          </cell>
          <cell r="J390">
            <v>7855.3440000000001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T390">
            <v>3121.52</v>
          </cell>
          <cell r="X390">
            <v>2433.5050000000001</v>
          </cell>
          <cell r="Z390">
            <v>2490.6999999999998</v>
          </cell>
          <cell r="AA390">
            <v>1489</v>
          </cell>
          <cell r="AB390">
            <v>0</v>
          </cell>
          <cell r="AC390">
            <v>0</v>
          </cell>
          <cell r="AD390">
            <v>3475.94</v>
          </cell>
          <cell r="AG390">
            <v>0</v>
          </cell>
          <cell r="AH390">
            <v>0</v>
          </cell>
          <cell r="AJ390">
            <v>57.16</v>
          </cell>
          <cell r="AM390">
            <v>0</v>
          </cell>
          <cell r="AN390">
            <v>0</v>
          </cell>
          <cell r="AP390">
            <v>119.863</v>
          </cell>
          <cell r="AS390">
            <v>0</v>
          </cell>
          <cell r="AT390">
            <v>0</v>
          </cell>
          <cell r="AY390">
            <v>0</v>
          </cell>
          <cell r="AZ390">
            <v>0</v>
          </cell>
          <cell r="BB390">
            <v>45.692999999999998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69.2</v>
          </cell>
          <cell r="BJ390">
            <v>123.1</v>
          </cell>
          <cell r="BO390">
            <v>122.61</v>
          </cell>
          <cell r="CC390">
            <v>164.8</v>
          </cell>
        </row>
        <row r="391">
          <cell r="A391" t="str">
            <v>MAJ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30554.719999999998</v>
          </cell>
          <cell r="I391">
            <v>0</v>
          </cell>
          <cell r="J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T391">
            <v>0</v>
          </cell>
          <cell r="U391">
            <v>0</v>
          </cell>
          <cell r="V391">
            <v>3121.5199999999991</v>
          </cell>
          <cell r="W391">
            <v>0</v>
          </cell>
          <cell r="X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49.16</v>
          </cell>
          <cell r="AG391">
            <v>0</v>
          </cell>
          <cell r="AH391">
            <v>0</v>
          </cell>
          <cell r="AI391">
            <v>49.16</v>
          </cell>
          <cell r="AJ391">
            <v>0</v>
          </cell>
          <cell r="AL391">
            <v>121.42</v>
          </cell>
          <cell r="AM391">
            <v>0</v>
          </cell>
          <cell r="AN391">
            <v>0</v>
          </cell>
          <cell r="AO391">
            <v>121.42</v>
          </cell>
          <cell r="AP391">
            <v>0</v>
          </cell>
          <cell r="AR391">
            <v>25.82</v>
          </cell>
          <cell r="AS391">
            <v>0</v>
          </cell>
          <cell r="AT391">
            <v>0</v>
          </cell>
          <cell r="AU391">
            <v>25.82</v>
          </cell>
          <cell r="AV391">
            <v>39.919999999999987</v>
          </cell>
          <cell r="AX391">
            <v>48.36</v>
          </cell>
          <cell r="AY391">
            <v>0</v>
          </cell>
          <cell r="AZ391">
            <v>0</v>
          </cell>
          <cell r="BA391">
            <v>48.36</v>
          </cell>
          <cell r="BB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123.1</v>
          </cell>
          <cell r="BN391">
            <v>438700</v>
          </cell>
          <cell r="BO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V391">
            <v>0</v>
          </cell>
          <cell r="BW391">
            <v>0</v>
          </cell>
          <cell r="BY391">
            <v>0</v>
          </cell>
          <cell r="BZ391">
            <v>0</v>
          </cell>
          <cell r="CB391">
            <v>168.7</v>
          </cell>
          <cell r="CC391">
            <v>0</v>
          </cell>
        </row>
        <row r="392">
          <cell r="B392">
            <v>3955.2799999999997</v>
          </cell>
          <cell r="C392">
            <v>26599.439999999995</v>
          </cell>
          <cell r="D392">
            <v>0</v>
          </cell>
          <cell r="E392">
            <v>0</v>
          </cell>
          <cell r="F392">
            <v>0</v>
          </cell>
          <cell r="G392">
            <v>2456</v>
          </cell>
          <cell r="H392">
            <v>30554.719999999998</v>
          </cell>
          <cell r="I392">
            <v>17355.198</v>
          </cell>
          <cell r="J392">
            <v>7855.344000000001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T392">
            <v>3121.5199999999991</v>
          </cell>
          <cell r="U392">
            <v>0</v>
          </cell>
          <cell r="V392">
            <v>3121.5199999999991</v>
          </cell>
          <cell r="W392">
            <v>0</v>
          </cell>
          <cell r="X392">
            <v>2433.5049999999997</v>
          </cell>
          <cell r="Z392">
            <v>2490.6999999999998</v>
          </cell>
          <cell r="AA392">
            <v>1489</v>
          </cell>
          <cell r="AB392">
            <v>0</v>
          </cell>
          <cell r="AC392">
            <v>0</v>
          </cell>
          <cell r="AD392">
            <v>3475.94</v>
          </cell>
          <cell r="AF392">
            <v>49.16</v>
          </cell>
          <cell r="AG392">
            <v>0</v>
          </cell>
          <cell r="AH392">
            <v>0</v>
          </cell>
          <cell r="AI392">
            <v>49.16</v>
          </cell>
          <cell r="AJ392">
            <v>57.16</v>
          </cell>
          <cell r="AL392">
            <v>121.42</v>
          </cell>
          <cell r="AM392">
            <v>0</v>
          </cell>
          <cell r="AN392">
            <v>0</v>
          </cell>
          <cell r="AO392">
            <v>121.42</v>
          </cell>
          <cell r="AP392">
            <v>119.86300000000001</v>
          </cell>
          <cell r="AR392">
            <v>25.82</v>
          </cell>
          <cell r="AS392">
            <v>0</v>
          </cell>
          <cell r="AT392">
            <v>0</v>
          </cell>
          <cell r="AU392">
            <v>25.82</v>
          </cell>
          <cell r="AV392">
            <v>39.919999999999987</v>
          </cell>
          <cell r="AX392">
            <v>48.36</v>
          </cell>
          <cell r="AY392">
            <v>0</v>
          </cell>
          <cell r="AZ392">
            <v>0</v>
          </cell>
          <cell r="BA392">
            <v>48.36</v>
          </cell>
          <cell r="BB392">
            <v>45.692999999999991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69.2</v>
          </cell>
          <cell r="BJ392">
            <v>123.1</v>
          </cell>
          <cell r="BK392">
            <v>0</v>
          </cell>
          <cell r="BL392">
            <v>0</v>
          </cell>
          <cell r="BM392">
            <v>123.1</v>
          </cell>
          <cell r="BN392">
            <v>438700</v>
          </cell>
          <cell r="BO392">
            <v>122.61000000000001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V392">
            <v>0</v>
          </cell>
          <cell r="BW392">
            <v>0</v>
          </cell>
          <cell r="BY392">
            <v>0</v>
          </cell>
          <cell r="BZ392">
            <v>0</v>
          </cell>
          <cell r="CB392">
            <v>168.7</v>
          </cell>
          <cell r="CC392">
            <v>164.79999999999998</v>
          </cell>
        </row>
        <row r="394">
          <cell r="B394">
            <v>3955.3130000000001</v>
          </cell>
          <cell r="C394">
            <v>26938.400000000001</v>
          </cell>
          <cell r="D394">
            <v>0</v>
          </cell>
          <cell r="E394">
            <v>0</v>
          </cell>
          <cell r="F394">
            <v>0</v>
          </cell>
          <cell r="G394">
            <v>7007.5</v>
          </cell>
          <cell r="I394">
            <v>18402.846000000001</v>
          </cell>
          <cell r="J394">
            <v>10673.322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T394">
            <v>3314.19</v>
          </cell>
          <cell r="U394">
            <v>0</v>
          </cell>
          <cell r="W394">
            <v>2063.3429999999998</v>
          </cell>
          <cell r="X394">
            <v>1709.741</v>
          </cell>
          <cell r="Z394">
            <v>1167.8599999999999</v>
          </cell>
          <cell r="AA394">
            <v>0</v>
          </cell>
          <cell r="AB394">
            <v>0</v>
          </cell>
          <cell r="AC394">
            <v>0</v>
          </cell>
          <cell r="AD394">
            <v>1081.2539999999999</v>
          </cell>
          <cell r="AG394">
            <v>0</v>
          </cell>
          <cell r="AH394">
            <v>0</v>
          </cell>
          <cell r="AJ394">
            <v>50.64</v>
          </cell>
          <cell r="AM394">
            <v>0</v>
          </cell>
          <cell r="AN394">
            <v>0</v>
          </cell>
          <cell r="AP394">
            <v>115</v>
          </cell>
          <cell r="AS394">
            <v>0</v>
          </cell>
          <cell r="AT394">
            <v>0</v>
          </cell>
          <cell r="AV394">
            <v>14.68</v>
          </cell>
          <cell r="AY394">
            <v>0</v>
          </cell>
          <cell r="AZ394">
            <v>0</v>
          </cell>
          <cell r="BB394">
            <v>56.988999999999997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J394">
            <v>122.18</v>
          </cell>
          <cell r="BK394">
            <v>0</v>
          </cell>
          <cell r="BL394">
            <v>0</v>
          </cell>
          <cell r="BO394">
            <v>140.04499999999999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V394">
            <v>0</v>
          </cell>
          <cell r="BW394">
            <v>0</v>
          </cell>
          <cell r="BY394">
            <v>0</v>
          </cell>
          <cell r="BZ394">
            <v>0</v>
          </cell>
          <cell r="CC394">
            <v>132.06399999999999</v>
          </cell>
        </row>
        <row r="395">
          <cell r="A395" t="str">
            <v>CZERWIEC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30893.713000000007</v>
          </cell>
          <cell r="I395">
            <v>0</v>
          </cell>
          <cell r="J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T395">
            <v>0</v>
          </cell>
          <cell r="U395">
            <v>0</v>
          </cell>
          <cell r="V395">
            <v>3314.19</v>
          </cell>
          <cell r="W395">
            <v>0</v>
          </cell>
          <cell r="X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50.16</v>
          </cell>
          <cell r="AG395">
            <v>0</v>
          </cell>
          <cell r="AH395">
            <v>0</v>
          </cell>
          <cell r="AI395">
            <v>50.16</v>
          </cell>
          <cell r="AJ395">
            <v>0</v>
          </cell>
          <cell r="AL395">
            <v>160.16</v>
          </cell>
          <cell r="AM395">
            <v>0</v>
          </cell>
          <cell r="AN395">
            <v>0</v>
          </cell>
          <cell r="AO395">
            <v>160.16</v>
          </cell>
          <cell r="AP395">
            <v>0</v>
          </cell>
          <cell r="AR395">
            <v>33.340000000000003</v>
          </cell>
          <cell r="AS395">
            <v>0</v>
          </cell>
          <cell r="AT395">
            <v>0</v>
          </cell>
          <cell r="AU395">
            <v>33.340000000000003</v>
          </cell>
          <cell r="AV395">
            <v>0</v>
          </cell>
          <cell r="AX395">
            <v>48.9</v>
          </cell>
          <cell r="AY395">
            <v>0</v>
          </cell>
          <cell r="AZ395">
            <v>0</v>
          </cell>
          <cell r="BA395">
            <v>48.9</v>
          </cell>
          <cell r="BB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122.17999999999999</v>
          </cell>
          <cell r="BN395">
            <v>459900</v>
          </cell>
          <cell r="BO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V395">
            <v>0</v>
          </cell>
          <cell r="BW395">
            <v>0</v>
          </cell>
          <cell r="BY395">
            <v>0</v>
          </cell>
          <cell r="BZ395">
            <v>0</v>
          </cell>
          <cell r="CB395">
            <v>24.7</v>
          </cell>
          <cell r="CC395">
            <v>0</v>
          </cell>
        </row>
        <row r="396">
          <cell r="B396">
            <v>3955.3129999999996</v>
          </cell>
          <cell r="C396">
            <v>26938.400000000001</v>
          </cell>
          <cell r="D396">
            <v>0</v>
          </cell>
          <cell r="E396">
            <v>0</v>
          </cell>
          <cell r="F396">
            <v>0</v>
          </cell>
          <cell r="G396">
            <v>7007.5</v>
          </cell>
          <cell r="H396">
            <v>30893.713000000007</v>
          </cell>
          <cell r="I396">
            <v>18402.846000000001</v>
          </cell>
          <cell r="J396">
            <v>10673.322000000002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T396">
            <v>3314.19</v>
          </cell>
          <cell r="U396">
            <v>0</v>
          </cell>
          <cell r="V396">
            <v>3314.19</v>
          </cell>
          <cell r="W396">
            <v>2063.3429999999998</v>
          </cell>
          <cell r="X396">
            <v>1709.7410000000004</v>
          </cell>
          <cell r="Z396">
            <v>1167.8600000000001</v>
          </cell>
          <cell r="AA396">
            <v>0</v>
          </cell>
          <cell r="AB396">
            <v>0</v>
          </cell>
          <cell r="AC396">
            <v>0</v>
          </cell>
          <cell r="AD396">
            <v>1081.2540000000001</v>
          </cell>
          <cell r="AF396">
            <v>50.16</v>
          </cell>
          <cell r="AG396">
            <v>0</v>
          </cell>
          <cell r="AH396">
            <v>0</v>
          </cell>
          <cell r="AI396">
            <v>50.16</v>
          </cell>
          <cell r="AJ396">
            <v>50.64</v>
          </cell>
          <cell r="AL396">
            <v>160.16</v>
          </cell>
          <cell r="AM396">
            <v>0</v>
          </cell>
          <cell r="AN396">
            <v>0</v>
          </cell>
          <cell r="AO396">
            <v>160.16</v>
          </cell>
          <cell r="AP396">
            <v>115.00000000000001</v>
          </cell>
          <cell r="AR396">
            <v>33.340000000000003</v>
          </cell>
          <cell r="AS396">
            <v>0</v>
          </cell>
          <cell r="AT396">
            <v>0</v>
          </cell>
          <cell r="AU396">
            <v>33.340000000000003</v>
          </cell>
          <cell r="AV396">
            <v>14.680000000000001</v>
          </cell>
          <cell r="AX396">
            <v>48.9</v>
          </cell>
          <cell r="AY396">
            <v>0</v>
          </cell>
          <cell r="AZ396">
            <v>0</v>
          </cell>
          <cell r="BA396">
            <v>48.9</v>
          </cell>
          <cell r="BB396">
            <v>56.98899999999999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J396">
            <v>122.17999999999999</v>
          </cell>
          <cell r="BK396">
            <v>0</v>
          </cell>
          <cell r="BL396">
            <v>0</v>
          </cell>
          <cell r="BM396">
            <v>122.17999999999999</v>
          </cell>
          <cell r="BN396">
            <v>459900</v>
          </cell>
          <cell r="BO396">
            <v>140.04500000000004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V396">
            <v>0</v>
          </cell>
          <cell r="BW396">
            <v>0</v>
          </cell>
          <cell r="BY396">
            <v>0</v>
          </cell>
          <cell r="BZ396">
            <v>0</v>
          </cell>
          <cell r="CB396">
            <v>24.7</v>
          </cell>
          <cell r="CC396">
            <v>132.06399999999996</v>
          </cell>
        </row>
        <row r="398">
          <cell r="B398">
            <v>5275.84</v>
          </cell>
          <cell r="C398">
            <v>15360.6</v>
          </cell>
          <cell r="D398">
            <v>0</v>
          </cell>
          <cell r="E398">
            <v>0</v>
          </cell>
          <cell r="F398">
            <v>0</v>
          </cell>
          <cell r="I398">
            <v>19683.562999999998</v>
          </cell>
          <cell r="J398">
            <v>17381.128000000001</v>
          </cell>
          <cell r="T398">
            <v>6682.43</v>
          </cell>
          <cell r="W398">
            <v>4371.915</v>
          </cell>
          <cell r="X398">
            <v>3255.3180000000002</v>
          </cell>
          <cell r="Z398">
            <v>2013.08</v>
          </cell>
          <cell r="AB398">
            <v>233.495</v>
          </cell>
          <cell r="AD398">
            <v>4135.76</v>
          </cell>
          <cell r="AF398">
            <v>49.72</v>
          </cell>
          <cell r="AJ398">
            <v>59.5</v>
          </cell>
          <cell r="AL398">
            <v>121.08000000000001</v>
          </cell>
          <cell r="AP398">
            <v>123.123</v>
          </cell>
          <cell r="AR398">
            <v>24.16</v>
          </cell>
          <cell r="AX398">
            <v>73.02</v>
          </cell>
          <cell r="BB398">
            <v>81.644999999999996</v>
          </cell>
          <cell r="BJ398">
            <v>147.97999999999999</v>
          </cell>
          <cell r="CB398">
            <v>35.18</v>
          </cell>
          <cell r="CC398">
            <v>55.723999999999997</v>
          </cell>
        </row>
        <row r="399">
          <cell r="A399" t="str">
            <v>LIPIEC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7543.6</v>
          </cell>
          <cell r="H399">
            <v>20636.439999999995</v>
          </cell>
          <cell r="I399">
            <v>0</v>
          </cell>
          <cell r="J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T399">
            <v>0</v>
          </cell>
          <cell r="U399">
            <v>0</v>
          </cell>
          <cell r="V399">
            <v>6682.4299999999994</v>
          </cell>
          <cell r="W399">
            <v>0</v>
          </cell>
          <cell r="X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49.72</v>
          </cell>
          <cell r="AJ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121.08000000000001</v>
          </cell>
          <cell r="AP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24.16</v>
          </cell>
          <cell r="AV399">
            <v>33.799999999999997</v>
          </cell>
          <cell r="AX399">
            <v>0</v>
          </cell>
          <cell r="AY399">
            <v>0</v>
          </cell>
          <cell r="AZ399">
            <v>0</v>
          </cell>
          <cell r="BA399">
            <v>73.02000000000001</v>
          </cell>
          <cell r="BB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147.98000000000002</v>
          </cell>
          <cell r="BN399">
            <v>312700</v>
          </cell>
          <cell r="BO399">
            <v>107.60000000000001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V399">
            <v>0</v>
          </cell>
          <cell r="BW399">
            <v>0</v>
          </cell>
          <cell r="BY399">
            <v>0</v>
          </cell>
          <cell r="BZ399">
            <v>0</v>
          </cell>
          <cell r="CB399">
            <v>0</v>
          </cell>
          <cell r="CC399">
            <v>0</v>
          </cell>
        </row>
        <row r="400">
          <cell r="B400">
            <v>5275.84</v>
          </cell>
          <cell r="C400">
            <v>15360.6</v>
          </cell>
          <cell r="D400">
            <v>0</v>
          </cell>
          <cell r="E400">
            <v>0</v>
          </cell>
          <cell r="F400">
            <v>0</v>
          </cell>
          <cell r="G400">
            <v>7543.6</v>
          </cell>
          <cell r="H400">
            <v>20636.439999999995</v>
          </cell>
          <cell r="I400">
            <v>19683.562999999998</v>
          </cell>
          <cell r="J400">
            <v>17381.128000000001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T400">
            <v>6682.4299999999994</v>
          </cell>
          <cell r="U400">
            <v>0</v>
          </cell>
          <cell r="V400">
            <v>6682.4299999999994</v>
          </cell>
          <cell r="W400">
            <v>4371.915</v>
          </cell>
          <cell r="X400">
            <v>3255.3180000000002</v>
          </cell>
          <cell r="Z400">
            <v>2013.08</v>
          </cell>
          <cell r="AA400">
            <v>0</v>
          </cell>
          <cell r="AB400">
            <v>233.495</v>
          </cell>
          <cell r="AC400">
            <v>0</v>
          </cell>
          <cell r="AD400">
            <v>4135.7599999999984</v>
          </cell>
          <cell r="AF400">
            <v>49.72</v>
          </cell>
          <cell r="AG400">
            <v>0</v>
          </cell>
          <cell r="AH400">
            <v>0</v>
          </cell>
          <cell r="AI400">
            <v>49.72</v>
          </cell>
          <cell r="AJ400">
            <v>59.500000000000007</v>
          </cell>
          <cell r="AL400">
            <v>121.08000000000001</v>
          </cell>
          <cell r="AM400">
            <v>0</v>
          </cell>
          <cell r="AN400">
            <v>0</v>
          </cell>
          <cell r="AO400">
            <v>121.08000000000001</v>
          </cell>
          <cell r="AP400">
            <v>123.123</v>
          </cell>
          <cell r="AR400">
            <v>24.16</v>
          </cell>
          <cell r="AS400">
            <v>0</v>
          </cell>
          <cell r="AT400">
            <v>0</v>
          </cell>
          <cell r="AU400">
            <v>24.16</v>
          </cell>
          <cell r="AV400">
            <v>33.799999999999997</v>
          </cell>
          <cell r="AX400">
            <v>73.02000000000001</v>
          </cell>
          <cell r="AY400">
            <v>0</v>
          </cell>
          <cell r="AZ400">
            <v>0</v>
          </cell>
          <cell r="BA400">
            <v>73.02000000000001</v>
          </cell>
          <cell r="BB400">
            <v>81.644999999999996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J400">
            <v>147.98000000000002</v>
          </cell>
          <cell r="BK400">
            <v>0</v>
          </cell>
          <cell r="BL400">
            <v>0</v>
          </cell>
          <cell r="BM400">
            <v>147.98000000000002</v>
          </cell>
          <cell r="BN400">
            <v>312700</v>
          </cell>
          <cell r="BO400">
            <v>107.60000000000001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V400">
            <v>0</v>
          </cell>
          <cell r="BW400">
            <v>0</v>
          </cell>
          <cell r="BY400">
            <v>0</v>
          </cell>
          <cell r="BZ400">
            <v>0</v>
          </cell>
          <cell r="CB400">
            <v>35.18</v>
          </cell>
          <cell r="CC400">
            <v>55.723999999999997</v>
          </cell>
        </row>
        <row r="402">
          <cell r="I402">
            <v>17645.471000000001</v>
          </cell>
          <cell r="J402">
            <v>12592.797</v>
          </cell>
          <cell r="N402">
            <v>276.45999999999998</v>
          </cell>
          <cell r="R402">
            <v>246.46</v>
          </cell>
          <cell r="T402">
            <v>4564.66</v>
          </cell>
          <cell r="W402">
            <v>1789.6389999999999</v>
          </cell>
          <cell r="X402">
            <v>1782.0909999999999</v>
          </cell>
          <cell r="AC402">
            <v>380.03100000000001</v>
          </cell>
          <cell r="AD402">
            <v>6313.5349999999999</v>
          </cell>
          <cell r="AF402">
            <v>75.02</v>
          </cell>
          <cell r="AJ402">
            <v>59.49</v>
          </cell>
          <cell r="AP402">
            <v>123.086</v>
          </cell>
          <cell r="BB402">
            <v>78.427000000000007</v>
          </cell>
        </row>
        <row r="403">
          <cell r="A403" t="str">
            <v>SIERPIEŃ</v>
          </cell>
          <cell r="B403">
            <v>6598.4</v>
          </cell>
          <cell r="C403">
            <v>26294.75</v>
          </cell>
          <cell r="D403">
            <v>0</v>
          </cell>
          <cell r="E403">
            <v>0</v>
          </cell>
          <cell r="F403">
            <v>0</v>
          </cell>
          <cell r="G403">
            <v>4306</v>
          </cell>
          <cell r="H403">
            <v>32893.149999999994</v>
          </cell>
          <cell r="I403">
            <v>0</v>
          </cell>
          <cell r="J403">
            <v>0</v>
          </cell>
          <cell r="N403">
            <v>4.0000000000020464E-2</v>
          </cell>
          <cell r="O403">
            <v>0</v>
          </cell>
          <cell r="P403">
            <v>276.5</v>
          </cell>
          <cell r="Q403">
            <v>0</v>
          </cell>
          <cell r="R403">
            <v>0</v>
          </cell>
          <cell r="T403">
            <v>0</v>
          </cell>
          <cell r="U403">
            <v>0</v>
          </cell>
          <cell r="V403">
            <v>4564.6600000000008</v>
          </cell>
          <cell r="W403">
            <v>0</v>
          </cell>
          <cell r="X403">
            <v>0</v>
          </cell>
          <cell r="Z403">
            <v>1585.3000000000002</v>
          </cell>
          <cell r="AA403">
            <v>2788.9999999999995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75.02</v>
          </cell>
          <cell r="AJ403">
            <v>0</v>
          </cell>
          <cell r="AL403">
            <v>144.14000000000001</v>
          </cell>
          <cell r="AM403">
            <v>0</v>
          </cell>
          <cell r="AN403">
            <v>0</v>
          </cell>
          <cell r="AO403">
            <v>144.14000000000001</v>
          </cell>
          <cell r="AP403">
            <v>0</v>
          </cell>
          <cell r="AR403">
            <v>24.8</v>
          </cell>
          <cell r="AS403">
            <v>0</v>
          </cell>
          <cell r="AT403">
            <v>0</v>
          </cell>
          <cell r="AU403">
            <v>24.8</v>
          </cell>
          <cell r="AV403">
            <v>31.220000000000006</v>
          </cell>
          <cell r="AX403">
            <v>73.62</v>
          </cell>
          <cell r="AY403">
            <v>0</v>
          </cell>
          <cell r="AZ403">
            <v>0</v>
          </cell>
          <cell r="BA403">
            <v>73.62</v>
          </cell>
          <cell r="BB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J403">
            <v>49.7</v>
          </cell>
          <cell r="BK403">
            <v>0</v>
          </cell>
          <cell r="BL403">
            <v>0</v>
          </cell>
          <cell r="BM403">
            <v>49.7</v>
          </cell>
          <cell r="BN403">
            <v>417500</v>
          </cell>
          <cell r="BO403">
            <v>105.50000000000001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V403">
            <v>0</v>
          </cell>
          <cell r="BW403">
            <v>0</v>
          </cell>
          <cell r="BY403">
            <v>0</v>
          </cell>
          <cell r="BZ403">
            <v>0</v>
          </cell>
          <cell r="CB403">
            <v>0</v>
          </cell>
          <cell r="CC403">
            <v>0</v>
          </cell>
        </row>
        <row r="404">
          <cell r="B404">
            <v>6598.4</v>
          </cell>
          <cell r="C404">
            <v>26294.75</v>
          </cell>
          <cell r="D404">
            <v>0</v>
          </cell>
          <cell r="E404">
            <v>0</v>
          </cell>
          <cell r="F404">
            <v>0</v>
          </cell>
          <cell r="G404">
            <v>4306</v>
          </cell>
          <cell r="H404">
            <v>32893.149999999994</v>
          </cell>
          <cell r="I404">
            <v>17645.471000000001</v>
          </cell>
          <cell r="J404">
            <v>12592.797000000002</v>
          </cell>
          <cell r="N404">
            <v>276.5</v>
          </cell>
          <cell r="O404">
            <v>0</v>
          </cell>
          <cell r="P404">
            <v>276.5</v>
          </cell>
          <cell r="Q404">
            <v>0</v>
          </cell>
          <cell r="R404">
            <v>246.46</v>
          </cell>
          <cell r="T404">
            <v>4564.6600000000008</v>
          </cell>
          <cell r="U404">
            <v>0</v>
          </cell>
          <cell r="V404">
            <v>4564.6600000000008</v>
          </cell>
          <cell r="W404">
            <v>1789.6389999999999</v>
          </cell>
          <cell r="X404">
            <v>1782.0910000000001</v>
          </cell>
          <cell r="Z404">
            <v>1585.3000000000002</v>
          </cell>
          <cell r="AA404">
            <v>2788.9999999999995</v>
          </cell>
          <cell r="AB404">
            <v>0</v>
          </cell>
          <cell r="AC404">
            <v>380.03099999999995</v>
          </cell>
          <cell r="AD404">
            <v>6313.5350000000008</v>
          </cell>
          <cell r="AF404">
            <v>75.02</v>
          </cell>
          <cell r="AG404">
            <v>0</v>
          </cell>
          <cell r="AH404">
            <v>0</v>
          </cell>
          <cell r="AI404">
            <v>75.02</v>
          </cell>
          <cell r="AJ404">
            <v>59.490000000000009</v>
          </cell>
          <cell r="AL404">
            <v>144.14000000000001</v>
          </cell>
          <cell r="AM404">
            <v>0</v>
          </cell>
          <cell r="AN404">
            <v>0</v>
          </cell>
          <cell r="AO404">
            <v>144.14000000000001</v>
          </cell>
          <cell r="AP404">
            <v>123.086</v>
          </cell>
          <cell r="AR404">
            <v>24.8</v>
          </cell>
          <cell r="AS404">
            <v>0</v>
          </cell>
          <cell r="AT404">
            <v>0</v>
          </cell>
          <cell r="AU404">
            <v>24.8</v>
          </cell>
          <cell r="AV404">
            <v>31.220000000000006</v>
          </cell>
          <cell r="AX404">
            <v>73.62</v>
          </cell>
          <cell r="AY404">
            <v>0</v>
          </cell>
          <cell r="AZ404">
            <v>0</v>
          </cell>
          <cell r="BA404">
            <v>73.62</v>
          </cell>
          <cell r="BB404">
            <v>78.426999999999992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J404">
            <v>49.7</v>
          </cell>
          <cell r="BK404">
            <v>0</v>
          </cell>
          <cell r="BL404">
            <v>0</v>
          </cell>
          <cell r="BM404">
            <v>49.7</v>
          </cell>
          <cell r="BN404">
            <v>417500</v>
          </cell>
          <cell r="BO404">
            <v>105.50000000000001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V404">
            <v>0</v>
          </cell>
          <cell r="BW404">
            <v>0</v>
          </cell>
          <cell r="BY404">
            <v>0</v>
          </cell>
          <cell r="BZ404">
            <v>0</v>
          </cell>
          <cell r="CB404">
            <v>0</v>
          </cell>
          <cell r="CC404">
            <v>0</v>
          </cell>
        </row>
        <row r="406">
          <cell r="B406">
            <v>5276.74</v>
          </cell>
          <cell r="C406">
            <v>11022.7</v>
          </cell>
          <cell r="D406">
            <v>0</v>
          </cell>
          <cell r="E406">
            <v>9186</v>
          </cell>
          <cell r="F406">
            <v>0</v>
          </cell>
          <cell r="I406">
            <v>10282.505999999999</v>
          </cell>
          <cell r="J406">
            <v>18341.876</v>
          </cell>
          <cell r="R406">
            <v>106.04</v>
          </cell>
          <cell r="W406">
            <v>2273.788</v>
          </cell>
          <cell r="X406">
            <v>1818.9010000000001</v>
          </cell>
          <cell r="AB406">
            <v>1322.318</v>
          </cell>
          <cell r="AD406">
            <v>3649.2629999999999</v>
          </cell>
          <cell r="AJ406">
            <v>52.73</v>
          </cell>
          <cell r="AP406">
            <v>114.767</v>
          </cell>
          <cell r="BB406">
            <v>91.481999999999999</v>
          </cell>
        </row>
        <row r="407">
          <cell r="A407" t="str">
            <v>WRZESIEŃ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9590</v>
          </cell>
          <cell r="H407">
            <v>25485.439999999995</v>
          </cell>
          <cell r="I407">
            <v>0</v>
          </cell>
          <cell r="J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T407">
            <v>3767.9000000000005</v>
          </cell>
          <cell r="U407">
            <v>0</v>
          </cell>
          <cell r="V407">
            <v>3767.9000000000005</v>
          </cell>
          <cell r="W407">
            <v>0</v>
          </cell>
          <cell r="X407">
            <v>0</v>
          </cell>
          <cell r="Z407">
            <v>2243.3999999999996</v>
          </cell>
          <cell r="AA407">
            <v>434</v>
          </cell>
          <cell r="AB407">
            <v>0</v>
          </cell>
          <cell r="AC407">
            <v>0</v>
          </cell>
          <cell r="AD407">
            <v>0</v>
          </cell>
          <cell r="AF407">
            <v>48.56</v>
          </cell>
          <cell r="AG407">
            <v>0</v>
          </cell>
          <cell r="AH407">
            <v>0</v>
          </cell>
          <cell r="AI407">
            <v>48.56</v>
          </cell>
          <cell r="AJ407">
            <v>0</v>
          </cell>
          <cell r="AL407">
            <v>86.34</v>
          </cell>
          <cell r="AM407">
            <v>0</v>
          </cell>
          <cell r="AN407">
            <v>0</v>
          </cell>
          <cell r="AO407">
            <v>86.34</v>
          </cell>
          <cell r="AP407">
            <v>0</v>
          </cell>
          <cell r="AR407">
            <v>56.08</v>
          </cell>
          <cell r="AS407">
            <v>0</v>
          </cell>
          <cell r="AT407">
            <v>0</v>
          </cell>
          <cell r="AU407">
            <v>56.08</v>
          </cell>
          <cell r="AV407">
            <v>49.580000000000005</v>
          </cell>
          <cell r="AX407">
            <v>118.75999999999999</v>
          </cell>
          <cell r="AY407">
            <v>0</v>
          </cell>
          <cell r="AZ407">
            <v>0</v>
          </cell>
          <cell r="BA407">
            <v>118.75999999999999</v>
          </cell>
          <cell r="BB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J407">
            <v>72.900000000000006</v>
          </cell>
          <cell r="BK407">
            <v>0</v>
          </cell>
          <cell r="BL407">
            <v>0</v>
          </cell>
          <cell r="BM407">
            <v>72.900000000000006</v>
          </cell>
          <cell r="BN407">
            <v>380350</v>
          </cell>
          <cell r="BO407">
            <v>122.40000000000002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V407">
            <v>0</v>
          </cell>
          <cell r="BW407">
            <v>0</v>
          </cell>
          <cell r="BY407">
            <v>0</v>
          </cell>
          <cell r="BZ407">
            <v>0</v>
          </cell>
          <cell r="CB407">
            <v>0</v>
          </cell>
          <cell r="CC407">
            <v>0</v>
          </cell>
        </row>
        <row r="408">
          <cell r="B408">
            <v>5276.74</v>
          </cell>
          <cell r="C408">
            <v>11022.7</v>
          </cell>
          <cell r="D408">
            <v>0</v>
          </cell>
          <cell r="E408">
            <v>9186</v>
          </cell>
          <cell r="F408">
            <v>0</v>
          </cell>
          <cell r="G408">
            <v>9590</v>
          </cell>
          <cell r="H408">
            <v>25485.439999999995</v>
          </cell>
          <cell r="I408">
            <v>10282.506000000001</v>
          </cell>
          <cell r="J408">
            <v>18341.876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106.04000000000002</v>
          </cell>
          <cell r="T408">
            <v>3767.9000000000005</v>
          </cell>
          <cell r="U408">
            <v>0</v>
          </cell>
          <cell r="V408">
            <v>3767.9000000000005</v>
          </cell>
          <cell r="W408">
            <v>2273.788</v>
          </cell>
          <cell r="X408">
            <v>1818.9010000000005</v>
          </cell>
          <cell r="Z408">
            <v>2243.3999999999996</v>
          </cell>
          <cell r="AA408">
            <v>434</v>
          </cell>
          <cell r="AB408">
            <v>1322.318</v>
          </cell>
          <cell r="AC408">
            <v>0</v>
          </cell>
          <cell r="AD408">
            <v>3649.2630000000008</v>
          </cell>
          <cell r="AF408">
            <v>48.56</v>
          </cell>
          <cell r="AG408">
            <v>0</v>
          </cell>
          <cell r="AH408">
            <v>0</v>
          </cell>
          <cell r="AI408">
            <v>48.56</v>
          </cell>
          <cell r="AJ408">
            <v>52.73</v>
          </cell>
          <cell r="AL408">
            <v>86.34</v>
          </cell>
          <cell r="AM408">
            <v>0</v>
          </cell>
          <cell r="AN408">
            <v>0</v>
          </cell>
          <cell r="AO408">
            <v>86.34</v>
          </cell>
          <cell r="AP408">
            <v>114.767</v>
          </cell>
          <cell r="AR408">
            <v>56.08</v>
          </cell>
          <cell r="AS408">
            <v>0</v>
          </cell>
          <cell r="AT408">
            <v>0</v>
          </cell>
          <cell r="AU408">
            <v>56.08</v>
          </cell>
          <cell r="AV408">
            <v>49.580000000000005</v>
          </cell>
          <cell r="AX408">
            <v>118.75999999999999</v>
          </cell>
          <cell r="AY408">
            <v>0</v>
          </cell>
          <cell r="AZ408">
            <v>0</v>
          </cell>
          <cell r="BA408">
            <v>118.75999999999999</v>
          </cell>
          <cell r="BB408">
            <v>91.482000000000028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J408">
            <v>72.900000000000006</v>
          </cell>
          <cell r="BK408">
            <v>0</v>
          </cell>
          <cell r="BL408">
            <v>0</v>
          </cell>
          <cell r="BM408">
            <v>72.900000000000006</v>
          </cell>
          <cell r="BN408">
            <v>380350</v>
          </cell>
          <cell r="BO408">
            <v>122.40000000000002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V408">
            <v>0</v>
          </cell>
          <cell r="BW408">
            <v>0</v>
          </cell>
          <cell r="BY408">
            <v>0</v>
          </cell>
          <cell r="BZ408">
            <v>0</v>
          </cell>
          <cell r="CB408">
            <v>0</v>
          </cell>
          <cell r="CC408">
            <v>0</v>
          </cell>
        </row>
        <row r="410">
          <cell r="B410">
            <v>6590.2</v>
          </cell>
          <cell r="C410">
            <v>5714.3</v>
          </cell>
          <cell r="D410">
            <v>0</v>
          </cell>
          <cell r="E410">
            <v>12509.6</v>
          </cell>
          <cell r="F410">
            <v>0</v>
          </cell>
          <cell r="I410">
            <v>10689.871999999999</v>
          </cell>
          <cell r="J410">
            <v>16844.645</v>
          </cell>
          <cell r="T410">
            <v>3567.7</v>
          </cell>
          <cell r="W410">
            <v>1734.3489999999999</v>
          </cell>
          <cell r="X410">
            <v>645.25699999999995</v>
          </cell>
          <cell r="Z410">
            <v>1567.48</v>
          </cell>
          <cell r="AD410">
            <v>4155.1859999999997</v>
          </cell>
          <cell r="AF410">
            <v>50.46</v>
          </cell>
          <cell r="AJ410">
            <v>45.19</v>
          </cell>
          <cell r="AL410">
            <v>73.06</v>
          </cell>
          <cell r="AP410">
            <v>111.08</v>
          </cell>
          <cell r="AV410">
            <v>37.31</v>
          </cell>
          <cell r="AX410">
            <v>112.59</v>
          </cell>
          <cell r="BB410">
            <v>120.08199999999999</v>
          </cell>
          <cell r="BJ410">
            <v>198.26</v>
          </cell>
        </row>
        <row r="411">
          <cell r="A411" t="str">
            <v>PAŹDZIERNIK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14280</v>
          </cell>
          <cell r="H411">
            <v>24814.100000000002</v>
          </cell>
          <cell r="I411">
            <v>0</v>
          </cell>
          <cell r="J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T411">
            <v>0</v>
          </cell>
          <cell r="U411">
            <v>0</v>
          </cell>
          <cell r="V411">
            <v>3567.7</v>
          </cell>
          <cell r="W411">
            <v>9.9999999997635314E-4</v>
          </cell>
          <cell r="X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50.46</v>
          </cell>
          <cell r="AJ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73.06</v>
          </cell>
          <cell r="AP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112.58999999999999</v>
          </cell>
          <cell r="BB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198.25999999999996</v>
          </cell>
          <cell r="BN411">
            <v>425000</v>
          </cell>
          <cell r="BO411">
            <v>169.70000000000002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V411">
            <v>0</v>
          </cell>
          <cell r="BW411">
            <v>0</v>
          </cell>
          <cell r="BY411">
            <v>0</v>
          </cell>
          <cell r="BZ411">
            <v>0</v>
          </cell>
          <cell r="CB411">
            <v>0</v>
          </cell>
          <cell r="CC411">
            <v>0</v>
          </cell>
        </row>
        <row r="412">
          <cell r="B412">
            <v>6590.1999999999989</v>
          </cell>
          <cell r="C412">
            <v>5714.3</v>
          </cell>
          <cell r="D412">
            <v>0</v>
          </cell>
          <cell r="E412">
            <v>12509.6</v>
          </cell>
          <cell r="F412">
            <v>0</v>
          </cell>
          <cell r="G412">
            <v>14280</v>
          </cell>
          <cell r="H412">
            <v>24814.100000000002</v>
          </cell>
          <cell r="I412">
            <v>10689.872000000001</v>
          </cell>
          <cell r="J412">
            <v>16844.645000000004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T412">
            <v>3567.7</v>
          </cell>
          <cell r="U412">
            <v>0</v>
          </cell>
          <cell r="V412">
            <v>3567.7</v>
          </cell>
          <cell r="W412">
            <v>1734.35</v>
          </cell>
          <cell r="X412">
            <v>645.25699999999983</v>
          </cell>
          <cell r="Z412">
            <v>1567.48</v>
          </cell>
          <cell r="AA412">
            <v>0</v>
          </cell>
          <cell r="AB412">
            <v>0</v>
          </cell>
          <cell r="AC412">
            <v>0</v>
          </cell>
          <cell r="AD412">
            <v>4155.1859999999997</v>
          </cell>
          <cell r="AF412">
            <v>50.46</v>
          </cell>
          <cell r="AG412">
            <v>0</v>
          </cell>
          <cell r="AH412">
            <v>0</v>
          </cell>
          <cell r="AI412">
            <v>50.46</v>
          </cell>
          <cell r="AJ412">
            <v>45.189999999999984</v>
          </cell>
          <cell r="AL412">
            <v>73.06</v>
          </cell>
          <cell r="AM412">
            <v>0</v>
          </cell>
          <cell r="AN412">
            <v>0</v>
          </cell>
          <cell r="AO412">
            <v>73.06</v>
          </cell>
          <cell r="AP412">
            <v>111.07999999999998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37.309999999999995</v>
          </cell>
          <cell r="AX412">
            <v>112.58999999999999</v>
          </cell>
          <cell r="AY412">
            <v>0</v>
          </cell>
          <cell r="AZ412">
            <v>0</v>
          </cell>
          <cell r="BA412">
            <v>112.58999999999999</v>
          </cell>
          <cell r="BB412">
            <v>120.08199999999999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J412">
            <v>198.25999999999996</v>
          </cell>
          <cell r="BK412">
            <v>0</v>
          </cell>
          <cell r="BL412">
            <v>0</v>
          </cell>
          <cell r="BM412">
            <v>198.25999999999996</v>
          </cell>
          <cell r="BN412">
            <v>425000</v>
          </cell>
          <cell r="BO412">
            <v>169.70000000000002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V412">
            <v>0</v>
          </cell>
          <cell r="BW412">
            <v>0</v>
          </cell>
          <cell r="BY412">
            <v>0</v>
          </cell>
          <cell r="BZ412">
            <v>0</v>
          </cell>
          <cell r="CB412">
            <v>0</v>
          </cell>
          <cell r="CC412">
            <v>0</v>
          </cell>
        </row>
        <row r="414">
          <cell r="B414">
            <v>5275.94</v>
          </cell>
          <cell r="C414">
            <v>8530.7999999999993</v>
          </cell>
          <cell r="E414">
            <v>12582.7</v>
          </cell>
          <cell r="G414">
            <v>8090</v>
          </cell>
          <cell r="I414">
            <v>15973.95</v>
          </cell>
          <cell r="J414">
            <v>14121.647000000001</v>
          </cell>
          <cell r="N414">
            <v>470.46</v>
          </cell>
          <cell r="T414">
            <v>2937.34</v>
          </cell>
          <cell r="W414">
            <v>1648.5809999999999</v>
          </cell>
          <cell r="X414">
            <v>2831.1729999999998</v>
          </cell>
          <cell r="Z414">
            <v>3108.9</v>
          </cell>
          <cell r="AD414">
            <v>5348.308</v>
          </cell>
          <cell r="AJ414">
            <v>28.4</v>
          </cell>
          <cell r="AL414">
            <v>121.6</v>
          </cell>
          <cell r="AP414">
            <v>115.869</v>
          </cell>
          <cell r="AR414">
            <v>30.38</v>
          </cell>
          <cell r="AV414">
            <v>31.385999999999999</v>
          </cell>
          <cell r="AX414">
            <v>91.56</v>
          </cell>
          <cell r="BB414">
            <v>78.245000000000005</v>
          </cell>
          <cell r="BJ414">
            <v>174.5</v>
          </cell>
        </row>
        <row r="415">
          <cell r="A415" t="str">
            <v>LISTOPAD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26389.440000000002</v>
          </cell>
          <cell r="I415">
            <v>0</v>
          </cell>
          <cell r="J415">
            <v>0</v>
          </cell>
          <cell r="N415">
            <v>0</v>
          </cell>
          <cell r="O415">
            <v>0</v>
          </cell>
          <cell r="P415">
            <v>470.46</v>
          </cell>
          <cell r="Q415">
            <v>0</v>
          </cell>
          <cell r="R415">
            <v>0</v>
          </cell>
          <cell r="T415">
            <v>0</v>
          </cell>
          <cell r="U415">
            <v>0</v>
          </cell>
          <cell r="V415">
            <v>2937.3399999999997</v>
          </cell>
          <cell r="W415">
            <v>0</v>
          </cell>
          <cell r="X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18</v>
          </cell>
          <cell r="AG415">
            <v>0</v>
          </cell>
          <cell r="AH415">
            <v>0</v>
          </cell>
          <cell r="AI415">
            <v>18</v>
          </cell>
          <cell r="AJ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121.60000000000001</v>
          </cell>
          <cell r="AP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30.380000000000003</v>
          </cell>
          <cell r="AV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91.56</v>
          </cell>
          <cell r="BB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174.5</v>
          </cell>
          <cell r="BN415">
            <v>554250</v>
          </cell>
          <cell r="BO415">
            <v>178.59999999999997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V415">
            <v>0</v>
          </cell>
          <cell r="BW415">
            <v>0</v>
          </cell>
          <cell r="BY415">
            <v>0</v>
          </cell>
          <cell r="BZ415">
            <v>0</v>
          </cell>
          <cell r="CB415">
            <v>0</v>
          </cell>
          <cell r="CC415">
            <v>0</v>
          </cell>
        </row>
        <row r="416">
          <cell r="B416">
            <v>5275.9400000000005</v>
          </cell>
          <cell r="C416">
            <v>8530.7999999999993</v>
          </cell>
          <cell r="D416">
            <v>0</v>
          </cell>
          <cell r="E416">
            <v>12582.7</v>
          </cell>
          <cell r="F416">
            <v>0</v>
          </cell>
          <cell r="G416">
            <v>8090</v>
          </cell>
          <cell r="H416">
            <v>26389.440000000002</v>
          </cell>
          <cell r="I416">
            <v>15973.949999999999</v>
          </cell>
          <cell r="J416">
            <v>14121.646999999999</v>
          </cell>
          <cell r="N416">
            <v>470.46</v>
          </cell>
          <cell r="O416">
            <v>0</v>
          </cell>
          <cell r="P416">
            <v>470.46</v>
          </cell>
          <cell r="Q416">
            <v>0</v>
          </cell>
          <cell r="R416">
            <v>0</v>
          </cell>
          <cell r="T416">
            <v>2937.3399999999997</v>
          </cell>
          <cell r="U416">
            <v>0</v>
          </cell>
          <cell r="V416">
            <v>2937.3399999999997</v>
          </cell>
          <cell r="W416">
            <v>1648.5809999999999</v>
          </cell>
          <cell r="X416">
            <v>2831.1729999999998</v>
          </cell>
          <cell r="Z416">
            <v>3108.9</v>
          </cell>
          <cell r="AA416">
            <v>0</v>
          </cell>
          <cell r="AB416">
            <v>0</v>
          </cell>
          <cell r="AC416">
            <v>0</v>
          </cell>
          <cell r="AD416">
            <v>5348.3079999999982</v>
          </cell>
          <cell r="AF416">
            <v>18</v>
          </cell>
          <cell r="AG416">
            <v>0</v>
          </cell>
          <cell r="AH416">
            <v>0</v>
          </cell>
          <cell r="AI416">
            <v>18</v>
          </cell>
          <cell r="AJ416">
            <v>28.400000000000002</v>
          </cell>
          <cell r="AL416">
            <v>121.60000000000001</v>
          </cell>
          <cell r="AM416">
            <v>0</v>
          </cell>
          <cell r="AN416">
            <v>0</v>
          </cell>
          <cell r="AO416">
            <v>121.60000000000001</v>
          </cell>
          <cell r="AP416">
            <v>115.869</v>
          </cell>
          <cell r="AR416">
            <v>30.380000000000003</v>
          </cell>
          <cell r="AS416">
            <v>0</v>
          </cell>
          <cell r="AT416">
            <v>0</v>
          </cell>
          <cell r="AU416">
            <v>30.380000000000003</v>
          </cell>
          <cell r="AV416">
            <v>31.385999999999996</v>
          </cell>
          <cell r="AX416">
            <v>91.56</v>
          </cell>
          <cell r="AY416">
            <v>0</v>
          </cell>
          <cell r="AZ416">
            <v>0</v>
          </cell>
          <cell r="BA416">
            <v>91.56</v>
          </cell>
          <cell r="BB416">
            <v>78.245000000000005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J416">
            <v>174.5</v>
          </cell>
          <cell r="BK416">
            <v>0</v>
          </cell>
          <cell r="BL416">
            <v>0</v>
          </cell>
          <cell r="BM416">
            <v>174.5</v>
          </cell>
          <cell r="BN416">
            <v>554250</v>
          </cell>
          <cell r="BO416">
            <v>178.59999999999997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V416">
            <v>0</v>
          </cell>
          <cell r="BW416">
            <v>0</v>
          </cell>
          <cell r="BY416">
            <v>0</v>
          </cell>
          <cell r="BZ416">
            <v>0</v>
          </cell>
          <cell r="CB416">
            <v>0</v>
          </cell>
          <cell r="CC416">
            <v>0</v>
          </cell>
        </row>
        <row r="419">
          <cell r="A419" t="str">
            <v>GRUDZIEŃ</v>
          </cell>
          <cell r="B419">
            <v>6600.2999999999993</v>
          </cell>
          <cell r="C419">
            <v>0</v>
          </cell>
          <cell r="D419">
            <v>0</v>
          </cell>
          <cell r="E419">
            <v>27784.900000000005</v>
          </cell>
          <cell r="F419">
            <v>0</v>
          </cell>
          <cell r="G419">
            <v>9880</v>
          </cell>
          <cell r="H419">
            <v>34385.199999999997</v>
          </cell>
          <cell r="I419">
            <v>17639</v>
          </cell>
          <cell r="J419">
            <v>21494.300000000003</v>
          </cell>
          <cell r="N419">
            <v>517.4</v>
          </cell>
          <cell r="O419">
            <v>0</v>
          </cell>
          <cell r="P419">
            <v>517.4</v>
          </cell>
          <cell r="Q419">
            <v>0</v>
          </cell>
          <cell r="R419">
            <v>0</v>
          </cell>
          <cell r="T419">
            <v>3277.4000000000005</v>
          </cell>
          <cell r="U419">
            <v>0</v>
          </cell>
          <cell r="V419">
            <v>3277.4000000000005</v>
          </cell>
          <cell r="W419">
            <v>0</v>
          </cell>
          <cell r="X419">
            <v>2501.3000000000002</v>
          </cell>
          <cell r="Z419">
            <v>1443</v>
          </cell>
          <cell r="AA419">
            <v>766.8</v>
          </cell>
          <cell r="AB419">
            <v>0</v>
          </cell>
          <cell r="AC419">
            <v>0</v>
          </cell>
          <cell r="AD419">
            <v>1690.1999999999998</v>
          </cell>
          <cell r="AF419">
            <v>49.120000000000005</v>
          </cell>
          <cell r="AG419">
            <v>0</v>
          </cell>
          <cell r="AH419">
            <v>0</v>
          </cell>
          <cell r="AI419">
            <v>49.120000000000005</v>
          </cell>
          <cell r="AJ419">
            <v>35.1</v>
          </cell>
          <cell r="AL419">
            <v>150.37</v>
          </cell>
          <cell r="AM419">
            <v>0</v>
          </cell>
          <cell r="AN419">
            <v>0</v>
          </cell>
          <cell r="AO419">
            <v>150.37</v>
          </cell>
          <cell r="AP419">
            <v>138.41999999999999</v>
          </cell>
          <cell r="AR419">
            <v>49.230000000000004</v>
          </cell>
          <cell r="AS419">
            <v>0</v>
          </cell>
          <cell r="AT419">
            <v>0</v>
          </cell>
          <cell r="AU419">
            <v>49.230000000000004</v>
          </cell>
          <cell r="AV419">
            <v>36.039999999999992</v>
          </cell>
          <cell r="AX419">
            <v>100.64</v>
          </cell>
          <cell r="AY419">
            <v>0</v>
          </cell>
          <cell r="AZ419">
            <v>0</v>
          </cell>
          <cell r="BA419">
            <v>100.64</v>
          </cell>
          <cell r="BB419">
            <v>90.306999999999988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J419">
            <v>246.6</v>
          </cell>
          <cell r="BK419">
            <v>0</v>
          </cell>
          <cell r="BL419">
            <v>0</v>
          </cell>
          <cell r="BM419">
            <v>246.6</v>
          </cell>
          <cell r="BN419">
            <v>596500</v>
          </cell>
          <cell r="BO419">
            <v>200.50000000000003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V419">
            <v>975</v>
          </cell>
          <cell r="BW419">
            <v>0</v>
          </cell>
          <cell r="BY419">
            <v>0</v>
          </cell>
          <cell r="BZ419">
            <v>0</v>
          </cell>
          <cell r="CB419">
            <v>0</v>
          </cell>
          <cell r="CC419">
            <v>0</v>
          </cell>
        </row>
        <row r="420">
          <cell r="B420">
            <v>6600.2999999999993</v>
          </cell>
          <cell r="C420">
            <v>0</v>
          </cell>
          <cell r="D420">
            <v>0</v>
          </cell>
          <cell r="E420">
            <v>27784.900000000005</v>
          </cell>
          <cell r="F420">
            <v>0</v>
          </cell>
          <cell r="G420">
            <v>9880</v>
          </cell>
          <cell r="H420">
            <v>34385.199999999997</v>
          </cell>
          <cell r="I420">
            <v>17639</v>
          </cell>
          <cell r="J420">
            <v>21494.300000000003</v>
          </cell>
          <cell r="N420">
            <v>517.4</v>
          </cell>
          <cell r="O420">
            <v>0</v>
          </cell>
          <cell r="P420">
            <v>517.4</v>
          </cell>
          <cell r="Q420">
            <v>0</v>
          </cell>
          <cell r="R420">
            <v>0</v>
          </cell>
          <cell r="T420">
            <v>3277.4000000000005</v>
          </cell>
          <cell r="U420">
            <v>0</v>
          </cell>
          <cell r="V420">
            <v>3277.4000000000005</v>
          </cell>
          <cell r="W420">
            <v>0</v>
          </cell>
          <cell r="X420">
            <v>2501.3000000000002</v>
          </cell>
          <cell r="Z420">
            <v>1443</v>
          </cell>
          <cell r="AA420">
            <v>766.8</v>
          </cell>
          <cell r="AB420">
            <v>0</v>
          </cell>
          <cell r="AC420">
            <v>0</v>
          </cell>
          <cell r="AD420">
            <v>1690.1999999999998</v>
          </cell>
          <cell r="AF420">
            <v>49.120000000000005</v>
          </cell>
          <cell r="AG420">
            <v>0</v>
          </cell>
          <cell r="AH420">
            <v>0</v>
          </cell>
          <cell r="AI420">
            <v>49.120000000000005</v>
          </cell>
          <cell r="AJ420">
            <v>35.1</v>
          </cell>
          <cell r="AL420">
            <v>150.37</v>
          </cell>
          <cell r="AM420">
            <v>0</v>
          </cell>
          <cell r="AN420">
            <v>0</v>
          </cell>
          <cell r="AO420">
            <v>150.37</v>
          </cell>
          <cell r="AP420">
            <v>138.41999999999999</v>
          </cell>
          <cell r="AR420">
            <v>49.230000000000004</v>
          </cell>
          <cell r="AS420">
            <v>0</v>
          </cell>
          <cell r="AT420">
            <v>0</v>
          </cell>
          <cell r="AU420">
            <v>49.230000000000004</v>
          </cell>
          <cell r="AV420">
            <v>36.039999999999992</v>
          </cell>
          <cell r="AX420">
            <v>100.64</v>
          </cell>
          <cell r="AY420">
            <v>0</v>
          </cell>
          <cell r="AZ420">
            <v>0</v>
          </cell>
          <cell r="BA420">
            <v>100.64</v>
          </cell>
          <cell r="BB420">
            <v>90.306999999999988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J420">
            <v>246.6</v>
          </cell>
          <cell r="BK420">
            <v>0</v>
          </cell>
          <cell r="BL420">
            <v>0</v>
          </cell>
          <cell r="BM420">
            <v>246.6</v>
          </cell>
          <cell r="BN420">
            <v>596500</v>
          </cell>
          <cell r="BO420">
            <v>200.50000000000003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V420">
            <v>975</v>
          </cell>
          <cell r="BW420">
            <v>0</v>
          </cell>
          <cell r="BY420">
            <v>0</v>
          </cell>
          <cell r="BZ420">
            <v>0</v>
          </cell>
          <cell r="CB420">
            <v>0</v>
          </cell>
          <cell r="CC42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wARTOŚĆ KRAJ m-c"/>
      <sheetName val="ILOŚĆ KRAJ m-c"/>
      <sheetName val="WARTOŚĆ EKSPORT m-c"/>
      <sheetName val="ILOŚĆ EKSPORT m-c"/>
      <sheetName val="wARTOŚĆ KRAJ kwartał"/>
      <sheetName val="wARTOŚĆ KRAJ narast."/>
      <sheetName val="ILOŚĆ KRAJ kwartał"/>
      <sheetName val="ILOŚĆ KRAJ narast."/>
      <sheetName val="cena kraj m-c"/>
      <sheetName val="cena kraj kwartał"/>
      <sheetName val="cena kraj narast."/>
      <sheetName val="WARTOŚĆ EKSPORT kwartał"/>
      <sheetName val="WARTOŚĆ EKSPORT narastająco"/>
      <sheetName val="ILOŚĆ EKSPORT kwartal"/>
      <sheetName val="ILOŚĆ EKSPORT narast."/>
      <sheetName val="cena eksp. m-c"/>
      <sheetName val="ceny eksport kwart."/>
      <sheetName val="cena eksp. narast."/>
      <sheetName val="WARTOŚC OGÓŁEM m-c"/>
      <sheetName val="WARTOŚC OGÓŁEM kwartał"/>
      <sheetName val="WARTOŚC OGÓŁEM narast."/>
      <sheetName val="ILOŚĆ OGÓŁEM m-c"/>
      <sheetName val="ILOŚĆ OGÓŁEM kwartał"/>
      <sheetName val="ILOŚĆ OGÓŁEM narast"/>
      <sheetName val="CENY OGÓŁEM m-c"/>
      <sheetName val="CENY OGÓŁEM kwartał"/>
      <sheetName val="CENY OGÓŁEM narast."/>
      <sheetName val="analiz. cen ogółem m-c"/>
      <sheetName val="anal. ilości og. m-c"/>
      <sheetName val="cenkraj+eksp.XII "/>
      <sheetName val="anal. cen ogół. narast."/>
      <sheetName val="anal. ilości og. narast."/>
      <sheetName val="anal. cen og. kwart."/>
      <sheetName val="anal. ilości og. kwart."/>
      <sheetName val="Tab. Ceny do inform. "/>
      <sheetName val="Tab. Ceny do pakiet "/>
      <sheetName val="Tab.ilości pakiet "/>
      <sheetName val="Tab. ceny do plan "/>
      <sheetName val="anal. ceny kraj m-c"/>
      <sheetName val="anal. ceny eksp.m-c"/>
      <sheetName val="anal. ceny. kraj narast."/>
      <sheetName val="anal.cen eksp. nar."/>
      <sheetName val="Koszt m-cMSR"/>
      <sheetName val="koszt narast."/>
      <sheetName val="rent. m-czna pakiet MSR 2009"/>
      <sheetName val="rent.narast. pakiet MSR 2009"/>
      <sheetName val="pakietMSR 2009sprzedaż"/>
      <sheetName val="rentowność MSR"/>
      <sheetName val="Rentow. do inf. 2009 (2)"/>
      <sheetName val="Rentow. do inf. 2009"/>
      <sheetName val="Koszt kraj MSR"/>
      <sheetName val="koszt eksport MSR"/>
      <sheetName val="koszt wł. sprzed.MSR"/>
      <sheetName val="ceny kraj m-ca"/>
      <sheetName val="ceny eksp.m-c"/>
      <sheetName val="ceny. kraj narast."/>
      <sheetName val="ceny eksp.nar."/>
      <sheetName val="m-c z BULLa (2)"/>
      <sheetName val="narast. akt. okresBULL"/>
      <sheetName val="m-c z Sap"/>
      <sheetName val="narast.poprz.okres"/>
      <sheetName val="narast. akt. okresSAP"/>
      <sheetName val="wARTOŚĆ KRAJ"/>
      <sheetName val="ILOŚĆ KRAJ"/>
      <sheetName val="CENA KRAJ (2)"/>
      <sheetName val="WARTOŚĆ EKSPORT"/>
      <sheetName val="ILOŚĆ EKSPORT"/>
      <sheetName val="CENA EKSPORT (2)"/>
      <sheetName val="WARTOŚC OGÓŁEM"/>
      <sheetName val="ILOŚĆ OGÓŁEM"/>
      <sheetName val="CENY OGÓŁEM"/>
      <sheetName val="cenkraj+eksp. m-c"/>
      <sheetName val="ilosc kraj+ekport m-c"/>
      <sheetName val="ilosckraj+eksprt m-c (2)"/>
      <sheetName val="ceny kraj+eksp. narast."/>
      <sheetName val=" ilości kraj+eks.narast."/>
      <sheetName val=" ilości narast. (2)"/>
      <sheetName val="ceny kraj+eksp. kwart"/>
      <sheetName val="ilości kraj+eksp.  kwart."/>
      <sheetName val=" ilości kwart.(2)"/>
      <sheetName val="Tab. Ceny do inform. + kwar2009"/>
      <sheetName val="Tab. Ceny pakiet 09"/>
      <sheetName val="Tab.ilości pakiet 09"/>
      <sheetName val="Tab. ceny do plan09 i ub.infor "/>
      <sheetName val="Tab. ilości m-c,kwart.2009"/>
      <sheetName val="Tab. Ceny kwart i półr.walu09"/>
      <sheetName val="Koszt m-cMSRbez.p.08"/>
      <sheetName val="koszt nar. MSRbez p.08"/>
      <sheetName val="jedn.kosztMSR"/>
      <sheetName val="rent.kwartał pakiet MSR"/>
      <sheetName val="pakietMSR 2009koszt"/>
      <sheetName val="pakietMSRkwartałkoszt"/>
      <sheetName val="Ceny wyrobów"/>
      <sheetName val="Tab. Ceny do anal.i poprz.2008"/>
      <sheetName val="Tab. ceny do aneks08 i ub. "/>
      <sheetName val="Tab. ilości m-c,kwart. 2008"/>
      <sheetName val="Tab. ilości do anek08 i ub. (2)"/>
      <sheetName val="Tab. Ceny kwart i półr.walu08"/>
      <sheetName val="Tab. wart. z inflacją2008"/>
      <sheetName val="Tab. Ceny do całego 2007 (2)"/>
      <sheetName val="Tab. Ceny kwart i półr.2008"/>
      <sheetName val="Rentow. do inf. kwart.2008 "/>
      <sheetName val="rent.narast. pakiet MSR 2008"/>
      <sheetName val="rent. m-czna pakiet MSR2008"/>
      <sheetName val="Rachunek wyników zł"/>
      <sheetName val="Rachunek wyników-miesięczni zł"/>
      <sheetName val="narast. akt. okres"/>
      <sheetName val="Koszt w m-cPSR"/>
      <sheetName val="Koszt narast.PSR"/>
      <sheetName val="rentownosc na centra"/>
      <sheetName val="dane wykr.rent."/>
      <sheetName val="Wykres rent."/>
      <sheetName val="dane wart.sprzed."/>
      <sheetName val="Wykres sprzed."/>
      <sheetName val="pakietMSR2008"/>
      <sheetName val="m-c z BULLa"/>
      <sheetName val="Arkusz1"/>
      <sheetName val="Arkusz8"/>
      <sheetName val="Arkusz4"/>
      <sheetName val="Arkusz3"/>
      <sheetName val="Arkusz9"/>
      <sheetName val="Arkusz2"/>
      <sheetName val="koszt nar. MSR"/>
      <sheetName val="Rentow. do inf. kwart.2009"/>
      <sheetName val="pakietMSR 2009"/>
      <sheetName val="pakietMSRkwartał"/>
      <sheetName val="cenkraj+eksp. na centra"/>
      <sheetName val="ilosc na centra"/>
      <sheetName val="ilosc na centra (2)"/>
      <sheetName val="cenkraj+eksp.XII centra "/>
      <sheetName val="Różn. kraj+eksport narast._cent"/>
      <sheetName val="Różn. ilości narast._ centra"/>
      <sheetName val="Różn. ilości narast._ centr (2)"/>
      <sheetName val="Różn. kraj+eksp. kwart_centra"/>
      <sheetName val="Różn. ilości kwart_ centr "/>
      <sheetName val="Różn. ilości kwart_ centr  (2)"/>
      <sheetName val="Tabela do inf.plan08 i ub."/>
      <sheetName val="Tabela do inf.aneks08 i ub. (2)"/>
      <sheetName val="Tabela do informacji cały 2007"/>
      <sheetName val="Ceny pakiet i inf."/>
      <sheetName val="do pakietu"/>
      <sheetName val="Ceny kwartał"/>
      <sheetName val="ilości kwartał (2)"/>
      <sheetName val="Różn. kraj narast._ (2)"/>
      <sheetName val="ilości eksp.nar. "/>
      <sheetName val="Rentow. do inf. kwart. "/>
      <sheetName val="Ilośc ogółem"/>
      <sheetName val="Wartość ogółem"/>
      <sheetName val="jedn.koszt eksp.nar."/>
      <sheetName val="Różn. ilości narast._ centr (3)"/>
      <sheetName val="Tabela do informacji"/>
      <sheetName val="Tabela do informacji (2)"/>
      <sheetName val="Koszt w m-c"/>
      <sheetName val="Tab. Ceny do analog."/>
      <sheetName val="Tab. Ceny kwart i półr.walua"/>
      <sheetName val="Tab. ilości kwart. i półr."/>
      <sheetName val="Tab. Ceny kwart i półr."/>
      <sheetName val="Tab. wart. z inflacją"/>
      <sheetName val="Tab. Ceny do całego 2007"/>
      <sheetName val="cena do inf.plan08 i ub."/>
      <sheetName val="rent. m-czna pakiet MSR"/>
      <sheetName val="rent.narast. pakiet MSR (2)"/>
      <sheetName val="pakietMSR"/>
      <sheetName val="Tab. Ceny do anal.i poprz. 2009"/>
      <sheetName val="Tab. Ceny anal.i poprz pakie"/>
      <sheetName val="Tab. ceny do plan09 i ub. "/>
      <sheetName val="Tab. ilości do plan09 i ub. "/>
      <sheetName val="Tab. wart. z inflacją 2009"/>
      <sheetName val="Tab. Ceny kwart i półr. 2009"/>
      <sheetName val="wARTOŚĆ_KRAJ_m-c"/>
      <sheetName val="ILOŚĆ_KRAJ_m-c"/>
      <sheetName val="WARTOŚĆ_EKSPORT_m-c"/>
      <sheetName val="ILOŚĆ_EKSPORT_m-c"/>
      <sheetName val="wARTOŚĆ_KRAJ_kwartał"/>
      <sheetName val="wARTOŚĆ_KRAJ_narast_"/>
      <sheetName val="ILOŚĆ_KRAJ_kwartał"/>
      <sheetName val="ILOŚĆ_KRAJ_narast_"/>
      <sheetName val="cena_kraj_m-c"/>
      <sheetName val="cena_kraj_kwartał"/>
      <sheetName val="cena_kraj_narast_"/>
      <sheetName val="WARTOŚĆ_EKSPORT_kwartał"/>
      <sheetName val="WARTOŚĆ_EKSPORT_narastająco"/>
      <sheetName val="ILOŚĆ_EKSPORT_kwartal"/>
      <sheetName val="ILOŚĆ_EKSPORT_narast_"/>
      <sheetName val="cena_eksp__m-c"/>
      <sheetName val="ceny_eksport_kwart_"/>
      <sheetName val="cena_eksp__narast_"/>
      <sheetName val="WARTOŚC_OGÓŁEM_m-c"/>
      <sheetName val="WARTOŚC_OGÓŁEM_kwartał"/>
      <sheetName val="WARTOŚC_OGÓŁEM_narast_"/>
      <sheetName val="ILOŚĆ_OGÓŁEM_m-c"/>
      <sheetName val="ILOŚĆ_OGÓŁEM_kwartał"/>
      <sheetName val="ILOŚĆ_OGÓŁEM_narast"/>
      <sheetName val="CENY_OGÓŁEM_m-c"/>
      <sheetName val="CENY_OGÓŁEM_kwartał"/>
      <sheetName val="CENY_OGÓŁEM_narast_"/>
      <sheetName val="analiz__cen_ogółem_m-c"/>
      <sheetName val="anal__ilości_og__m-c"/>
      <sheetName val="cenkraj+eksp_XII_"/>
      <sheetName val="anal__cen_ogół__narast_"/>
      <sheetName val="anal__ilości_og__narast_"/>
      <sheetName val="anal__cen_og__kwart_"/>
      <sheetName val="anal__ilości_og__kwart_"/>
      <sheetName val="Tab__Ceny_do_inform__"/>
      <sheetName val="Tab__Ceny_do_pakiet_"/>
      <sheetName val="Tab_ilości_pakiet_"/>
      <sheetName val="Tab__ceny_do_plan_"/>
      <sheetName val="anal__ceny_kraj_m-c"/>
      <sheetName val="anal__ceny_eksp_m-c"/>
      <sheetName val="anal__ceny__kraj_narast_"/>
      <sheetName val="anal_cen_eksp__nar_"/>
      <sheetName val="Koszt_m-cMSR"/>
      <sheetName val="koszt_narast_"/>
      <sheetName val="rent__m-czna_pakiet_MSR_2009"/>
      <sheetName val="rent_narast__pakiet_MSR_2009"/>
      <sheetName val="pakietMSR_2009sprzedaż"/>
      <sheetName val="rentowność_MSR"/>
      <sheetName val="Rentow__do_inf__2009_(2)"/>
      <sheetName val="Rentow__do_inf__2009"/>
      <sheetName val="Koszt_kraj_MSR"/>
      <sheetName val="koszt_eksport_MSR"/>
      <sheetName val="koszt_wł__sprzed_MSR"/>
      <sheetName val="ceny_kraj_m-ca"/>
      <sheetName val="ceny_eksp_m-c"/>
      <sheetName val="ceny__kraj_narast_"/>
      <sheetName val="ceny_eksp_nar_"/>
      <sheetName val="m-c_z_BULLa_(2)"/>
      <sheetName val="narast__akt__okresBULL"/>
      <sheetName val="m-c_z_Sap"/>
      <sheetName val="narast_poprz_okres"/>
      <sheetName val="narast__akt__okresSAP"/>
      <sheetName val="wARTOŚĆ_KRAJ"/>
      <sheetName val="ILOŚĆ_KRAJ"/>
      <sheetName val="CENA_KRAJ_(2)"/>
      <sheetName val="WARTOŚĆ_EKSPORT"/>
      <sheetName val="ILOŚĆ_EKSPORT"/>
      <sheetName val="CENA_EKSPORT_(2)"/>
      <sheetName val="WARTOŚC_OGÓŁEM"/>
      <sheetName val="ILOŚĆ_OGÓŁEM"/>
      <sheetName val="CENY_OGÓŁEM"/>
      <sheetName val="cenkraj+eksp__m-c"/>
      <sheetName val="ilosc_kraj+ekport_m-c"/>
      <sheetName val="ilosckraj+eksprt_m-c_(2)"/>
      <sheetName val="ceny_kraj+eksp__narast_"/>
      <sheetName val="_ilości_kraj+eks_narast_"/>
      <sheetName val="_ilości_narast__(2)"/>
      <sheetName val="ceny_kraj+eksp__kwart"/>
      <sheetName val="ilości_kraj+eksp___kwart_"/>
      <sheetName val="_ilości_kwart_(2)"/>
      <sheetName val="Tab__Ceny_do_inform__+_kwar2009"/>
      <sheetName val="Tab__Ceny_pakiet_09"/>
      <sheetName val="Tab_ilości_pakiet_09"/>
      <sheetName val="Tab__ceny_do_plan09_i_ub_infor_"/>
      <sheetName val="Tab__ilości_m-c,kwart_2009"/>
      <sheetName val="Tab__Ceny_kwart_i_półr_walu09"/>
      <sheetName val="Koszt_m-cMSRbez_p_08"/>
      <sheetName val="koszt_nar__MSRbez_p_08"/>
      <sheetName val="jedn_kosztMSR"/>
      <sheetName val="rent_kwartał_pakiet_MSR"/>
      <sheetName val="pakietMSR_2009koszt"/>
      <sheetName val="Ceny_wyrobów"/>
      <sheetName val="Tab__Ceny_do_anal_i_poprz_2008"/>
      <sheetName val="Tab__ceny_do_aneks08_i_ub__"/>
      <sheetName val="Tab__ilości_m-c,kwart__2008"/>
      <sheetName val="Tab__ilości_do_anek08_i_ub__(2)"/>
      <sheetName val="Tab__Ceny_kwart_i_półr_walu08"/>
      <sheetName val="Tab__wart__z_inflacją2008"/>
      <sheetName val="Tab__Ceny_do_całego_2007_(2)"/>
      <sheetName val="Tab__Ceny_kwart_i_półr_2008"/>
      <sheetName val="Rentow__do_inf__kwart_2008_"/>
      <sheetName val="rent_narast__pakiet_MSR_2008"/>
      <sheetName val="rent__m-czna_pakiet_MSR2008"/>
      <sheetName val="Rachunek_wyników_zł"/>
      <sheetName val="Rachunek_wyników-miesięczni_zł"/>
      <sheetName val="narast__akt__okres"/>
      <sheetName val="Koszt_w_m-cPSR"/>
      <sheetName val="Koszt_narast_PSR"/>
      <sheetName val="rentownosc_na_centra"/>
      <sheetName val="dane_wykr_rent_"/>
      <sheetName val="Wykres_rent_"/>
      <sheetName val="dane_wart_sprzed_"/>
      <sheetName val="Wykres_sprzed_"/>
      <sheetName val="m-c_z_BULLa"/>
      <sheetName val="koszt_nar__MSR"/>
      <sheetName val="Rentow__do_inf__kwart_2009"/>
      <sheetName val="pakietMSR_2009"/>
      <sheetName val="cenkraj+eksp__na_centra"/>
      <sheetName val="ilosc_na_centra"/>
      <sheetName val="ilosc_na_centra_(2)"/>
      <sheetName val="cenkraj+eksp_XII_centra_"/>
      <sheetName val="Różn__kraj+eksport_narast__cent"/>
      <sheetName val="Różn__ilości_narast___centra"/>
      <sheetName val="Różn__ilości_narast___centr_(2)"/>
      <sheetName val="Różn__kraj+eksp__kwart_centra"/>
      <sheetName val="Różn__ilości_kwart__centr_"/>
      <sheetName val="Różn__ilości_kwart__centr__(2)"/>
      <sheetName val="Tabela_do_inf_plan08_i_ub_"/>
      <sheetName val="Tabela_do_inf_aneks08_i_ub__(2)"/>
      <sheetName val="Tabela_do_informacji_cały_2007"/>
      <sheetName val="Ceny_pakiet_i_inf_"/>
      <sheetName val="do_pakietu"/>
      <sheetName val="Ceny_kwartał"/>
      <sheetName val="ilości_kwartał_(2)"/>
      <sheetName val="Różn__kraj_narast___(2)"/>
      <sheetName val="ilości_eksp_nar__"/>
      <sheetName val="Rentow__do_inf__kwart__"/>
      <sheetName val="Ilośc_ogółem"/>
      <sheetName val="Wartość_ogółem"/>
      <sheetName val="jedn_koszt_eksp_nar_"/>
      <sheetName val="Różn__ilości_narast___centr_(3)"/>
      <sheetName val="Tabela_do_informacji"/>
      <sheetName val="Tabela_do_informacji_(2)"/>
      <sheetName val="Koszt_w_m-c"/>
      <sheetName val="Tab__Ceny_do_analog_"/>
      <sheetName val="Tab__Ceny_kwart_i_półr_walua"/>
      <sheetName val="Tab__ilości_kwart__i_półr_"/>
      <sheetName val="Tab__Ceny_kwart_i_półr_"/>
      <sheetName val="Tab__wart__z_inflacją"/>
      <sheetName val="Tab__Ceny_do_całego_2007"/>
      <sheetName val="cena_do_inf_plan08_i_ub_"/>
      <sheetName val="rent__m-czna_pakiet_MSR"/>
      <sheetName val="rent_narast__pakiet_MSR_(2)"/>
      <sheetName val="Tab__Ceny_do_anal_i_poprz__2009"/>
      <sheetName val="Tab__Ceny_anal_i_poprz_pakie"/>
      <sheetName val="Tab__ceny_do_plan09_i_ub__"/>
      <sheetName val="Tab__ilości_do_plan09_i_ub__"/>
      <sheetName val="Tab__wart__z_inflacją_2009"/>
      <sheetName val="Tab__Ceny_kwart_i_półr__2009"/>
      <sheetName val="wARTOŚĆ_KRAJ_m-c1"/>
      <sheetName val="ILOŚĆ_KRAJ_m-c1"/>
      <sheetName val="WARTOŚĆ_EKSPORT_m-c1"/>
      <sheetName val="ILOŚĆ_EKSPORT_m-c1"/>
      <sheetName val="wARTOŚĆ_KRAJ_kwartał1"/>
      <sheetName val="wARTOŚĆ_KRAJ_narast_1"/>
      <sheetName val="ILOŚĆ_KRAJ_kwartał1"/>
      <sheetName val="ILOŚĆ_KRAJ_narast_1"/>
      <sheetName val="cena_kraj_m-c1"/>
      <sheetName val="cena_kraj_kwartał1"/>
      <sheetName val="cena_kraj_narast_1"/>
      <sheetName val="WARTOŚĆ_EKSPORT_kwartał1"/>
      <sheetName val="WARTOŚĆ_EKSPORT_narastająco1"/>
      <sheetName val="ILOŚĆ_EKSPORT_kwartal1"/>
      <sheetName val="ILOŚĆ_EKSPORT_narast_1"/>
      <sheetName val="cena_eksp__m-c1"/>
      <sheetName val="ceny_eksport_kwart_1"/>
      <sheetName val="cena_eksp__narast_1"/>
      <sheetName val="WARTOŚC_OGÓŁEM_m-c1"/>
      <sheetName val="WARTOŚC_OGÓŁEM_kwartał1"/>
      <sheetName val="WARTOŚC_OGÓŁEM_narast_1"/>
      <sheetName val="ILOŚĆ_OGÓŁEM_m-c1"/>
      <sheetName val="ILOŚĆ_OGÓŁEM_kwartał1"/>
      <sheetName val="ILOŚĆ_OGÓŁEM_narast1"/>
      <sheetName val="CENY_OGÓŁEM_m-c1"/>
      <sheetName val="CENY_OGÓŁEM_kwartał1"/>
      <sheetName val="CENY_OGÓŁEM_narast_1"/>
      <sheetName val="analiz__cen_ogółem_m-c1"/>
      <sheetName val="anal__ilości_og__m-c1"/>
      <sheetName val="cenkraj+eksp_XII_1"/>
      <sheetName val="anal__cen_ogół__narast_1"/>
      <sheetName val="anal__ilości_og__narast_1"/>
      <sheetName val="anal__cen_og__kwart_1"/>
      <sheetName val="anal__ilości_og__kwart_1"/>
      <sheetName val="Tab__Ceny_do_inform__1"/>
      <sheetName val="Tab__Ceny_do_pakiet_1"/>
      <sheetName val="Tab_ilości_pakiet_1"/>
      <sheetName val="Tab__ceny_do_plan_1"/>
      <sheetName val="anal__ceny_kraj_m-c1"/>
      <sheetName val="anal__ceny_eksp_m-c1"/>
      <sheetName val="anal__ceny__kraj_narast_1"/>
      <sheetName val="anal_cen_eksp__nar_1"/>
      <sheetName val="Koszt_m-cMSR1"/>
      <sheetName val="koszt_narast_1"/>
      <sheetName val="rent__m-czna_pakiet_MSR_20091"/>
      <sheetName val="rent_narast__pakiet_MSR_20091"/>
      <sheetName val="pakietMSR_2009sprzedaż1"/>
      <sheetName val="rentowność_MSR1"/>
      <sheetName val="Rentow__do_inf__2009_(2)1"/>
      <sheetName val="Rentow__do_inf__20091"/>
      <sheetName val="Koszt_kraj_MSR1"/>
      <sheetName val="koszt_eksport_MSR1"/>
      <sheetName val="koszt_wł__sprzed_MSR1"/>
      <sheetName val="ceny_kraj_m-ca1"/>
      <sheetName val="ceny_eksp_m-c1"/>
      <sheetName val="ceny__kraj_narast_1"/>
      <sheetName val="ceny_eksp_nar_1"/>
      <sheetName val="m-c_z_BULLa_(2)1"/>
      <sheetName val="narast__akt__okresBULL1"/>
      <sheetName val="m-c_z_Sap1"/>
      <sheetName val="narast_poprz_okres1"/>
      <sheetName val="narast__akt__okresSAP1"/>
      <sheetName val="wARTOŚĆ_KRAJ1"/>
      <sheetName val="ILOŚĆ_KRAJ1"/>
      <sheetName val="CENA_KRAJ_(2)1"/>
      <sheetName val="WARTOŚĆ_EKSPORT1"/>
      <sheetName val="ILOŚĆ_EKSPORT1"/>
      <sheetName val="CENA_EKSPORT_(2)1"/>
      <sheetName val="WARTOŚC_OGÓŁEM1"/>
      <sheetName val="ILOŚĆ_OGÓŁEM1"/>
      <sheetName val="CENY_OGÓŁEM1"/>
      <sheetName val="cenkraj+eksp__m-c1"/>
      <sheetName val="ilosc_kraj+ekport_m-c1"/>
      <sheetName val="ilosckraj+eksprt_m-c_(2)1"/>
      <sheetName val="ceny_kraj+eksp__narast_1"/>
      <sheetName val="_ilości_kraj+eks_narast_1"/>
      <sheetName val="_ilości_narast__(2)1"/>
      <sheetName val="ceny_kraj+eksp__kwart1"/>
      <sheetName val="ilości_kraj+eksp___kwart_1"/>
      <sheetName val="_ilości_kwart_(2)1"/>
      <sheetName val="Tab__Ceny_do_inform__+_kwar2001"/>
      <sheetName val="Tab__Ceny_pakiet_091"/>
      <sheetName val="Tab_ilości_pakiet_091"/>
      <sheetName val="Tab__ceny_do_plan09_i_ub_infor1"/>
      <sheetName val="Tab__ilości_m-c,kwart_20091"/>
      <sheetName val="Tab__Ceny_kwart_i_półr_walu091"/>
      <sheetName val="Koszt_m-cMSRbez_p_081"/>
      <sheetName val="koszt_nar__MSRbez_p_081"/>
      <sheetName val="jedn_kosztMSR1"/>
      <sheetName val="rent_kwartał_pakiet_MSR1"/>
      <sheetName val="pakietMSR_2009koszt1"/>
      <sheetName val="Ceny_wyrobów1"/>
      <sheetName val="Tab__Ceny_do_anal_i_poprz_20081"/>
      <sheetName val="Tab__ceny_do_aneks08_i_ub__1"/>
      <sheetName val="Tab__ilości_m-c,kwart__20081"/>
      <sheetName val="Tab__ilości_do_anek08_i_ub__(21"/>
      <sheetName val="Tab__Ceny_kwart_i_półr_walu081"/>
      <sheetName val="Tab__wart__z_inflacją20081"/>
      <sheetName val="Tab__Ceny_do_całego_2007_(2)1"/>
      <sheetName val="Tab__Ceny_kwart_i_półr_20081"/>
      <sheetName val="Rentow__do_inf__kwart_2008_1"/>
      <sheetName val="rent_narast__pakiet_MSR_20081"/>
      <sheetName val="rent__m-czna_pakiet_MSR20081"/>
      <sheetName val="Rachunek_wyników_zł1"/>
      <sheetName val="Rachunek_wyników-miesięczni_zł1"/>
      <sheetName val="narast__akt__okres1"/>
      <sheetName val="Koszt_w_m-cPSR1"/>
      <sheetName val="Koszt_narast_PSR1"/>
      <sheetName val="rentownosc_na_centra1"/>
      <sheetName val="dane_wykr_rent_1"/>
      <sheetName val="Wykres_rent_1"/>
      <sheetName val="dane_wart_sprzed_1"/>
      <sheetName val="Wykres_sprzed_1"/>
      <sheetName val="m-c_z_BULLa1"/>
      <sheetName val="koszt_nar__MSR1"/>
      <sheetName val="Rentow__do_inf__kwart_20091"/>
      <sheetName val="pakietMSR_20091"/>
      <sheetName val="cenkraj+eksp__na_centra1"/>
      <sheetName val="ilosc_na_centra1"/>
      <sheetName val="ilosc_na_centra_(2)1"/>
      <sheetName val="cenkraj+eksp_XII_centra_1"/>
      <sheetName val="Różn__kraj+eksport_narast__cen1"/>
      <sheetName val="Różn__ilości_narast___centra1"/>
      <sheetName val="Różn__ilości_narast___centr_(21"/>
      <sheetName val="Różn__kraj+eksp__kwart_centra1"/>
      <sheetName val="Różn__ilości_kwart__centr_1"/>
      <sheetName val="Różn__ilości_kwart__centr__(2)1"/>
      <sheetName val="Tabela_do_inf_plan08_i_ub_1"/>
      <sheetName val="Tabela_do_inf_aneks08_i_ub__(21"/>
      <sheetName val="Tabela_do_informacji_cały_20071"/>
      <sheetName val="Ceny_pakiet_i_inf_1"/>
      <sheetName val="do_pakietu1"/>
      <sheetName val="Ceny_kwartał1"/>
      <sheetName val="ilości_kwartał_(2)1"/>
      <sheetName val="Różn__kraj_narast___(2)1"/>
      <sheetName val="ilości_eksp_nar__1"/>
      <sheetName val="Rentow__do_inf__kwart__1"/>
      <sheetName val="Ilośc_ogółem1"/>
      <sheetName val="Wartość_ogółem1"/>
      <sheetName val="jedn_koszt_eksp_nar_1"/>
      <sheetName val="Różn__ilości_narast___centr_(31"/>
      <sheetName val="Tabela_do_informacji1"/>
      <sheetName val="Tabela_do_informacji_(2)1"/>
      <sheetName val="Koszt_w_m-c1"/>
      <sheetName val="Tab__Ceny_do_analog_1"/>
      <sheetName val="Tab__Ceny_kwart_i_półr_walua1"/>
      <sheetName val="Tab__ilości_kwart__i_półr_1"/>
      <sheetName val="Tab__Ceny_kwart_i_półr_1"/>
      <sheetName val="Tab__wart__z_inflacją1"/>
      <sheetName val="Tab__Ceny_do_całego_20071"/>
      <sheetName val="cena_do_inf_plan08_i_ub_1"/>
      <sheetName val="rent__m-czna_pakiet_MSR1"/>
      <sheetName val="rent_narast__pakiet_MSR_(2)1"/>
      <sheetName val="Tab__Ceny_do_anal_i_poprz__2001"/>
      <sheetName val="Tab__Ceny_anal_i_poprz_pakie1"/>
      <sheetName val="Tab__ceny_do_plan09_i_ub__1"/>
      <sheetName val="Tab__ilości_do_plan09_i_ub__1"/>
      <sheetName val="Tab__wart__z_inflacją_20091"/>
      <sheetName val="Tab__Ceny_kwart_i_półr__20091"/>
      <sheetName val="wARTOŚĆ_KRAJ_m-c2"/>
      <sheetName val="ILOŚĆ_KRAJ_m-c2"/>
      <sheetName val="WARTOŚĆ_EKSPORT_m-c2"/>
      <sheetName val="ILOŚĆ_EKSPORT_m-c2"/>
      <sheetName val="wARTOŚĆ_KRAJ_kwartał2"/>
      <sheetName val="wARTOŚĆ_KRAJ_narast_2"/>
      <sheetName val="ILOŚĆ_KRAJ_kwartał2"/>
      <sheetName val="ILOŚĆ_KRAJ_narast_2"/>
      <sheetName val="cena_kraj_m-c2"/>
      <sheetName val="cena_kraj_kwartał2"/>
      <sheetName val="cena_kraj_narast_2"/>
      <sheetName val="WARTOŚĆ_EKSPORT_kwartał2"/>
      <sheetName val="WARTOŚĆ_EKSPORT_narastająco2"/>
      <sheetName val="ILOŚĆ_EKSPORT_kwartal2"/>
      <sheetName val="ILOŚĆ_EKSPORT_narast_2"/>
      <sheetName val="cena_eksp__m-c2"/>
      <sheetName val="ceny_eksport_kwart_2"/>
      <sheetName val="cena_eksp__narast_2"/>
      <sheetName val="WARTOŚC_OGÓŁEM_m-c2"/>
      <sheetName val="WARTOŚC_OGÓŁEM_kwartał2"/>
      <sheetName val="WARTOŚC_OGÓŁEM_narast_2"/>
      <sheetName val="ILOŚĆ_OGÓŁEM_m-c2"/>
      <sheetName val="ILOŚĆ_OGÓŁEM_kwartał2"/>
      <sheetName val="ILOŚĆ_OGÓŁEM_narast2"/>
      <sheetName val="CENY_OGÓŁEM_m-c2"/>
      <sheetName val="CENY_OGÓŁEM_kwartał2"/>
      <sheetName val="CENY_OGÓŁEM_narast_2"/>
      <sheetName val="analiz__cen_ogółem_m-c2"/>
      <sheetName val="anal__ilości_og__m-c2"/>
      <sheetName val="cenkraj+eksp_XII_2"/>
      <sheetName val="anal__cen_ogół__narast_2"/>
      <sheetName val="anal__ilości_og__narast_2"/>
      <sheetName val="anal__cen_og__kwart_2"/>
      <sheetName val="anal__ilości_og__kwart_2"/>
      <sheetName val="Tab__Ceny_do_inform__2"/>
      <sheetName val="Tab__Ceny_do_pakiet_2"/>
      <sheetName val="Tab_ilości_pakiet_2"/>
      <sheetName val="Tab__ceny_do_plan_2"/>
      <sheetName val="anal__ceny_kraj_m-c2"/>
      <sheetName val="anal__ceny_eksp_m-c2"/>
      <sheetName val="anal__ceny__kraj_narast_2"/>
      <sheetName val="anal_cen_eksp__nar_2"/>
      <sheetName val="Koszt_m-cMSR2"/>
      <sheetName val="koszt_narast_2"/>
      <sheetName val="rent__m-czna_pakiet_MSR_20092"/>
      <sheetName val="rent_narast__pakiet_MSR_20092"/>
      <sheetName val="pakietMSR_2009sprzedaż2"/>
      <sheetName val="rentowność_MSR2"/>
      <sheetName val="Rentow__do_inf__2009_(2)2"/>
      <sheetName val="Rentow__do_inf__20092"/>
      <sheetName val="Koszt_kraj_MSR2"/>
      <sheetName val="koszt_eksport_MSR2"/>
      <sheetName val="koszt_wł__sprzed_MSR2"/>
      <sheetName val="ceny_kraj_m-ca2"/>
      <sheetName val="ceny_eksp_m-c2"/>
      <sheetName val="ceny__kraj_narast_2"/>
      <sheetName val="ceny_eksp_nar_2"/>
      <sheetName val="m-c_z_BULLa_(2)2"/>
      <sheetName val="narast__akt__okresBULL2"/>
      <sheetName val="m-c_z_Sap2"/>
      <sheetName val="narast_poprz_okres2"/>
      <sheetName val="narast__akt__okresSAP2"/>
      <sheetName val="wARTOŚĆ_KRAJ2"/>
      <sheetName val="ILOŚĆ_KRAJ2"/>
      <sheetName val="CENA_KRAJ_(2)2"/>
      <sheetName val="WARTOŚĆ_EKSPORT2"/>
      <sheetName val="ILOŚĆ_EKSPORT2"/>
      <sheetName val="CENA_EKSPORT_(2)2"/>
      <sheetName val="WARTOŚC_OGÓŁEM2"/>
      <sheetName val="ILOŚĆ_OGÓŁEM2"/>
      <sheetName val="CENY_OGÓŁEM2"/>
      <sheetName val="cenkraj+eksp__m-c2"/>
      <sheetName val="ilosc_kraj+ekport_m-c2"/>
      <sheetName val="ilosckraj+eksprt_m-c_(2)2"/>
      <sheetName val="ceny_kraj+eksp__narast_2"/>
      <sheetName val="_ilości_kraj+eks_narast_2"/>
      <sheetName val="_ilości_narast__(2)2"/>
      <sheetName val="ceny_kraj+eksp__kwart2"/>
      <sheetName val="ilości_kraj+eksp___kwart_2"/>
      <sheetName val="_ilości_kwart_(2)2"/>
      <sheetName val="Tab__Ceny_do_inform__+_kwar2002"/>
      <sheetName val="Tab__Ceny_pakiet_092"/>
      <sheetName val="Tab_ilości_pakiet_092"/>
      <sheetName val="Tab__ceny_do_plan09_i_ub_infor2"/>
      <sheetName val="Tab__ilości_m-c,kwart_20092"/>
      <sheetName val="Tab__Ceny_kwart_i_półr_walu092"/>
      <sheetName val="Koszt_m-cMSRbez_p_082"/>
      <sheetName val="koszt_nar__MSRbez_p_082"/>
      <sheetName val="jedn_kosztMSR2"/>
      <sheetName val="rent_kwartał_pakiet_MSR2"/>
      <sheetName val="pakietMSR_2009koszt2"/>
      <sheetName val="Ceny_wyrobów2"/>
      <sheetName val="Tab__Ceny_do_anal_i_poprz_20082"/>
      <sheetName val="Tab__ceny_do_aneks08_i_ub__2"/>
      <sheetName val="Tab__ilości_m-c,kwart__20082"/>
      <sheetName val="Tab__ilości_do_anek08_i_ub__(22"/>
      <sheetName val="Tab__Ceny_kwart_i_półr_walu082"/>
      <sheetName val="Tab__wart__z_inflacją20082"/>
      <sheetName val="Tab__Ceny_do_całego_2007_(2)2"/>
      <sheetName val="Tab__Ceny_kwart_i_półr_20082"/>
      <sheetName val="Rentow__do_inf__kwart_2008_2"/>
      <sheetName val="rent_narast__pakiet_MSR_20082"/>
      <sheetName val="rent__m-czna_pakiet_MSR20082"/>
      <sheetName val="Rachunek_wyników_zł2"/>
      <sheetName val="Rachunek_wyników-miesięczni_zł2"/>
      <sheetName val="narast__akt__okres2"/>
      <sheetName val="Koszt_w_m-cPSR2"/>
      <sheetName val="Koszt_narast_PSR2"/>
      <sheetName val="rentownosc_na_centra2"/>
      <sheetName val="dane_wykr_rent_2"/>
      <sheetName val="Wykres_rent_2"/>
      <sheetName val="dane_wart_sprzed_2"/>
      <sheetName val="Wykres_sprzed_2"/>
      <sheetName val="m-c_z_BULLa2"/>
      <sheetName val="koszt_nar__MSR2"/>
      <sheetName val="Rentow__do_inf__kwart_20092"/>
      <sheetName val="pakietMSR_20092"/>
      <sheetName val="cenkraj+eksp__na_centra2"/>
      <sheetName val="ilosc_na_centra2"/>
      <sheetName val="ilosc_na_centra_(2)2"/>
      <sheetName val="cenkraj+eksp_XII_centra_2"/>
      <sheetName val="Różn__kraj+eksport_narast__cen2"/>
      <sheetName val="Różn__ilości_narast___centra2"/>
      <sheetName val="Różn__ilości_narast___centr_(22"/>
      <sheetName val="Różn__kraj+eksp__kwart_centra2"/>
      <sheetName val="Różn__ilości_kwart__centr_2"/>
      <sheetName val="Różn__ilości_kwart__centr__(2)2"/>
      <sheetName val="Tabela_do_inf_plan08_i_ub_2"/>
      <sheetName val="Tabela_do_inf_aneks08_i_ub__(22"/>
      <sheetName val="Tabela_do_informacji_cały_20072"/>
      <sheetName val="Ceny_pakiet_i_inf_2"/>
      <sheetName val="do_pakietu2"/>
      <sheetName val="Ceny_kwartał2"/>
      <sheetName val="ilości_kwartał_(2)2"/>
      <sheetName val="Różn__kraj_narast___(2)2"/>
      <sheetName val="ilości_eksp_nar__2"/>
      <sheetName val="Rentow__do_inf__kwart__2"/>
      <sheetName val="Ilośc_ogółem2"/>
      <sheetName val="Wartość_ogółem2"/>
      <sheetName val="jedn_koszt_eksp_nar_2"/>
      <sheetName val="Różn__ilości_narast___centr_(32"/>
      <sheetName val="Tabela_do_informacji2"/>
      <sheetName val="Tabela_do_informacji_(2)2"/>
      <sheetName val="Koszt_w_m-c2"/>
      <sheetName val="Tab__Ceny_do_analog_2"/>
      <sheetName val="Tab__Ceny_kwart_i_półr_walua2"/>
      <sheetName val="Tab__ilości_kwart__i_półr_2"/>
      <sheetName val="Tab__Ceny_kwart_i_półr_2"/>
      <sheetName val="Tab__wart__z_inflacją2"/>
      <sheetName val="Tab__Ceny_do_całego_20072"/>
      <sheetName val="cena_do_inf_plan08_i_ub_2"/>
      <sheetName val="rent__m-czna_pakiet_MSR2"/>
      <sheetName val="rent_narast__pakiet_MSR_(2)2"/>
      <sheetName val="Tab__Ceny_do_anal_i_poprz__2002"/>
      <sheetName val="Tab__Ceny_anal_i_poprz_pakie2"/>
      <sheetName val="Tab__ceny_do_plan09_i_ub__2"/>
      <sheetName val="Tab__ilości_do_plan09_i_ub__2"/>
      <sheetName val="Tab__wart__z_inflacją_20092"/>
      <sheetName val="Tab__Ceny_kwart_i_półr__20092"/>
      <sheetName val="wARTOŚĆ_KRAJ_m-c3"/>
      <sheetName val="ILOŚĆ_KRAJ_m-c3"/>
      <sheetName val="WARTOŚĆ_EKSPORT_m-c3"/>
      <sheetName val="ILOŚĆ_EKSPORT_m-c3"/>
      <sheetName val="wARTOŚĆ_KRAJ_kwartał3"/>
      <sheetName val="wARTOŚĆ_KRAJ_narast_3"/>
      <sheetName val="ILOŚĆ_KRAJ_kwartał3"/>
      <sheetName val="ILOŚĆ_KRAJ_narast_3"/>
      <sheetName val="cena_kraj_m-c3"/>
      <sheetName val="cena_kraj_kwartał3"/>
      <sheetName val="cena_kraj_narast_3"/>
      <sheetName val="WARTOŚĆ_EKSPORT_kwartał3"/>
      <sheetName val="WARTOŚĆ_EKSPORT_narastająco3"/>
      <sheetName val="ILOŚĆ_EKSPORT_kwartal3"/>
      <sheetName val="ILOŚĆ_EKSPORT_narast_3"/>
      <sheetName val="cena_eksp__m-c3"/>
      <sheetName val="ceny_eksport_kwart_3"/>
      <sheetName val="cena_eksp__narast_3"/>
      <sheetName val="WARTOŚC_OGÓŁEM_m-c3"/>
      <sheetName val="WARTOŚC_OGÓŁEM_kwartał3"/>
      <sheetName val="WARTOŚC_OGÓŁEM_narast_3"/>
      <sheetName val="ILOŚĆ_OGÓŁEM_m-c3"/>
      <sheetName val="ILOŚĆ_OGÓŁEM_kwartał3"/>
      <sheetName val="ILOŚĆ_OGÓŁEM_narast3"/>
      <sheetName val="CENY_OGÓŁEM_m-c3"/>
      <sheetName val="CENY_OGÓŁEM_kwartał3"/>
      <sheetName val="CENY_OGÓŁEM_narast_3"/>
      <sheetName val="analiz__cen_ogółem_m-c3"/>
      <sheetName val="anal__ilości_og__m-c3"/>
      <sheetName val="cenkraj+eksp_XII_3"/>
      <sheetName val="anal__cen_ogół__narast_3"/>
      <sheetName val="anal__ilości_og__narast_3"/>
      <sheetName val="anal__cen_og__kwart_3"/>
      <sheetName val="anal__ilości_og__kwart_3"/>
      <sheetName val="Tab__Ceny_do_inform__3"/>
      <sheetName val="Tab__Ceny_do_pakiet_3"/>
      <sheetName val="Tab_ilości_pakiet_3"/>
      <sheetName val="Tab__ceny_do_plan_3"/>
      <sheetName val="anal__ceny_kraj_m-c3"/>
      <sheetName val="anal__ceny_eksp_m-c3"/>
      <sheetName val="anal__ceny__kraj_narast_3"/>
      <sheetName val="anal_cen_eksp__nar_3"/>
      <sheetName val="Koszt_m-cMSR3"/>
      <sheetName val="koszt_narast_3"/>
      <sheetName val="rent__m-czna_pakiet_MSR_20093"/>
      <sheetName val="rent_narast__pakiet_MSR_20093"/>
      <sheetName val="pakietMSR_2009sprzedaż3"/>
      <sheetName val="rentowność_MSR3"/>
      <sheetName val="Rentow__do_inf__2009_(2)3"/>
      <sheetName val="Rentow__do_inf__20093"/>
      <sheetName val="Koszt_kraj_MSR3"/>
      <sheetName val="koszt_eksport_MSR3"/>
      <sheetName val="koszt_wł__sprzed_MSR3"/>
      <sheetName val="ceny_kraj_m-ca3"/>
      <sheetName val="ceny_eksp_m-c3"/>
      <sheetName val="ceny__kraj_narast_3"/>
      <sheetName val="ceny_eksp_nar_3"/>
      <sheetName val="m-c_z_BULLa_(2)3"/>
      <sheetName val="narast__akt__okresBULL3"/>
      <sheetName val="m-c_z_Sap3"/>
      <sheetName val="narast_poprz_okres3"/>
      <sheetName val="narast__akt__okresSAP3"/>
      <sheetName val="wARTOŚĆ_KRAJ3"/>
      <sheetName val="ILOŚĆ_KRAJ3"/>
      <sheetName val="CENA_KRAJ_(2)3"/>
      <sheetName val="WARTOŚĆ_EKSPORT3"/>
      <sheetName val="ILOŚĆ_EKSPORT3"/>
      <sheetName val="CENA_EKSPORT_(2)3"/>
      <sheetName val="WARTOŚC_OGÓŁEM3"/>
      <sheetName val="ILOŚĆ_OGÓŁEM3"/>
      <sheetName val="CENY_OGÓŁEM3"/>
      <sheetName val="cenkraj+eksp__m-c3"/>
      <sheetName val="ilosc_kraj+ekport_m-c3"/>
      <sheetName val="ilosckraj+eksprt_m-c_(2)3"/>
      <sheetName val="ceny_kraj+eksp__narast_3"/>
      <sheetName val="_ilości_kraj+eks_narast_3"/>
      <sheetName val="_ilości_narast__(2)3"/>
      <sheetName val="ceny_kraj+eksp__kwart3"/>
      <sheetName val="ilości_kraj+eksp___kwart_3"/>
      <sheetName val="_ilości_kwart_(2)3"/>
      <sheetName val="Tab__Ceny_do_inform__+_kwar2003"/>
      <sheetName val="Tab__Ceny_pakiet_093"/>
      <sheetName val="Tab_ilości_pakiet_093"/>
      <sheetName val="Tab__ceny_do_plan09_i_ub_infor3"/>
      <sheetName val="Tab__ilości_m-c,kwart_20093"/>
      <sheetName val="Tab__Ceny_kwart_i_półr_walu093"/>
      <sheetName val="Koszt_m-cMSRbez_p_083"/>
      <sheetName val="koszt_nar__MSRbez_p_083"/>
      <sheetName val="jedn_kosztMSR3"/>
      <sheetName val="rent_kwartał_pakiet_MSR3"/>
      <sheetName val="pakietMSR_2009koszt3"/>
      <sheetName val="Ceny_wyrobów3"/>
      <sheetName val="Tab__Ceny_do_anal_i_poprz_20083"/>
      <sheetName val="Tab__ceny_do_aneks08_i_ub__3"/>
      <sheetName val="Tab__ilości_m-c,kwart__20083"/>
      <sheetName val="Tab__ilości_do_anek08_i_ub__(23"/>
      <sheetName val="Tab__Ceny_kwart_i_półr_walu083"/>
      <sheetName val="Tab__wart__z_inflacją20083"/>
      <sheetName val="Tab__Ceny_do_całego_2007_(2)3"/>
      <sheetName val="Tab__Ceny_kwart_i_półr_20083"/>
      <sheetName val="Rentow__do_inf__kwart_2008_3"/>
      <sheetName val="rent_narast__pakiet_MSR_20083"/>
      <sheetName val="rent__m-czna_pakiet_MSR20083"/>
      <sheetName val="Rachunek_wyników_zł3"/>
      <sheetName val="Rachunek_wyników-miesięczni_zł3"/>
      <sheetName val="narast__akt__okres3"/>
      <sheetName val="Koszt_w_m-cPSR3"/>
      <sheetName val="Koszt_narast_PSR3"/>
      <sheetName val="rentownosc_na_centra3"/>
      <sheetName val="dane_wykr_rent_3"/>
      <sheetName val="Wykres_rent_3"/>
      <sheetName val="dane_wart_sprzed_3"/>
      <sheetName val="Wykres_sprzed_3"/>
      <sheetName val="m-c_z_BULLa3"/>
      <sheetName val="koszt_nar__MSR3"/>
      <sheetName val="Rentow__do_inf__kwart_20093"/>
      <sheetName val="pakietMSR_20093"/>
      <sheetName val="cenkraj+eksp__na_centra3"/>
      <sheetName val="ilosc_na_centra3"/>
      <sheetName val="ilosc_na_centra_(2)3"/>
      <sheetName val="cenkraj+eksp_XII_centra_3"/>
      <sheetName val="Różn__kraj+eksport_narast__cen3"/>
      <sheetName val="Różn__ilości_narast___centra3"/>
      <sheetName val="Różn__ilości_narast___centr_(23"/>
      <sheetName val="Różn__kraj+eksp__kwart_centra3"/>
      <sheetName val="Różn__ilości_kwart__centr_3"/>
      <sheetName val="Różn__ilości_kwart__centr__(2)3"/>
      <sheetName val="Tabela_do_inf_plan08_i_ub_3"/>
      <sheetName val="Tabela_do_inf_aneks08_i_ub__(23"/>
      <sheetName val="Tabela_do_informacji_cały_20073"/>
      <sheetName val="Ceny_pakiet_i_inf_3"/>
      <sheetName val="do_pakietu3"/>
      <sheetName val="Ceny_kwartał3"/>
      <sheetName val="ilości_kwartał_(2)3"/>
      <sheetName val="Różn__kraj_narast___(2)3"/>
      <sheetName val="ilości_eksp_nar__3"/>
      <sheetName val="Rentow__do_inf__kwart__3"/>
      <sheetName val="Ilośc_ogółem3"/>
      <sheetName val="Wartość_ogółem3"/>
      <sheetName val="jedn_koszt_eksp_nar_3"/>
      <sheetName val="Różn__ilości_narast___centr_(33"/>
      <sheetName val="Tabela_do_informacji3"/>
      <sheetName val="Tabela_do_informacji_(2)3"/>
      <sheetName val="Koszt_w_m-c3"/>
      <sheetName val="Tab__Ceny_do_analog_3"/>
      <sheetName val="Tab__Ceny_kwart_i_półr_walua3"/>
      <sheetName val="Tab__ilości_kwart__i_półr_3"/>
      <sheetName val="Tab__Ceny_kwart_i_półr_3"/>
      <sheetName val="Tab__wart__z_inflacją3"/>
      <sheetName val="Tab__Ceny_do_całego_20073"/>
      <sheetName val="cena_do_inf_plan08_i_ub_3"/>
      <sheetName val="rent__m-czna_pakiet_MSR3"/>
      <sheetName val="rent_narast__pakiet_MSR_(2)3"/>
      <sheetName val="Tab__Ceny_do_anal_i_poprz__2003"/>
      <sheetName val="Tab__Ceny_anal_i_poprz_pakie3"/>
      <sheetName val="Tab__ceny_do_plan09_i_ub__3"/>
      <sheetName val="Tab__ilości_do_plan09_i_ub__3"/>
      <sheetName val="Tab__wart__z_inflacją_20093"/>
      <sheetName val="Tab__Ceny_kwart_i_półr__20093"/>
      <sheetName val="wARTOŚĆ_KRAJ_m-c4"/>
      <sheetName val="ILOŚĆ_KRAJ_m-c4"/>
      <sheetName val="WARTOŚĆ_EKSPORT_m-c4"/>
      <sheetName val="ILOŚĆ_EKSPORT_m-c4"/>
      <sheetName val="wARTOŚĆ_KRAJ_kwartał4"/>
      <sheetName val="wARTOŚĆ_KRAJ_narast_4"/>
      <sheetName val="ILOŚĆ_KRAJ_kwartał4"/>
      <sheetName val="ILOŚĆ_KRAJ_narast_4"/>
      <sheetName val="cena_kraj_m-c4"/>
      <sheetName val="cena_kraj_kwartał4"/>
      <sheetName val="cena_kraj_narast_4"/>
      <sheetName val="WARTOŚĆ_EKSPORT_kwartał4"/>
      <sheetName val="WARTOŚĆ_EKSPORT_narastająco4"/>
      <sheetName val="ILOŚĆ_EKSPORT_kwartal4"/>
      <sheetName val="ILOŚĆ_EKSPORT_narast_4"/>
      <sheetName val="cena_eksp__m-c4"/>
      <sheetName val="ceny_eksport_kwart_4"/>
      <sheetName val="cena_eksp__narast_4"/>
      <sheetName val="WARTOŚC_OGÓŁEM_m-c4"/>
      <sheetName val="WARTOŚC_OGÓŁEM_kwartał4"/>
      <sheetName val="WARTOŚC_OGÓŁEM_narast_4"/>
      <sheetName val="ILOŚĆ_OGÓŁEM_m-c4"/>
      <sheetName val="ILOŚĆ_OGÓŁEM_kwartał4"/>
      <sheetName val="ILOŚĆ_OGÓŁEM_narast4"/>
      <sheetName val="CENY_OGÓŁEM_m-c4"/>
      <sheetName val="CENY_OGÓŁEM_kwartał4"/>
      <sheetName val="CENY_OGÓŁEM_narast_4"/>
      <sheetName val="analiz__cen_ogółem_m-c4"/>
      <sheetName val="anal__ilości_og__m-c4"/>
      <sheetName val="cenkraj+eksp_XII_4"/>
      <sheetName val="anal__cen_ogół__narast_4"/>
      <sheetName val="anal__ilości_og__narast_4"/>
      <sheetName val="anal__cen_og__kwart_4"/>
      <sheetName val="anal__ilości_og__kwart_4"/>
      <sheetName val="Tab__Ceny_do_inform__4"/>
      <sheetName val="Tab__Ceny_do_pakiet_4"/>
      <sheetName val="Tab_ilości_pakiet_4"/>
      <sheetName val="Tab__ceny_do_plan_4"/>
      <sheetName val="anal__ceny_kraj_m-c4"/>
      <sheetName val="anal__ceny_eksp_m-c4"/>
      <sheetName val="anal__ceny__kraj_narast_4"/>
      <sheetName val="anal_cen_eksp__nar_4"/>
      <sheetName val="Koszt_m-cMSR4"/>
      <sheetName val="koszt_narast_4"/>
      <sheetName val="rent__m-czna_pakiet_MSR_20094"/>
      <sheetName val="rent_narast__pakiet_MSR_20094"/>
      <sheetName val="pakietMSR_2009sprzedaż4"/>
      <sheetName val="rentowność_MSR4"/>
      <sheetName val="Rentow__do_inf__2009_(2)4"/>
      <sheetName val="Rentow__do_inf__20094"/>
      <sheetName val="Koszt_kraj_MSR4"/>
      <sheetName val="koszt_eksport_MSR4"/>
      <sheetName val="koszt_wł__sprzed_MSR4"/>
      <sheetName val="ceny_kraj_m-ca4"/>
      <sheetName val="ceny_eksp_m-c4"/>
      <sheetName val="ceny__kraj_narast_4"/>
      <sheetName val="ceny_eksp_nar_4"/>
      <sheetName val="m-c_z_BULLa_(2)4"/>
      <sheetName val="narast__akt__okresBULL4"/>
      <sheetName val="m-c_z_Sap4"/>
      <sheetName val="narast_poprz_okres4"/>
      <sheetName val="narast__akt__okresSAP4"/>
      <sheetName val="wARTOŚĆ_KRAJ4"/>
      <sheetName val="ILOŚĆ_KRAJ4"/>
      <sheetName val="CENA_KRAJ_(2)4"/>
      <sheetName val="WARTOŚĆ_EKSPORT4"/>
      <sheetName val="ILOŚĆ_EKSPORT4"/>
      <sheetName val="CENA_EKSPORT_(2)4"/>
      <sheetName val="WARTOŚC_OGÓŁEM4"/>
      <sheetName val="ILOŚĆ_OGÓŁEM4"/>
      <sheetName val="CENY_OGÓŁEM4"/>
      <sheetName val="cenkraj+eksp__m-c4"/>
      <sheetName val="ilosc_kraj+ekport_m-c4"/>
      <sheetName val="ilosckraj+eksprt_m-c_(2)4"/>
      <sheetName val="ceny_kraj+eksp__narast_4"/>
      <sheetName val="_ilości_kraj+eks_narast_4"/>
      <sheetName val="_ilości_narast__(2)4"/>
      <sheetName val="ceny_kraj+eksp__kwart4"/>
      <sheetName val="ilości_kraj+eksp___kwart_4"/>
      <sheetName val="_ilości_kwart_(2)4"/>
      <sheetName val="Tab__Ceny_do_inform__+_kwar2004"/>
      <sheetName val="Tab__Ceny_pakiet_094"/>
      <sheetName val="Tab_ilości_pakiet_094"/>
      <sheetName val="Tab__ceny_do_plan09_i_ub_infor4"/>
      <sheetName val="Tab__ilości_m-c,kwart_20094"/>
      <sheetName val="Tab__Ceny_kwart_i_półr_walu094"/>
      <sheetName val="Koszt_m-cMSRbez_p_084"/>
      <sheetName val="koszt_nar__MSRbez_p_084"/>
      <sheetName val="jedn_kosztMSR4"/>
      <sheetName val="rent_kwartał_pakiet_MSR4"/>
      <sheetName val="pakietMSR_2009koszt4"/>
      <sheetName val="Ceny_wyrobów4"/>
      <sheetName val="Tab__Ceny_do_anal_i_poprz_20084"/>
      <sheetName val="Tab__ceny_do_aneks08_i_ub__4"/>
      <sheetName val="Tab__ilości_m-c,kwart__20084"/>
      <sheetName val="Tab__ilości_do_anek08_i_ub__(24"/>
      <sheetName val="Tab__Ceny_kwart_i_półr_walu084"/>
      <sheetName val="Tab__wart__z_inflacją20084"/>
      <sheetName val="Tab__Ceny_do_całego_2007_(2)4"/>
      <sheetName val="Tab__Ceny_kwart_i_półr_20084"/>
      <sheetName val="Rentow__do_inf__kwart_2008_4"/>
      <sheetName val="rent_narast__pakiet_MSR_20084"/>
      <sheetName val="rent__m-czna_pakiet_MSR20084"/>
      <sheetName val="Rachunek_wyników_zł4"/>
      <sheetName val="Rachunek_wyników-miesięczni_zł4"/>
      <sheetName val="narast__akt__okres4"/>
      <sheetName val="Koszt_w_m-cPSR4"/>
      <sheetName val="Koszt_narast_PSR4"/>
      <sheetName val="rentownosc_na_centra4"/>
      <sheetName val="dane_wykr_rent_4"/>
      <sheetName val="Wykres_rent_4"/>
      <sheetName val="dane_wart_sprzed_4"/>
      <sheetName val="Wykres_sprzed_4"/>
      <sheetName val="m-c_z_BULLa4"/>
      <sheetName val="koszt_nar__MSR4"/>
      <sheetName val="Rentow__do_inf__kwart_20094"/>
      <sheetName val="pakietMSR_20094"/>
      <sheetName val="cenkraj+eksp__na_centra4"/>
      <sheetName val="ilosc_na_centra4"/>
      <sheetName val="ilosc_na_centra_(2)4"/>
      <sheetName val="cenkraj+eksp_XII_centra_4"/>
      <sheetName val="Różn__kraj+eksport_narast__cen4"/>
      <sheetName val="Różn__ilości_narast___centra4"/>
      <sheetName val="Różn__ilości_narast___centr_(24"/>
      <sheetName val="Różn__kraj+eksp__kwart_centra4"/>
      <sheetName val="Różn__ilości_kwart__centr_4"/>
      <sheetName val="Różn__ilości_kwart__centr__(2)4"/>
      <sheetName val="Tabela_do_inf_plan08_i_ub_4"/>
      <sheetName val="Tabela_do_inf_aneks08_i_ub__(24"/>
      <sheetName val="Tabela_do_informacji_cały_20074"/>
      <sheetName val="Ceny_pakiet_i_inf_4"/>
      <sheetName val="do_pakietu4"/>
      <sheetName val="Ceny_kwartał4"/>
      <sheetName val="ilości_kwartał_(2)4"/>
      <sheetName val="Różn__kraj_narast___(2)4"/>
      <sheetName val="ilości_eksp_nar__4"/>
      <sheetName val="Rentow__do_inf__kwart__4"/>
      <sheetName val="Ilośc_ogółem4"/>
      <sheetName val="Wartość_ogółem4"/>
      <sheetName val="jedn_koszt_eksp_nar_4"/>
      <sheetName val="Różn__ilości_narast___centr_(34"/>
      <sheetName val="Tabela_do_informacji4"/>
      <sheetName val="Tabela_do_informacji_(2)4"/>
      <sheetName val="Koszt_w_m-c4"/>
      <sheetName val="Tab__Ceny_do_analog_4"/>
      <sheetName val="Tab__Ceny_kwart_i_półr_walua4"/>
      <sheetName val="Tab__ilości_kwart__i_półr_4"/>
      <sheetName val="Tab__Ceny_kwart_i_półr_4"/>
      <sheetName val="Tab__wart__z_inflacją4"/>
      <sheetName val="Tab__Ceny_do_całego_20074"/>
      <sheetName val="cena_do_inf_plan08_i_ub_4"/>
      <sheetName val="rent__m-czna_pakiet_MSR4"/>
      <sheetName val="rent_narast__pakiet_MSR_(2)4"/>
      <sheetName val="Tab__Ceny_do_anal_i_poprz__2004"/>
      <sheetName val="Tab__Ceny_anal_i_poprz_pakie4"/>
      <sheetName val="Tab__ceny_do_plan09_i_ub__4"/>
      <sheetName val="Tab__ilości_do_plan09_i_ub__4"/>
      <sheetName val="Tab__wart__z_inflacją_20094"/>
      <sheetName val="Tab__Ceny_kwart_i_półr__2009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>
        <row r="10">
          <cell r="E10">
            <v>18.510000000000002</v>
          </cell>
        </row>
        <row r="12">
          <cell r="E12">
            <v>542.51300000000003</v>
          </cell>
        </row>
        <row r="14">
          <cell r="E14">
            <v>2962.4850000000001</v>
          </cell>
        </row>
        <row r="16">
          <cell r="E16">
            <v>2716.7400000000002</v>
          </cell>
        </row>
        <row r="18">
          <cell r="E18">
            <v>1584.88</v>
          </cell>
        </row>
        <row r="20">
          <cell r="E20">
            <v>27177.899999999998</v>
          </cell>
        </row>
        <row r="22">
          <cell r="E22">
            <v>0</v>
          </cell>
        </row>
        <row r="24">
          <cell r="E24">
            <v>0</v>
          </cell>
        </row>
        <row r="26">
          <cell r="E26">
            <v>2342.46</v>
          </cell>
        </row>
        <row r="28">
          <cell r="E28">
            <v>3000.15</v>
          </cell>
        </row>
        <row r="30">
          <cell r="E30">
            <v>28351.43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10">
          <cell r="E10">
            <v>18.510000000000002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>
        <row r="10">
          <cell r="E10">
            <v>18.510000000000002</v>
          </cell>
        </row>
      </sheetData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>
        <row r="10">
          <cell r="E10">
            <v>18.510000000000002</v>
          </cell>
        </row>
      </sheetData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>
        <row r="10">
          <cell r="E10">
            <v>18.510000000000002</v>
          </cell>
        </row>
      </sheetData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Dane"/>
      <sheetName val="Wykaz jednostek"/>
      <sheetName val="SFk"/>
      <sheetName val="ZZwK GK"/>
      <sheetName val="ZZwK Sp"/>
      <sheetName val="ZZwK 2"/>
      <sheetName val="N01"/>
      <sheetName val="N01a"/>
      <sheetName val="N02"/>
      <sheetName val="N03"/>
      <sheetName val="N04"/>
      <sheetName val="N05"/>
      <sheetName val="N06"/>
      <sheetName val="N07"/>
      <sheetName val="N08"/>
      <sheetName val="N09"/>
      <sheetName val="N10"/>
      <sheetName val="N11"/>
      <sheetName val="N12"/>
      <sheetName val="N13"/>
      <sheetName val="N14"/>
      <sheetName val="N15"/>
      <sheetName val="N16"/>
      <sheetName val="N16cd"/>
      <sheetName val="N17"/>
      <sheetName val="N17cd"/>
      <sheetName val="N18"/>
      <sheetName val="N19"/>
      <sheetName val="N19cd"/>
      <sheetName val="N20"/>
      <sheetName val="N21"/>
      <sheetName val="N22"/>
      <sheetName val="N23"/>
      <sheetName val="N24"/>
      <sheetName val="Rozrachunki"/>
      <sheetName val="Pożyczki"/>
      <sheetName val="Obroty"/>
      <sheetName val="Zapasy"/>
      <sheetName val="Środki trwałe"/>
      <sheetName val="Dz finansowa"/>
      <sheetName val="Wykaz_jednostek"/>
      <sheetName val="ZZwK_GK"/>
      <sheetName val="ZZwK_Sp"/>
      <sheetName val="ZZwK_2"/>
      <sheetName val="Środki_trwałe"/>
      <sheetName val="Dz_finansowa"/>
      <sheetName val="Wykaz_jednostek1"/>
      <sheetName val="ZZwK_GK1"/>
      <sheetName val="ZZwK_Sp1"/>
      <sheetName val="ZZwK_21"/>
      <sheetName val="Środki_trwałe1"/>
      <sheetName val="Dz_finansowa1"/>
      <sheetName val="Wykaz_jednostek2"/>
      <sheetName val="ZZwK_GK2"/>
      <sheetName val="ZZwK_Sp2"/>
      <sheetName val="ZZwK_22"/>
      <sheetName val="Środki_trwałe2"/>
      <sheetName val="Dz_finansowa2"/>
      <sheetName val="Wykaz_jednostek3"/>
      <sheetName val="ZZwK_GK3"/>
      <sheetName val="ZZwK_Sp3"/>
      <sheetName val="ZZwK_23"/>
      <sheetName val="Środki_trwałe3"/>
      <sheetName val="Dz_finansowa3"/>
      <sheetName val="Wykaz_jednostek4"/>
      <sheetName val="ZZwK_GK4"/>
      <sheetName val="ZZwK_Sp4"/>
      <sheetName val="ZZwK_24"/>
      <sheetName val="Środki_trwałe4"/>
      <sheetName val="Dz_finansow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PA"/>
      <sheetName val="PB"/>
      <sheetName val="NPK1"/>
      <sheetName val="NP"/>
      <sheetName val="PF"/>
      <sheetName val="NPK2"/>
      <sheetName val="MAP"/>
      <sheetName val="PS"/>
      <sheetName val="TEC"/>
      <sheetName val="TWO"/>
      <sheetName val="EW"/>
      <sheetName val="Arkusz1"/>
      <sheetName val="TEW"/>
      <sheetName val="Ogólny"/>
      <sheetName val="PB_1"/>
      <sheetName val="Zdol_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5">
          <cell r="B25" t="str">
            <v>Apatyt</v>
          </cell>
          <cell r="D25">
            <v>10</v>
          </cell>
          <cell r="E25">
            <v>0</v>
          </cell>
          <cell r="F25">
            <v>1000</v>
          </cell>
        </row>
        <row r="26">
          <cell r="B26" t="str">
            <v>Tunezja</v>
          </cell>
          <cell r="D26">
            <v>12000</v>
          </cell>
          <cell r="E26">
            <v>22000</v>
          </cell>
          <cell r="F26">
            <v>18000</v>
          </cell>
        </row>
        <row r="27">
          <cell r="B27" t="str">
            <v>Maroko</v>
          </cell>
          <cell r="D27">
            <v>12000</v>
          </cell>
          <cell r="E27">
            <v>22000</v>
          </cell>
          <cell r="F27">
            <v>18000</v>
          </cell>
        </row>
        <row r="28">
          <cell r="B28" t="str">
            <v>Togo</v>
          </cell>
          <cell r="D28">
            <v>0</v>
          </cell>
          <cell r="E28">
            <v>0</v>
          </cell>
        </row>
        <row r="29">
          <cell r="B29" t="str">
            <v>Syria</v>
          </cell>
          <cell r="D29">
            <v>1500</v>
          </cell>
          <cell r="E29">
            <v>15000</v>
          </cell>
        </row>
        <row r="30">
          <cell r="B30" t="str">
            <v>Jordan</v>
          </cell>
          <cell r="D30">
            <v>0</v>
          </cell>
          <cell r="E30">
            <v>0</v>
          </cell>
          <cell r="F30">
            <v>18000</v>
          </cell>
        </row>
        <row r="31">
          <cell r="B31" t="str">
            <v>Egipt</v>
          </cell>
        </row>
        <row r="32">
          <cell r="B32" t="str">
            <v>Flok</v>
          </cell>
          <cell r="D32">
            <v>5</v>
          </cell>
          <cell r="E32">
            <v>24</v>
          </cell>
        </row>
        <row r="33">
          <cell r="B33" t="str">
            <v>SBO</v>
          </cell>
          <cell r="D33">
            <v>5</v>
          </cell>
          <cell r="E33">
            <v>30</v>
          </cell>
        </row>
        <row r="34">
          <cell r="B34" t="str">
            <v>NaOH</v>
          </cell>
          <cell r="D34">
            <v>20</v>
          </cell>
          <cell r="E34">
            <v>35</v>
          </cell>
        </row>
        <row r="35">
          <cell r="B35" t="str">
            <v>Na2SiF6</v>
          </cell>
          <cell r="D35">
            <v>150</v>
          </cell>
        </row>
        <row r="36">
          <cell r="B36" t="str">
            <v>H2SiF6</v>
          </cell>
          <cell r="D36">
            <v>0</v>
          </cell>
          <cell r="E36">
            <v>25</v>
          </cell>
        </row>
        <row r="37">
          <cell r="B37" t="str">
            <v>Algier</v>
          </cell>
        </row>
        <row r="38">
          <cell r="D38">
            <v>1</v>
          </cell>
          <cell r="E38">
            <v>25</v>
          </cell>
          <cell r="F38">
            <v>55000</v>
          </cell>
        </row>
        <row r="82">
          <cell r="D82" t="str">
            <v xml:space="preserve">Rodz </v>
          </cell>
          <cell r="E82" t="str">
            <v>Mlew/sur</v>
          </cell>
          <cell r="F82">
            <v>1.0029999999999999</v>
          </cell>
          <cell r="G82">
            <v>1.0049999999999999</v>
          </cell>
          <cell r="H82">
            <v>1.0029999999999999</v>
          </cell>
          <cell r="I82">
            <v>1.004</v>
          </cell>
          <cell r="J82">
            <v>1.004</v>
          </cell>
          <cell r="K82">
            <v>1.004</v>
          </cell>
          <cell r="L82" t="str">
            <v>H3PO4</v>
          </cell>
          <cell r="M82" t="str">
            <v>H3PO4</v>
          </cell>
          <cell r="N82" t="str">
            <v>H3PO4</v>
          </cell>
          <cell r="O82" t="str">
            <v>H3PO4</v>
          </cell>
          <cell r="P82" t="str">
            <v>H3PO4</v>
          </cell>
          <cell r="Q82" t="str">
            <v>H3PO5</v>
          </cell>
          <cell r="R82" t="str">
            <v>H3PO6</v>
          </cell>
          <cell r="S82" t="str">
            <v>Ruda =Mlewo*(mlewo/sur)</v>
          </cell>
          <cell r="T82" t="str">
            <v>H2SO4</v>
          </cell>
          <cell r="U82" t="str">
            <v>Kwas</v>
          </cell>
          <cell r="V82" t="str">
            <v>Flokulant</v>
          </cell>
          <cell r="W82" t="str">
            <v>SBO</v>
          </cell>
          <cell r="X82" t="str">
            <v>Fosfogips</v>
          </cell>
          <cell r="Y82" t="str">
            <v>Mag</v>
          </cell>
          <cell r="AB82">
            <v>9.2999999999999999E-2</v>
          </cell>
          <cell r="AC82">
            <v>0.1</v>
          </cell>
          <cell r="AD82">
            <v>26.4</v>
          </cell>
          <cell r="AE82" t="str">
            <v>En. Elektryczna
E-1011</v>
          </cell>
          <cell r="AF82" t="str">
            <v>Ciepo w parze
E-1020</v>
          </cell>
          <cell r="AG82" t="str">
            <v>Maszynogodziny</v>
          </cell>
          <cell r="AH82" t="str">
            <v>Woda
 chod.</v>
          </cell>
          <cell r="AI82" t="str">
            <v>Woda
techn</v>
          </cell>
          <cell r="AJ82" t="str">
            <v>Powietrze
technol.</v>
          </cell>
          <cell r="AK82" t="str">
            <v>Robocyogodyinz dla PF 1-4</v>
          </cell>
          <cell r="AL82" t="str">
            <v>Ziemia 
okrzemkowa</v>
          </cell>
        </row>
        <row r="83">
          <cell r="D83" t="str">
            <v>A</v>
          </cell>
          <cell r="E83" t="str">
            <v>P-6020</v>
          </cell>
          <cell r="F83" t="str">
            <v>Maroko</v>
          </cell>
          <cell r="G83" t="str">
            <v>Togo</v>
          </cell>
          <cell r="H83" t="str">
            <v>Tunezja</v>
          </cell>
          <cell r="I83" t="str">
            <v>Syria</v>
          </cell>
          <cell r="J83" t="str">
            <v>Jordan</v>
          </cell>
          <cell r="K83">
            <v>1.9437439999999999</v>
          </cell>
          <cell r="L83">
            <v>0.25</v>
          </cell>
          <cell r="M83">
            <v>0.25</v>
          </cell>
          <cell r="N83">
            <v>0.25</v>
          </cell>
          <cell r="O83">
            <v>0.42</v>
          </cell>
          <cell r="P83">
            <v>0.5</v>
          </cell>
          <cell r="Q83" t="str">
            <v>54% F</v>
          </cell>
          <cell r="R83" t="str">
            <v>54% A</v>
          </cell>
          <cell r="S83" t="str">
            <v>Izrael</v>
          </cell>
          <cell r="T83">
            <v>1.607</v>
          </cell>
          <cell r="U83">
            <v>0.11</v>
          </cell>
          <cell r="V83" t="str">
            <v>A-100</v>
          </cell>
          <cell r="W83">
            <v>0</v>
          </cell>
          <cell r="X83">
            <v>4.1340000000000003</v>
          </cell>
          <cell r="Y83" t="str">
            <v>min</v>
          </cell>
          <cell r="Z83" t="str">
            <v>Zatęż</v>
          </cell>
          <cell r="AA83" t="str">
            <v>NaOH</v>
          </cell>
          <cell r="AB83">
            <v>0.11</v>
          </cell>
          <cell r="AC83">
            <v>0.1</v>
          </cell>
          <cell r="AD83">
            <v>6.8450528935905419</v>
          </cell>
          <cell r="AE83" t="str">
            <v>MWh</v>
          </cell>
          <cell r="AF83" t="str">
            <v>GJ</v>
          </cell>
          <cell r="AG83" t="str">
            <v>H</v>
          </cell>
          <cell r="AH83">
            <v>91.7</v>
          </cell>
          <cell r="AJ83">
            <v>2893.8</v>
          </cell>
          <cell r="AK83" t="str">
            <v>H</v>
          </cell>
          <cell r="AL83">
            <v>15.4</v>
          </cell>
        </row>
        <row r="84">
          <cell r="D84" t="str">
            <v>T</v>
          </cell>
          <cell r="E84" t="str">
            <v>P-6020</v>
          </cell>
          <cell r="F84">
            <v>3</v>
          </cell>
          <cell r="G84">
            <v>4</v>
          </cell>
          <cell r="H84">
            <v>2.6499259999999998</v>
          </cell>
          <cell r="I84">
            <v>6</v>
          </cell>
          <cell r="J84">
            <v>7</v>
          </cell>
          <cell r="K84">
            <v>8</v>
          </cell>
          <cell r="L84">
            <v>9</v>
          </cell>
          <cell r="M84">
            <v>10</v>
          </cell>
          <cell r="N84">
            <v>11</v>
          </cell>
          <cell r="O84">
            <v>12</v>
          </cell>
          <cell r="P84">
            <v>13</v>
          </cell>
          <cell r="Q84">
            <v>14</v>
          </cell>
          <cell r="R84">
            <v>15</v>
          </cell>
          <cell r="S84">
            <v>16</v>
          </cell>
          <cell r="T84">
            <v>2.09</v>
          </cell>
          <cell r="U84">
            <v>0.08</v>
          </cell>
          <cell r="V84">
            <v>19</v>
          </cell>
          <cell r="W84">
            <v>20</v>
          </cell>
          <cell r="X84">
            <v>4.125</v>
          </cell>
          <cell r="Y84">
            <v>22</v>
          </cell>
          <cell r="Z84">
            <v>23</v>
          </cell>
          <cell r="AA84">
            <v>24</v>
          </cell>
          <cell r="AB84">
            <v>0.08</v>
          </cell>
          <cell r="AC84">
            <v>3.8277511961722492</v>
          </cell>
          <cell r="AD84">
            <v>3.8277511961722492</v>
          </cell>
        </row>
        <row r="85">
          <cell r="D85">
            <v>114</v>
          </cell>
          <cell r="E85" t="str">
            <v>Index</v>
          </cell>
          <cell r="F85" t="str">
            <v>P-6003</v>
          </cell>
          <cell r="G85" t="str">
            <v>P-6005</v>
          </cell>
          <cell r="H85" t="str">
            <v>P-6004</v>
          </cell>
          <cell r="I85" t="str">
            <v>P-6006</v>
          </cell>
          <cell r="J85" t="str">
            <v>P-6002</v>
          </cell>
          <cell r="K85" t="str">
            <v>P-6001</v>
          </cell>
          <cell r="L85" t="str">
            <v>P-6020</v>
          </cell>
          <cell r="M85" t="str">
            <v>P-6026</v>
          </cell>
          <cell r="N85" t="str">
            <v>P-6025</v>
          </cell>
          <cell r="O85" t="str">
            <v>P-6050</v>
          </cell>
          <cell r="P85" t="str">
            <v>P-6062</v>
          </cell>
          <cell r="Q85" t="str">
            <v>P-6028</v>
          </cell>
          <cell r="R85" t="str">
            <v>P-6027</v>
          </cell>
          <cell r="S85" t="str">
            <v>P-6007</v>
          </cell>
          <cell r="T85" t="str">
            <v>P-7013</v>
          </cell>
          <cell r="U85" t="str">
            <v>P-5015</v>
          </cell>
          <cell r="V85">
            <v>1.2E-4</v>
          </cell>
          <cell r="W85">
            <v>9.8999999999999999E-4</v>
          </cell>
          <cell r="X85">
            <v>3.9430000000000001</v>
          </cell>
          <cell r="AB85">
            <v>9.2999999999999999E-2</v>
          </cell>
          <cell r="AC85">
            <v>0.1</v>
          </cell>
          <cell r="AD85">
            <v>26.4</v>
          </cell>
          <cell r="AE85">
            <v>2.42</v>
          </cell>
          <cell r="AF85">
            <v>0.35199999999999998</v>
          </cell>
          <cell r="AG85">
            <v>2.2000000000000002</v>
          </cell>
          <cell r="AH85">
            <v>60</v>
          </cell>
          <cell r="AJ85">
            <v>867.46</v>
          </cell>
          <cell r="AK85">
            <v>6.82</v>
          </cell>
          <cell r="AL85">
            <v>4.84</v>
          </cell>
        </row>
        <row r="86">
          <cell r="D86">
            <v>115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J86">
            <v>1</v>
          </cell>
          <cell r="K86">
            <v>1.004</v>
          </cell>
          <cell r="T86">
            <v>2.0099999999999998</v>
          </cell>
          <cell r="U86">
            <v>0.12</v>
          </cell>
          <cell r="V86">
            <v>1.2E-4</v>
          </cell>
          <cell r="W86">
            <v>9.8999999999999999E-4</v>
          </cell>
          <cell r="X86">
            <v>3.9430000000000001</v>
          </cell>
          <cell r="AB86">
            <v>9.2999999999999999E-2</v>
          </cell>
          <cell r="AC86">
            <v>0.1</v>
          </cell>
          <cell r="AD86">
            <v>26.4</v>
          </cell>
          <cell r="AE86">
            <v>2.42</v>
          </cell>
          <cell r="AF86">
            <v>0.35199999999999998</v>
          </cell>
          <cell r="AG86">
            <v>2.2000000000000002</v>
          </cell>
          <cell r="AH86">
            <v>60</v>
          </cell>
          <cell r="AJ86">
            <v>867.46</v>
          </cell>
          <cell r="AK86">
            <v>6.82</v>
          </cell>
          <cell r="AL86">
            <v>4.84</v>
          </cell>
        </row>
        <row r="87">
          <cell r="D87">
            <v>305</v>
          </cell>
          <cell r="E87" t="str">
            <v>P-6020</v>
          </cell>
          <cell r="F87">
            <v>2.48</v>
          </cell>
          <cell r="K87">
            <v>1.9437439999999999</v>
          </cell>
          <cell r="T87">
            <v>1.607</v>
          </cell>
          <cell r="U87">
            <v>0.11</v>
          </cell>
          <cell r="V87">
            <v>2.7999999999999998E-4</v>
          </cell>
          <cell r="W87">
            <v>1.3500000000000001E-3</v>
          </cell>
          <cell r="X87">
            <v>3.9430000000000001</v>
          </cell>
          <cell r="AB87">
            <v>0.11</v>
          </cell>
          <cell r="AC87">
            <v>0.1</v>
          </cell>
          <cell r="AD87">
            <v>6.8450528935905419</v>
          </cell>
          <cell r="AE87">
            <v>6.6</v>
          </cell>
          <cell r="AF87">
            <v>0.96</v>
          </cell>
          <cell r="AG87">
            <v>6</v>
          </cell>
          <cell r="AH87">
            <v>108</v>
          </cell>
          <cell r="AJ87">
            <v>2365.8000000000002</v>
          </cell>
          <cell r="AK87">
            <v>18.600000000000001</v>
          </cell>
          <cell r="AL87">
            <v>13.2</v>
          </cell>
        </row>
        <row r="88">
          <cell r="D88">
            <v>405</v>
          </cell>
          <cell r="E88" t="str">
            <v>P-6020</v>
          </cell>
          <cell r="F88">
            <v>2.48</v>
          </cell>
          <cell r="H88">
            <v>2.5870000000000002</v>
          </cell>
          <cell r="T88">
            <v>2.09</v>
          </cell>
          <cell r="U88">
            <v>0.08</v>
          </cell>
          <cell r="V88">
            <v>1.2E-4</v>
          </cell>
          <cell r="W88">
            <v>0</v>
          </cell>
          <cell r="X88">
            <v>4.1340000000000003</v>
          </cell>
          <cell r="AB88">
            <v>0.08</v>
          </cell>
          <cell r="AC88">
            <v>3.8277511961722492</v>
          </cell>
          <cell r="AD88">
            <v>3.8277511961722492</v>
          </cell>
          <cell r="AE88">
            <v>8.5000000000000006E-2</v>
          </cell>
          <cell r="AF88">
            <v>0.1</v>
          </cell>
          <cell r="AG88">
            <v>7</v>
          </cell>
          <cell r="AH88">
            <v>91.7</v>
          </cell>
          <cell r="AJ88">
            <v>2760.1</v>
          </cell>
          <cell r="AK88">
            <v>18.2</v>
          </cell>
          <cell r="AL88">
            <v>15.4</v>
          </cell>
        </row>
        <row r="89">
          <cell r="D89" t="str">
            <v>M</v>
          </cell>
          <cell r="E89" t="str">
            <v>P-6020</v>
          </cell>
          <cell r="F89">
            <v>2.5074999999999998</v>
          </cell>
          <cell r="G89">
            <v>2.1190000000000002</v>
          </cell>
          <cell r="T89">
            <v>2.0099999999999998</v>
          </cell>
          <cell r="U89">
            <v>0.12</v>
          </cell>
          <cell r="V89">
            <v>1E-4</v>
          </cell>
          <cell r="W89">
            <v>6.4999999999999997E-4</v>
          </cell>
          <cell r="X89">
            <v>3.8620000000000001</v>
          </cell>
          <cell r="AB89">
            <v>0.11</v>
          </cell>
          <cell r="AC89">
            <v>5.9701492537313436</v>
          </cell>
          <cell r="AD89">
            <v>5.4455445544554459</v>
          </cell>
          <cell r="AH89">
            <v>2.5150000000000001</v>
          </cell>
          <cell r="AI89">
            <v>0.35199999999999998</v>
          </cell>
          <cell r="AJ89">
            <v>2.2000000000000002</v>
          </cell>
          <cell r="AK89">
            <v>60</v>
          </cell>
        </row>
        <row r="90">
          <cell r="D90">
            <v>109</v>
          </cell>
          <cell r="G90">
            <v>2.1190000000000002</v>
          </cell>
          <cell r="T90">
            <v>2.14</v>
          </cell>
          <cell r="U90">
            <v>0.01</v>
          </cell>
          <cell r="V90">
            <v>8.0000000000000007E-5</v>
          </cell>
          <cell r="W90">
            <v>7.2000000000000005E-4</v>
          </cell>
          <cell r="AD90">
            <v>25.1</v>
          </cell>
          <cell r="AE90">
            <v>2.42</v>
          </cell>
          <cell r="AF90">
            <v>0.35199999999999998</v>
          </cell>
          <cell r="AG90">
            <v>2.2000000000000002</v>
          </cell>
          <cell r="AH90">
            <v>2.5150000000000001</v>
          </cell>
          <cell r="AI90">
            <v>0.35199999999999998</v>
          </cell>
          <cell r="AJ90">
            <v>2.2000000000000002</v>
          </cell>
          <cell r="AK90">
            <v>60</v>
          </cell>
          <cell r="AL90">
            <v>4.84</v>
          </cell>
        </row>
        <row r="91">
          <cell r="D91">
            <v>110</v>
          </cell>
          <cell r="G91">
            <v>2.1190000000000002</v>
          </cell>
          <cell r="T91">
            <v>2.14</v>
          </cell>
          <cell r="U91">
            <v>0.01</v>
          </cell>
          <cell r="V91">
            <v>8.0000000000000007E-5</v>
          </cell>
          <cell r="W91">
            <v>7.2000000000000005E-4</v>
          </cell>
          <cell r="AD91">
            <v>25.1</v>
          </cell>
          <cell r="AE91">
            <v>2.42</v>
          </cell>
          <cell r="AF91">
            <v>0.35199999999999998</v>
          </cell>
          <cell r="AG91">
            <v>2.2000000000000002</v>
          </cell>
          <cell r="AH91">
            <v>6.8579999999999997</v>
          </cell>
          <cell r="AI91">
            <v>0.96</v>
          </cell>
          <cell r="AJ91">
            <v>6</v>
          </cell>
          <cell r="AK91">
            <v>72</v>
          </cell>
          <cell r="AL91">
            <v>4.84</v>
          </cell>
        </row>
        <row r="92">
          <cell r="D92">
            <v>306</v>
          </cell>
          <cell r="G92">
            <v>2.1190000000000002</v>
          </cell>
          <cell r="T92">
            <v>2.14</v>
          </cell>
          <cell r="U92">
            <v>0.01</v>
          </cell>
          <cell r="V92">
            <v>2.4000000000000001E-4</v>
          </cell>
          <cell r="W92">
            <v>4.0000000000000002E-4</v>
          </cell>
          <cell r="AD92">
            <v>22.2</v>
          </cell>
          <cell r="AE92">
            <v>6.6</v>
          </cell>
          <cell r="AF92">
            <v>0.96</v>
          </cell>
          <cell r="AG92">
            <v>6</v>
          </cell>
          <cell r="AH92">
            <v>8.0009999999999994</v>
          </cell>
          <cell r="AI92">
            <v>1.1200000000000001</v>
          </cell>
          <cell r="AJ92">
            <v>7</v>
          </cell>
          <cell r="AK92">
            <v>72</v>
          </cell>
          <cell r="AL92">
            <v>13.2</v>
          </cell>
        </row>
        <row r="93">
          <cell r="D93">
            <v>406</v>
          </cell>
          <cell r="E93" t="str">
            <v>P-6020</v>
          </cell>
          <cell r="F93">
            <v>2.48</v>
          </cell>
          <cell r="G93">
            <v>2.1190000000000002</v>
          </cell>
          <cell r="T93">
            <v>2.0099999999999998</v>
          </cell>
          <cell r="U93">
            <v>0.12</v>
          </cell>
          <cell r="V93">
            <v>1.1E-4</v>
          </cell>
          <cell r="W93">
            <v>0</v>
          </cell>
          <cell r="X93">
            <v>3.9430000000000001</v>
          </cell>
          <cell r="AB93">
            <v>0.11</v>
          </cell>
          <cell r="AC93">
            <v>5.9701492537313436</v>
          </cell>
          <cell r="AD93">
            <v>5.4455445544554459</v>
          </cell>
          <cell r="AE93">
            <v>8.5000000000000006E-2</v>
          </cell>
          <cell r="AF93">
            <v>0.1</v>
          </cell>
          <cell r="AG93">
            <v>7</v>
          </cell>
          <cell r="AH93">
            <v>91.7</v>
          </cell>
          <cell r="AJ93">
            <v>2373</v>
          </cell>
          <cell r="AK93">
            <v>21.7</v>
          </cell>
          <cell r="AL93">
            <v>15.4</v>
          </cell>
        </row>
        <row r="94">
          <cell r="D94" t="str">
            <v>TG</v>
          </cell>
          <cell r="E94" t="str">
            <v>P-6020</v>
          </cell>
          <cell r="G94">
            <v>2.1295950000000001</v>
          </cell>
          <cell r="T94">
            <v>2.1190000000000002</v>
          </cell>
          <cell r="U94">
            <v>0.01</v>
          </cell>
          <cell r="V94">
            <v>1E-4</v>
          </cell>
          <cell r="W94">
            <v>4.0000000000000002E-4</v>
          </cell>
          <cell r="AB94">
            <v>0.01</v>
          </cell>
          <cell r="AD94">
            <v>0.47192071731949031</v>
          </cell>
          <cell r="AH94">
            <v>2.5150000000000001</v>
          </cell>
          <cell r="AI94">
            <v>0.35199999999999998</v>
          </cell>
          <cell r="AJ94">
            <v>2.2000000000000002</v>
          </cell>
          <cell r="AK94">
            <v>60</v>
          </cell>
        </row>
        <row r="95">
          <cell r="D95">
            <v>110</v>
          </cell>
          <cell r="E95" t="str">
            <v>P-6020</v>
          </cell>
          <cell r="J95">
            <v>2.4929999999999999</v>
          </cell>
          <cell r="T95">
            <v>1.9830000000000001</v>
          </cell>
          <cell r="U95">
            <v>0.15</v>
          </cell>
          <cell r="V95">
            <v>1E-4</v>
          </cell>
          <cell r="W95">
            <v>4.0000000000000002E-4</v>
          </cell>
          <cell r="X95">
            <v>3.97</v>
          </cell>
          <cell r="AB95">
            <v>9.2999999999999999E-2</v>
          </cell>
          <cell r="AC95">
            <v>0.1</v>
          </cell>
          <cell r="AH95">
            <v>2.5150000000000001</v>
          </cell>
          <cell r="AI95">
            <v>0.35199999999999998</v>
          </cell>
          <cell r="AJ95">
            <v>2.2000000000000002</v>
          </cell>
          <cell r="AK95">
            <v>60</v>
          </cell>
        </row>
        <row r="96">
          <cell r="D96">
            <v>306</v>
          </cell>
          <cell r="J96">
            <v>2.4929999999999999</v>
          </cell>
          <cell r="T96">
            <v>1.9830000000000001</v>
          </cell>
          <cell r="U96">
            <v>0.15</v>
          </cell>
          <cell r="V96">
            <v>2.4000000000000001E-4</v>
          </cell>
          <cell r="W96">
            <v>4.0000000000000002E-4</v>
          </cell>
          <cell r="X96">
            <v>3.97</v>
          </cell>
          <cell r="AB96">
            <v>9.2999999999999999E-2</v>
          </cell>
          <cell r="AC96">
            <v>0.1</v>
          </cell>
          <cell r="AD96">
            <v>25.8</v>
          </cell>
          <cell r="AE96">
            <v>2.42</v>
          </cell>
          <cell r="AF96">
            <v>0.35199999999999998</v>
          </cell>
          <cell r="AG96">
            <v>2.2000000000000002</v>
          </cell>
          <cell r="AH96">
            <v>6.8579999999999997</v>
          </cell>
          <cell r="AI96">
            <v>0.96</v>
          </cell>
          <cell r="AJ96">
            <v>6</v>
          </cell>
          <cell r="AK96">
            <v>72</v>
          </cell>
          <cell r="AL96">
            <v>4.84</v>
          </cell>
        </row>
        <row r="97">
          <cell r="D97">
            <v>406</v>
          </cell>
          <cell r="J97">
            <v>2.4929999999999999</v>
          </cell>
          <cell r="T97">
            <v>1.9830000000000001</v>
          </cell>
          <cell r="U97">
            <v>0.15</v>
          </cell>
          <cell r="V97">
            <v>1.1E-4</v>
          </cell>
          <cell r="W97">
            <v>0</v>
          </cell>
          <cell r="X97">
            <v>3.97</v>
          </cell>
          <cell r="AB97">
            <v>9.2999999999999999E-2</v>
          </cell>
          <cell r="AC97">
            <v>0.1</v>
          </cell>
          <cell r="AD97">
            <v>25.8</v>
          </cell>
          <cell r="AE97">
            <v>2.42</v>
          </cell>
          <cell r="AF97">
            <v>0.35199999999999998</v>
          </cell>
          <cell r="AG97">
            <v>2.2000000000000002</v>
          </cell>
          <cell r="AH97">
            <v>8.0009999999999994</v>
          </cell>
          <cell r="AI97">
            <v>1.1200000000000001</v>
          </cell>
          <cell r="AJ97">
            <v>7</v>
          </cell>
          <cell r="AK97">
            <v>72</v>
          </cell>
          <cell r="AL97">
            <v>4.84</v>
          </cell>
        </row>
        <row r="98">
          <cell r="D98" t="str">
            <v>TG</v>
          </cell>
          <cell r="E98" t="str">
            <v>P-6020</v>
          </cell>
          <cell r="G98">
            <v>2.1190000000000002</v>
          </cell>
          <cell r="J98">
            <v>2.4929999999999999</v>
          </cell>
          <cell r="T98">
            <v>2.1190000000000002</v>
          </cell>
          <cell r="U98">
            <v>0.01</v>
          </cell>
          <cell r="V98">
            <v>1.2999999999999999E-4</v>
          </cell>
          <cell r="W98">
            <v>2.5000000000000001E-4</v>
          </cell>
          <cell r="X98">
            <v>3.97</v>
          </cell>
          <cell r="AB98">
            <v>0.01</v>
          </cell>
          <cell r="AC98">
            <v>0.1</v>
          </cell>
          <cell r="AD98">
            <v>0.47192071731949031</v>
          </cell>
          <cell r="AE98">
            <v>6.6</v>
          </cell>
          <cell r="AF98">
            <v>0.96</v>
          </cell>
          <cell r="AG98">
            <v>6</v>
          </cell>
          <cell r="AH98">
            <v>126</v>
          </cell>
          <cell r="AJ98">
            <v>2382</v>
          </cell>
          <cell r="AK98">
            <v>18.600000000000001</v>
          </cell>
          <cell r="AL98">
            <v>13.2</v>
          </cell>
        </row>
        <row r="99">
          <cell r="D99" t="str">
            <v>ALG</v>
          </cell>
          <cell r="E99" t="str">
            <v>P-6020</v>
          </cell>
          <cell r="J99">
            <v>2.4929999999999999</v>
          </cell>
          <cell r="T99">
            <v>1.9830000000000001</v>
          </cell>
          <cell r="U99">
            <v>0.15</v>
          </cell>
          <cell r="V99">
            <v>1E-4</v>
          </cell>
          <cell r="W99">
            <v>0</v>
          </cell>
          <cell r="X99">
            <v>3.97</v>
          </cell>
          <cell r="AB99">
            <v>9.2999999999999999E-2</v>
          </cell>
          <cell r="AC99">
            <v>0.1</v>
          </cell>
          <cell r="AD99">
            <v>23.2</v>
          </cell>
          <cell r="AE99">
            <v>7.7</v>
          </cell>
          <cell r="AF99">
            <v>1.1200000000000001</v>
          </cell>
          <cell r="AG99">
            <v>7</v>
          </cell>
          <cell r="AH99">
            <v>91.7</v>
          </cell>
          <cell r="AJ99">
            <v>2779</v>
          </cell>
          <cell r="AK99">
            <v>21.7</v>
          </cell>
          <cell r="AL99">
            <v>15.4</v>
          </cell>
        </row>
        <row r="100">
          <cell r="D100" t="str">
            <v>J</v>
          </cell>
          <cell r="E100" t="str">
            <v>P-6020</v>
          </cell>
          <cell r="G100">
            <v>1.1220000000000001</v>
          </cell>
          <cell r="J100">
            <v>2.5150199999999998</v>
          </cell>
          <cell r="T100">
            <v>1.9830000000000001</v>
          </cell>
          <cell r="U100">
            <v>0.15</v>
          </cell>
          <cell r="X100">
            <v>3.79</v>
          </cell>
          <cell r="AB100">
            <v>0.15</v>
          </cell>
          <cell r="AC100">
            <v>7.5642965204235999</v>
          </cell>
          <cell r="AD100">
            <v>7.5642965204235999</v>
          </cell>
        </row>
        <row r="101">
          <cell r="D101">
            <v>105</v>
          </cell>
          <cell r="V101">
            <v>8.0000000000000007E-5</v>
          </cell>
          <cell r="W101">
            <v>6.3000000000000003E-4</v>
          </cell>
        </row>
        <row r="102">
          <cell r="D102">
            <v>106</v>
          </cell>
          <cell r="E102" t="str">
            <v>P-6020</v>
          </cell>
          <cell r="S102">
            <v>2.4929999999999999</v>
          </cell>
          <cell r="T102">
            <v>1.9830000000000001</v>
          </cell>
          <cell r="U102">
            <v>0.15</v>
          </cell>
          <cell r="V102">
            <v>8.0000000000000007E-5</v>
          </cell>
          <cell r="W102">
            <v>6.3000000000000003E-4</v>
          </cell>
          <cell r="X102">
            <v>3.97</v>
          </cell>
          <cell r="AB102">
            <v>9.2999999999999999E-2</v>
          </cell>
          <cell r="AC102">
            <v>0.1</v>
          </cell>
        </row>
        <row r="103">
          <cell r="D103">
            <v>307</v>
          </cell>
          <cell r="E103" t="str">
            <v>P-6020</v>
          </cell>
          <cell r="S103">
            <v>2.4929999999999999</v>
          </cell>
          <cell r="T103">
            <v>1.9830000000000001</v>
          </cell>
          <cell r="U103">
            <v>0.15</v>
          </cell>
          <cell r="V103">
            <v>1.2999999999999999E-4</v>
          </cell>
          <cell r="W103">
            <v>2.5000000000000001E-4</v>
          </cell>
          <cell r="X103">
            <v>3.97</v>
          </cell>
          <cell r="AB103">
            <v>9.2999999999999999E-2</v>
          </cell>
          <cell r="AC103">
            <v>0.1</v>
          </cell>
          <cell r="AD103">
            <v>25.8</v>
          </cell>
          <cell r="AE103">
            <v>2.42</v>
          </cell>
          <cell r="AF103">
            <v>0.35199999999999998</v>
          </cell>
          <cell r="AG103">
            <v>2.2000000000000002</v>
          </cell>
          <cell r="AH103">
            <v>60</v>
          </cell>
          <cell r="AJ103">
            <v>873.4</v>
          </cell>
          <cell r="AK103">
            <v>6.82</v>
          </cell>
          <cell r="AL103">
            <v>4.8</v>
          </cell>
        </row>
        <row r="104">
          <cell r="D104">
            <v>407</v>
          </cell>
          <cell r="E104" t="str">
            <v>P-6020</v>
          </cell>
          <cell r="J104">
            <v>2.4929999999999999</v>
          </cell>
          <cell r="S104">
            <v>2.4929999999999999</v>
          </cell>
          <cell r="T104">
            <v>1.9830000000000001</v>
          </cell>
          <cell r="U104">
            <v>0.15</v>
          </cell>
          <cell r="V104">
            <v>1E-4</v>
          </cell>
          <cell r="W104">
            <v>0</v>
          </cell>
          <cell r="X104">
            <v>3.97</v>
          </cell>
          <cell r="AB104">
            <v>0.15</v>
          </cell>
          <cell r="AC104">
            <v>7.5642965204235999</v>
          </cell>
          <cell r="AD104">
            <v>7.5642965204235999</v>
          </cell>
          <cell r="AE104">
            <v>8.5000000000000006E-2</v>
          </cell>
          <cell r="AF104">
            <v>0.1</v>
          </cell>
          <cell r="AG104">
            <v>2.2000000000000002</v>
          </cell>
          <cell r="AH104">
            <v>60</v>
          </cell>
          <cell r="AJ104">
            <v>873.4</v>
          </cell>
          <cell r="AK104">
            <v>6.82</v>
          </cell>
          <cell r="AL104">
            <v>4.8</v>
          </cell>
        </row>
        <row r="105">
          <cell r="D105" t="str">
            <v>TgJ</v>
          </cell>
          <cell r="E105" t="str">
            <v>P-6020</v>
          </cell>
          <cell r="G105">
            <v>1.12761</v>
          </cell>
          <cell r="J105">
            <v>1.1264880000000002</v>
          </cell>
          <cell r="S105">
            <v>2.4929999999999999</v>
          </cell>
          <cell r="T105">
            <v>2.0670000000000002</v>
          </cell>
          <cell r="U105">
            <v>7.5999999999999998E-2</v>
          </cell>
          <cell r="V105">
            <v>1E-4</v>
          </cell>
          <cell r="W105">
            <v>3.5E-4</v>
          </cell>
          <cell r="X105">
            <v>3.97</v>
          </cell>
          <cell r="AB105">
            <v>7.5999999999999998E-2</v>
          </cell>
          <cell r="AC105">
            <v>0.1</v>
          </cell>
          <cell r="AD105">
            <v>3.6768263183357517</v>
          </cell>
          <cell r="AE105">
            <v>6.6</v>
          </cell>
          <cell r="AF105">
            <v>0.96</v>
          </cell>
          <cell r="AG105">
            <v>6</v>
          </cell>
          <cell r="AH105">
            <v>2.5150000000000001</v>
          </cell>
          <cell r="AI105">
            <v>0.35199999999999998</v>
          </cell>
          <cell r="AJ105">
            <v>2.2000000000000002</v>
          </cell>
          <cell r="AK105">
            <v>60</v>
          </cell>
          <cell r="AL105">
            <v>13.2</v>
          </cell>
        </row>
        <row r="106">
          <cell r="D106">
            <v>106</v>
          </cell>
          <cell r="S106">
            <v>2.4929999999999999</v>
          </cell>
          <cell r="T106">
            <v>1.9830000000000001</v>
          </cell>
          <cell r="U106">
            <v>0.15</v>
          </cell>
          <cell r="V106">
            <v>1E-4</v>
          </cell>
          <cell r="W106">
            <v>3.5E-4</v>
          </cell>
          <cell r="X106">
            <v>3.97</v>
          </cell>
          <cell r="AB106">
            <v>9.2999999999999999E-2</v>
          </cell>
          <cell r="AC106">
            <v>0.1</v>
          </cell>
          <cell r="AD106">
            <v>23.2</v>
          </cell>
          <cell r="AE106">
            <v>7.7</v>
          </cell>
          <cell r="AF106">
            <v>1.1200000000000001</v>
          </cell>
          <cell r="AG106">
            <v>7</v>
          </cell>
          <cell r="AH106">
            <v>2.5150000000000001</v>
          </cell>
          <cell r="AI106">
            <v>0.35199999999999998</v>
          </cell>
          <cell r="AJ106">
            <v>2.2000000000000002</v>
          </cell>
          <cell r="AK106">
            <v>60</v>
          </cell>
          <cell r="AL106">
            <v>15.4</v>
          </cell>
        </row>
        <row r="107">
          <cell r="D107">
            <v>307</v>
          </cell>
          <cell r="V107">
            <v>1.2999999999999999E-4</v>
          </cell>
          <cell r="W107">
            <v>2.5000000000000001E-4</v>
          </cell>
          <cell r="AH107">
            <v>6.8579999999999997</v>
          </cell>
          <cell r="AI107">
            <v>0.96</v>
          </cell>
          <cell r="AJ107">
            <v>6</v>
          </cell>
          <cell r="AK107">
            <v>72</v>
          </cell>
        </row>
        <row r="108">
          <cell r="D108">
            <v>407</v>
          </cell>
          <cell r="E108" t="str">
            <v>P-6020</v>
          </cell>
          <cell r="H108">
            <v>1.2729999999999999</v>
          </cell>
          <cell r="J108">
            <v>1.2729999999999999</v>
          </cell>
          <cell r="T108">
            <v>2.0299999999999998</v>
          </cell>
          <cell r="U108">
            <v>0.12</v>
          </cell>
          <cell r="V108">
            <v>1E-4</v>
          </cell>
          <cell r="W108">
            <v>0</v>
          </cell>
          <cell r="X108">
            <v>4.0510000000000002</v>
          </cell>
          <cell r="AB108">
            <v>9.2999999999999999E-2</v>
          </cell>
          <cell r="AC108">
            <v>0.1</v>
          </cell>
          <cell r="AH108">
            <v>8.0009999999999994</v>
          </cell>
          <cell r="AI108">
            <v>1.1200000000000001</v>
          </cell>
          <cell r="AJ108">
            <v>7</v>
          </cell>
          <cell r="AK108">
            <v>72</v>
          </cell>
        </row>
        <row r="109">
          <cell r="D109" t="str">
            <v>TgJ</v>
          </cell>
          <cell r="E109" t="str">
            <v>P-6020</v>
          </cell>
          <cell r="G109">
            <v>1.1220000000000001</v>
          </cell>
          <cell r="H109">
            <v>1.2729999999999999</v>
          </cell>
          <cell r="J109">
            <v>1.1220000000000001</v>
          </cell>
          <cell r="T109">
            <v>2.0670000000000002</v>
          </cell>
          <cell r="U109">
            <v>7.5999999999999998E-2</v>
          </cell>
          <cell r="V109">
            <v>0</v>
          </cell>
          <cell r="W109">
            <v>3.5E-4</v>
          </cell>
          <cell r="X109">
            <v>4.0510000000000002</v>
          </cell>
          <cell r="AB109">
            <v>7.5999999999999998E-2</v>
          </cell>
          <cell r="AC109">
            <v>0.1</v>
          </cell>
          <cell r="AD109">
            <v>3.6768263183357517</v>
          </cell>
          <cell r="AE109">
            <v>2.42</v>
          </cell>
          <cell r="AF109">
            <v>0.35199999999999998</v>
          </cell>
          <cell r="AG109">
            <v>2.2000000000000002</v>
          </cell>
          <cell r="AH109">
            <v>72</v>
          </cell>
          <cell r="AJ109">
            <v>891.22</v>
          </cell>
          <cell r="AK109">
            <v>6.82</v>
          </cell>
          <cell r="AL109">
            <v>4.8</v>
          </cell>
        </row>
        <row r="110">
          <cell r="D110">
            <v>141</v>
          </cell>
          <cell r="H110">
            <v>1.2729999999999999</v>
          </cell>
          <cell r="J110">
            <v>1.2729999999999999</v>
          </cell>
          <cell r="T110">
            <v>2.0299999999999998</v>
          </cell>
          <cell r="U110">
            <v>0.12</v>
          </cell>
          <cell r="V110">
            <v>0</v>
          </cell>
          <cell r="W110">
            <v>3.5E-4</v>
          </cell>
          <cell r="X110">
            <v>4.0510000000000002</v>
          </cell>
          <cell r="AB110">
            <v>9.2999999999999999E-2</v>
          </cell>
          <cell r="AC110">
            <v>0.1</v>
          </cell>
          <cell r="AD110">
            <v>26.7</v>
          </cell>
          <cell r="AE110">
            <v>2.42</v>
          </cell>
          <cell r="AF110">
            <v>0.35199999999999998</v>
          </cell>
          <cell r="AG110">
            <v>2.2000000000000002</v>
          </cell>
          <cell r="AH110">
            <v>72</v>
          </cell>
          <cell r="AJ110">
            <v>891.22</v>
          </cell>
          <cell r="AK110">
            <v>6.82</v>
          </cell>
          <cell r="AL110">
            <v>4.8</v>
          </cell>
        </row>
        <row r="111">
          <cell r="D111" t="str">
            <v>TJ</v>
          </cell>
          <cell r="E111" t="str">
            <v>P-6020</v>
          </cell>
          <cell r="H111">
            <v>1.2908609999999998</v>
          </cell>
          <cell r="J111">
            <v>1.2921479999999999</v>
          </cell>
          <cell r="S111">
            <v>2.4929999999999999</v>
          </cell>
          <cell r="T111">
            <v>2.0299999999999998</v>
          </cell>
          <cell r="U111">
            <v>0.12</v>
          </cell>
          <cell r="V111">
            <v>2.5000000000000001E-4</v>
          </cell>
          <cell r="W111">
            <v>4.4999999999999999E-4</v>
          </cell>
          <cell r="X111">
            <v>3.9510000000000001</v>
          </cell>
          <cell r="AB111">
            <v>0.11600000000000001</v>
          </cell>
          <cell r="AC111">
            <v>5.9113300492610845</v>
          </cell>
          <cell r="AD111">
            <v>5.7030481809242879</v>
          </cell>
          <cell r="AE111">
            <v>6.6</v>
          </cell>
          <cell r="AF111">
            <v>0.96</v>
          </cell>
          <cell r="AG111">
            <v>6</v>
          </cell>
          <cell r="AH111">
            <v>108</v>
          </cell>
          <cell r="AJ111">
            <v>2430.6</v>
          </cell>
          <cell r="AK111">
            <v>18.600000000000001</v>
          </cell>
          <cell r="AL111">
            <v>13.2</v>
          </cell>
        </row>
        <row r="112">
          <cell r="D112">
            <v>140</v>
          </cell>
          <cell r="H112">
            <v>1.2729999999999999</v>
          </cell>
          <cell r="J112">
            <v>1.2729999999999999</v>
          </cell>
          <cell r="T112">
            <v>2.0299999999999998</v>
          </cell>
          <cell r="U112">
            <v>0.12</v>
          </cell>
          <cell r="V112">
            <v>8.0000000000000007E-5</v>
          </cell>
          <cell r="W112">
            <v>6.3000000000000003E-4</v>
          </cell>
          <cell r="X112">
            <v>4.0510000000000002</v>
          </cell>
          <cell r="AB112">
            <v>9.2999999999999999E-2</v>
          </cell>
          <cell r="AC112">
            <v>0.1</v>
          </cell>
          <cell r="AD112">
            <v>24.1</v>
          </cell>
          <cell r="AE112">
            <v>7.7</v>
          </cell>
          <cell r="AF112">
            <v>1.1200000000000001</v>
          </cell>
          <cell r="AG112">
            <v>7</v>
          </cell>
          <cell r="AH112">
            <v>91.7</v>
          </cell>
          <cell r="AJ112">
            <v>2835.7</v>
          </cell>
          <cell r="AK112">
            <v>21.7</v>
          </cell>
          <cell r="AL112">
            <v>15.4</v>
          </cell>
        </row>
        <row r="113">
          <cell r="D113">
            <v>141</v>
          </cell>
          <cell r="V113">
            <v>8.0000000000000007E-5</v>
          </cell>
          <cell r="W113">
            <v>6.3000000000000003E-4</v>
          </cell>
        </row>
        <row r="114">
          <cell r="D114">
            <v>302</v>
          </cell>
          <cell r="E114" t="str">
            <v>P-6020</v>
          </cell>
          <cell r="F114">
            <v>1.244</v>
          </cell>
          <cell r="J114">
            <v>1.244</v>
          </cell>
          <cell r="T114">
            <v>2.0009999999999999</v>
          </cell>
          <cell r="U114">
            <v>0.13</v>
          </cell>
          <cell r="V114">
            <v>2.5000000000000001E-4</v>
          </cell>
          <cell r="W114">
            <v>4.4999999999999999E-4</v>
          </cell>
          <cell r="X114">
            <v>3.956</v>
          </cell>
          <cell r="AB114">
            <v>9.2999999999999999E-2</v>
          </cell>
          <cell r="AC114">
            <v>0.1</v>
          </cell>
        </row>
        <row r="115">
          <cell r="D115">
            <v>402</v>
          </cell>
          <cell r="F115">
            <v>1.244</v>
          </cell>
          <cell r="J115">
            <v>1.244</v>
          </cell>
          <cell r="T115">
            <v>2.0009999999999999</v>
          </cell>
          <cell r="U115">
            <v>0.13</v>
          </cell>
          <cell r="V115">
            <v>1E-4</v>
          </cell>
          <cell r="W115">
            <v>0</v>
          </cell>
          <cell r="X115">
            <v>3.956</v>
          </cell>
          <cell r="AB115">
            <v>9.2999999999999999E-2</v>
          </cell>
          <cell r="AC115">
            <v>0.1</v>
          </cell>
          <cell r="AD115">
            <v>26.1</v>
          </cell>
          <cell r="AE115">
            <v>2.42</v>
          </cell>
          <cell r="AF115">
            <v>0.35199999999999998</v>
          </cell>
          <cell r="AG115">
            <v>2.2000000000000002</v>
          </cell>
          <cell r="AH115">
            <v>72</v>
          </cell>
          <cell r="AJ115">
            <v>870.32</v>
          </cell>
          <cell r="AK115">
            <v>6.82</v>
          </cell>
          <cell r="AL115">
            <v>4.8</v>
          </cell>
        </row>
        <row r="116">
          <cell r="D116" t="str">
            <v>MJ</v>
          </cell>
          <cell r="E116" t="str">
            <v>P-6020</v>
          </cell>
          <cell r="F116">
            <v>1.2547529999999998</v>
          </cell>
          <cell r="J116">
            <v>1.2560039999999999</v>
          </cell>
          <cell r="T116">
            <v>2.0009999999999999</v>
          </cell>
          <cell r="U116">
            <v>0.13</v>
          </cell>
          <cell r="V116">
            <v>0</v>
          </cell>
          <cell r="W116">
            <v>4.0000000000000002E-4</v>
          </cell>
          <cell r="X116">
            <v>3.8260000000000001</v>
          </cell>
          <cell r="AB116">
            <v>0.13</v>
          </cell>
          <cell r="AC116">
            <v>6.4967516241879064</v>
          </cell>
          <cell r="AD116">
            <v>6.4967516241879064</v>
          </cell>
          <cell r="AE116">
            <v>2.42</v>
          </cell>
          <cell r="AF116">
            <v>0.35199999999999998</v>
          </cell>
          <cell r="AG116">
            <v>2.2000000000000002</v>
          </cell>
          <cell r="AH116">
            <v>72</v>
          </cell>
          <cell r="AJ116">
            <v>870.32</v>
          </cell>
          <cell r="AK116">
            <v>6.82</v>
          </cell>
          <cell r="AL116">
            <v>4.8</v>
          </cell>
        </row>
        <row r="117">
          <cell r="D117">
            <v>122</v>
          </cell>
          <cell r="E117" t="str">
            <v>P-6020</v>
          </cell>
          <cell r="F117">
            <v>1.244</v>
          </cell>
          <cell r="H117">
            <v>1.2729999999999999</v>
          </cell>
          <cell r="J117">
            <v>1.2729999999999999</v>
          </cell>
          <cell r="T117">
            <v>2.0299999999999998</v>
          </cell>
          <cell r="U117">
            <v>0.12</v>
          </cell>
          <cell r="V117">
            <v>6.3999999999999997E-5</v>
          </cell>
          <cell r="W117">
            <v>7.2000000000000005E-4</v>
          </cell>
          <cell r="X117">
            <v>4.0510000000000002</v>
          </cell>
          <cell r="AB117">
            <v>0.11600000000000001</v>
          </cell>
          <cell r="AC117">
            <v>5.9113300492610845</v>
          </cell>
          <cell r="AD117">
            <v>5.7030481809242879</v>
          </cell>
          <cell r="AE117">
            <v>8.5000000000000006E-2</v>
          </cell>
          <cell r="AF117">
            <v>0.1</v>
          </cell>
          <cell r="AG117">
            <v>6</v>
          </cell>
          <cell r="AH117">
            <v>108</v>
          </cell>
          <cell r="AJ117">
            <v>2373.6</v>
          </cell>
          <cell r="AK117">
            <v>18.600000000000001</v>
          </cell>
          <cell r="AL117">
            <v>13.2</v>
          </cell>
        </row>
        <row r="118">
          <cell r="D118">
            <v>123</v>
          </cell>
          <cell r="F118">
            <v>1.244</v>
          </cell>
          <cell r="J118">
            <v>1.244</v>
          </cell>
          <cell r="T118">
            <v>2.0009999999999999</v>
          </cell>
          <cell r="U118">
            <v>0.13</v>
          </cell>
          <cell r="V118">
            <v>6.3999999999999997E-5</v>
          </cell>
          <cell r="W118">
            <v>7.2000000000000005E-4</v>
          </cell>
          <cell r="X118">
            <v>3.956</v>
          </cell>
          <cell r="AB118">
            <v>9.2999999999999999E-2</v>
          </cell>
          <cell r="AC118">
            <v>0.1</v>
          </cell>
          <cell r="AD118">
            <v>23.6</v>
          </cell>
          <cell r="AE118">
            <v>7.7</v>
          </cell>
          <cell r="AF118">
            <v>1.1200000000000001</v>
          </cell>
          <cell r="AG118">
            <v>7</v>
          </cell>
          <cell r="AH118">
            <v>2.5150000000000001</v>
          </cell>
          <cell r="AI118">
            <v>0.35199999999999998</v>
          </cell>
          <cell r="AJ118">
            <v>2.2000000000000002</v>
          </cell>
          <cell r="AK118">
            <v>72</v>
          </cell>
          <cell r="AL118">
            <v>15.4</v>
          </cell>
        </row>
        <row r="119">
          <cell r="D119">
            <v>304</v>
          </cell>
          <cell r="E119" t="str">
            <v>P-6020</v>
          </cell>
          <cell r="F119">
            <v>1.1499999999999999</v>
          </cell>
          <cell r="G119">
            <v>1.1499999999999999</v>
          </cell>
          <cell r="T119">
            <v>1.9990000000000001</v>
          </cell>
          <cell r="U119">
            <v>5.6000000000000001E-2</v>
          </cell>
          <cell r="V119">
            <v>2.0000000000000001E-4</v>
          </cell>
          <cell r="W119">
            <v>4.0000000000000002E-4</v>
          </cell>
          <cell r="X119">
            <v>3.669</v>
          </cell>
          <cell r="AB119">
            <v>9.2999999999999999E-2</v>
          </cell>
          <cell r="AC119">
            <v>0.1</v>
          </cell>
          <cell r="AD119">
            <v>24</v>
          </cell>
          <cell r="AE119">
            <v>6.6</v>
          </cell>
          <cell r="AF119">
            <v>0.96</v>
          </cell>
          <cell r="AG119">
            <v>6</v>
          </cell>
          <cell r="AH119">
            <v>2.5150000000000001</v>
          </cell>
          <cell r="AI119">
            <v>0.35199999999999998</v>
          </cell>
          <cell r="AJ119">
            <v>2.2000000000000002</v>
          </cell>
          <cell r="AK119">
            <v>72</v>
          </cell>
          <cell r="AL119">
            <v>13.2</v>
          </cell>
        </row>
        <row r="120">
          <cell r="D120">
            <v>404</v>
          </cell>
          <cell r="T120">
            <v>1.9990000000000001</v>
          </cell>
          <cell r="U120">
            <v>5.6000000000000001E-2</v>
          </cell>
          <cell r="V120">
            <v>8.0000000000000007E-5</v>
          </cell>
          <cell r="W120">
            <v>0</v>
          </cell>
          <cell r="X120">
            <v>3.669</v>
          </cell>
          <cell r="AB120">
            <v>9.2999999999999999E-2</v>
          </cell>
          <cell r="AC120">
            <v>0.1</v>
          </cell>
          <cell r="AD120">
            <v>24</v>
          </cell>
          <cell r="AE120">
            <v>7.7</v>
          </cell>
          <cell r="AF120">
            <v>1.1200000000000001</v>
          </cell>
          <cell r="AG120">
            <v>7</v>
          </cell>
          <cell r="AH120">
            <v>6.8579999999999997</v>
          </cell>
          <cell r="AI120">
            <v>0.96</v>
          </cell>
          <cell r="AJ120">
            <v>6</v>
          </cell>
          <cell r="AK120">
            <v>84</v>
          </cell>
          <cell r="AL120">
            <v>15.4</v>
          </cell>
        </row>
        <row r="121">
          <cell r="D121" t="str">
            <v>MTg</v>
          </cell>
          <cell r="E121" t="str">
            <v>P-6020</v>
          </cell>
          <cell r="F121">
            <v>1.1353959999999998</v>
          </cell>
          <cell r="G121">
            <v>1.1376599999999997</v>
          </cell>
          <cell r="H121">
            <v>1.2729999999999999</v>
          </cell>
          <cell r="S121">
            <v>1.2729999999999999</v>
          </cell>
          <cell r="T121">
            <v>2.085</v>
          </cell>
          <cell r="U121">
            <v>5.7000000000000002E-2</v>
          </cell>
          <cell r="V121">
            <v>1E-4</v>
          </cell>
          <cell r="W121">
            <v>0</v>
          </cell>
          <cell r="X121">
            <v>4.0510000000000002</v>
          </cell>
          <cell r="AB121">
            <v>5.7000000000000002E-2</v>
          </cell>
          <cell r="AC121">
            <v>0.1</v>
          </cell>
          <cell r="AD121">
            <v>2.7338129496402881</v>
          </cell>
          <cell r="AH121">
            <v>8.0009999999999994</v>
          </cell>
          <cell r="AI121">
            <v>1.1200000000000001</v>
          </cell>
          <cell r="AJ121">
            <v>7</v>
          </cell>
          <cell r="AK121">
            <v>72</v>
          </cell>
        </row>
        <row r="122">
          <cell r="D122">
            <v>180</v>
          </cell>
          <cell r="H122">
            <v>1.2729999999999999</v>
          </cell>
          <cell r="S122">
            <v>1.2729999999999999</v>
          </cell>
          <cell r="T122">
            <v>2.0299999999999998</v>
          </cell>
          <cell r="U122">
            <v>0.12</v>
          </cell>
          <cell r="V122">
            <v>0</v>
          </cell>
          <cell r="W122">
            <v>3.5E-4</v>
          </cell>
          <cell r="X122">
            <v>4.0510000000000002</v>
          </cell>
          <cell r="AB122">
            <v>9.2999999999999999E-2</v>
          </cell>
          <cell r="AC122">
            <v>0.1</v>
          </cell>
          <cell r="AD122">
            <v>26.7</v>
          </cell>
          <cell r="AE122">
            <v>2.42</v>
          </cell>
          <cell r="AF122">
            <v>0.35199999999999998</v>
          </cell>
          <cell r="AG122">
            <v>2.2000000000000002</v>
          </cell>
          <cell r="AH122">
            <v>72</v>
          </cell>
          <cell r="AJ122">
            <v>891.22</v>
          </cell>
          <cell r="AK122">
            <v>6.82</v>
          </cell>
          <cell r="AL122">
            <v>4.8</v>
          </cell>
        </row>
        <row r="123">
          <cell r="D123" t="str">
            <v>MJ</v>
          </cell>
          <cell r="E123" t="str">
            <v>P-6020</v>
          </cell>
          <cell r="F123">
            <v>1.244</v>
          </cell>
          <cell r="H123">
            <v>1.2729999999999999</v>
          </cell>
          <cell r="J123">
            <v>1.244</v>
          </cell>
          <cell r="S123">
            <v>1.2729999999999999</v>
          </cell>
          <cell r="T123">
            <v>2.0009999999999999</v>
          </cell>
          <cell r="U123">
            <v>0.13</v>
          </cell>
          <cell r="V123">
            <v>0</v>
          </cell>
          <cell r="W123">
            <v>3.5E-4</v>
          </cell>
          <cell r="X123">
            <v>3.956</v>
          </cell>
          <cell r="AB123">
            <v>0.13</v>
          </cell>
          <cell r="AC123">
            <v>6.4967516241879064</v>
          </cell>
          <cell r="AD123">
            <v>6.4967516241879064</v>
          </cell>
          <cell r="AE123">
            <v>8.5000000000000006E-2</v>
          </cell>
          <cell r="AF123">
            <v>0.1</v>
          </cell>
          <cell r="AG123">
            <v>2.2000000000000002</v>
          </cell>
          <cell r="AH123">
            <v>72</v>
          </cell>
          <cell r="AJ123">
            <v>891.22</v>
          </cell>
          <cell r="AK123">
            <v>6.82</v>
          </cell>
          <cell r="AL123">
            <v>4.8</v>
          </cell>
        </row>
        <row r="124">
          <cell r="D124">
            <v>122</v>
          </cell>
          <cell r="H124">
            <v>1.2729999999999999</v>
          </cell>
          <cell r="S124">
            <v>1.2729999999999999</v>
          </cell>
          <cell r="T124">
            <v>2.0299999999999998</v>
          </cell>
          <cell r="U124">
            <v>0.12</v>
          </cell>
          <cell r="V124">
            <v>8.0000000000000007E-5</v>
          </cell>
          <cell r="W124">
            <v>4.0000000000000002E-4</v>
          </cell>
          <cell r="X124">
            <v>4.0510000000000002</v>
          </cell>
          <cell r="AB124">
            <v>9.2999999999999999E-2</v>
          </cell>
          <cell r="AC124">
            <v>0.1</v>
          </cell>
          <cell r="AD124">
            <v>25.7</v>
          </cell>
          <cell r="AE124">
            <v>6.6</v>
          </cell>
          <cell r="AF124">
            <v>0.96</v>
          </cell>
          <cell r="AG124">
            <v>6</v>
          </cell>
          <cell r="AH124">
            <v>2.5150000000000001</v>
          </cell>
          <cell r="AI124">
            <v>0.35199999999999998</v>
          </cell>
          <cell r="AJ124">
            <v>2.2000000000000002</v>
          </cell>
          <cell r="AK124">
            <v>72</v>
          </cell>
          <cell r="AL124">
            <v>13.2</v>
          </cell>
        </row>
        <row r="125">
          <cell r="D125">
            <v>123</v>
          </cell>
          <cell r="H125">
            <v>1.2729999999999999</v>
          </cell>
          <cell r="S125">
            <v>1.2729999999999999</v>
          </cell>
          <cell r="T125">
            <v>2.0299999999999998</v>
          </cell>
          <cell r="U125">
            <v>0.12</v>
          </cell>
          <cell r="V125">
            <v>8.0000000000000007E-5</v>
          </cell>
          <cell r="W125">
            <v>4.0000000000000002E-4</v>
          </cell>
          <cell r="X125">
            <v>4.0510000000000002</v>
          </cell>
          <cell r="AB125">
            <v>9.2999999999999999E-2</v>
          </cell>
          <cell r="AC125">
            <v>0.1</v>
          </cell>
          <cell r="AD125">
            <v>24.1</v>
          </cell>
          <cell r="AE125">
            <v>7.7</v>
          </cell>
          <cell r="AF125">
            <v>1.1200000000000001</v>
          </cell>
          <cell r="AG125">
            <v>7</v>
          </cell>
          <cell r="AH125">
            <v>2.5150000000000001</v>
          </cell>
          <cell r="AI125">
            <v>0.35199999999999998</v>
          </cell>
          <cell r="AJ125">
            <v>2.2000000000000002</v>
          </cell>
          <cell r="AK125">
            <v>72</v>
          </cell>
          <cell r="AL125">
            <v>21.6</v>
          </cell>
        </row>
        <row r="126">
          <cell r="D126" t="str">
            <v>ATg</v>
          </cell>
          <cell r="E126" t="str">
            <v>P-6020</v>
          </cell>
          <cell r="V126">
            <v>2.0000000000000001E-4</v>
          </cell>
          <cell r="W126">
            <v>4.0000000000000002E-4</v>
          </cell>
          <cell r="AH126">
            <v>6.8579999999999997</v>
          </cell>
          <cell r="AI126">
            <v>0.96</v>
          </cell>
          <cell r="AJ126">
            <v>6</v>
          </cell>
          <cell r="AK126">
            <v>84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Dane"/>
      <sheetName val="Wykaz jednostek"/>
      <sheetName val="SF"/>
      <sheetName val="1 Należności"/>
      <sheetName val="2 Zobowiązania"/>
      <sheetName val="3 Pożyczki udzielone"/>
      <sheetName val="4 Zob finansowe"/>
      <sheetName val="5 Sprzedaż"/>
      <sheetName val="6 Zakup"/>
      <sheetName val="7 Dz finansowa"/>
      <sheetName val="8 ŚT sprzedający"/>
      <sheetName val="9 ŚT kupujący"/>
      <sheetName val="10 Wykaz AF"/>
      <sheetName val="12 Warunkowe"/>
      <sheetName val="Wykaz_jednostek"/>
      <sheetName val="1_Należności"/>
      <sheetName val="2_Zobowiązania"/>
      <sheetName val="3_Pożyczki_udzielone"/>
      <sheetName val="4_Zob_finansowe"/>
      <sheetName val="5_Sprzedaż"/>
      <sheetName val="6_Zakup"/>
      <sheetName val="7_Dz_finansowa"/>
      <sheetName val="8_ŚT_sprzedający"/>
      <sheetName val="9_ŚT_kupujący"/>
      <sheetName val="10_Wykaz_AF"/>
      <sheetName val="12_Warunkowe"/>
      <sheetName val="Wykaz_jednostek1"/>
      <sheetName val="1_Należności1"/>
      <sheetName val="2_Zobowiązania1"/>
      <sheetName val="3_Pożyczki_udzielone1"/>
      <sheetName val="4_Zob_finansowe1"/>
      <sheetName val="5_Sprzedaż1"/>
      <sheetName val="6_Zakup1"/>
      <sheetName val="7_Dz_finansowa1"/>
      <sheetName val="8_ŚT_sprzedający1"/>
      <sheetName val="9_ŚT_kupujący1"/>
      <sheetName val="10_Wykaz_AF1"/>
      <sheetName val="12_Warunkowe1"/>
      <sheetName val="Wykaz_jednostek2"/>
      <sheetName val="1_Należności2"/>
      <sheetName val="2_Zobowiązania2"/>
      <sheetName val="3_Pożyczki_udzielone2"/>
      <sheetName val="4_Zob_finansowe2"/>
      <sheetName val="5_Sprzedaż2"/>
      <sheetName val="6_Zakup2"/>
      <sheetName val="7_Dz_finansowa2"/>
      <sheetName val="8_ŚT_sprzedający2"/>
      <sheetName val="9_ŚT_kupujący2"/>
      <sheetName val="10_Wykaz_AF2"/>
      <sheetName val="12_Warunkowe2"/>
      <sheetName val="Wykaz_jednostek3"/>
      <sheetName val="1_Należności3"/>
      <sheetName val="2_Zobowiązania3"/>
      <sheetName val="3_Pożyczki_udzielone3"/>
      <sheetName val="4_Zob_finansowe3"/>
      <sheetName val="5_Sprzedaż3"/>
      <sheetName val="6_Zakup3"/>
      <sheetName val="7_Dz_finansowa3"/>
      <sheetName val="8_ŚT_sprzedający3"/>
      <sheetName val="9_ŚT_kupujący3"/>
      <sheetName val="10_Wykaz_AF3"/>
      <sheetName val="12_Warunkowe3"/>
      <sheetName val="Wykaz_jednostek4"/>
      <sheetName val="1_Należności4"/>
      <sheetName val="2_Zobowiązania4"/>
      <sheetName val="3_Pożyczki_udzielone4"/>
      <sheetName val="4_Zob_finansowe4"/>
      <sheetName val="5_Sprzedaż4"/>
      <sheetName val="6_Zakup4"/>
      <sheetName val="7_Dz_finansowa4"/>
      <sheetName val="8_ŚT_sprzedający4"/>
      <sheetName val="9_ŚT_kupujący4"/>
      <sheetName val="10_Wykaz_AF4"/>
      <sheetName val="12_Warunkowe4"/>
    </sheetNames>
    <sheetDataSet>
      <sheetData sheetId="0" refreshError="1">
        <row r="46">
          <cell r="BB46" t="str">
            <v>Zakłady Azotowe w Tarnowie Mościcach S.A.</v>
          </cell>
        </row>
        <row r="58">
          <cell r="BB58" t="str">
            <v>od 01.01 do 31.03.2008</v>
          </cell>
        </row>
        <row r="64">
          <cell r="BB64" t="str">
            <v xml:space="preserve"> na dzień 31.03.2008 roku</v>
          </cell>
        </row>
        <row r="66">
          <cell r="BB66" t="str">
            <v xml:space="preserve"> za okres od 01.01 do 31.03.2008 roku</v>
          </cell>
        </row>
        <row r="96">
          <cell r="BB96" t="str">
            <v>PLN</v>
          </cell>
        </row>
        <row r="105">
          <cell r="BB105" t="str">
            <v>wszystkie kwoty wyrażone są w tysiącach złotych polskich (o ile nie wskazano inaczej)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test"/>
      <sheetName val="Analiza"/>
      <sheetName val="SUROWCE"/>
      <sheetName val="#ADR"/>
      <sheetName val="Arkusz1"/>
      <sheetName val="Arkusz2"/>
      <sheetName val="Arkusz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Ogólny"/>
      <sheetName val="PWA"/>
      <sheetName val="PWB"/>
      <sheetName val="PF"/>
      <sheetName val="NPKI"/>
      <sheetName val="NPKII"/>
      <sheetName val="PWS"/>
      <sheetName val="TEC"/>
      <sheetName val="TWO"/>
      <sheetName val="TEW"/>
      <sheetName val="Zdol_prod"/>
    </sheetNames>
    <sheetDataSet>
      <sheetData sheetId="0"/>
      <sheetData sheetId="1"/>
      <sheetData sheetId="2"/>
      <sheetData sheetId="3"/>
      <sheetData sheetId="4">
        <row r="7">
          <cell r="C7">
            <v>1</v>
          </cell>
          <cell r="D7">
            <v>2</v>
          </cell>
          <cell r="E7">
            <v>3</v>
          </cell>
          <cell r="F7">
            <v>4</v>
          </cell>
          <cell r="G7">
            <v>5</v>
          </cell>
          <cell r="H7">
            <v>6</v>
          </cell>
          <cell r="I7">
            <v>7</v>
          </cell>
          <cell r="J7">
            <v>8</v>
          </cell>
          <cell r="K7">
            <v>9</v>
          </cell>
          <cell r="L7">
            <v>10</v>
          </cell>
          <cell r="M7">
            <v>11</v>
          </cell>
          <cell r="N7">
            <v>12</v>
          </cell>
          <cell r="O7">
            <v>13</v>
          </cell>
          <cell r="P7">
            <v>14</v>
          </cell>
          <cell r="Q7">
            <v>15</v>
          </cell>
          <cell r="R7">
            <v>16</v>
          </cell>
          <cell r="S7">
            <v>17</v>
          </cell>
          <cell r="T7">
            <v>18</v>
          </cell>
          <cell r="U7">
            <v>19</v>
          </cell>
          <cell r="V7">
            <v>20</v>
          </cell>
          <cell r="W7">
            <v>21</v>
          </cell>
          <cell r="X7">
            <v>22</v>
          </cell>
          <cell r="Y7">
            <v>23</v>
          </cell>
          <cell r="Z7">
            <v>24</v>
          </cell>
          <cell r="AA7">
            <v>25</v>
          </cell>
          <cell r="AB7">
            <v>26</v>
          </cell>
          <cell r="AC7">
            <v>27</v>
          </cell>
          <cell r="AD7">
            <v>28</v>
          </cell>
          <cell r="AE7">
            <v>29</v>
          </cell>
          <cell r="AF7">
            <v>30</v>
          </cell>
          <cell r="AG7">
            <v>31</v>
          </cell>
          <cell r="AH7">
            <v>32</v>
          </cell>
          <cell r="AI7">
            <v>33</v>
          </cell>
          <cell r="AJ7">
            <v>34</v>
          </cell>
          <cell r="AK7">
            <v>35</v>
          </cell>
          <cell r="AL7">
            <v>36</v>
          </cell>
          <cell r="AM7">
            <v>37</v>
          </cell>
          <cell r="AN7">
            <v>38</v>
          </cell>
          <cell r="AO7">
            <v>39</v>
          </cell>
        </row>
        <row r="8">
          <cell r="C8" t="str">
            <v>18-46</v>
          </cell>
          <cell r="D8" t="str">
            <v>P-4002</v>
          </cell>
          <cell r="E8">
            <v>0.223</v>
          </cell>
          <cell r="G8">
            <v>0.64100000000000001</v>
          </cell>
          <cell r="I8">
            <v>4.4999999999999998E-2</v>
          </cell>
          <cell r="T8">
            <v>2E-3</v>
          </cell>
          <cell r="U8">
            <v>2E-3</v>
          </cell>
          <cell r="AB8">
            <v>0.02</v>
          </cell>
          <cell r="AD8">
            <v>6.6000000000000003E-2</v>
          </cell>
          <cell r="AE8">
            <v>0.49</v>
          </cell>
          <cell r="AF8">
            <v>0.27</v>
          </cell>
          <cell r="AG8">
            <v>8.8200000000000001E-2</v>
          </cell>
          <cell r="AN8">
            <v>450</v>
          </cell>
          <cell r="AO8">
            <v>18.75</v>
          </cell>
          <cell r="AP8" t="str">
            <v>W-2010</v>
          </cell>
        </row>
        <row r="9">
          <cell r="C9" t="str">
            <v>14-34</v>
          </cell>
          <cell r="D9" t="str">
            <v>P-4245</v>
          </cell>
          <cell r="E9">
            <v>0.17299999999999999</v>
          </cell>
          <cell r="G9">
            <v>0.47399999999999998</v>
          </cell>
          <cell r="I9">
            <v>0.25800000000000001</v>
          </cell>
          <cell r="T9">
            <v>1.5E-3</v>
          </cell>
          <cell r="U9">
            <v>2E-3</v>
          </cell>
          <cell r="AN9">
            <v>400</v>
          </cell>
          <cell r="AO9">
            <v>16.667000000000002</v>
          </cell>
          <cell r="AP9" t="str">
            <v>W-2360</v>
          </cell>
        </row>
        <row r="10">
          <cell r="C10" t="str">
            <v>TSP</v>
          </cell>
          <cell r="F10">
            <v>0.51400000000000001</v>
          </cell>
          <cell r="Q10">
            <v>0.39800000000000002</v>
          </cell>
          <cell r="AD10">
            <v>5.1900000000000002E-2</v>
          </cell>
          <cell r="AE10">
            <v>0.88</v>
          </cell>
          <cell r="AF10">
            <v>2.093</v>
          </cell>
          <cell r="AG10">
            <v>1.3999999999999999E-4</v>
          </cell>
          <cell r="AO10">
            <v>0</v>
          </cell>
        </row>
        <row r="11">
          <cell r="C11" t="str">
            <v>NNP 20-20</v>
          </cell>
          <cell r="D11" t="str">
            <v>P-4001</v>
          </cell>
          <cell r="E11">
            <v>0.247</v>
          </cell>
          <cell r="G11">
            <v>0.27900000000000003</v>
          </cell>
          <cell r="I11">
            <v>0.435</v>
          </cell>
          <cell r="T11">
            <v>2E-3</v>
          </cell>
          <cell r="AB11">
            <v>0.02</v>
          </cell>
          <cell r="AD11">
            <v>7.5499999999999998E-2</v>
          </cell>
          <cell r="AE11">
            <v>0.49</v>
          </cell>
          <cell r="AF11">
            <v>0.24</v>
          </cell>
          <cell r="AG11">
            <v>7.8399999999999997E-2</v>
          </cell>
          <cell r="AN11">
            <v>400</v>
          </cell>
          <cell r="AO11">
            <v>16.667000000000002</v>
          </cell>
          <cell r="AP11" t="str">
            <v>W-2200</v>
          </cell>
        </row>
        <row r="12">
          <cell r="AO12">
            <v>0</v>
          </cell>
        </row>
        <row r="13">
          <cell r="C13" t="str">
            <v>PK 20-32</v>
          </cell>
          <cell r="D13" t="str">
            <v>P-4128</v>
          </cell>
          <cell r="J13">
            <v>0.53</v>
          </cell>
          <cell r="M13">
            <v>5.5E-2</v>
          </cell>
          <cell r="X13">
            <v>0.442</v>
          </cell>
          <cell r="AB13">
            <v>0.02</v>
          </cell>
          <cell r="AD13">
            <v>4.3499999999999997E-2</v>
          </cell>
          <cell r="AE13">
            <v>0.27</v>
          </cell>
          <cell r="AF13">
            <v>0.09</v>
          </cell>
          <cell r="AG13">
            <v>4.6199999999999998E-2</v>
          </cell>
          <cell r="AN13">
            <v>620</v>
          </cell>
          <cell r="AO13">
            <v>25.834</v>
          </cell>
          <cell r="AP13" t="str">
            <v>W-2120</v>
          </cell>
        </row>
        <row r="14">
          <cell r="C14" t="str">
            <v>PK 24-24</v>
          </cell>
          <cell r="D14" t="str">
            <v>P-4129</v>
          </cell>
          <cell r="J14">
            <v>0.41399999999999998</v>
          </cell>
          <cell r="M14">
            <v>7.4999999999999997E-2</v>
          </cell>
          <cell r="X14">
            <v>0.52600000000000002</v>
          </cell>
          <cell r="AB14">
            <v>0.02</v>
          </cell>
          <cell r="AD14">
            <v>4.3499999999999997E-2</v>
          </cell>
          <cell r="AE14">
            <v>0.27</v>
          </cell>
          <cell r="AF14">
            <v>0.108</v>
          </cell>
          <cell r="AG14">
            <v>4.6199999999999998E-2</v>
          </cell>
          <cell r="AN14">
            <v>600</v>
          </cell>
          <cell r="AO14">
            <v>25</v>
          </cell>
          <cell r="AP14" t="str">
            <v>W-2130</v>
          </cell>
        </row>
        <row r="15">
          <cell r="C15" t="str">
            <v>PK 15-24</v>
          </cell>
          <cell r="D15" t="str">
            <v>P-4127</v>
          </cell>
          <cell r="J15">
            <v>0.39800000000000002</v>
          </cell>
          <cell r="K15">
            <v>0.26</v>
          </cell>
          <cell r="L15">
            <v>0.155</v>
          </cell>
          <cell r="M15">
            <v>0.04</v>
          </cell>
          <cell r="X15">
            <v>0.316</v>
          </cell>
          <cell r="Y15">
            <v>0.42099999999999999</v>
          </cell>
          <cell r="AB15">
            <v>0.02</v>
          </cell>
          <cell r="AD15">
            <v>4.0500000000000001E-2</v>
          </cell>
          <cell r="AE15">
            <v>0.27</v>
          </cell>
          <cell r="AF15">
            <v>0.12</v>
          </cell>
          <cell r="AG15">
            <v>4.6199999999999998E-2</v>
          </cell>
          <cell r="AN15">
            <v>650</v>
          </cell>
          <cell r="AO15">
            <v>27.084</v>
          </cell>
          <cell r="AP15" t="str">
            <v>W-2110</v>
          </cell>
        </row>
        <row r="16">
          <cell r="C16" t="str">
            <v>6-20-30</v>
          </cell>
          <cell r="D16" t="str">
            <v>P-4111</v>
          </cell>
          <cell r="E16">
            <v>7.3999999999999996E-2</v>
          </cell>
          <cell r="F16">
            <v>0.27900000000000003</v>
          </cell>
          <cell r="I16">
            <v>6.8000000000000005E-2</v>
          </cell>
          <cell r="J16">
            <v>0.497</v>
          </cell>
          <cell r="V16">
            <v>3.0000000000000001E-3</v>
          </cell>
          <cell r="W16">
            <v>2E-3</v>
          </cell>
          <cell r="AB16">
            <v>0.02</v>
          </cell>
          <cell r="AD16">
            <v>3.6499999999999998E-2</v>
          </cell>
          <cell r="AE16">
            <v>0.27</v>
          </cell>
          <cell r="AF16">
            <v>0.19</v>
          </cell>
          <cell r="AG16">
            <v>7.22E-2</v>
          </cell>
          <cell r="AN16">
            <v>900</v>
          </cell>
          <cell r="AO16">
            <v>37.5</v>
          </cell>
          <cell r="AP16" t="str">
            <v>W-2070</v>
          </cell>
        </row>
        <row r="17">
          <cell r="C17" t="str">
            <v>8-24-24</v>
          </cell>
          <cell r="D17" t="str">
            <v>P-4112</v>
          </cell>
          <cell r="E17">
            <v>9.9000000000000005E-2</v>
          </cell>
          <cell r="F17">
            <v>0.33500000000000002</v>
          </cell>
          <cell r="I17">
            <v>0.105</v>
          </cell>
          <cell r="J17">
            <v>0.39800000000000002</v>
          </cell>
          <cell r="V17">
            <v>3.0000000000000001E-3</v>
          </cell>
          <cell r="W17">
            <v>2E-3</v>
          </cell>
          <cell r="AB17">
            <v>0.02</v>
          </cell>
          <cell r="AD17">
            <v>3.7499999999999999E-2</v>
          </cell>
          <cell r="AE17">
            <v>0.27</v>
          </cell>
          <cell r="AF17">
            <v>0.17</v>
          </cell>
          <cell r="AG17">
            <v>6.3750000000000001E-2</v>
          </cell>
          <cell r="AN17">
            <v>850</v>
          </cell>
          <cell r="AO17">
            <v>35.416999999999994</v>
          </cell>
          <cell r="AP17" t="str">
            <v>W-2080</v>
          </cell>
        </row>
        <row r="18">
          <cell r="C18" t="str">
            <v>12-24-12</v>
          </cell>
          <cell r="D18" t="str">
            <v>P-4130</v>
          </cell>
          <cell r="E18">
            <v>0.14799999999999999</v>
          </cell>
          <cell r="F18">
            <v>0.33500000000000002</v>
          </cell>
          <cell r="I18">
            <v>0.26500000000000001</v>
          </cell>
          <cell r="J18">
            <v>0.19900000000000001</v>
          </cell>
          <cell r="V18">
            <v>3.0000000000000001E-3</v>
          </cell>
          <cell r="W18">
            <v>2E-3</v>
          </cell>
          <cell r="AB18">
            <v>0.02</v>
          </cell>
          <cell r="AD18">
            <v>4.2500000000000003E-2</v>
          </cell>
          <cell r="AE18">
            <v>0.27</v>
          </cell>
          <cell r="AF18">
            <v>0.16</v>
          </cell>
          <cell r="AG18">
            <v>0.06</v>
          </cell>
          <cell r="AN18">
            <v>800</v>
          </cell>
          <cell r="AO18">
            <v>33.333999999999996</v>
          </cell>
          <cell r="AP18" t="str">
            <v>W-2250</v>
          </cell>
        </row>
        <row r="19">
          <cell r="C19" t="str">
            <v>5-16-24-4</v>
          </cell>
          <cell r="D19" t="str">
            <v>P-4113</v>
          </cell>
          <cell r="E19">
            <v>6.2E-2</v>
          </cell>
          <cell r="F19">
            <v>0.182</v>
          </cell>
          <cell r="I19">
            <v>7.6999999999999999E-2</v>
          </cell>
          <cell r="J19">
            <v>0.39800000000000002</v>
          </cell>
          <cell r="K19">
            <v>0.17499999999999999</v>
          </cell>
          <cell r="V19">
            <v>3.0000000000000001E-3</v>
          </cell>
          <cell r="W19">
            <v>2E-3</v>
          </cell>
          <cell r="Y19">
            <v>8.3000000000000004E-2</v>
          </cell>
          <cell r="AB19">
            <v>0.02</v>
          </cell>
          <cell r="AD19">
            <v>3.95E-2</v>
          </cell>
          <cell r="AE19">
            <v>0.27</v>
          </cell>
          <cell r="AF19">
            <v>0.16</v>
          </cell>
          <cell r="AG19">
            <v>6.1600000000000002E-2</v>
          </cell>
          <cell r="AN19">
            <v>760</v>
          </cell>
          <cell r="AO19">
            <v>31.667000000000002</v>
          </cell>
          <cell r="AP19" t="str">
            <v>W-2100</v>
          </cell>
        </row>
        <row r="20">
          <cell r="F20">
            <v>0.23499999999999999</v>
          </cell>
          <cell r="J20">
            <v>0.34</v>
          </cell>
          <cell r="K20">
            <v>0.22</v>
          </cell>
          <cell r="M20">
            <v>0.04</v>
          </cell>
          <cell r="Q20">
            <v>0.1295</v>
          </cell>
          <cell r="AN20">
            <v>500</v>
          </cell>
          <cell r="AO20">
            <v>20.834</v>
          </cell>
        </row>
        <row r="21">
          <cell r="C21" t="str">
            <v>5-16-24-8</v>
          </cell>
          <cell r="D21" t="str">
            <v>P-4119</v>
          </cell>
          <cell r="E21">
            <v>6.2E-2</v>
          </cell>
          <cell r="F21">
            <v>0.223</v>
          </cell>
          <cell r="I21">
            <v>6.3E-2</v>
          </cell>
          <cell r="J21">
            <v>0.39800000000000002</v>
          </cell>
          <cell r="L21">
            <v>0.215</v>
          </cell>
          <cell r="V21">
            <v>3.0000000000000001E-3</v>
          </cell>
          <cell r="W21">
            <v>2E-3</v>
          </cell>
          <cell r="AB21">
            <v>0.02</v>
          </cell>
          <cell r="AD21">
            <v>3.7499999999999999E-2</v>
          </cell>
          <cell r="AE21">
            <v>0.27</v>
          </cell>
          <cell r="AF21">
            <v>0.16</v>
          </cell>
          <cell r="AG21">
            <v>0.06</v>
          </cell>
          <cell r="AN21">
            <v>750</v>
          </cell>
          <cell r="AO21">
            <v>31.25</v>
          </cell>
          <cell r="AP21" t="str">
            <v>W-2150</v>
          </cell>
        </row>
        <row r="22">
          <cell r="C22" t="str">
            <v>4-12-32</v>
          </cell>
          <cell r="D22" t="str">
            <v>P-4117</v>
          </cell>
          <cell r="E22">
            <v>0.05</v>
          </cell>
          <cell r="F22">
            <v>0.10199999999999999</v>
          </cell>
          <cell r="I22">
            <v>8.5000000000000006E-2</v>
          </cell>
          <cell r="J22">
            <v>0.53</v>
          </cell>
          <cell r="K22">
            <v>0.1</v>
          </cell>
          <cell r="V22">
            <v>3.0000000000000001E-3</v>
          </cell>
          <cell r="W22">
            <v>2E-3</v>
          </cell>
          <cell r="Y22">
            <v>0.13200000000000001</v>
          </cell>
          <cell r="AB22">
            <v>0.02</v>
          </cell>
          <cell r="AD22">
            <v>3.7499999999999999E-2</v>
          </cell>
          <cell r="AE22">
            <v>0.27</v>
          </cell>
          <cell r="AF22">
            <v>0.15</v>
          </cell>
          <cell r="AG22">
            <v>5.7750000000000003E-2</v>
          </cell>
          <cell r="AN22">
            <v>790</v>
          </cell>
          <cell r="AO22">
            <v>32.916999999999994</v>
          </cell>
          <cell r="AP22" t="str">
            <v>W-2050</v>
          </cell>
        </row>
        <row r="23">
          <cell r="C23" t="str">
            <v>5-15-30</v>
          </cell>
          <cell r="D23" t="str">
            <v>P-4115</v>
          </cell>
          <cell r="E23">
            <v>6.2E-2</v>
          </cell>
          <cell r="F23">
            <v>0.16800000000000001</v>
          </cell>
          <cell r="I23">
            <v>7.6999999999999999E-2</v>
          </cell>
          <cell r="J23">
            <v>0.497</v>
          </cell>
          <cell r="K23">
            <v>0.1</v>
          </cell>
          <cell r="V23">
            <v>3.0000000000000001E-3</v>
          </cell>
          <cell r="W23">
            <v>2E-3</v>
          </cell>
          <cell r="Y23">
            <v>8.3000000000000004E-2</v>
          </cell>
          <cell r="AB23">
            <v>0.02</v>
          </cell>
          <cell r="AD23">
            <v>3.95E-2</v>
          </cell>
          <cell r="AE23">
            <v>0.27</v>
          </cell>
          <cell r="AF23">
            <v>0.15</v>
          </cell>
          <cell r="AG23">
            <v>5.7750000000000003E-2</v>
          </cell>
          <cell r="AN23">
            <v>800</v>
          </cell>
          <cell r="AO23">
            <v>33.333999999999996</v>
          </cell>
          <cell r="AP23" t="str">
            <v>W-2060</v>
          </cell>
        </row>
        <row r="24">
          <cell r="C24" t="str">
            <v>8-24-16</v>
          </cell>
          <cell r="D24" t="str">
            <v>P-4140</v>
          </cell>
          <cell r="E24">
            <v>9.9000000000000005E-2</v>
          </cell>
          <cell r="F24">
            <v>0.33500000000000002</v>
          </cell>
          <cell r="I24">
            <v>0.11700000000000001</v>
          </cell>
          <cell r="J24">
            <v>0.26500000000000001</v>
          </cell>
          <cell r="K24">
            <v>9.5000000000000001E-2</v>
          </cell>
          <cell r="V24">
            <v>3.0000000000000001E-3</v>
          </cell>
          <cell r="W24">
            <v>2E-3</v>
          </cell>
          <cell r="AB24">
            <v>0.02</v>
          </cell>
          <cell r="AD24">
            <v>3.7499999999999999E-2</v>
          </cell>
          <cell r="AE24">
            <v>0.27</v>
          </cell>
          <cell r="AF24">
            <v>0.15</v>
          </cell>
          <cell r="AG24">
            <v>5.7750000000000003E-2</v>
          </cell>
          <cell r="AN24">
            <v>750</v>
          </cell>
          <cell r="AO24">
            <v>31.25</v>
          </cell>
          <cell r="AP24" t="str">
            <v>W-2320</v>
          </cell>
        </row>
        <row r="25">
          <cell r="C25" t="str">
            <v>4-20-20</v>
          </cell>
          <cell r="D25" t="str">
            <v>P-4131</v>
          </cell>
          <cell r="E25">
            <v>0.05</v>
          </cell>
          <cell r="F25">
            <v>0.14000000000000001</v>
          </cell>
          <cell r="I25">
            <v>7.1999999999999995E-2</v>
          </cell>
          <cell r="J25">
            <v>0.33100000000000002</v>
          </cell>
          <cell r="V25">
            <v>3.0000000000000001E-3</v>
          </cell>
          <cell r="W25">
            <v>2E-3</v>
          </cell>
          <cell r="Y25">
            <v>0.28000000000000003</v>
          </cell>
          <cell r="AB25">
            <v>0.02</v>
          </cell>
          <cell r="AD25">
            <v>3.95E-2</v>
          </cell>
          <cell r="AE25">
            <v>0.27</v>
          </cell>
          <cell r="AF25">
            <v>0.16</v>
          </cell>
          <cell r="AG25">
            <v>6.1600000000000002E-2</v>
          </cell>
          <cell r="AN25">
            <v>800</v>
          </cell>
          <cell r="AO25">
            <v>33.333999999999996</v>
          </cell>
          <cell r="AP25" t="str">
            <v>W-2270</v>
          </cell>
        </row>
        <row r="26">
          <cell r="C26" t="str">
            <v>Worki</v>
          </cell>
          <cell r="R26">
            <v>21</v>
          </cell>
          <cell r="V26">
            <v>3.0000000000000001E-3</v>
          </cell>
          <cell r="W26">
            <v>2E-3</v>
          </cell>
          <cell r="AO26">
            <v>0</v>
          </cell>
        </row>
        <row r="27">
          <cell r="C27" t="str">
            <v>Port</v>
          </cell>
          <cell r="V27">
            <v>3.0000000000000001E-3</v>
          </cell>
          <cell r="W27">
            <v>2E-3</v>
          </cell>
          <cell r="AO27">
            <v>0</v>
          </cell>
        </row>
        <row r="28">
          <cell r="C28" t="str">
            <v>10-15-21</v>
          </cell>
          <cell r="D28" t="str">
            <v>P-4132</v>
          </cell>
          <cell r="E28">
            <v>0.124</v>
          </cell>
          <cell r="F28">
            <v>0.21</v>
          </cell>
          <cell r="I28">
            <v>0.245</v>
          </cell>
          <cell r="J28">
            <v>0.34699999999999998</v>
          </cell>
          <cell r="K28">
            <v>5.5E-2</v>
          </cell>
          <cell r="V28">
            <v>3.0000000000000001E-3</v>
          </cell>
          <cell r="W28">
            <v>2E-3</v>
          </cell>
          <cell r="AD28">
            <v>3.95E-2</v>
          </cell>
          <cell r="AE28">
            <v>0.27</v>
          </cell>
          <cell r="AF28">
            <v>0.15</v>
          </cell>
          <cell r="AG28">
            <v>5.7750000000000003E-2</v>
          </cell>
          <cell r="AN28">
            <v>750</v>
          </cell>
          <cell r="AO28">
            <v>31.25</v>
          </cell>
          <cell r="AP28" t="str">
            <v>W-2210</v>
          </cell>
        </row>
        <row r="29">
          <cell r="C29" t="str">
            <v>PK 11-22</v>
          </cell>
          <cell r="V29">
            <v>3.0000000000000001E-3</v>
          </cell>
          <cell r="W29">
            <v>2E-3</v>
          </cell>
          <cell r="AO29">
            <v>0</v>
          </cell>
        </row>
        <row r="30">
          <cell r="C30" t="str">
            <v>3-12-18</v>
          </cell>
          <cell r="D30" t="str">
            <v>P-4118</v>
          </cell>
          <cell r="E30">
            <v>1.9E-2</v>
          </cell>
          <cell r="J30">
            <v>0.29799999999999999</v>
          </cell>
          <cell r="K30">
            <v>0.2</v>
          </cell>
          <cell r="N30">
            <v>7.1999999999999995E-2</v>
          </cell>
          <cell r="V30">
            <v>3.0000000000000001E-3</v>
          </cell>
          <cell r="W30">
            <v>2E-3</v>
          </cell>
          <cell r="Z30">
            <v>0.40400000000000003</v>
          </cell>
          <cell r="AB30">
            <v>0.02</v>
          </cell>
          <cell r="AD30">
            <v>3.7499999999999999E-2</v>
          </cell>
          <cell r="AE30">
            <v>0.27</v>
          </cell>
          <cell r="AF30">
            <v>0.12</v>
          </cell>
          <cell r="AG30">
            <v>4.6199999999999998E-2</v>
          </cell>
          <cell r="AN30">
            <v>650</v>
          </cell>
          <cell r="AO30">
            <v>27.084</v>
          </cell>
          <cell r="AP30" t="str">
            <v>W-2190</v>
          </cell>
        </row>
        <row r="31">
          <cell r="C31" t="str">
            <v>5-25-6</v>
          </cell>
          <cell r="D31" t="str">
            <v>P-4146</v>
          </cell>
          <cell r="E31">
            <v>5.3999999999999999E-2</v>
          </cell>
          <cell r="F31">
            <v>0.19900000000000001</v>
          </cell>
          <cell r="J31">
            <v>9.9000000000000005E-2</v>
          </cell>
          <cell r="K31">
            <v>0.22</v>
          </cell>
          <cell r="N31">
            <v>0.03</v>
          </cell>
          <cell r="V31">
            <v>2E-3</v>
          </cell>
          <cell r="W31">
            <v>2E-3</v>
          </cell>
          <cell r="Z31">
            <v>0.36199999999999999</v>
          </cell>
          <cell r="AB31">
            <v>0.02</v>
          </cell>
          <cell r="AD31">
            <v>3.95E-2</v>
          </cell>
          <cell r="AE31">
            <v>0.27</v>
          </cell>
          <cell r="AF31">
            <v>9.8000000000000004E-2</v>
          </cell>
          <cell r="AG31">
            <v>4.9399999999999999E-2</v>
          </cell>
          <cell r="AN31">
            <v>650</v>
          </cell>
          <cell r="AO31">
            <v>27.084</v>
          </cell>
          <cell r="AP31" t="str">
            <v>W-2380</v>
          </cell>
        </row>
        <row r="32">
          <cell r="C32" t="str">
            <v>10-20-10</v>
          </cell>
          <cell r="D32" t="str">
            <v>P-4144</v>
          </cell>
          <cell r="E32">
            <v>0.124</v>
          </cell>
          <cell r="F32">
            <v>0.27900000000000003</v>
          </cell>
          <cell r="I32">
            <v>0.23</v>
          </cell>
          <cell r="J32">
            <v>0.16600000000000001</v>
          </cell>
          <cell r="K32">
            <v>0.19500000000000001</v>
          </cell>
          <cell r="V32">
            <v>3.0000000000000001E-3</v>
          </cell>
          <cell r="W32">
            <v>2E-3</v>
          </cell>
          <cell r="AB32">
            <v>0.02</v>
          </cell>
          <cell r="AD32">
            <v>3.95E-2</v>
          </cell>
          <cell r="AE32">
            <v>0.27</v>
          </cell>
          <cell r="AN32">
            <v>750</v>
          </cell>
          <cell r="AO32">
            <v>31.25</v>
          </cell>
          <cell r="AP32" t="str">
            <v>W-2220</v>
          </cell>
        </row>
        <row r="33">
          <cell r="C33" t="str">
            <v>PK 19-19</v>
          </cell>
          <cell r="D33" t="str">
            <v>P-4142</v>
          </cell>
          <cell r="J33">
            <v>0.315</v>
          </cell>
          <cell r="K33">
            <v>0.3</v>
          </cell>
          <cell r="M33">
            <v>0.04</v>
          </cell>
          <cell r="X33">
            <v>0.39600000000000002</v>
          </cell>
          <cell r="AB33">
            <v>0.02</v>
          </cell>
          <cell r="AD33">
            <v>4.3499999999999997E-2</v>
          </cell>
          <cell r="AE33">
            <v>0.27</v>
          </cell>
          <cell r="AF33">
            <v>7.4999999999999997E-2</v>
          </cell>
          <cell r="AG33">
            <v>3.85E-2</v>
          </cell>
          <cell r="AN33">
            <v>600</v>
          </cell>
          <cell r="AO33">
            <v>25</v>
          </cell>
          <cell r="AP33" t="str">
            <v>W-2340</v>
          </cell>
        </row>
        <row r="34">
          <cell r="C34" t="str">
            <v>2-18-18</v>
          </cell>
          <cell r="E34">
            <v>0.02</v>
          </cell>
          <cell r="F34">
            <v>0.13</v>
          </cell>
          <cell r="I34">
            <v>0.16</v>
          </cell>
          <cell r="J34">
            <v>0.30099999999999999</v>
          </cell>
          <cell r="K34">
            <v>0.08</v>
          </cell>
          <cell r="N34">
            <v>2.5000000000000001E-2</v>
          </cell>
          <cell r="Q34">
            <v>0.28589999999999999</v>
          </cell>
          <cell r="AN34">
            <v>600</v>
          </cell>
          <cell r="AO34">
            <v>25</v>
          </cell>
        </row>
        <row r="35">
          <cell r="C35" t="str">
            <v>10-20-20</v>
          </cell>
          <cell r="D35" t="str">
            <v>P-4148</v>
          </cell>
          <cell r="E35">
            <v>0.124</v>
          </cell>
          <cell r="F35">
            <v>0.27900000000000003</v>
          </cell>
          <cell r="I35">
            <v>0.214</v>
          </cell>
          <cell r="J35">
            <v>0.33100000000000002</v>
          </cell>
          <cell r="K35">
            <v>2.5000000000000001E-2</v>
          </cell>
          <cell r="V35">
            <v>3.0000000000000001E-3</v>
          </cell>
          <cell r="W35">
            <v>2E-3</v>
          </cell>
          <cell r="AB35">
            <v>0.02</v>
          </cell>
          <cell r="AD35">
            <v>3.95E-2</v>
          </cell>
          <cell r="AE35">
            <v>0.27</v>
          </cell>
          <cell r="AF35">
            <v>0.156</v>
          </cell>
          <cell r="AG35">
            <v>6.0060000000000002E-2</v>
          </cell>
          <cell r="AN35">
            <v>780</v>
          </cell>
          <cell r="AO35">
            <v>32.5</v>
          </cell>
          <cell r="AP35" t="str">
            <v>W-2400</v>
          </cell>
        </row>
        <row r="36">
          <cell r="C36" t="str">
            <v>12-52</v>
          </cell>
          <cell r="AO36">
            <v>0</v>
          </cell>
        </row>
        <row r="37">
          <cell r="C37" t="str">
            <v>NP 17-17</v>
          </cell>
          <cell r="D37" t="str">
            <v>P-4153</v>
          </cell>
          <cell r="E37">
            <v>0.14899999999999999</v>
          </cell>
          <cell r="F37">
            <v>0.23699999999999999</v>
          </cell>
          <cell r="I37">
            <v>0.187</v>
          </cell>
          <cell r="K37">
            <v>0.152</v>
          </cell>
          <cell r="N37">
            <v>0.248</v>
          </cell>
          <cell r="V37">
            <v>3.0000000000000001E-3</v>
          </cell>
          <cell r="AN37">
            <v>720</v>
          </cell>
          <cell r="AO37">
            <v>30</v>
          </cell>
          <cell r="AP37" t="str">
            <v>W-2440</v>
          </cell>
        </row>
        <row r="38">
          <cell r="C38" t="str">
            <v>5-20-30</v>
          </cell>
          <cell r="D38" t="str">
            <v>P-4151</v>
          </cell>
          <cell r="E38">
            <v>6.8000000000000005E-2</v>
          </cell>
          <cell r="F38">
            <v>0.27900000000000003</v>
          </cell>
          <cell r="I38">
            <v>5.5E-2</v>
          </cell>
          <cell r="J38">
            <v>0.497</v>
          </cell>
          <cell r="K38">
            <v>5.5E-2</v>
          </cell>
          <cell r="V38">
            <v>3.0000000000000001E-3</v>
          </cell>
          <cell r="AB38">
            <v>0.02</v>
          </cell>
          <cell r="AD38">
            <v>3.6499999999999998E-2</v>
          </cell>
          <cell r="AE38">
            <v>0.27</v>
          </cell>
          <cell r="AF38">
            <v>0.19</v>
          </cell>
          <cell r="AG38">
            <v>7.22E-2</v>
          </cell>
          <cell r="AN38">
            <v>850</v>
          </cell>
          <cell r="AO38">
            <v>35.416999999999994</v>
          </cell>
          <cell r="AP38" t="str">
            <v>W-2370</v>
          </cell>
        </row>
        <row r="39">
          <cell r="C39">
            <v>0</v>
          </cell>
          <cell r="AO39">
            <v>0</v>
          </cell>
        </row>
        <row r="40">
          <cell r="C40" t="str">
            <v>postój rem</v>
          </cell>
          <cell r="AO40">
            <v>0</v>
          </cell>
        </row>
        <row r="41">
          <cell r="AO41">
            <v>0</v>
          </cell>
        </row>
        <row r="42">
          <cell r="AO42">
            <v>0</v>
          </cell>
        </row>
        <row r="43">
          <cell r="AO43">
            <v>0</v>
          </cell>
        </row>
        <row r="44">
          <cell r="AO44">
            <v>0</v>
          </cell>
        </row>
        <row r="45">
          <cell r="AO45">
            <v>0</v>
          </cell>
        </row>
        <row r="46">
          <cell r="AO46">
            <v>0</v>
          </cell>
        </row>
        <row r="47">
          <cell r="AO47">
            <v>0</v>
          </cell>
        </row>
        <row r="48">
          <cell r="AO48">
            <v>0</v>
          </cell>
        </row>
        <row r="49">
          <cell r="AO49">
            <v>0</v>
          </cell>
        </row>
        <row r="50">
          <cell r="AO50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pl_sp_v1"/>
      <sheetName val="pl_sp_01"/>
      <sheetName val="pl_sp_02"/>
      <sheetName val="pl_sp_03"/>
      <sheetName val="pl_sp_04"/>
      <sheetName val="pl_sp_05"/>
      <sheetName val="pl_sp_06"/>
      <sheetName val="pl_sp_07"/>
      <sheetName val="pl_sp_08"/>
      <sheetName val="pl_sp_09"/>
      <sheetName val="pl_sp_10"/>
      <sheetName val="pl_sp_11"/>
      <sheetName val="pl_sp_12"/>
      <sheetName val="Pl_Sp_Chm6"/>
    </sheetNames>
    <sheetDataSet>
      <sheetData sheetId="0" refreshError="1"/>
      <sheetData sheetId="1" refreshError="1">
        <row r="7">
          <cell r="A7" t="str">
            <v>Amoniak</v>
          </cell>
          <cell r="B7">
            <v>10</v>
          </cell>
          <cell r="C7">
            <v>0</v>
          </cell>
          <cell r="E7">
            <v>0</v>
          </cell>
          <cell r="F7">
            <v>20000</v>
          </cell>
          <cell r="G7">
            <v>20010</v>
          </cell>
          <cell r="H7">
            <v>1</v>
          </cell>
          <cell r="I7">
            <v>0</v>
          </cell>
        </row>
        <row r="8">
          <cell r="A8" t="str">
            <v>H3PO4 A_odfluor</v>
          </cell>
          <cell r="B8">
            <v>0</v>
          </cell>
          <cell r="C8">
            <v>0</v>
          </cell>
          <cell r="E8">
            <v>0</v>
          </cell>
          <cell r="G8">
            <v>0</v>
          </cell>
          <cell r="H8">
            <v>1</v>
          </cell>
          <cell r="I8">
            <v>1</v>
          </cell>
        </row>
        <row r="9">
          <cell r="A9" t="str">
            <v>H3PO4 J_odfluor</v>
          </cell>
          <cell r="B9">
            <v>200</v>
          </cell>
          <cell r="C9">
            <v>0</v>
          </cell>
          <cell r="E9">
            <v>275</v>
          </cell>
          <cell r="G9">
            <v>475</v>
          </cell>
          <cell r="H9">
            <v>1</v>
          </cell>
          <cell r="I9">
            <v>1</v>
          </cell>
        </row>
        <row r="10">
          <cell r="A10" t="str">
            <v>FeSO4 Świeży</v>
          </cell>
          <cell r="B10">
            <v>5940</v>
          </cell>
          <cell r="C10">
            <v>659.99999999999989</v>
          </cell>
          <cell r="E10">
            <v>0</v>
          </cell>
          <cell r="F10">
            <v>0</v>
          </cell>
          <cell r="G10">
            <v>6600</v>
          </cell>
          <cell r="H10">
            <v>0.9</v>
          </cell>
          <cell r="I10">
            <v>0</v>
          </cell>
        </row>
        <row r="11">
          <cell r="A11" t="str">
            <v>FeSO4 Suszony</v>
          </cell>
          <cell r="B11">
            <v>400</v>
          </cell>
          <cell r="C11">
            <v>0</v>
          </cell>
          <cell r="E11">
            <v>400</v>
          </cell>
          <cell r="F11">
            <v>0</v>
          </cell>
          <cell r="G11">
            <v>800</v>
          </cell>
          <cell r="H11">
            <v>1</v>
          </cell>
          <cell r="I11">
            <v>1</v>
          </cell>
        </row>
        <row r="12">
          <cell r="A12" t="str">
            <v>FeSO4 Stary</v>
          </cell>
          <cell r="B12">
            <v>0</v>
          </cell>
          <cell r="C12">
            <v>0</v>
          </cell>
          <cell r="E12">
            <v>0</v>
          </cell>
          <cell r="F12">
            <v>3000</v>
          </cell>
          <cell r="G12">
            <v>3000</v>
          </cell>
          <cell r="H12">
            <v>1</v>
          </cell>
        </row>
        <row r="13">
          <cell r="A13" t="str">
            <v>H2SO4</v>
          </cell>
          <cell r="B13">
            <v>810</v>
          </cell>
          <cell r="C13">
            <v>0</v>
          </cell>
          <cell r="E13">
            <v>0</v>
          </cell>
          <cell r="F13">
            <v>2000</v>
          </cell>
          <cell r="G13">
            <v>2810</v>
          </cell>
          <cell r="H13">
            <v>1</v>
          </cell>
          <cell r="I13">
            <v>0</v>
          </cell>
        </row>
        <row r="14">
          <cell r="A14" t="str">
            <v>Na2SiF6</v>
          </cell>
          <cell r="B14">
            <v>10</v>
          </cell>
          <cell r="C14">
            <v>0</v>
          </cell>
          <cell r="F14">
            <v>100</v>
          </cell>
          <cell r="G14">
            <v>110</v>
          </cell>
          <cell r="H14">
            <v>1</v>
          </cell>
          <cell r="I14">
            <v>0</v>
          </cell>
        </row>
        <row r="15">
          <cell r="A15" t="str">
            <v>H2SiF6</v>
          </cell>
          <cell r="B15">
            <v>120</v>
          </cell>
          <cell r="C15">
            <v>0</v>
          </cell>
          <cell r="E15">
            <v>0</v>
          </cell>
          <cell r="F15">
            <v>0</v>
          </cell>
          <cell r="G15">
            <v>120</v>
          </cell>
          <cell r="H15">
            <v>1</v>
          </cell>
          <cell r="I15">
            <v>0</v>
          </cell>
        </row>
        <row r="16">
          <cell r="A16" t="str">
            <v>Fosfogips</v>
          </cell>
          <cell r="B16">
            <v>0</v>
          </cell>
          <cell r="C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</row>
        <row r="17">
          <cell r="A17" t="str">
            <v>H3PO4 MAP</v>
          </cell>
          <cell r="B17">
            <v>0</v>
          </cell>
          <cell r="C17">
            <v>120</v>
          </cell>
          <cell r="E17">
            <v>0</v>
          </cell>
          <cell r="F17">
            <v>0</v>
          </cell>
          <cell r="G17">
            <v>120</v>
          </cell>
          <cell r="H17">
            <v>0</v>
          </cell>
          <cell r="I17">
            <v>0</v>
          </cell>
        </row>
        <row r="18">
          <cell r="A18" t="str">
            <v>H2SO4 usługa</v>
          </cell>
          <cell r="B18">
            <v>0</v>
          </cell>
          <cell r="C18">
            <v>0</v>
          </cell>
          <cell r="E18">
            <v>1000</v>
          </cell>
          <cell r="F18">
            <v>0</v>
          </cell>
          <cell r="G18">
            <v>1000</v>
          </cell>
          <cell r="H18">
            <v>0</v>
          </cell>
          <cell r="I1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Formuły"/>
      <sheetName val="PA"/>
      <sheetName val="KF"/>
      <sheetName val="KF_sur"/>
      <sheetName val="PB"/>
      <sheetName val="FN_sur"/>
      <sheetName val="NP"/>
      <sheetName val="NPK1"/>
      <sheetName val="NPK2"/>
      <sheetName val="MAP"/>
      <sheetName val="PS"/>
      <sheetName val="Woda"/>
      <sheetName val="EW"/>
      <sheetName val="TOS"/>
      <sheetName val="EC"/>
      <sheetName val="FeSO4"/>
      <sheetName val="Palety"/>
      <sheetName val="BigBag"/>
      <sheetName val="Wydruk testowy"/>
      <sheetName val="Wydruk_testowy"/>
      <sheetName val="Wydruk_testowy1"/>
    </sheetNames>
    <sheetDataSet>
      <sheetData sheetId="0"/>
      <sheetData sheetId="1">
        <row r="2">
          <cell r="B2" t="str">
            <v xml:space="preserve">                                                                                                             Amoniak</v>
          </cell>
          <cell r="D2" t="str">
            <v>NH3</v>
          </cell>
          <cell r="I2" t="str">
            <v>Amoniak</v>
          </cell>
          <cell r="R2" t="str">
            <v>Mocznik</v>
          </cell>
          <cell r="W2" t="str">
            <v>Mocznik PL</v>
          </cell>
          <cell r="AE2" t="str">
            <v>P-3010</v>
          </cell>
          <cell r="AH2" t="str">
            <v>Distarpol</v>
          </cell>
          <cell r="AL2" t="str">
            <v>Środek powlekający mocznik</v>
          </cell>
          <cell r="AO2" t="str">
            <v>Gaz</v>
          </cell>
        </row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  <cell r="T6">
            <v>20</v>
          </cell>
          <cell r="U6">
            <v>21</v>
          </cell>
          <cell r="V6">
            <v>22</v>
          </cell>
          <cell r="W6">
            <v>23</v>
          </cell>
          <cell r="X6">
            <v>24</v>
          </cell>
          <cell r="Y6">
            <v>25</v>
          </cell>
          <cell r="Z6">
            <v>26</v>
          </cell>
          <cell r="AA6">
            <v>27</v>
          </cell>
          <cell r="AB6">
            <v>28</v>
          </cell>
          <cell r="AC6">
            <v>29</v>
          </cell>
          <cell r="AD6">
            <v>30</v>
          </cell>
          <cell r="AE6">
            <v>31</v>
          </cell>
          <cell r="AF6">
            <v>32</v>
          </cell>
          <cell r="AG6">
            <v>33</v>
          </cell>
          <cell r="AH6">
            <v>34</v>
          </cell>
          <cell r="AI6">
            <v>35</v>
          </cell>
          <cell r="AJ6">
            <v>36</v>
          </cell>
          <cell r="AK6">
            <v>37</v>
          </cell>
          <cell r="AL6">
            <v>38</v>
          </cell>
          <cell r="AM6">
            <v>39</v>
          </cell>
          <cell r="AN6">
            <v>40</v>
          </cell>
          <cell r="AO6">
            <v>41</v>
          </cell>
          <cell r="AP6">
            <v>42</v>
          </cell>
        </row>
        <row r="7">
          <cell r="A7">
            <v>39814</v>
          </cell>
          <cell r="B7">
            <v>818.1</v>
          </cell>
          <cell r="C7">
            <v>0</v>
          </cell>
          <cell r="D7">
            <v>818.1</v>
          </cell>
          <cell r="F7">
            <v>678.6</v>
          </cell>
          <cell r="G7">
            <v>0</v>
          </cell>
          <cell r="H7">
            <v>14.4</v>
          </cell>
          <cell r="I7">
            <v>0</v>
          </cell>
          <cell r="J7">
            <v>0</v>
          </cell>
          <cell r="K7">
            <v>56.5</v>
          </cell>
          <cell r="L7">
            <v>749.5</v>
          </cell>
          <cell r="P7">
            <v>0</v>
          </cell>
          <cell r="Q7">
            <v>14209</v>
          </cell>
          <cell r="R7">
            <v>1144</v>
          </cell>
          <cell r="S7">
            <v>1144</v>
          </cell>
          <cell r="X7">
            <v>274</v>
          </cell>
          <cell r="AB7">
            <v>224</v>
          </cell>
          <cell r="AC7">
            <v>2400</v>
          </cell>
          <cell r="AK7">
            <v>1269</v>
          </cell>
          <cell r="AM7">
            <v>1</v>
          </cell>
          <cell r="AN7">
            <v>18</v>
          </cell>
          <cell r="AO7">
            <v>758.84100000000001</v>
          </cell>
          <cell r="AP7" t="str">
            <v>M.Trzaskalski</v>
          </cell>
        </row>
        <row r="8">
          <cell r="A8">
            <v>39815</v>
          </cell>
          <cell r="B8">
            <v>818.1</v>
          </cell>
          <cell r="C8">
            <v>0</v>
          </cell>
          <cell r="D8">
            <v>818.1</v>
          </cell>
          <cell r="F8">
            <v>678.7</v>
          </cell>
          <cell r="G8">
            <v>0</v>
          </cell>
          <cell r="H8">
            <v>14.8</v>
          </cell>
          <cell r="I8">
            <v>0</v>
          </cell>
          <cell r="J8">
            <v>0</v>
          </cell>
          <cell r="K8">
            <v>0</v>
          </cell>
          <cell r="L8">
            <v>693.5</v>
          </cell>
          <cell r="P8">
            <v>0</v>
          </cell>
          <cell r="Q8">
            <v>14343</v>
          </cell>
          <cell r="R8">
            <v>1146</v>
          </cell>
          <cell r="S8">
            <v>1146</v>
          </cell>
          <cell r="W8">
            <v>677.26199999999994</v>
          </cell>
          <cell r="AB8">
            <v>350</v>
          </cell>
          <cell r="AC8">
            <v>2415</v>
          </cell>
          <cell r="AK8">
            <v>1269</v>
          </cell>
          <cell r="AM8">
            <v>1</v>
          </cell>
          <cell r="AN8">
            <v>17</v>
          </cell>
          <cell r="AO8">
            <v>757.96799999999996</v>
          </cell>
          <cell r="AP8" t="str">
            <v>M.Trzaskalski</v>
          </cell>
        </row>
        <row r="9">
          <cell r="A9">
            <v>39816</v>
          </cell>
          <cell r="B9">
            <v>761.1</v>
          </cell>
          <cell r="C9">
            <v>0</v>
          </cell>
          <cell r="D9">
            <v>761.1</v>
          </cell>
          <cell r="F9">
            <v>571.70000000000005</v>
          </cell>
          <cell r="G9">
            <v>40</v>
          </cell>
          <cell r="H9">
            <v>13.2</v>
          </cell>
          <cell r="I9">
            <v>0</v>
          </cell>
          <cell r="J9">
            <v>0</v>
          </cell>
          <cell r="K9">
            <v>0</v>
          </cell>
          <cell r="L9">
            <v>624.90000000000009</v>
          </cell>
          <cell r="P9">
            <v>0</v>
          </cell>
          <cell r="Q9">
            <v>14505</v>
          </cell>
          <cell r="R9">
            <v>964</v>
          </cell>
          <cell r="S9">
            <v>964</v>
          </cell>
          <cell r="Y9">
            <v>765</v>
          </cell>
          <cell r="AB9">
            <v>370</v>
          </cell>
          <cell r="AC9">
            <v>2240</v>
          </cell>
          <cell r="AK9">
            <v>1269</v>
          </cell>
          <cell r="AM9">
            <v>1</v>
          </cell>
          <cell r="AN9">
            <v>16</v>
          </cell>
          <cell r="AO9">
            <v>741.17399999999998</v>
          </cell>
          <cell r="AP9" t="str">
            <v>M.Trzaskalski</v>
          </cell>
        </row>
        <row r="10">
          <cell r="A10">
            <v>39817</v>
          </cell>
          <cell r="B10">
            <v>725.2</v>
          </cell>
          <cell r="C10">
            <v>0</v>
          </cell>
          <cell r="D10">
            <v>725.2</v>
          </cell>
          <cell r="F10">
            <v>535.9</v>
          </cell>
          <cell r="G10">
            <v>28</v>
          </cell>
          <cell r="H10">
            <v>13.4</v>
          </cell>
          <cell r="I10">
            <v>0</v>
          </cell>
          <cell r="J10">
            <v>0</v>
          </cell>
          <cell r="K10">
            <v>0</v>
          </cell>
          <cell r="L10">
            <v>577.29999999999995</v>
          </cell>
          <cell r="P10">
            <v>0</v>
          </cell>
          <cell r="Q10">
            <v>14606</v>
          </cell>
          <cell r="R10">
            <v>904</v>
          </cell>
          <cell r="S10">
            <v>904</v>
          </cell>
          <cell r="Y10">
            <v>619.29999999999995</v>
          </cell>
          <cell r="AB10">
            <v>270</v>
          </cell>
          <cell r="AC10">
            <v>2250</v>
          </cell>
          <cell r="AK10">
            <v>1269</v>
          </cell>
          <cell r="AM10">
            <v>1</v>
          </cell>
          <cell r="AN10">
            <v>15</v>
          </cell>
          <cell r="AO10">
            <v>687.09799999999996</v>
          </cell>
          <cell r="AP10" t="str">
            <v>M.Trzaskalski</v>
          </cell>
        </row>
        <row r="11">
          <cell r="A11">
            <v>39818</v>
          </cell>
          <cell r="B11">
            <v>804</v>
          </cell>
          <cell r="C11">
            <v>0</v>
          </cell>
          <cell r="D11">
            <v>804</v>
          </cell>
          <cell r="F11">
            <v>679</v>
          </cell>
          <cell r="G11">
            <v>0</v>
          </cell>
          <cell r="H11">
            <v>10.7</v>
          </cell>
          <cell r="I11">
            <v>0</v>
          </cell>
          <cell r="J11">
            <v>0</v>
          </cell>
          <cell r="K11">
            <v>0</v>
          </cell>
          <cell r="L11">
            <v>689.7</v>
          </cell>
          <cell r="P11">
            <v>0</v>
          </cell>
          <cell r="Q11">
            <v>14767</v>
          </cell>
          <cell r="R11">
            <v>1145</v>
          </cell>
          <cell r="S11">
            <v>1145</v>
          </cell>
          <cell r="U11">
            <v>456</v>
          </cell>
          <cell r="AB11">
            <v>230</v>
          </cell>
          <cell r="AC11">
            <v>3600</v>
          </cell>
          <cell r="AK11">
            <v>1269</v>
          </cell>
          <cell r="AM11">
            <v>1</v>
          </cell>
          <cell r="AN11">
            <v>14</v>
          </cell>
          <cell r="AO11">
            <v>718.39099999999996</v>
          </cell>
          <cell r="AP11" t="str">
            <v>M.Trzaskalski</v>
          </cell>
        </row>
        <row r="12">
          <cell r="A12">
            <v>39819</v>
          </cell>
          <cell r="B12">
            <v>813</v>
          </cell>
          <cell r="C12">
            <v>0</v>
          </cell>
          <cell r="D12">
            <v>813</v>
          </cell>
          <cell r="F12">
            <v>686.9</v>
          </cell>
          <cell r="G12">
            <v>0</v>
          </cell>
          <cell r="H12">
            <v>14.3</v>
          </cell>
          <cell r="I12">
            <v>0</v>
          </cell>
          <cell r="J12">
            <v>0</v>
          </cell>
          <cell r="K12">
            <v>6.2</v>
          </cell>
          <cell r="L12">
            <v>707.4</v>
          </cell>
          <cell r="P12">
            <v>0</v>
          </cell>
          <cell r="Q12">
            <v>14685</v>
          </cell>
          <cell r="R12">
            <v>1158</v>
          </cell>
          <cell r="S12">
            <v>1158</v>
          </cell>
          <cell r="U12">
            <v>72</v>
          </cell>
          <cell r="AB12">
            <v>195</v>
          </cell>
          <cell r="AC12">
            <v>4500</v>
          </cell>
          <cell r="AK12">
            <v>1269</v>
          </cell>
          <cell r="AM12">
            <v>0</v>
          </cell>
          <cell r="AN12">
            <v>14</v>
          </cell>
          <cell r="AO12">
            <v>750.07100000000003</v>
          </cell>
          <cell r="AP12" t="str">
            <v>M.Trzaskalski</v>
          </cell>
        </row>
        <row r="13">
          <cell r="A13">
            <v>39820</v>
          </cell>
          <cell r="B13">
            <v>809</v>
          </cell>
          <cell r="C13">
            <v>0</v>
          </cell>
          <cell r="D13">
            <v>809</v>
          </cell>
          <cell r="F13">
            <v>680.8</v>
          </cell>
          <cell r="G13">
            <v>0</v>
          </cell>
          <cell r="H13">
            <v>20.3</v>
          </cell>
          <cell r="I13">
            <v>0</v>
          </cell>
          <cell r="J13">
            <v>0</v>
          </cell>
          <cell r="K13">
            <v>3.1</v>
          </cell>
          <cell r="L13">
            <v>704.19999999999993</v>
          </cell>
          <cell r="P13">
            <v>0</v>
          </cell>
          <cell r="Q13">
            <v>14971</v>
          </cell>
          <cell r="R13">
            <v>1148</v>
          </cell>
          <cell r="S13">
            <v>1148</v>
          </cell>
          <cell r="U13">
            <v>427</v>
          </cell>
          <cell r="W13">
            <v>644.221</v>
          </cell>
          <cell r="Y13">
            <v>476.5</v>
          </cell>
          <cell r="AB13">
            <v>207</v>
          </cell>
          <cell r="AC13">
            <v>3900</v>
          </cell>
          <cell r="AK13">
            <v>1268</v>
          </cell>
          <cell r="AL13">
            <v>40</v>
          </cell>
          <cell r="AM13">
            <v>1</v>
          </cell>
          <cell r="AN13">
            <v>53</v>
          </cell>
          <cell r="AO13">
            <v>744.18600000000004</v>
          </cell>
          <cell r="AP13" t="str">
            <v>M.Trzaskalski</v>
          </cell>
        </row>
        <row r="14">
          <cell r="A14">
            <v>39821</v>
          </cell>
          <cell r="B14">
            <v>811</v>
          </cell>
          <cell r="C14">
            <v>0</v>
          </cell>
          <cell r="D14">
            <v>811</v>
          </cell>
          <cell r="F14">
            <v>686.9</v>
          </cell>
          <cell r="G14">
            <v>0</v>
          </cell>
          <cell r="H14">
            <v>1.1000000000000001</v>
          </cell>
          <cell r="I14">
            <v>0</v>
          </cell>
          <cell r="J14">
            <v>0</v>
          </cell>
          <cell r="K14">
            <v>6.4</v>
          </cell>
          <cell r="L14">
            <v>694.4</v>
          </cell>
          <cell r="P14">
            <v>0</v>
          </cell>
          <cell r="Q14">
            <v>15088</v>
          </cell>
          <cell r="R14">
            <v>1158</v>
          </cell>
          <cell r="S14">
            <v>1158</v>
          </cell>
          <cell r="U14">
            <v>403</v>
          </cell>
          <cell r="Y14">
            <v>794</v>
          </cell>
          <cell r="AB14">
            <v>50</v>
          </cell>
          <cell r="AC14">
            <v>3900</v>
          </cell>
          <cell r="AK14">
            <v>1268</v>
          </cell>
          <cell r="AM14">
            <v>1</v>
          </cell>
          <cell r="AN14">
            <v>52</v>
          </cell>
          <cell r="AO14">
            <v>745.05200000000002</v>
          </cell>
          <cell r="AP14" t="str">
            <v>P.Witkowski</v>
          </cell>
        </row>
        <row r="15">
          <cell r="A15">
            <v>39822</v>
          </cell>
          <cell r="B15">
            <v>666</v>
          </cell>
          <cell r="C15">
            <v>0</v>
          </cell>
          <cell r="D15">
            <v>666</v>
          </cell>
          <cell r="F15">
            <v>564</v>
          </cell>
          <cell r="G15">
            <v>54</v>
          </cell>
          <cell r="H15">
            <v>21</v>
          </cell>
          <cell r="I15">
            <v>0</v>
          </cell>
          <cell r="J15">
            <v>0</v>
          </cell>
          <cell r="K15">
            <v>8.3000000000000007</v>
          </cell>
          <cell r="L15">
            <v>647.29999999999995</v>
          </cell>
          <cell r="M15">
            <v>2.68</v>
          </cell>
          <cell r="P15">
            <v>2.68</v>
          </cell>
          <cell r="Q15">
            <v>15100</v>
          </cell>
          <cell r="R15">
            <v>951</v>
          </cell>
          <cell r="S15">
            <v>951</v>
          </cell>
          <cell r="U15">
            <v>877</v>
          </cell>
          <cell r="W15">
            <v>660.09</v>
          </cell>
          <cell r="Y15">
            <v>163.5</v>
          </cell>
          <cell r="AA15">
            <v>1842.0450000000001</v>
          </cell>
          <cell r="AC15">
            <v>1290</v>
          </cell>
          <cell r="AK15">
            <v>1268</v>
          </cell>
          <cell r="AM15">
            <v>3</v>
          </cell>
          <cell r="AN15">
            <v>49</v>
          </cell>
          <cell r="AO15">
            <v>743.85</v>
          </cell>
          <cell r="AP15" t="str">
            <v>M.Szwyd</v>
          </cell>
        </row>
        <row r="16">
          <cell r="A16">
            <v>39823</v>
          </cell>
          <cell r="B16">
            <v>0</v>
          </cell>
          <cell r="C16">
            <v>0</v>
          </cell>
          <cell r="D16">
            <v>0</v>
          </cell>
          <cell r="F16">
            <v>0</v>
          </cell>
          <cell r="G16">
            <v>58</v>
          </cell>
          <cell r="H16">
            <v>25</v>
          </cell>
          <cell r="I16">
            <v>0</v>
          </cell>
          <cell r="J16">
            <v>0</v>
          </cell>
          <cell r="K16">
            <v>8.6</v>
          </cell>
          <cell r="L16">
            <v>91.6</v>
          </cell>
          <cell r="P16">
            <v>0</v>
          </cell>
          <cell r="Q16">
            <v>15014</v>
          </cell>
          <cell r="R16">
            <v>0</v>
          </cell>
          <cell r="S16">
            <v>0</v>
          </cell>
          <cell r="U16">
            <v>180</v>
          </cell>
          <cell r="AC16">
            <v>1100</v>
          </cell>
          <cell r="AK16">
            <v>1268</v>
          </cell>
          <cell r="AM16">
            <v>0</v>
          </cell>
          <cell r="AN16">
            <v>49</v>
          </cell>
          <cell r="AO16">
            <v>121.79900000000001</v>
          </cell>
          <cell r="AP16" t="str">
            <v>M.Szwyd</v>
          </cell>
        </row>
        <row r="17">
          <cell r="A17">
            <v>39824</v>
          </cell>
          <cell r="B17">
            <v>0</v>
          </cell>
          <cell r="C17">
            <v>0</v>
          </cell>
          <cell r="D17">
            <v>0</v>
          </cell>
          <cell r="F17">
            <v>0</v>
          </cell>
          <cell r="G17">
            <v>0</v>
          </cell>
          <cell r="H17">
            <v>29</v>
          </cell>
          <cell r="I17">
            <v>0</v>
          </cell>
          <cell r="J17">
            <v>0</v>
          </cell>
          <cell r="K17">
            <v>8.4</v>
          </cell>
          <cell r="L17">
            <v>37.4</v>
          </cell>
          <cell r="P17">
            <v>0</v>
          </cell>
          <cell r="Q17">
            <v>14977</v>
          </cell>
          <cell r="R17">
            <v>0</v>
          </cell>
          <cell r="S17">
            <v>0</v>
          </cell>
          <cell r="U17">
            <v>48</v>
          </cell>
          <cell r="AB17">
            <v>330</v>
          </cell>
          <cell r="AC17">
            <v>700</v>
          </cell>
          <cell r="AK17">
            <v>1268</v>
          </cell>
          <cell r="AM17">
            <v>0</v>
          </cell>
          <cell r="AN17">
            <v>49</v>
          </cell>
          <cell r="AO17">
            <v>31.748000000000001</v>
          </cell>
          <cell r="AP17" t="str">
            <v>M.Szwyd</v>
          </cell>
        </row>
        <row r="18">
          <cell r="A18">
            <v>39825</v>
          </cell>
          <cell r="B18">
            <v>74</v>
          </cell>
          <cell r="C18">
            <v>0</v>
          </cell>
          <cell r="D18">
            <v>74</v>
          </cell>
          <cell r="F18">
            <v>0</v>
          </cell>
          <cell r="G18">
            <v>0</v>
          </cell>
          <cell r="H18">
            <v>3.5</v>
          </cell>
          <cell r="I18">
            <v>0</v>
          </cell>
          <cell r="J18">
            <v>0</v>
          </cell>
          <cell r="K18">
            <v>20.100000000000001</v>
          </cell>
          <cell r="L18">
            <v>23.6</v>
          </cell>
          <cell r="O18">
            <v>18.399999999999999</v>
          </cell>
          <cell r="P18">
            <v>18.399999999999999</v>
          </cell>
          <cell r="Q18">
            <v>14972</v>
          </cell>
          <cell r="R18">
            <v>0</v>
          </cell>
          <cell r="S18">
            <v>0</v>
          </cell>
          <cell r="U18">
            <v>24</v>
          </cell>
          <cell r="AB18">
            <v>0</v>
          </cell>
          <cell r="AC18">
            <v>500</v>
          </cell>
          <cell r="AK18">
            <v>1268</v>
          </cell>
          <cell r="AM18">
            <v>0</v>
          </cell>
          <cell r="AN18">
            <v>49</v>
          </cell>
          <cell r="AO18">
            <v>364.70100000000002</v>
          </cell>
          <cell r="AP18" t="str">
            <v>B.Bronicki</v>
          </cell>
        </row>
        <row r="19">
          <cell r="A19">
            <v>39826</v>
          </cell>
          <cell r="B19">
            <v>684</v>
          </cell>
          <cell r="C19">
            <v>0</v>
          </cell>
          <cell r="D19">
            <v>684</v>
          </cell>
          <cell r="F19">
            <v>396.5</v>
          </cell>
          <cell r="G19">
            <v>0</v>
          </cell>
          <cell r="H19">
            <v>3.6</v>
          </cell>
          <cell r="I19">
            <v>0</v>
          </cell>
          <cell r="J19">
            <v>0</v>
          </cell>
          <cell r="K19">
            <v>5.7</v>
          </cell>
          <cell r="L19">
            <v>405.8</v>
          </cell>
          <cell r="M19">
            <v>0.44</v>
          </cell>
          <cell r="P19">
            <v>0.44</v>
          </cell>
          <cell r="Q19">
            <v>15176</v>
          </cell>
          <cell r="R19">
            <v>558</v>
          </cell>
          <cell r="S19">
            <v>558</v>
          </cell>
          <cell r="Y19">
            <v>193.5</v>
          </cell>
          <cell r="AB19">
            <v>0</v>
          </cell>
          <cell r="AC19">
            <v>860</v>
          </cell>
          <cell r="AK19">
            <v>1268</v>
          </cell>
          <cell r="AM19">
            <v>1</v>
          </cell>
          <cell r="AN19">
            <v>48</v>
          </cell>
          <cell r="AO19">
            <v>626.78399999999999</v>
          </cell>
          <cell r="AP19" t="str">
            <v>B.Bronicki</v>
          </cell>
        </row>
        <row r="20">
          <cell r="A20">
            <v>39827</v>
          </cell>
          <cell r="B20">
            <v>785.3</v>
          </cell>
          <cell r="C20">
            <v>0</v>
          </cell>
          <cell r="D20">
            <v>785.3</v>
          </cell>
          <cell r="F20">
            <v>666.6</v>
          </cell>
          <cell r="G20">
            <v>49</v>
          </cell>
          <cell r="H20">
            <v>0.5</v>
          </cell>
          <cell r="I20">
            <v>0</v>
          </cell>
          <cell r="J20">
            <v>0</v>
          </cell>
          <cell r="K20">
            <v>0</v>
          </cell>
          <cell r="L20">
            <v>716.1</v>
          </cell>
          <cell r="M20">
            <v>787.52</v>
          </cell>
          <cell r="P20">
            <v>787.52</v>
          </cell>
          <cell r="Q20">
            <v>14556</v>
          </cell>
          <cell r="R20">
            <v>1124</v>
          </cell>
          <cell r="S20">
            <v>1124</v>
          </cell>
          <cell r="U20">
            <v>636</v>
          </cell>
          <cell r="Y20">
            <v>461</v>
          </cell>
          <cell r="Z20">
            <v>25.98</v>
          </cell>
          <cell r="AB20">
            <v>0</v>
          </cell>
          <cell r="AC20">
            <v>800</v>
          </cell>
          <cell r="AK20">
            <v>1268</v>
          </cell>
          <cell r="AM20">
            <v>1</v>
          </cell>
          <cell r="AN20">
            <v>47</v>
          </cell>
          <cell r="AO20">
            <v>719.83600000000001</v>
          </cell>
          <cell r="AP20" t="str">
            <v>B.Bronicki</v>
          </cell>
        </row>
        <row r="21">
          <cell r="A21">
            <v>39828</v>
          </cell>
          <cell r="B21">
            <v>798</v>
          </cell>
          <cell r="C21">
            <v>0</v>
          </cell>
          <cell r="D21">
            <v>798</v>
          </cell>
          <cell r="F21">
            <v>683.9</v>
          </cell>
          <cell r="G21">
            <v>21</v>
          </cell>
          <cell r="H21">
            <v>0</v>
          </cell>
          <cell r="I21">
            <v>0</v>
          </cell>
          <cell r="J21">
            <v>0</v>
          </cell>
          <cell r="K21">
            <v>27.7</v>
          </cell>
          <cell r="L21">
            <v>732.6</v>
          </cell>
          <cell r="M21">
            <v>21.6</v>
          </cell>
          <cell r="P21">
            <v>21.6</v>
          </cell>
          <cell r="Q21">
            <v>14596</v>
          </cell>
          <cell r="R21">
            <v>1153</v>
          </cell>
          <cell r="S21">
            <v>1153</v>
          </cell>
          <cell r="U21">
            <v>756</v>
          </cell>
          <cell r="Y21">
            <v>327.5</v>
          </cell>
          <cell r="AC21">
            <v>900</v>
          </cell>
          <cell r="AK21">
            <v>1268</v>
          </cell>
          <cell r="AM21">
            <v>2</v>
          </cell>
          <cell r="AN21">
            <v>45</v>
          </cell>
          <cell r="AO21">
            <v>755.47699999999998</v>
          </cell>
          <cell r="AP21" t="str">
            <v>M.Karlewski</v>
          </cell>
        </row>
        <row r="22">
          <cell r="A22">
            <v>39829</v>
          </cell>
          <cell r="B22">
            <v>798</v>
          </cell>
          <cell r="C22">
            <v>0</v>
          </cell>
          <cell r="D22">
            <v>798</v>
          </cell>
          <cell r="F22">
            <v>685.1</v>
          </cell>
          <cell r="G22">
            <v>0</v>
          </cell>
          <cell r="H22">
            <v>14</v>
          </cell>
          <cell r="I22">
            <v>0</v>
          </cell>
          <cell r="J22">
            <v>0</v>
          </cell>
          <cell r="K22">
            <v>48.5</v>
          </cell>
          <cell r="L22">
            <v>747.6</v>
          </cell>
          <cell r="P22">
            <v>0</v>
          </cell>
          <cell r="Q22">
            <v>14623</v>
          </cell>
          <cell r="R22">
            <v>1155</v>
          </cell>
          <cell r="S22">
            <v>1155</v>
          </cell>
          <cell r="U22">
            <v>726</v>
          </cell>
          <cell r="Y22">
            <v>64.5</v>
          </cell>
          <cell r="AB22">
            <v>90</v>
          </cell>
          <cell r="AC22">
            <v>1150</v>
          </cell>
          <cell r="AK22">
            <v>1268</v>
          </cell>
          <cell r="AM22">
            <v>3</v>
          </cell>
          <cell r="AN22">
            <v>42</v>
          </cell>
          <cell r="AO22">
            <v>756.86900000000003</v>
          </cell>
          <cell r="AP22" t="str">
            <v>P.Witkowski</v>
          </cell>
        </row>
        <row r="23">
          <cell r="A23">
            <v>39830</v>
          </cell>
          <cell r="B23">
            <v>797</v>
          </cell>
          <cell r="C23">
            <v>0</v>
          </cell>
          <cell r="D23">
            <v>797</v>
          </cell>
          <cell r="F23">
            <v>686.2</v>
          </cell>
          <cell r="G23">
            <v>0</v>
          </cell>
          <cell r="H23">
            <v>14</v>
          </cell>
          <cell r="I23">
            <v>0</v>
          </cell>
          <cell r="J23">
            <v>0</v>
          </cell>
          <cell r="K23">
            <v>62.8</v>
          </cell>
          <cell r="L23">
            <v>763</v>
          </cell>
          <cell r="P23">
            <v>0</v>
          </cell>
          <cell r="Q23">
            <v>14649</v>
          </cell>
          <cell r="R23">
            <v>1158</v>
          </cell>
          <cell r="S23">
            <v>1158</v>
          </cell>
          <cell r="U23">
            <v>336</v>
          </cell>
          <cell r="X23">
            <v>522</v>
          </cell>
          <cell r="AB23">
            <v>80</v>
          </cell>
          <cell r="AC23">
            <v>1300</v>
          </cell>
          <cell r="AK23">
            <v>1268</v>
          </cell>
          <cell r="AM23">
            <v>3</v>
          </cell>
          <cell r="AN23">
            <v>39</v>
          </cell>
          <cell r="AO23">
            <v>758.73400000000004</v>
          </cell>
          <cell r="AP23" t="str">
            <v>P.Witkowski</v>
          </cell>
        </row>
        <row r="24">
          <cell r="A24">
            <v>39831</v>
          </cell>
          <cell r="B24">
            <v>795</v>
          </cell>
          <cell r="C24">
            <v>0</v>
          </cell>
          <cell r="D24">
            <v>795</v>
          </cell>
          <cell r="F24">
            <v>682.6</v>
          </cell>
          <cell r="G24">
            <v>0</v>
          </cell>
          <cell r="H24">
            <v>12</v>
          </cell>
          <cell r="I24">
            <v>0</v>
          </cell>
          <cell r="J24">
            <v>57</v>
          </cell>
          <cell r="K24">
            <v>48</v>
          </cell>
          <cell r="L24">
            <v>799.6</v>
          </cell>
          <cell r="P24">
            <v>0</v>
          </cell>
          <cell r="Q24">
            <v>14619</v>
          </cell>
          <cell r="R24">
            <v>1151</v>
          </cell>
          <cell r="S24">
            <v>1151</v>
          </cell>
          <cell r="U24">
            <v>24</v>
          </cell>
          <cell r="X24">
            <v>736</v>
          </cell>
          <cell r="AB24">
            <v>300</v>
          </cell>
          <cell r="AC24">
            <v>1380</v>
          </cell>
          <cell r="AK24">
            <v>1268</v>
          </cell>
          <cell r="AM24">
            <v>3</v>
          </cell>
          <cell r="AN24">
            <v>36</v>
          </cell>
          <cell r="AO24">
            <v>759.38099999999997</v>
          </cell>
          <cell r="AP24" t="str">
            <v>P.Witkowski</v>
          </cell>
        </row>
        <row r="25">
          <cell r="A25">
            <v>39832</v>
          </cell>
          <cell r="B25">
            <v>797.5</v>
          </cell>
          <cell r="C25">
            <v>0</v>
          </cell>
          <cell r="D25">
            <v>797.5</v>
          </cell>
          <cell r="F25">
            <v>683.4</v>
          </cell>
          <cell r="G25">
            <v>0</v>
          </cell>
          <cell r="H25">
            <v>13.5</v>
          </cell>
          <cell r="I25">
            <v>0</v>
          </cell>
          <cell r="J25">
            <v>108</v>
          </cell>
          <cell r="K25">
            <v>58.2</v>
          </cell>
          <cell r="L25">
            <v>863.1</v>
          </cell>
          <cell r="O25">
            <v>35.340000000000003</v>
          </cell>
          <cell r="P25">
            <v>35.340000000000003</v>
          </cell>
          <cell r="Q25">
            <v>14516</v>
          </cell>
          <cell r="R25">
            <v>1152</v>
          </cell>
          <cell r="S25">
            <v>1152</v>
          </cell>
          <cell r="U25">
            <v>480</v>
          </cell>
          <cell r="W25">
            <v>40</v>
          </cell>
          <cell r="X25">
            <v>96</v>
          </cell>
          <cell r="Y25">
            <v>358</v>
          </cell>
          <cell r="AB25">
            <v>220</v>
          </cell>
          <cell r="AC25">
            <v>1200</v>
          </cell>
          <cell r="AK25">
            <v>1268</v>
          </cell>
          <cell r="AM25">
            <v>2</v>
          </cell>
          <cell r="AN25">
            <v>34</v>
          </cell>
          <cell r="AO25">
            <v>760.423</v>
          </cell>
          <cell r="AP25" t="str">
            <v>M.Szwyd</v>
          </cell>
        </row>
        <row r="26">
          <cell r="A26">
            <v>39833</v>
          </cell>
          <cell r="B26">
            <v>822</v>
          </cell>
          <cell r="C26">
            <v>0</v>
          </cell>
          <cell r="D26">
            <v>822</v>
          </cell>
          <cell r="F26">
            <v>680.5</v>
          </cell>
          <cell r="G26">
            <v>0</v>
          </cell>
          <cell r="H26">
            <v>7.1</v>
          </cell>
          <cell r="I26">
            <v>0</v>
          </cell>
          <cell r="J26">
            <v>109</v>
          </cell>
          <cell r="K26">
            <v>61.5</v>
          </cell>
          <cell r="L26">
            <v>858.1</v>
          </cell>
          <cell r="O26">
            <v>24.04</v>
          </cell>
          <cell r="P26">
            <v>24.04</v>
          </cell>
          <cell r="Q26">
            <v>14457</v>
          </cell>
          <cell r="R26">
            <v>1148</v>
          </cell>
          <cell r="S26">
            <v>1148</v>
          </cell>
          <cell r="U26">
            <v>804</v>
          </cell>
          <cell r="X26">
            <v>256</v>
          </cell>
          <cell r="Y26">
            <v>310.5</v>
          </cell>
          <cell r="Z26">
            <v>196.06</v>
          </cell>
          <cell r="AB26">
            <v>581.27700000000004</v>
          </cell>
          <cell r="AC26">
            <v>700</v>
          </cell>
          <cell r="AK26">
            <v>1268</v>
          </cell>
          <cell r="AM26">
            <v>2</v>
          </cell>
          <cell r="AN26">
            <v>32</v>
          </cell>
          <cell r="AO26">
            <v>773.03700000000003</v>
          </cell>
          <cell r="AP26" t="str">
            <v>M.Szwyd</v>
          </cell>
        </row>
        <row r="27">
          <cell r="A27">
            <v>39834</v>
          </cell>
          <cell r="B27">
            <v>825.5</v>
          </cell>
          <cell r="C27">
            <v>0</v>
          </cell>
          <cell r="D27">
            <v>825.5</v>
          </cell>
          <cell r="F27">
            <v>679.2</v>
          </cell>
          <cell r="G27">
            <v>0</v>
          </cell>
          <cell r="H27">
            <v>0</v>
          </cell>
          <cell r="I27">
            <v>0</v>
          </cell>
          <cell r="J27">
            <v>101</v>
          </cell>
          <cell r="K27">
            <v>41.6</v>
          </cell>
          <cell r="L27">
            <v>821.80000000000007</v>
          </cell>
          <cell r="M27">
            <v>2.2599999999999998</v>
          </cell>
          <cell r="P27">
            <v>2.2599999999999998</v>
          </cell>
          <cell r="Q27">
            <v>14442</v>
          </cell>
          <cell r="R27">
            <v>1145</v>
          </cell>
          <cell r="S27">
            <v>1145</v>
          </cell>
          <cell r="U27">
            <v>360</v>
          </cell>
          <cell r="X27">
            <v>444</v>
          </cell>
          <cell r="Y27">
            <v>42.5</v>
          </cell>
          <cell r="Z27">
            <v>76</v>
          </cell>
          <cell r="AC27">
            <v>900</v>
          </cell>
          <cell r="AK27">
            <v>1268</v>
          </cell>
          <cell r="AM27">
            <v>2</v>
          </cell>
          <cell r="AN27">
            <v>30</v>
          </cell>
          <cell r="AO27">
            <v>790.84400000000005</v>
          </cell>
          <cell r="AP27" t="str">
            <v>M.Trzaskalski</v>
          </cell>
        </row>
        <row r="28">
          <cell r="A28">
            <v>39835</v>
          </cell>
          <cell r="B28">
            <v>828.6</v>
          </cell>
          <cell r="C28">
            <v>0</v>
          </cell>
          <cell r="D28">
            <v>828.6</v>
          </cell>
          <cell r="F28">
            <v>683.3</v>
          </cell>
          <cell r="G28">
            <v>0</v>
          </cell>
          <cell r="H28">
            <v>0</v>
          </cell>
          <cell r="I28">
            <v>0</v>
          </cell>
          <cell r="J28">
            <v>104</v>
          </cell>
          <cell r="K28">
            <v>42.7</v>
          </cell>
          <cell r="L28">
            <v>830</v>
          </cell>
          <cell r="M28">
            <v>0.92</v>
          </cell>
          <cell r="O28">
            <v>36.18</v>
          </cell>
          <cell r="P28">
            <v>37.1</v>
          </cell>
          <cell r="Q28">
            <v>14389</v>
          </cell>
          <cell r="R28">
            <v>1152</v>
          </cell>
          <cell r="S28">
            <v>1152</v>
          </cell>
          <cell r="U28">
            <v>420</v>
          </cell>
          <cell r="X28">
            <v>220</v>
          </cell>
          <cell r="Z28">
            <v>100.18</v>
          </cell>
          <cell r="AC28">
            <v>1300</v>
          </cell>
          <cell r="AK28">
            <v>1268</v>
          </cell>
          <cell r="AM28">
            <v>4</v>
          </cell>
          <cell r="AN28">
            <v>26</v>
          </cell>
          <cell r="AO28">
            <v>791.08900000000006</v>
          </cell>
          <cell r="AP28" t="str">
            <v>M.Trzaskalski</v>
          </cell>
        </row>
        <row r="29">
          <cell r="A29">
            <v>39836</v>
          </cell>
          <cell r="B29">
            <v>830</v>
          </cell>
          <cell r="C29">
            <v>0</v>
          </cell>
          <cell r="D29">
            <v>830</v>
          </cell>
          <cell r="F29">
            <v>662</v>
          </cell>
          <cell r="G29">
            <v>0</v>
          </cell>
          <cell r="H29">
            <v>8.5</v>
          </cell>
          <cell r="I29">
            <v>0</v>
          </cell>
          <cell r="J29">
            <v>105</v>
          </cell>
          <cell r="K29">
            <v>67.7</v>
          </cell>
          <cell r="L29">
            <v>843.2</v>
          </cell>
          <cell r="O29">
            <v>6.2</v>
          </cell>
          <cell r="P29">
            <v>6.2</v>
          </cell>
          <cell r="Q29">
            <v>14357</v>
          </cell>
          <cell r="R29">
            <v>1116</v>
          </cell>
          <cell r="S29">
            <v>1116</v>
          </cell>
          <cell r="U29">
            <v>768</v>
          </cell>
          <cell r="Y29">
            <v>450</v>
          </cell>
          <cell r="AC29">
            <v>1200</v>
          </cell>
          <cell r="AK29">
            <v>1268</v>
          </cell>
          <cell r="AM29">
            <v>2</v>
          </cell>
          <cell r="AN29">
            <v>24</v>
          </cell>
          <cell r="AO29">
            <v>788.21</v>
          </cell>
          <cell r="AP29" t="str">
            <v>M.Karlewski</v>
          </cell>
        </row>
        <row r="30">
          <cell r="A30">
            <v>39837</v>
          </cell>
          <cell r="B30">
            <v>831.7</v>
          </cell>
          <cell r="C30">
            <v>0</v>
          </cell>
          <cell r="D30">
            <v>831.7</v>
          </cell>
          <cell r="F30">
            <v>618.1</v>
          </cell>
          <cell r="G30">
            <v>69</v>
          </cell>
          <cell r="H30">
            <v>17.100000000000001</v>
          </cell>
          <cell r="I30">
            <v>0</v>
          </cell>
          <cell r="J30">
            <v>104</v>
          </cell>
          <cell r="K30">
            <v>60.4</v>
          </cell>
          <cell r="L30">
            <v>868.6</v>
          </cell>
          <cell r="P30">
            <v>0</v>
          </cell>
          <cell r="Q30">
            <v>14299</v>
          </cell>
          <cell r="R30">
            <v>1040</v>
          </cell>
          <cell r="S30">
            <v>1040</v>
          </cell>
          <cell r="U30">
            <v>456</v>
          </cell>
          <cell r="Y30">
            <v>279</v>
          </cell>
          <cell r="AC30">
            <v>1500</v>
          </cell>
          <cell r="AK30">
            <v>1268</v>
          </cell>
          <cell r="AM30">
            <v>2</v>
          </cell>
          <cell r="AN30">
            <v>22</v>
          </cell>
          <cell r="AO30">
            <v>788.82100000000003</v>
          </cell>
          <cell r="AP30" t="str">
            <v>M.Karlewski</v>
          </cell>
        </row>
        <row r="31">
          <cell r="A31">
            <v>39838</v>
          </cell>
          <cell r="B31">
            <v>832.1</v>
          </cell>
          <cell r="C31">
            <v>0</v>
          </cell>
          <cell r="D31">
            <v>832.1</v>
          </cell>
          <cell r="F31">
            <v>686.3</v>
          </cell>
          <cell r="G31">
            <v>88</v>
          </cell>
          <cell r="H31">
            <v>15.8</v>
          </cell>
          <cell r="I31">
            <v>0</v>
          </cell>
          <cell r="J31">
            <v>100</v>
          </cell>
          <cell r="K31">
            <v>64.599999999999994</v>
          </cell>
          <cell r="L31">
            <v>954.69999999999993</v>
          </cell>
          <cell r="P31">
            <v>0</v>
          </cell>
          <cell r="Q31">
            <v>14176</v>
          </cell>
          <cell r="R31">
            <v>1157</v>
          </cell>
          <cell r="S31">
            <v>1157</v>
          </cell>
          <cell r="U31">
            <v>72</v>
          </cell>
          <cell r="AC31">
            <v>2600</v>
          </cell>
          <cell r="AK31">
            <v>1268</v>
          </cell>
          <cell r="AM31">
            <v>2</v>
          </cell>
          <cell r="AN31">
            <v>20</v>
          </cell>
          <cell r="AO31">
            <v>790.12300000000005</v>
          </cell>
          <cell r="AP31" t="str">
            <v>M.Karlewski</v>
          </cell>
        </row>
        <row r="32">
          <cell r="A32">
            <v>39839</v>
          </cell>
          <cell r="B32">
            <v>835</v>
          </cell>
          <cell r="C32">
            <v>0</v>
          </cell>
          <cell r="D32">
            <v>835</v>
          </cell>
          <cell r="F32">
            <v>676.5</v>
          </cell>
          <cell r="G32">
            <v>24</v>
          </cell>
          <cell r="H32">
            <v>20.8</v>
          </cell>
          <cell r="I32">
            <v>0</v>
          </cell>
          <cell r="J32">
            <v>86</v>
          </cell>
          <cell r="K32">
            <v>65.5</v>
          </cell>
          <cell r="L32">
            <v>872.8</v>
          </cell>
          <cell r="O32">
            <v>36.520000000000003</v>
          </cell>
          <cell r="P32">
            <v>36.520000000000003</v>
          </cell>
          <cell r="Q32">
            <v>14060</v>
          </cell>
          <cell r="R32">
            <v>1141</v>
          </cell>
          <cell r="S32">
            <v>1141</v>
          </cell>
          <cell r="U32">
            <v>582</v>
          </cell>
          <cell r="W32">
            <v>51.22</v>
          </cell>
          <cell r="X32">
            <v>483</v>
          </cell>
          <cell r="AC32">
            <v>2670</v>
          </cell>
          <cell r="AK32">
            <v>1268</v>
          </cell>
          <cell r="AM32">
            <v>1</v>
          </cell>
          <cell r="AN32">
            <v>19</v>
          </cell>
          <cell r="AO32">
            <v>790.67499999999995</v>
          </cell>
          <cell r="AP32" t="str">
            <v>M.Karlewski</v>
          </cell>
        </row>
        <row r="33">
          <cell r="A33">
            <v>39840</v>
          </cell>
          <cell r="B33">
            <v>832.6</v>
          </cell>
          <cell r="C33">
            <v>0</v>
          </cell>
          <cell r="D33">
            <v>832.6</v>
          </cell>
          <cell r="F33">
            <v>684.9</v>
          </cell>
          <cell r="G33">
            <v>0</v>
          </cell>
          <cell r="H33">
            <v>23.3</v>
          </cell>
          <cell r="I33">
            <v>0</v>
          </cell>
          <cell r="J33">
            <v>102</v>
          </cell>
          <cell r="K33">
            <v>12.7</v>
          </cell>
          <cell r="L33">
            <v>822.9</v>
          </cell>
          <cell r="M33">
            <v>0.88</v>
          </cell>
          <cell r="O33">
            <v>24.9</v>
          </cell>
          <cell r="P33">
            <v>25.779999999999998</v>
          </cell>
          <cell r="Q33">
            <v>14057</v>
          </cell>
          <cell r="R33">
            <v>1155</v>
          </cell>
          <cell r="S33">
            <v>1155</v>
          </cell>
          <cell r="U33">
            <v>738</v>
          </cell>
          <cell r="W33">
            <v>697.33600000000001</v>
          </cell>
          <cell r="X33">
            <v>1091.3</v>
          </cell>
          <cell r="Y33">
            <v>473</v>
          </cell>
          <cell r="Z33">
            <v>51.14</v>
          </cell>
          <cell r="AC33">
            <v>1300</v>
          </cell>
          <cell r="AK33">
            <v>1268</v>
          </cell>
          <cell r="AL33">
            <v>23.52</v>
          </cell>
          <cell r="AM33">
            <v>1</v>
          </cell>
          <cell r="AN33">
            <v>41</v>
          </cell>
          <cell r="AO33">
            <v>789.875</v>
          </cell>
          <cell r="AP33" t="str">
            <v>P.Witkowski</v>
          </cell>
        </row>
        <row r="34">
          <cell r="A34">
            <v>39841</v>
          </cell>
          <cell r="B34">
            <v>831.7</v>
          </cell>
          <cell r="C34">
            <v>0</v>
          </cell>
          <cell r="D34">
            <v>831.7</v>
          </cell>
          <cell r="F34">
            <v>681.8</v>
          </cell>
          <cell r="G34">
            <v>-13.686000000000007</v>
          </cell>
          <cell r="H34">
            <v>2.2999999999999998</v>
          </cell>
          <cell r="I34">
            <v>0</v>
          </cell>
          <cell r="J34">
            <v>40.700000000000003</v>
          </cell>
          <cell r="K34">
            <v>7.6000000000000005</v>
          </cell>
          <cell r="L34">
            <v>718.71399999999994</v>
          </cell>
          <cell r="O34">
            <v>-0.35999999999999943</v>
          </cell>
          <cell r="P34">
            <v>-0.35999999999999943</v>
          </cell>
          <cell r="Q34">
            <v>13936</v>
          </cell>
          <cell r="R34">
            <v>1150</v>
          </cell>
          <cell r="S34">
            <v>1150</v>
          </cell>
          <cell r="U34">
            <v>984</v>
          </cell>
          <cell r="W34">
            <v>141.501</v>
          </cell>
          <cell r="Y34">
            <v>606</v>
          </cell>
          <cell r="AC34">
            <v>800</v>
          </cell>
          <cell r="AK34">
            <v>1268</v>
          </cell>
          <cell r="AM34">
            <v>1</v>
          </cell>
          <cell r="AN34">
            <v>40</v>
          </cell>
          <cell r="AO34">
            <v>792.18200000000002</v>
          </cell>
          <cell r="AP34" t="str">
            <v>P.Witkowski</v>
          </cell>
        </row>
        <row r="35">
          <cell r="A35">
            <v>39842</v>
          </cell>
          <cell r="B35">
            <v>832.7</v>
          </cell>
          <cell r="C35">
            <v>0</v>
          </cell>
          <cell r="D35">
            <v>832.7</v>
          </cell>
          <cell r="F35">
            <v>680.3</v>
          </cell>
          <cell r="G35">
            <v>0</v>
          </cell>
          <cell r="H35">
            <v>0</v>
          </cell>
          <cell r="I35">
            <v>0</v>
          </cell>
          <cell r="J35">
            <v>103</v>
          </cell>
          <cell r="K35">
            <v>16.200000000000003</v>
          </cell>
          <cell r="L35">
            <v>799.5</v>
          </cell>
          <cell r="M35">
            <v>2.2200000000000002</v>
          </cell>
          <cell r="P35">
            <v>2.2200000000000002</v>
          </cell>
          <cell r="Q35">
            <v>13953</v>
          </cell>
          <cell r="R35">
            <v>1147</v>
          </cell>
          <cell r="S35">
            <v>1147</v>
          </cell>
          <cell r="U35">
            <v>672</v>
          </cell>
          <cell r="Y35">
            <v>747</v>
          </cell>
          <cell r="AC35">
            <v>500</v>
          </cell>
          <cell r="AK35">
            <v>1268</v>
          </cell>
          <cell r="AM35">
            <v>4</v>
          </cell>
          <cell r="AN35">
            <v>36</v>
          </cell>
          <cell r="AO35">
            <v>792.08500000000004</v>
          </cell>
          <cell r="AP35" t="str">
            <v>P.Witkowski</v>
          </cell>
        </row>
        <row r="36">
          <cell r="A36">
            <v>39843</v>
          </cell>
          <cell r="B36">
            <v>882.3</v>
          </cell>
          <cell r="C36">
            <v>0</v>
          </cell>
          <cell r="D36">
            <v>882.3</v>
          </cell>
          <cell r="F36">
            <v>680.9</v>
          </cell>
          <cell r="G36">
            <v>0</v>
          </cell>
          <cell r="H36">
            <v>18.600000000000001</v>
          </cell>
          <cell r="I36">
            <v>0</v>
          </cell>
          <cell r="J36">
            <v>103</v>
          </cell>
          <cell r="K36">
            <v>12.8</v>
          </cell>
          <cell r="L36">
            <v>815.3</v>
          </cell>
          <cell r="M36">
            <v>-15.139999999999999</v>
          </cell>
          <cell r="P36">
            <v>-15.139999999999999</v>
          </cell>
          <cell r="Q36">
            <v>14006</v>
          </cell>
          <cell r="R36">
            <v>1152</v>
          </cell>
          <cell r="S36">
            <v>1152</v>
          </cell>
          <cell r="U36">
            <v>658</v>
          </cell>
          <cell r="Y36">
            <v>368</v>
          </cell>
          <cell r="AC36">
            <v>700</v>
          </cell>
          <cell r="AK36">
            <v>1268</v>
          </cell>
          <cell r="AM36">
            <v>1</v>
          </cell>
          <cell r="AN36">
            <v>35</v>
          </cell>
          <cell r="AO36">
            <v>819.58500000000004</v>
          </cell>
          <cell r="AP36" t="str">
            <v>M.Trzaskalski</v>
          </cell>
        </row>
        <row r="37">
          <cell r="A37">
            <v>39844</v>
          </cell>
          <cell r="B37">
            <v>817.9</v>
          </cell>
          <cell r="C37">
            <v>0</v>
          </cell>
          <cell r="D37">
            <v>817.9</v>
          </cell>
          <cell r="F37">
            <v>691.9</v>
          </cell>
          <cell r="G37">
            <v>0</v>
          </cell>
          <cell r="H37">
            <v>-4.4209999999999994</v>
          </cell>
          <cell r="I37">
            <v>118.176</v>
          </cell>
          <cell r="J37">
            <v>208.05799999999999</v>
          </cell>
          <cell r="K37">
            <v>241.70599999999999</v>
          </cell>
          <cell r="L37">
            <v>1255.4189999999999</v>
          </cell>
          <cell r="P37">
            <v>0</v>
          </cell>
          <cell r="Q37">
            <v>14081</v>
          </cell>
          <cell r="R37">
            <v>1164</v>
          </cell>
          <cell r="S37">
            <v>1164</v>
          </cell>
          <cell r="U37">
            <v>398.65</v>
          </cell>
          <cell r="Y37">
            <v>196.10000000000002</v>
          </cell>
          <cell r="Z37">
            <v>91.5</v>
          </cell>
          <cell r="AC37">
            <v>800</v>
          </cell>
          <cell r="AK37">
            <v>1268</v>
          </cell>
          <cell r="AM37">
            <v>2</v>
          </cell>
          <cell r="AN37">
            <v>33</v>
          </cell>
          <cell r="AO37">
            <v>848.35699999999997</v>
          </cell>
          <cell r="AP37" t="str">
            <v>M.Trzaskalski</v>
          </cell>
        </row>
        <row r="38">
          <cell r="A38">
            <v>39845</v>
          </cell>
          <cell r="B38">
            <v>895.9</v>
          </cell>
          <cell r="C38">
            <v>0</v>
          </cell>
          <cell r="D38">
            <v>895.9</v>
          </cell>
          <cell r="F38">
            <v>683.1</v>
          </cell>
          <cell r="G38">
            <v>0</v>
          </cell>
          <cell r="H38">
            <v>20.9</v>
          </cell>
          <cell r="I38">
            <v>0</v>
          </cell>
          <cell r="J38">
            <v>104</v>
          </cell>
          <cell r="K38">
            <v>0</v>
          </cell>
          <cell r="L38">
            <v>808</v>
          </cell>
          <cell r="P38">
            <v>0</v>
          </cell>
          <cell r="Q38">
            <v>14155</v>
          </cell>
          <cell r="R38">
            <v>1152</v>
          </cell>
          <cell r="S38">
            <v>1152</v>
          </cell>
          <cell r="U38">
            <v>72</v>
          </cell>
          <cell r="AC38">
            <v>1900</v>
          </cell>
          <cell r="AK38">
            <v>1268</v>
          </cell>
          <cell r="AM38">
            <v>1</v>
          </cell>
          <cell r="AN38">
            <v>32</v>
          </cell>
          <cell r="AO38">
            <v>849.24699999999996</v>
          </cell>
          <cell r="AP38" t="str">
            <v>M.Trzaskalski</v>
          </cell>
        </row>
        <row r="39">
          <cell r="A39">
            <v>39846</v>
          </cell>
          <cell r="B39">
            <v>901.2</v>
          </cell>
          <cell r="C39">
            <v>0</v>
          </cell>
          <cell r="D39">
            <v>901.2</v>
          </cell>
          <cell r="F39">
            <v>606.70000000000005</v>
          </cell>
          <cell r="G39">
            <v>0</v>
          </cell>
          <cell r="H39">
            <v>19.7</v>
          </cell>
          <cell r="I39">
            <v>0</v>
          </cell>
          <cell r="J39">
            <v>104</v>
          </cell>
          <cell r="K39">
            <v>0</v>
          </cell>
          <cell r="L39">
            <v>730.40000000000009</v>
          </cell>
          <cell r="P39">
            <v>0</v>
          </cell>
          <cell r="Q39">
            <v>14320</v>
          </cell>
          <cell r="R39">
            <v>1023</v>
          </cell>
          <cell r="S39">
            <v>1023</v>
          </cell>
          <cell r="U39">
            <v>669</v>
          </cell>
          <cell r="W39">
            <v>658.8</v>
          </cell>
          <cell r="Y39">
            <v>407</v>
          </cell>
          <cell r="AC39">
            <v>1200</v>
          </cell>
          <cell r="AK39">
            <v>1268</v>
          </cell>
          <cell r="AM39">
            <v>1</v>
          </cell>
          <cell r="AN39">
            <v>31</v>
          </cell>
          <cell r="AO39">
            <v>848.04100000000005</v>
          </cell>
          <cell r="AP39" t="str">
            <v>M.Trzaskalski</v>
          </cell>
        </row>
        <row r="40">
          <cell r="A40">
            <v>39847</v>
          </cell>
          <cell r="B40">
            <v>900.2</v>
          </cell>
          <cell r="C40">
            <v>0</v>
          </cell>
          <cell r="D40">
            <v>900.2</v>
          </cell>
          <cell r="F40">
            <v>618.1</v>
          </cell>
          <cell r="G40">
            <v>0</v>
          </cell>
          <cell r="H40">
            <v>4.4000000000000004</v>
          </cell>
          <cell r="I40">
            <v>0</v>
          </cell>
          <cell r="J40">
            <v>102</v>
          </cell>
          <cell r="K40">
            <v>5.7</v>
          </cell>
          <cell r="L40">
            <v>730.2</v>
          </cell>
          <cell r="M40">
            <v>0.46</v>
          </cell>
          <cell r="O40">
            <v>18.18</v>
          </cell>
          <cell r="P40">
            <v>18.64</v>
          </cell>
          <cell r="Q40">
            <v>14456</v>
          </cell>
          <cell r="R40">
            <v>1042</v>
          </cell>
          <cell r="S40">
            <v>1042</v>
          </cell>
          <cell r="U40">
            <v>528</v>
          </cell>
          <cell r="Y40">
            <v>692</v>
          </cell>
          <cell r="AC40">
            <v>1000</v>
          </cell>
          <cell r="AK40">
            <v>1268</v>
          </cell>
          <cell r="AM40">
            <v>2</v>
          </cell>
          <cell r="AN40">
            <v>29</v>
          </cell>
          <cell r="AO40">
            <v>847.79899999999998</v>
          </cell>
          <cell r="AP40" t="str">
            <v>M.Trzaskalski</v>
          </cell>
        </row>
        <row r="41">
          <cell r="A41">
            <v>39848</v>
          </cell>
          <cell r="B41">
            <v>900.9</v>
          </cell>
          <cell r="C41">
            <v>0</v>
          </cell>
          <cell r="D41">
            <v>900.9</v>
          </cell>
          <cell r="F41">
            <v>678.2</v>
          </cell>
          <cell r="G41">
            <v>71</v>
          </cell>
          <cell r="H41">
            <v>18.3</v>
          </cell>
          <cell r="I41">
            <v>0</v>
          </cell>
          <cell r="J41">
            <v>106</v>
          </cell>
          <cell r="K41">
            <v>8.1000000000000014</v>
          </cell>
          <cell r="L41">
            <v>881.6</v>
          </cell>
          <cell r="P41">
            <v>0</v>
          </cell>
          <cell r="Q41">
            <v>14463</v>
          </cell>
          <cell r="R41">
            <v>1144</v>
          </cell>
          <cell r="S41">
            <v>1144</v>
          </cell>
          <cell r="U41">
            <v>744</v>
          </cell>
          <cell r="Y41">
            <v>666.5</v>
          </cell>
          <cell r="AC41">
            <v>700</v>
          </cell>
          <cell r="AK41">
            <v>1265</v>
          </cell>
          <cell r="AM41">
            <v>1</v>
          </cell>
          <cell r="AN41">
            <v>28</v>
          </cell>
          <cell r="AO41">
            <v>846.601</v>
          </cell>
          <cell r="AP41" t="str">
            <v>M.Trzaskalski</v>
          </cell>
        </row>
        <row r="42">
          <cell r="A42">
            <v>39849</v>
          </cell>
          <cell r="B42">
            <v>895.5</v>
          </cell>
          <cell r="C42">
            <v>0</v>
          </cell>
          <cell r="D42">
            <v>895.5</v>
          </cell>
          <cell r="F42">
            <v>683.3</v>
          </cell>
          <cell r="G42">
            <v>24</v>
          </cell>
          <cell r="H42">
            <v>26.1</v>
          </cell>
          <cell r="I42">
            <v>0</v>
          </cell>
          <cell r="J42">
            <v>107</v>
          </cell>
          <cell r="K42">
            <v>12.4</v>
          </cell>
          <cell r="L42">
            <v>852.8</v>
          </cell>
          <cell r="O42">
            <v>18.53</v>
          </cell>
          <cell r="P42">
            <v>18.53</v>
          </cell>
          <cell r="Q42">
            <v>14480</v>
          </cell>
          <cell r="R42">
            <v>1152</v>
          </cell>
          <cell r="S42">
            <v>1152</v>
          </cell>
          <cell r="U42">
            <v>384</v>
          </cell>
          <cell r="X42">
            <v>498</v>
          </cell>
          <cell r="Y42">
            <v>36</v>
          </cell>
          <cell r="AC42">
            <v>900</v>
          </cell>
          <cell r="AK42">
            <v>1265</v>
          </cell>
          <cell r="AM42">
            <v>2</v>
          </cell>
          <cell r="AN42">
            <v>26</v>
          </cell>
          <cell r="AO42">
            <v>846.50099999999998</v>
          </cell>
          <cell r="AP42" t="str">
            <v>M.Trzaskalski</v>
          </cell>
        </row>
        <row r="43">
          <cell r="A43">
            <v>39850</v>
          </cell>
          <cell r="B43">
            <v>895.2</v>
          </cell>
          <cell r="C43">
            <v>0</v>
          </cell>
          <cell r="D43">
            <v>895.2</v>
          </cell>
          <cell r="F43">
            <v>535.20000000000005</v>
          </cell>
          <cell r="G43">
            <v>0</v>
          </cell>
          <cell r="H43">
            <v>18.899999999999999</v>
          </cell>
          <cell r="I43">
            <v>0</v>
          </cell>
          <cell r="J43">
            <v>106</v>
          </cell>
          <cell r="K43">
            <v>9.3000000000000007</v>
          </cell>
          <cell r="L43">
            <v>669.4</v>
          </cell>
          <cell r="M43">
            <v>0.46</v>
          </cell>
          <cell r="P43">
            <v>0.46</v>
          </cell>
          <cell r="Q43">
            <v>14694</v>
          </cell>
          <cell r="R43">
            <v>903</v>
          </cell>
          <cell r="S43">
            <v>903</v>
          </cell>
          <cell r="U43">
            <v>576</v>
          </cell>
          <cell r="X43">
            <v>520</v>
          </cell>
          <cell r="AC43">
            <v>700</v>
          </cell>
          <cell r="AK43">
            <v>1265</v>
          </cell>
          <cell r="AM43">
            <v>1</v>
          </cell>
          <cell r="AN43">
            <v>25</v>
          </cell>
          <cell r="AO43">
            <v>846.82</v>
          </cell>
          <cell r="AP43" t="str">
            <v>M.Szwyd</v>
          </cell>
        </row>
        <row r="44">
          <cell r="A44">
            <v>39851</v>
          </cell>
          <cell r="B44">
            <v>893.2</v>
          </cell>
          <cell r="C44">
            <v>0</v>
          </cell>
          <cell r="D44">
            <v>893.2</v>
          </cell>
          <cell r="F44">
            <v>683.6</v>
          </cell>
          <cell r="G44">
            <v>0</v>
          </cell>
          <cell r="H44">
            <v>0</v>
          </cell>
          <cell r="I44">
            <v>0</v>
          </cell>
          <cell r="J44">
            <v>170</v>
          </cell>
          <cell r="K44">
            <v>7.1</v>
          </cell>
          <cell r="L44">
            <v>860.7</v>
          </cell>
          <cell r="P44">
            <v>0</v>
          </cell>
          <cell r="Q44">
            <v>14713</v>
          </cell>
          <cell r="R44">
            <v>1153</v>
          </cell>
          <cell r="S44">
            <v>1153</v>
          </cell>
          <cell r="U44">
            <v>360</v>
          </cell>
          <cell r="X44">
            <v>566</v>
          </cell>
          <cell r="AC44">
            <v>900</v>
          </cell>
          <cell r="AK44">
            <v>1265</v>
          </cell>
          <cell r="AM44">
            <v>1</v>
          </cell>
          <cell r="AN44">
            <v>24</v>
          </cell>
          <cell r="AO44">
            <v>844.18100000000004</v>
          </cell>
          <cell r="AP44" t="str">
            <v>M.Szwyd</v>
          </cell>
        </row>
        <row r="45">
          <cell r="A45">
            <v>39852</v>
          </cell>
          <cell r="B45">
            <v>892.9</v>
          </cell>
          <cell r="C45">
            <v>0</v>
          </cell>
          <cell r="D45">
            <v>892.9</v>
          </cell>
          <cell r="F45">
            <v>681.6</v>
          </cell>
          <cell r="G45">
            <v>0</v>
          </cell>
          <cell r="H45">
            <v>0</v>
          </cell>
          <cell r="I45">
            <v>0</v>
          </cell>
          <cell r="J45">
            <v>202</v>
          </cell>
          <cell r="K45">
            <v>5.6</v>
          </cell>
          <cell r="L45">
            <v>889.2</v>
          </cell>
          <cell r="P45">
            <v>0</v>
          </cell>
          <cell r="Q45">
            <v>14702</v>
          </cell>
          <cell r="R45">
            <v>1149</v>
          </cell>
          <cell r="S45">
            <v>1149</v>
          </cell>
          <cell r="U45">
            <v>24</v>
          </cell>
          <cell r="X45">
            <v>406</v>
          </cell>
          <cell r="AC45">
            <v>1600</v>
          </cell>
          <cell r="AK45">
            <v>1265</v>
          </cell>
          <cell r="AM45">
            <v>1</v>
          </cell>
          <cell r="AN45">
            <v>23</v>
          </cell>
          <cell r="AO45">
            <v>842.91099999999994</v>
          </cell>
          <cell r="AP45" t="str">
            <v>M.Szwyd</v>
          </cell>
        </row>
        <row r="46">
          <cell r="A46">
            <v>39853</v>
          </cell>
          <cell r="B46">
            <v>895.6</v>
          </cell>
          <cell r="C46">
            <v>0</v>
          </cell>
          <cell r="D46">
            <v>895.6</v>
          </cell>
          <cell r="F46">
            <v>682.6</v>
          </cell>
          <cell r="G46">
            <v>0</v>
          </cell>
          <cell r="H46">
            <v>0</v>
          </cell>
          <cell r="I46">
            <v>0</v>
          </cell>
          <cell r="J46">
            <v>158</v>
          </cell>
          <cell r="K46">
            <v>3.6</v>
          </cell>
          <cell r="L46">
            <v>844.2</v>
          </cell>
          <cell r="O46">
            <v>18.420000000000002</v>
          </cell>
          <cell r="P46">
            <v>18.420000000000002</v>
          </cell>
          <cell r="Q46">
            <v>14718</v>
          </cell>
          <cell r="R46">
            <v>1151</v>
          </cell>
          <cell r="S46">
            <v>1151</v>
          </cell>
          <cell r="U46">
            <v>360</v>
          </cell>
          <cell r="Y46">
            <v>325</v>
          </cell>
          <cell r="AC46">
            <v>2200</v>
          </cell>
          <cell r="AK46">
            <v>1231</v>
          </cell>
          <cell r="AM46">
            <v>2</v>
          </cell>
          <cell r="AN46">
            <v>21</v>
          </cell>
          <cell r="AO46">
            <v>846.46600000000001</v>
          </cell>
          <cell r="AP46" t="str">
            <v>M.Szwyd</v>
          </cell>
        </row>
        <row r="47">
          <cell r="A47">
            <v>39854</v>
          </cell>
          <cell r="B47">
            <v>316.2</v>
          </cell>
          <cell r="C47">
            <v>0</v>
          </cell>
          <cell r="D47">
            <v>316.2</v>
          </cell>
          <cell r="F47">
            <v>189.2</v>
          </cell>
          <cell r="G47">
            <v>0</v>
          </cell>
          <cell r="H47">
            <v>0</v>
          </cell>
          <cell r="I47">
            <v>0</v>
          </cell>
          <cell r="J47">
            <v>157</v>
          </cell>
          <cell r="K47">
            <v>1.4</v>
          </cell>
          <cell r="L47">
            <v>347.59999999999997</v>
          </cell>
          <cell r="P47">
            <v>0</v>
          </cell>
          <cell r="Q47">
            <v>14689</v>
          </cell>
          <cell r="R47">
            <v>304</v>
          </cell>
          <cell r="S47">
            <v>304</v>
          </cell>
          <cell r="U47">
            <v>252</v>
          </cell>
          <cell r="Y47">
            <v>142.5</v>
          </cell>
          <cell r="Z47">
            <v>52.2</v>
          </cell>
          <cell r="AC47">
            <v>2100</v>
          </cell>
          <cell r="AK47">
            <v>1223</v>
          </cell>
          <cell r="AL47">
            <v>18</v>
          </cell>
          <cell r="AM47">
            <v>0</v>
          </cell>
          <cell r="AN47">
            <v>39</v>
          </cell>
          <cell r="AO47">
            <v>775.89</v>
          </cell>
          <cell r="AP47" t="str">
            <v>M.Trzaskalski</v>
          </cell>
        </row>
        <row r="48">
          <cell r="A48">
            <v>39855</v>
          </cell>
          <cell r="B48">
            <v>817.5</v>
          </cell>
          <cell r="C48">
            <v>0</v>
          </cell>
          <cell r="D48">
            <v>817.5</v>
          </cell>
          <cell r="F48">
            <v>585.79999999999995</v>
          </cell>
          <cell r="G48">
            <v>0</v>
          </cell>
          <cell r="H48">
            <v>56</v>
          </cell>
          <cell r="I48">
            <v>0</v>
          </cell>
          <cell r="J48">
            <v>212</v>
          </cell>
          <cell r="K48">
            <v>1.5</v>
          </cell>
          <cell r="L48">
            <v>855.3</v>
          </cell>
          <cell r="M48">
            <v>6.12</v>
          </cell>
          <cell r="O48">
            <v>18.14</v>
          </cell>
          <cell r="P48">
            <v>24.26</v>
          </cell>
          <cell r="Q48">
            <v>14662</v>
          </cell>
          <cell r="R48">
            <v>988</v>
          </cell>
          <cell r="S48">
            <v>988</v>
          </cell>
          <cell r="U48">
            <v>230</v>
          </cell>
          <cell r="Y48">
            <v>5.5</v>
          </cell>
          <cell r="AC48">
            <v>2800</v>
          </cell>
          <cell r="AK48">
            <v>1221</v>
          </cell>
          <cell r="AM48">
            <v>2</v>
          </cell>
          <cell r="AN48">
            <v>37</v>
          </cell>
          <cell r="AO48">
            <v>777.80399999999997</v>
          </cell>
          <cell r="AP48" t="str">
            <v>M.Trzaskalski</v>
          </cell>
        </row>
        <row r="49">
          <cell r="A49">
            <v>39856</v>
          </cell>
          <cell r="B49">
            <v>874</v>
          </cell>
          <cell r="C49">
            <v>0</v>
          </cell>
          <cell r="D49">
            <v>874</v>
          </cell>
          <cell r="F49">
            <v>689.8</v>
          </cell>
          <cell r="G49">
            <v>0</v>
          </cell>
          <cell r="H49">
            <v>18.3</v>
          </cell>
          <cell r="I49">
            <v>0</v>
          </cell>
          <cell r="J49">
            <v>214</v>
          </cell>
          <cell r="K49">
            <v>0</v>
          </cell>
          <cell r="L49">
            <v>922.09999999999991</v>
          </cell>
          <cell r="M49">
            <v>2.8</v>
          </cell>
          <cell r="P49">
            <v>2.8</v>
          </cell>
          <cell r="Q49">
            <v>14608</v>
          </cell>
          <cell r="R49">
            <v>1163</v>
          </cell>
          <cell r="S49">
            <v>1163</v>
          </cell>
          <cell r="U49">
            <v>288</v>
          </cell>
          <cell r="Y49">
            <v>30</v>
          </cell>
          <cell r="Z49">
            <v>25.54</v>
          </cell>
          <cell r="AC49">
            <v>3600</v>
          </cell>
          <cell r="AK49">
            <v>1194</v>
          </cell>
          <cell r="AL49">
            <v>24</v>
          </cell>
          <cell r="AM49">
            <v>2</v>
          </cell>
          <cell r="AN49">
            <v>59</v>
          </cell>
          <cell r="AO49">
            <v>825.92399999999998</v>
          </cell>
          <cell r="AP49" t="str">
            <v>B.Bronicki</v>
          </cell>
        </row>
        <row r="50">
          <cell r="A50">
            <v>39857</v>
          </cell>
          <cell r="B50">
            <v>877.3</v>
          </cell>
          <cell r="C50">
            <v>0</v>
          </cell>
          <cell r="D50">
            <v>877.3</v>
          </cell>
          <cell r="F50">
            <v>692</v>
          </cell>
          <cell r="G50">
            <v>99.7</v>
          </cell>
          <cell r="H50">
            <v>22.2</v>
          </cell>
          <cell r="I50">
            <v>0</v>
          </cell>
          <cell r="J50">
            <v>213</v>
          </cell>
          <cell r="K50">
            <v>0</v>
          </cell>
          <cell r="L50">
            <v>1026.9000000000001</v>
          </cell>
          <cell r="P50">
            <v>0</v>
          </cell>
          <cell r="Q50">
            <v>14565</v>
          </cell>
          <cell r="R50">
            <v>1167</v>
          </cell>
          <cell r="S50">
            <v>1167</v>
          </cell>
          <cell r="U50">
            <v>336</v>
          </cell>
          <cell r="W50">
            <v>191.4</v>
          </cell>
          <cell r="Y50">
            <v>48</v>
          </cell>
          <cell r="AC50">
            <v>4200</v>
          </cell>
          <cell r="AK50">
            <v>1114</v>
          </cell>
          <cell r="AM50">
            <v>3</v>
          </cell>
          <cell r="AN50">
            <v>56</v>
          </cell>
          <cell r="AO50">
            <v>834.96600000000001</v>
          </cell>
          <cell r="AP50" t="str">
            <v>M.Karlewski</v>
          </cell>
        </row>
        <row r="51">
          <cell r="A51">
            <v>39858</v>
          </cell>
          <cell r="B51">
            <v>876.2</v>
          </cell>
          <cell r="C51">
            <v>0</v>
          </cell>
          <cell r="D51">
            <v>876.2</v>
          </cell>
          <cell r="F51">
            <v>692.1</v>
          </cell>
          <cell r="G51">
            <v>101</v>
          </cell>
          <cell r="H51">
            <v>24.2</v>
          </cell>
          <cell r="I51">
            <v>0</v>
          </cell>
          <cell r="J51">
            <v>188</v>
          </cell>
          <cell r="K51">
            <v>0</v>
          </cell>
          <cell r="L51">
            <v>1005.3000000000001</v>
          </cell>
          <cell r="P51">
            <v>0</v>
          </cell>
          <cell r="Q51">
            <v>14322</v>
          </cell>
          <cell r="R51">
            <v>1167</v>
          </cell>
          <cell r="S51">
            <v>1167</v>
          </cell>
          <cell r="U51">
            <v>48</v>
          </cell>
          <cell r="X51">
            <v>174</v>
          </cell>
          <cell r="Y51">
            <v>5</v>
          </cell>
          <cell r="AA51">
            <v>2560</v>
          </cell>
          <cell r="AC51">
            <v>2500</v>
          </cell>
          <cell r="AK51">
            <v>1114</v>
          </cell>
          <cell r="AM51">
            <v>3</v>
          </cell>
          <cell r="AN51">
            <v>53</v>
          </cell>
          <cell r="AO51">
            <v>836.51800000000003</v>
          </cell>
          <cell r="AP51" t="str">
            <v>M.Karlewski</v>
          </cell>
        </row>
        <row r="52">
          <cell r="A52">
            <v>39859</v>
          </cell>
          <cell r="B52">
            <v>877.8</v>
          </cell>
          <cell r="C52">
            <v>0</v>
          </cell>
          <cell r="D52">
            <v>877.8</v>
          </cell>
          <cell r="F52">
            <v>691.6</v>
          </cell>
          <cell r="G52">
            <v>128</v>
          </cell>
          <cell r="H52">
            <v>24.6</v>
          </cell>
          <cell r="I52">
            <v>0</v>
          </cell>
          <cell r="J52">
            <v>151</v>
          </cell>
          <cell r="K52">
            <v>0</v>
          </cell>
          <cell r="L52">
            <v>995.2</v>
          </cell>
          <cell r="P52">
            <v>0</v>
          </cell>
          <cell r="Q52">
            <v>14205</v>
          </cell>
          <cell r="R52">
            <v>1166</v>
          </cell>
          <cell r="S52">
            <v>1166</v>
          </cell>
          <cell r="U52">
            <v>48</v>
          </cell>
          <cell r="X52">
            <v>638</v>
          </cell>
          <cell r="Y52">
            <v>305</v>
          </cell>
          <cell r="AA52">
            <v>390</v>
          </cell>
          <cell r="AC52">
            <v>2300</v>
          </cell>
          <cell r="AK52">
            <v>1114</v>
          </cell>
          <cell r="AM52">
            <v>3</v>
          </cell>
          <cell r="AN52">
            <v>50</v>
          </cell>
          <cell r="AO52">
            <v>834.08100000000002</v>
          </cell>
          <cell r="AP52" t="str">
            <v>M.Karlewski</v>
          </cell>
        </row>
        <row r="53">
          <cell r="A53">
            <v>39860</v>
          </cell>
          <cell r="B53">
            <v>878.9</v>
          </cell>
          <cell r="C53">
            <v>0</v>
          </cell>
          <cell r="D53">
            <v>878.9</v>
          </cell>
          <cell r="F53">
            <v>668.3</v>
          </cell>
          <cell r="G53">
            <v>32</v>
          </cell>
          <cell r="H53">
            <v>34.1</v>
          </cell>
          <cell r="I53">
            <v>0</v>
          </cell>
          <cell r="J53">
            <v>137</v>
          </cell>
          <cell r="K53">
            <v>0</v>
          </cell>
          <cell r="L53">
            <v>871.4</v>
          </cell>
          <cell r="O53">
            <v>18.38</v>
          </cell>
          <cell r="P53">
            <v>18.38</v>
          </cell>
          <cell r="Q53">
            <v>14174</v>
          </cell>
          <cell r="R53">
            <v>1161</v>
          </cell>
          <cell r="S53">
            <v>1161</v>
          </cell>
          <cell r="U53">
            <v>315</v>
          </cell>
          <cell r="W53">
            <v>25</v>
          </cell>
          <cell r="X53">
            <v>148</v>
          </cell>
          <cell r="Y53">
            <v>459</v>
          </cell>
          <cell r="AA53">
            <v>874.19</v>
          </cell>
          <cell r="AC53">
            <v>1600</v>
          </cell>
          <cell r="AK53">
            <v>1097</v>
          </cell>
          <cell r="AM53">
            <v>1</v>
          </cell>
          <cell r="AN53">
            <v>49</v>
          </cell>
          <cell r="AO53">
            <v>833.18899999999996</v>
          </cell>
          <cell r="AP53" t="str">
            <v>M.Karlewski</v>
          </cell>
        </row>
        <row r="54">
          <cell r="A54">
            <v>39861</v>
          </cell>
          <cell r="B54">
            <v>878</v>
          </cell>
          <cell r="C54">
            <v>0</v>
          </cell>
          <cell r="D54">
            <v>878</v>
          </cell>
          <cell r="F54">
            <v>684</v>
          </cell>
          <cell r="G54">
            <v>62</v>
          </cell>
          <cell r="H54">
            <v>37.1</v>
          </cell>
          <cell r="I54">
            <v>0</v>
          </cell>
          <cell r="J54">
            <v>202</v>
          </cell>
          <cell r="K54">
            <v>0</v>
          </cell>
          <cell r="L54">
            <v>985.1</v>
          </cell>
          <cell r="P54">
            <v>0</v>
          </cell>
          <cell r="Q54">
            <v>14056</v>
          </cell>
          <cell r="R54">
            <v>1153</v>
          </cell>
          <cell r="S54">
            <v>1153</v>
          </cell>
          <cell r="U54">
            <v>384</v>
          </cell>
          <cell r="X54">
            <v>563</v>
          </cell>
          <cell r="Y54">
            <v>576</v>
          </cell>
          <cell r="AC54">
            <v>1300</v>
          </cell>
          <cell r="AK54">
            <v>1097</v>
          </cell>
          <cell r="AM54">
            <v>1</v>
          </cell>
          <cell r="AN54">
            <v>48</v>
          </cell>
          <cell r="AO54">
            <v>836.28</v>
          </cell>
          <cell r="AP54" t="str">
            <v>M.Karlewski</v>
          </cell>
        </row>
        <row r="55">
          <cell r="A55">
            <v>39862</v>
          </cell>
          <cell r="B55">
            <v>876.4</v>
          </cell>
          <cell r="D55">
            <v>876.4</v>
          </cell>
          <cell r="F55">
            <v>682.7</v>
          </cell>
          <cell r="G55">
            <v>77</v>
          </cell>
          <cell r="H55">
            <v>44.1</v>
          </cell>
          <cell r="I55">
            <v>0</v>
          </cell>
          <cell r="J55">
            <v>191</v>
          </cell>
          <cell r="K55">
            <v>0</v>
          </cell>
          <cell r="L55">
            <v>994.80000000000007</v>
          </cell>
          <cell r="M55">
            <v>0.44</v>
          </cell>
          <cell r="O55">
            <v>18.38</v>
          </cell>
          <cell r="P55">
            <v>18.82</v>
          </cell>
          <cell r="Q55">
            <v>13876</v>
          </cell>
          <cell r="R55">
            <v>1151</v>
          </cell>
          <cell r="S55">
            <v>1151</v>
          </cell>
          <cell r="U55">
            <v>420</v>
          </cell>
          <cell r="X55">
            <v>448</v>
          </cell>
          <cell r="Y55">
            <v>496.5</v>
          </cell>
          <cell r="Z55">
            <v>47.98</v>
          </cell>
          <cell r="AC55">
            <v>1000</v>
          </cell>
          <cell r="AK55">
            <v>1097</v>
          </cell>
          <cell r="AM55">
            <v>2</v>
          </cell>
          <cell r="AN55">
            <v>46</v>
          </cell>
          <cell r="AO55">
            <v>833.60900000000004</v>
          </cell>
          <cell r="AP55" t="str">
            <v>M.Szwyd</v>
          </cell>
        </row>
        <row r="56">
          <cell r="A56">
            <v>39863</v>
          </cell>
          <cell r="B56">
            <v>879.4</v>
          </cell>
          <cell r="C56">
            <v>0</v>
          </cell>
          <cell r="D56">
            <v>879.4</v>
          </cell>
          <cell r="F56">
            <v>684.2</v>
          </cell>
          <cell r="G56">
            <v>82</v>
          </cell>
          <cell r="H56">
            <v>38.1</v>
          </cell>
          <cell r="I56">
            <v>0</v>
          </cell>
          <cell r="J56">
            <v>209</v>
          </cell>
          <cell r="K56">
            <v>0</v>
          </cell>
          <cell r="L56">
            <v>1013.3000000000001</v>
          </cell>
          <cell r="P56">
            <v>0</v>
          </cell>
          <cell r="Q56">
            <v>13742</v>
          </cell>
          <cell r="R56">
            <v>1154</v>
          </cell>
          <cell r="S56">
            <v>1154</v>
          </cell>
          <cell r="U56">
            <v>340</v>
          </cell>
          <cell r="Y56">
            <v>80</v>
          </cell>
          <cell r="Z56">
            <v>24.92</v>
          </cell>
          <cell r="AC56">
            <v>1700</v>
          </cell>
          <cell r="AK56">
            <v>1097</v>
          </cell>
          <cell r="AM56">
            <v>2</v>
          </cell>
          <cell r="AN56">
            <v>44</v>
          </cell>
          <cell r="AO56">
            <v>836.01199999999994</v>
          </cell>
          <cell r="AP56" t="str">
            <v>M.Szwyd</v>
          </cell>
        </row>
        <row r="57">
          <cell r="A57">
            <v>39864</v>
          </cell>
          <cell r="B57">
            <v>872.1</v>
          </cell>
          <cell r="C57">
            <v>0</v>
          </cell>
          <cell r="D57">
            <v>872.1</v>
          </cell>
          <cell r="F57">
            <v>686.5</v>
          </cell>
          <cell r="G57">
            <v>0</v>
          </cell>
          <cell r="H57">
            <v>32.200000000000003</v>
          </cell>
          <cell r="I57">
            <v>0</v>
          </cell>
          <cell r="J57">
            <v>182</v>
          </cell>
          <cell r="K57">
            <v>1.25</v>
          </cell>
          <cell r="L57">
            <v>901.95</v>
          </cell>
          <cell r="P57">
            <v>0</v>
          </cell>
          <cell r="Q57">
            <v>13671</v>
          </cell>
          <cell r="R57">
            <v>1158</v>
          </cell>
          <cell r="S57">
            <v>1158</v>
          </cell>
          <cell r="U57">
            <v>605</v>
          </cell>
          <cell r="Y57">
            <v>360</v>
          </cell>
          <cell r="AA57">
            <v>650.077</v>
          </cell>
          <cell r="AC57">
            <v>1200</v>
          </cell>
          <cell r="AK57">
            <v>1097</v>
          </cell>
          <cell r="AM57">
            <v>2</v>
          </cell>
          <cell r="AN57">
            <v>42</v>
          </cell>
          <cell r="AO57">
            <v>833.63800000000003</v>
          </cell>
          <cell r="AP57" t="str">
            <v>M.Trzaskalski</v>
          </cell>
        </row>
        <row r="58">
          <cell r="A58">
            <v>39865</v>
          </cell>
          <cell r="B58">
            <v>871.2</v>
          </cell>
          <cell r="C58">
            <v>0</v>
          </cell>
          <cell r="D58">
            <v>871.2</v>
          </cell>
          <cell r="F58">
            <v>692.5</v>
          </cell>
          <cell r="G58">
            <v>0</v>
          </cell>
          <cell r="H58">
            <v>32.6</v>
          </cell>
          <cell r="I58">
            <v>0</v>
          </cell>
          <cell r="J58">
            <v>145</v>
          </cell>
          <cell r="K58">
            <v>42.1</v>
          </cell>
          <cell r="L58">
            <v>912.2</v>
          </cell>
          <cell r="P58">
            <v>0</v>
          </cell>
          <cell r="Q58">
            <v>13616</v>
          </cell>
          <cell r="R58">
            <v>1168</v>
          </cell>
          <cell r="S58">
            <v>1168</v>
          </cell>
          <cell r="U58">
            <v>429</v>
          </cell>
          <cell r="X58">
            <v>312</v>
          </cell>
          <cell r="AA58">
            <v>430.5</v>
          </cell>
          <cell r="AC58">
            <v>1200</v>
          </cell>
          <cell r="AK58">
            <v>1097</v>
          </cell>
          <cell r="AM58">
            <v>2</v>
          </cell>
          <cell r="AN58">
            <v>40</v>
          </cell>
          <cell r="AO58">
            <v>833.60900000000004</v>
          </cell>
          <cell r="AP58" t="str">
            <v>M.Trzaskalski</v>
          </cell>
        </row>
        <row r="59">
          <cell r="A59">
            <v>39866</v>
          </cell>
          <cell r="B59">
            <v>875.3</v>
          </cell>
          <cell r="C59">
            <v>0</v>
          </cell>
          <cell r="D59">
            <v>875.3</v>
          </cell>
          <cell r="F59">
            <v>691.2</v>
          </cell>
          <cell r="G59">
            <v>28</v>
          </cell>
          <cell r="H59">
            <v>19.5</v>
          </cell>
          <cell r="I59">
            <v>0</v>
          </cell>
          <cell r="J59">
            <v>106</v>
          </cell>
          <cell r="K59">
            <v>41.5</v>
          </cell>
          <cell r="L59">
            <v>886.2</v>
          </cell>
          <cell r="P59">
            <v>0</v>
          </cell>
          <cell r="Q59">
            <v>13578</v>
          </cell>
          <cell r="R59">
            <v>1166</v>
          </cell>
          <cell r="S59">
            <v>1166</v>
          </cell>
          <cell r="U59">
            <v>48</v>
          </cell>
          <cell r="X59">
            <v>727</v>
          </cell>
          <cell r="Y59">
            <v>330</v>
          </cell>
          <cell r="AB59">
            <v>300</v>
          </cell>
          <cell r="AC59">
            <v>900</v>
          </cell>
          <cell r="AK59">
            <v>1097</v>
          </cell>
          <cell r="AM59">
            <v>2</v>
          </cell>
          <cell r="AN59">
            <v>38</v>
          </cell>
          <cell r="AO59">
            <v>832.06</v>
          </cell>
          <cell r="AP59" t="str">
            <v>M.Trzaskalski</v>
          </cell>
        </row>
        <row r="60">
          <cell r="A60">
            <v>39867</v>
          </cell>
          <cell r="B60">
            <v>875.6</v>
          </cell>
          <cell r="C60">
            <v>0</v>
          </cell>
          <cell r="D60">
            <v>875.6</v>
          </cell>
          <cell r="F60">
            <v>683.5</v>
          </cell>
          <cell r="G60">
            <v>0</v>
          </cell>
          <cell r="H60">
            <v>27.2</v>
          </cell>
          <cell r="I60">
            <v>47.7</v>
          </cell>
          <cell r="J60">
            <v>101</v>
          </cell>
          <cell r="K60">
            <v>44</v>
          </cell>
          <cell r="L60">
            <v>903.40000000000009</v>
          </cell>
          <cell r="M60">
            <v>0.78</v>
          </cell>
          <cell r="O60">
            <v>18.25</v>
          </cell>
          <cell r="P60">
            <v>19.03</v>
          </cell>
          <cell r="Q60">
            <v>13523</v>
          </cell>
          <cell r="R60">
            <v>1153</v>
          </cell>
          <cell r="S60">
            <v>1153</v>
          </cell>
          <cell r="U60">
            <v>240</v>
          </cell>
          <cell r="Y60">
            <v>534</v>
          </cell>
          <cell r="AB60">
            <v>100</v>
          </cell>
          <cell r="AC60">
            <v>1300</v>
          </cell>
          <cell r="AK60">
            <v>1097</v>
          </cell>
          <cell r="AM60">
            <v>3</v>
          </cell>
          <cell r="AN60">
            <v>35</v>
          </cell>
          <cell r="AO60">
            <v>832.75699999999995</v>
          </cell>
          <cell r="AP60" t="str">
            <v>M.Trzaskalski</v>
          </cell>
        </row>
        <row r="61">
          <cell r="A61">
            <v>39868</v>
          </cell>
          <cell r="B61">
            <v>876.7</v>
          </cell>
          <cell r="C61">
            <v>0</v>
          </cell>
          <cell r="D61">
            <v>876.7</v>
          </cell>
          <cell r="F61">
            <v>512</v>
          </cell>
          <cell r="G61">
            <v>0</v>
          </cell>
          <cell r="H61">
            <v>21.9</v>
          </cell>
          <cell r="I61">
            <v>65</v>
          </cell>
          <cell r="J61">
            <v>107</v>
          </cell>
          <cell r="K61">
            <v>43.7</v>
          </cell>
          <cell r="L61">
            <v>749.6</v>
          </cell>
          <cell r="P61">
            <v>0</v>
          </cell>
          <cell r="Q61">
            <v>13633</v>
          </cell>
          <cell r="R61">
            <v>863</v>
          </cell>
          <cell r="S61">
            <v>863</v>
          </cell>
          <cell r="U61">
            <v>289.39999999999998</v>
          </cell>
          <cell r="Y61">
            <v>523</v>
          </cell>
          <cell r="Z61">
            <v>101.81</v>
          </cell>
          <cell r="AB61">
            <v>100</v>
          </cell>
          <cell r="AC61">
            <v>1100</v>
          </cell>
          <cell r="AK61">
            <v>1097</v>
          </cell>
          <cell r="AM61">
            <v>2</v>
          </cell>
          <cell r="AN61">
            <v>32</v>
          </cell>
          <cell r="AO61">
            <v>834.03700000000003</v>
          </cell>
          <cell r="AP61" t="str">
            <v>M.Karlewski</v>
          </cell>
        </row>
        <row r="62">
          <cell r="A62">
            <v>39869</v>
          </cell>
          <cell r="B62">
            <v>878.1</v>
          </cell>
          <cell r="C62">
            <v>0</v>
          </cell>
          <cell r="D62">
            <v>878.1</v>
          </cell>
          <cell r="F62">
            <v>659</v>
          </cell>
          <cell r="G62">
            <v>65</v>
          </cell>
          <cell r="H62">
            <v>23.3</v>
          </cell>
          <cell r="I62">
            <v>339.96600000000001</v>
          </cell>
          <cell r="J62">
            <v>108</v>
          </cell>
          <cell r="K62">
            <v>41.9</v>
          </cell>
          <cell r="L62">
            <v>1237.1660000000002</v>
          </cell>
          <cell r="P62">
            <v>0</v>
          </cell>
          <cell r="Q62">
            <v>13588</v>
          </cell>
          <cell r="R62">
            <v>1112</v>
          </cell>
          <cell r="S62">
            <v>1112</v>
          </cell>
          <cell r="U62">
            <v>528</v>
          </cell>
          <cell r="Y62">
            <v>711.5</v>
          </cell>
          <cell r="AC62">
            <v>900</v>
          </cell>
          <cell r="AK62">
            <v>1096</v>
          </cell>
          <cell r="AM62">
            <v>1</v>
          </cell>
          <cell r="AN62">
            <v>31</v>
          </cell>
          <cell r="AO62">
            <v>834.37</v>
          </cell>
          <cell r="AP62" t="str">
            <v>M.Karlewski</v>
          </cell>
        </row>
        <row r="63">
          <cell r="A63">
            <v>39870</v>
          </cell>
          <cell r="B63">
            <v>878.1</v>
          </cell>
          <cell r="C63">
            <v>0</v>
          </cell>
          <cell r="D63">
            <v>878.1</v>
          </cell>
          <cell r="F63">
            <v>690.3</v>
          </cell>
          <cell r="G63">
            <v>15</v>
          </cell>
          <cell r="H63">
            <v>23.1</v>
          </cell>
          <cell r="I63">
            <v>0</v>
          </cell>
          <cell r="J63">
            <v>107</v>
          </cell>
          <cell r="K63">
            <v>24.3</v>
          </cell>
          <cell r="L63">
            <v>859.69999999999993</v>
          </cell>
          <cell r="O63">
            <v>18.440000000000001</v>
          </cell>
          <cell r="P63">
            <v>18.440000000000001</v>
          </cell>
          <cell r="Q63">
            <v>13541</v>
          </cell>
          <cell r="R63">
            <v>1164</v>
          </cell>
          <cell r="S63">
            <v>1164</v>
          </cell>
          <cell r="U63">
            <v>662</v>
          </cell>
          <cell r="W63">
            <v>23.8</v>
          </cell>
          <cell r="Y63">
            <v>87.5</v>
          </cell>
          <cell r="AC63">
            <v>1300</v>
          </cell>
          <cell r="AK63">
            <v>1096</v>
          </cell>
          <cell r="AL63">
            <v>23</v>
          </cell>
          <cell r="AM63">
            <v>0</v>
          </cell>
          <cell r="AN63">
            <v>55</v>
          </cell>
          <cell r="AO63">
            <v>833.34699999999998</v>
          </cell>
          <cell r="AP63" t="str">
            <v>P.Witkowski</v>
          </cell>
        </row>
        <row r="64">
          <cell r="A64">
            <v>39871</v>
          </cell>
          <cell r="B64">
            <v>874.7</v>
          </cell>
          <cell r="C64">
            <v>0</v>
          </cell>
          <cell r="D64">
            <v>874.7</v>
          </cell>
          <cell r="F64">
            <v>690.6</v>
          </cell>
          <cell r="G64">
            <v>15</v>
          </cell>
          <cell r="H64">
            <v>-68.858000000000004</v>
          </cell>
          <cell r="I64">
            <v>0</v>
          </cell>
          <cell r="J64">
            <v>109</v>
          </cell>
          <cell r="K64">
            <v>28.8</v>
          </cell>
          <cell r="L64">
            <v>774.54199999999992</v>
          </cell>
          <cell r="M64">
            <v>0.46</v>
          </cell>
          <cell r="P64">
            <v>0.46</v>
          </cell>
          <cell r="Q64">
            <v>13476</v>
          </cell>
          <cell r="R64">
            <v>1165</v>
          </cell>
          <cell r="S64">
            <v>1165</v>
          </cell>
          <cell r="U64">
            <v>588</v>
          </cell>
          <cell r="W64">
            <v>51.54</v>
          </cell>
          <cell r="Z64">
            <v>26.58</v>
          </cell>
          <cell r="AC64">
            <v>1900</v>
          </cell>
          <cell r="AK64">
            <v>1096</v>
          </cell>
          <cell r="AM64">
            <v>1</v>
          </cell>
          <cell r="AN64">
            <v>54</v>
          </cell>
          <cell r="AO64">
            <v>833.78599999999994</v>
          </cell>
          <cell r="AP64" t="str">
            <v>M.Szwyd</v>
          </cell>
        </row>
        <row r="65">
          <cell r="A65">
            <v>39872</v>
          </cell>
          <cell r="B65">
            <v>763.1</v>
          </cell>
          <cell r="C65">
            <v>0</v>
          </cell>
          <cell r="D65">
            <v>763.1</v>
          </cell>
          <cell r="F65">
            <v>769.1</v>
          </cell>
          <cell r="G65">
            <v>-126.142</v>
          </cell>
          <cell r="H65">
            <v>0</v>
          </cell>
          <cell r="I65">
            <v>0</v>
          </cell>
          <cell r="J65">
            <v>155.5</v>
          </cell>
          <cell r="K65">
            <v>141.971</v>
          </cell>
          <cell r="L65">
            <v>940.42900000000009</v>
          </cell>
          <cell r="M65">
            <v>0.08</v>
          </cell>
          <cell r="O65">
            <v>0.04</v>
          </cell>
          <cell r="P65">
            <v>0.12</v>
          </cell>
          <cell r="Q65">
            <v>13446</v>
          </cell>
          <cell r="R65">
            <v>1286</v>
          </cell>
          <cell r="S65">
            <v>1286</v>
          </cell>
          <cell r="U65">
            <v>312</v>
          </cell>
          <cell r="W65">
            <v>-216.43</v>
          </cell>
          <cell r="X65">
            <v>-72.400000000000006</v>
          </cell>
          <cell r="Y65">
            <v>126.5</v>
          </cell>
          <cell r="Z65">
            <v>50.89</v>
          </cell>
          <cell r="AA65">
            <v>30.08</v>
          </cell>
          <cell r="AB65">
            <v>260.66199999999998</v>
          </cell>
          <cell r="AC65">
            <v>2900</v>
          </cell>
          <cell r="AK65">
            <v>1096</v>
          </cell>
          <cell r="AL65">
            <v>-1.02</v>
          </cell>
          <cell r="AM65">
            <v>1</v>
          </cell>
          <cell r="AN65">
            <v>53</v>
          </cell>
          <cell r="AO65">
            <v>832.43799999999999</v>
          </cell>
          <cell r="AP65" t="str">
            <v>M.Szwyd</v>
          </cell>
        </row>
        <row r="66">
          <cell r="A66">
            <v>39873</v>
          </cell>
          <cell r="B66">
            <v>878.2</v>
          </cell>
          <cell r="C66">
            <v>0</v>
          </cell>
          <cell r="D66">
            <v>878.2</v>
          </cell>
          <cell r="F66">
            <v>689.2</v>
          </cell>
          <cell r="G66">
            <v>59.8</v>
          </cell>
          <cell r="H66">
            <v>0</v>
          </cell>
          <cell r="I66">
            <v>0</v>
          </cell>
          <cell r="J66">
            <v>113</v>
          </cell>
          <cell r="K66">
            <v>27.3</v>
          </cell>
          <cell r="L66">
            <v>889.3</v>
          </cell>
          <cell r="P66">
            <v>0</v>
          </cell>
          <cell r="Q66">
            <v>13478</v>
          </cell>
          <cell r="R66">
            <v>1162</v>
          </cell>
          <cell r="S66">
            <v>1162</v>
          </cell>
          <cell r="U66">
            <v>48</v>
          </cell>
          <cell r="Y66">
            <v>497</v>
          </cell>
          <cell r="AC66">
            <v>3500</v>
          </cell>
          <cell r="AK66">
            <v>1096</v>
          </cell>
          <cell r="AM66">
            <v>1</v>
          </cell>
          <cell r="AN66">
            <v>52</v>
          </cell>
          <cell r="AO66">
            <v>831.053</v>
          </cell>
          <cell r="AP66" t="str">
            <v>M.Szwyd</v>
          </cell>
        </row>
        <row r="67">
          <cell r="A67">
            <v>39874</v>
          </cell>
          <cell r="B67">
            <v>878.9</v>
          </cell>
          <cell r="C67">
            <v>0</v>
          </cell>
          <cell r="D67">
            <v>878.9</v>
          </cell>
          <cell r="F67">
            <v>658.5</v>
          </cell>
          <cell r="G67">
            <v>65</v>
          </cell>
          <cell r="H67">
            <v>18.3</v>
          </cell>
          <cell r="I67">
            <v>0</v>
          </cell>
          <cell r="J67">
            <v>112</v>
          </cell>
          <cell r="K67">
            <v>26.5</v>
          </cell>
          <cell r="L67">
            <v>880.3</v>
          </cell>
          <cell r="O67">
            <v>17.86</v>
          </cell>
          <cell r="P67">
            <v>17.86</v>
          </cell>
          <cell r="Q67">
            <v>13354</v>
          </cell>
          <cell r="R67">
            <v>1110</v>
          </cell>
          <cell r="S67">
            <v>1110</v>
          </cell>
          <cell r="U67">
            <v>480</v>
          </cell>
          <cell r="X67">
            <v>490</v>
          </cell>
          <cell r="Y67">
            <v>548</v>
          </cell>
          <cell r="Z67">
            <v>76.599999999999994</v>
          </cell>
          <cell r="AC67">
            <v>3000</v>
          </cell>
          <cell r="AK67">
            <v>1096</v>
          </cell>
          <cell r="AM67">
            <v>3</v>
          </cell>
          <cell r="AN67">
            <v>49</v>
          </cell>
          <cell r="AO67">
            <v>828.86500000000001</v>
          </cell>
          <cell r="AP67" t="str">
            <v>M.Trzaskalski</v>
          </cell>
        </row>
        <row r="68">
          <cell r="A68">
            <v>39875</v>
          </cell>
          <cell r="B68">
            <v>878.9</v>
          </cell>
          <cell r="C68">
            <v>0</v>
          </cell>
          <cell r="D68">
            <v>878.9</v>
          </cell>
          <cell r="F68">
            <v>553.6</v>
          </cell>
          <cell r="G68">
            <v>126</v>
          </cell>
          <cell r="H68">
            <v>18</v>
          </cell>
          <cell r="I68">
            <v>0</v>
          </cell>
          <cell r="J68">
            <v>214</v>
          </cell>
          <cell r="K68">
            <v>30.6</v>
          </cell>
          <cell r="L68">
            <v>942.2</v>
          </cell>
          <cell r="M68">
            <v>0.88</v>
          </cell>
          <cell r="P68">
            <v>0.88</v>
          </cell>
          <cell r="Q68">
            <v>13288</v>
          </cell>
          <cell r="R68">
            <v>934</v>
          </cell>
          <cell r="S68">
            <v>934</v>
          </cell>
          <cell r="U68">
            <v>912</v>
          </cell>
          <cell r="X68">
            <v>547</v>
          </cell>
          <cell r="Y68">
            <v>562.5</v>
          </cell>
          <cell r="Z68">
            <v>76.400000000000006</v>
          </cell>
          <cell r="AC68">
            <v>1850</v>
          </cell>
          <cell r="AK68">
            <v>1096</v>
          </cell>
          <cell r="AM68">
            <v>3</v>
          </cell>
          <cell r="AN68">
            <v>46</v>
          </cell>
          <cell r="AO68">
            <v>830.51800000000003</v>
          </cell>
          <cell r="AP68" t="str">
            <v>M.Trzaskalski</v>
          </cell>
        </row>
        <row r="69">
          <cell r="A69">
            <v>39876</v>
          </cell>
          <cell r="B69">
            <v>877.9</v>
          </cell>
          <cell r="C69">
            <v>0</v>
          </cell>
          <cell r="D69">
            <v>877.9</v>
          </cell>
          <cell r="F69">
            <v>687.5</v>
          </cell>
          <cell r="G69">
            <v>80</v>
          </cell>
          <cell r="H69">
            <v>17.8</v>
          </cell>
          <cell r="I69">
            <v>0</v>
          </cell>
          <cell r="J69">
            <v>200</v>
          </cell>
          <cell r="K69">
            <v>27.5</v>
          </cell>
          <cell r="L69">
            <v>1012.8</v>
          </cell>
          <cell r="O69">
            <v>18.5</v>
          </cell>
          <cell r="P69">
            <v>18.5</v>
          </cell>
          <cell r="Q69">
            <v>13110</v>
          </cell>
          <cell r="R69">
            <v>1159</v>
          </cell>
          <cell r="S69">
            <v>1159</v>
          </cell>
          <cell r="U69">
            <v>672</v>
          </cell>
          <cell r="X69">
            <v>429</v>
          </cell>
          <cell r="Y69">
            <v>493.5</v>
          </cell>
          <cell r="AC69">
            <v>1260</v>
          </cell>
          <cell r="AK69">
            <v>1096</v>
          </cell>
          <cell r="AM69">
            <v>3</v>
          </cell>
          <cell r="AN69">
            <v>43</v>
          </cell>
          <cell r="AO69">
            <v>828.59799999999996</v>
          </cell>
          <cell r="AP69" t="str">
            <v>B.Bronicki</v>
          </cell>
        </row>
        <row r="70">
          <cell r="A70">
            <v>39877</v>
          </cell>
          <cell r="B70">
            <v>877.2</v>
          </cell>
          <cell r="C70">
            <v>0</v>
          </cell>
          <cell r="D70">
            <v>877.2</v>
          </cell>
          <cell r="F70">
            <v>690.1</v>
          </cell>
          <cell r="G70">
            <v>30</v>
          </cell>
          <cell r="H70">
            <v>19.3</v>
          </cell>
          <cell r="I70">
            <v>0</v>
          </cell>
          <cell r="J70">
            <v>173</v>
          </cell>
          <cell r="K70">
            <v>26.1</v>
          </cell>
          <cell r="L70">
            <v>938.5</v>
          </cell>
          <cell r="P70">
            <v>0</v>
          </cell>
          <cell r="Q70">
            <v>13046</v>
          </cell>
          <cell r="R70">
            <v>1164</v>
          </cell>
          <cell r="S70">
            <v>1164</v>
          </cell>
          <cell r="U70">
            <v>456</v>
          </cell>
          <cell r="X70">
            <v>405</v>
          </cell>
          <cell r="Y70">
            <v>263</v>
          </cell>
          <cell r="Z70">
            <v>176.88</v>
          </cell>
          <cell r="AC70">
            <v>1200</v>
          </cell>
          <cell r="AK70">
            <v>1096</v>
          </cell>
          <cell r="AM70">
            <v>3</v>
          </cell>
          <cell r="AN70">
            <v>40</v>
          </cell>
          <cell r="AO70">
            <v>828.37400000000002</v>
          </cell>
          <cell r="AP70" t="str">
            <v>B.Bronicki</v>
          </cell>
        </row>
        <row r="71">
          <cell r="A71">
            <v>39878</v>
          </cell>
          <cell r="B71">
            <v>887.6</v>
          </cell>
          <cell r="C71">
            <v>0</v>
          </cell>
          <cell r="D71">
            <v>887.6</v>
          </cell>
          <cell r="F71">
            <v>693</v>
          </cell>
          <cell r="G71">
            <v>54</v>
          </cell>
          <cell r="H71">
            <v>18.899999999999999</v>
          </cell>
          <cell r="I71">
            <v>0</v>
          </cell>
          <cell r="J71">
            <v>228</v>
          </cell>
          <cell r="K71">
            <v>41.099999999999994</v>
          </cell>
          <cell r="L71">
            <v>1035</v>
          </cell>
          <cell r="O71">
            <v>18.04</v>
          </cell>
          <cell r="P71">
            <v>18.04</v>
          </cell>
          <cell r="Q71">
            <v>12861</v>
          </cell>
          <cell r="R71">
            <v>1169</v>
          </cell>
          <cell r="S71">
            <v>1169</v>
          </cell>
          <cell r="U71">
            <v>281</v>
          </cell>
          <cell r="X71">
            <v>304</v>
          </cell>
          <cell r="Y71">
            <v>552.5</v>
          </cell>
          <cell r="Z71">
            <v>127</v>
          </cell>
          <cell r="AC71">
            <v>1280</v>
          </cell>
          <cell r="AK71">
            <v>1096</v>
          </cell>
          <cell r="AM71">
            <v>3</v>
          </cell>
          <cell r="AN71">
            <v>37</v>
          </cell>
          <cell r="AO71">
            <v>830.81700000000001</v>
          </cell>
          <cell r="AP71" t="str">
            <v>P.Witkowski</v>
          </cell>
        </row>
        <row r="72">
          <cell r="A72">
            <v>39879</v>
          </cell>
          <cell r="B72">
            <v>877.2</v>
          </cell>
          <cell r="C72">
            <v>0</v>
          </cell>
          <cell r="D72">
            <v>877.2</v>
          </cell>
          <cell r="F72">
            <v>693.7</v>
          </cell>
          <cell r="G72">
            <v>55</v>
          </cell>
          <cell r="H72">
            <v>14.9</v>
          </cell>
          <cell r="I72">
            <v>0</v>
          </cell>
          <cell r="J72">
            <v>229</v>
          </cell>
          <cell r="K72">
            <v>54.7</v>
          </cell>
          <cell r="L72">
            <v>1047.3</v>
          </cell>
          <cell r="P72">
            <v>0</v>
          </cell>
          <cell r="Q72">
            <v>12675</v>
          </cell>
          <cell r="R72">
            <v>1170</v>
          </cell>
          <cell r="S72">
            <v>1170</v>
          </cell>
          <cell r="U72">
            <v>144</v>
          </cell>
          <cell r="X72">
            <v>786</v>
          </cell>
          <cell r="Y72">
            <v>646</v>
          </cell>
          <cell r="AC72">
            <v>870</v>
          </cell>
          <cell r="AK72">
            <v>1096</v>
          </cell>
          <cell r="AM72">
            <v>3</v>
          </cell>
          <cell r="AN72">
            <v>34</v>
          </cell>
          <cell r="AO72">
            <v>831.202</v>
          </cell>
          <cell r="AP72" t="str">
            <v>P.Witkowski</v>
          </cell>
        </row>
        <row r="73">
          <cell r="A73">
            <v>39880</v>
          </cell>
          <cell r="B73">
            <v>872.2</v>
          </cell>
          <cell r="C73">
            <v>0</v>
          </cell>
          <cell r="D73">
            <v>872.2</v>
          </cell>
          <cell r="F73">
            <v>689.2</v>
          </cell>
          <cell r="G73">
            <v>90</v>
          </cell>
          <cell r="H73">
            <v>19</v>
          </cell>
          <cell r="I73">
            <v>0</v>
          </cell>
          <cell r="J73">
            <v>225</v>
          </cell>
          <cell r="K73">
            <v>58.2</v>
          </cell>
          <cell r="L73">
            <v>1081.4000000000001</v>
          </cell>
          <cell r="P73">
            <v>0</v>
          </cell>
          <cell r="Q73">
            <v>12463</v>
          </cell>
          <cell r="R73">
            <v>1162</v>
          </cell>
          <cell r="S73">
            <v>1162</v>
          </cell>
          <cell r="X73">
            <v>232</v>
          </cell>
          <cell r="Y73">
            <v>444</v>
          </cell>
          <cell r="AC73">
            <v>1360</v>
          </cell>
          <cell r="AK73">
            <v>1096</v>
          </cell>
          <cell r="AM73">
            <v>2</v>
          </cell>
          <cell r="AN73">
            <v>32</v>
          </cell>
          <cell r="AO73">
            <v>833.30799999999999</v>
          </cell>
          <cell r="AP73" t="str">
            <v>P.Witkowski</v>
          </cell>
        </row>
        <row r="74">
          <cell r="A74">
            <v>39881</v>
          </cell>
          <cell r="B74">
            <v>870.6</v>
          </cell>
          <cell r="C74">
            <v>0</v>
          </cell>
          <cell r="D74">
            <v>870.6</v>
          </cell>
          <cell r="F74">
            <v>689.3</v>
          </cell>
          <cell r="G74">
            <v>0</v>
          </cell>
          <cell r="H74">
            <v>21.4</v>
          </cell>
          <cell r="I74">
            <v>0</v>
          </cell>
          <cell r="J74">
            <v>174</v>
          </cell>
          <cell r="K74">
            <v>32.200000000000003</v>
          </cell>
          <cell r="L74">
            <v>916.9</v>
          </cell>
          <cell r="O74">
            <v>18.2</v>
          </cell>
          <cell r="P74">
            <v>18.2</v>
          </cell>
          <cell r="Q74">
            <v>12291</v>
          </cell>
          <cell r="R74">
            <v>1162</v>
          </cell>
          <cell r="S74">
            <v>1162</v>
          </cell>
          <cell r="U74">
            <v>336</v>
          </cell>
          <cell r="Z74">
            <v>119.2</v>
          </cell>
          <cell r="AC74">
            <v>1950</v>
          </cell>
          <cell r="AK74">
            <v>1096</v>
          </cell>
          <cell r="AM74">
            <v>1</v>
          </cell>
          <cell r="AN74">
            <v>31</v>
          </cell>
          <cell r="AO74">
            <v>833.99199999999996</v>
          </cell>
          <cell r="AP74" t="str">
            <v>P.Witkowski</v>
          </cell>
        </row>
        <row r="75">
          <cell r="A75">
            <v>39882</v>
          </cell>
          <cell r="B75">
            <v>870.8</v>
          </cell>
          <cell r="C75">
            <v>0</v>
          </cell>
          <cell r="D75">
            <v>870.8</v>
          </cell>
          <cell r="F75">
            <v>697.8</v>
          </cell>
          <cell r="G75">
            <v>0</v>
          </cell>
          <cell r="H75">
            <v>23.4</v>
          </cell>
          <cell r="I75">
            <v>0</v>
          </cell>
          <cell r="J75">
            <v>111</v>
          </cell>
          <cell r="K75">
            <v>32.699999999999996</v>
          </cell>
          <cell r="L75">
            <v>864.9</v>
          </cell>
          <cell r="M75">
            <v>6.24</v>
          </cell>
          <cell r="P75">
            <v>6.24</v>
          </cell>
          <cell r="Q75">
            <v>12275</v>
          </cell>
          <cell r="R75">
            <v>1167</v>
          </cell>
          <cell r="S75">
            <v>1167</v>
          </cell>
          <cell r="U75">
            <v>516</v>
          </cell>
          <cell r="Z75">
            <v>153</v>
          </cell>
          <cell r="AC75">
            <v>2450</v>
          </cell>
          <cell r="AJ75">
            <v>23.04</v>
          </cell>
          <cell r="AK75">
            <v>1073</v>
          </cell>
          <cell r="AM75">
            <v>1</v>
          </cell>
          <cell r="AN75">
            <v>30</v>
          </cell>
          <cell r="AO75">
            <v>834.06399999999996</v>
          </cell>
          <cell r="AP75" t="str">
            <v>M.Szwyd</v>
          </cell>
        </row>
        <row r="76">
          <cell r="A76">
            <v>39883</v>
          </cell>
          <cell r="B76">
            <v>870.8</v>
          </cell>
          <cell r="C76">
            <v>0</v>
          </cell>
          <cell r="D76">
            <v>870.8</v>
          </cell>
          <cell r="F76">
            <v>690.8</v>
          </cell>
          <cell r="G76">
            <v>0</v>
          </cell>
          <cell r="H76">
            <v>17.399999999999999</v>
          </cell>
          <cell r="I76">
            <v>0</v>
          </cell>
          <cell r="J76">
            <v>108</v>
          </cell>
          <cell r="K76">
            <v>34.200000000000003</v>
          </cell>
          <cell r="L76">
            <v>850.4</v>
          </cell>
          <cell r="M76">
            <v>5.28</v>
          </cell>
          <cell r="O76">
            <v>18.260000000000002</v>
          </cell>
          <cell r="P76">
            <v>23.540000000000003</v>
          </cell>
          <cell r="Q76">
            <v>12255</v>
          </cell>
          <cell r="R76">
            <v>1167</v>
          </cell>
          <cell r="S76">
            <v>1167</v>
          </cell>
          <cell r="U76">
            <v>336</v>
          </cell>
          <cell r="X76">
            <v>444</v>
          </cell>
          <cell r="Z76">
            <v>325.12</v>
          </cell>
          <cell r="AC76">
            <v>2500</v>
          </cell>
          <cell r="AJ76">
            <v>23.28</v>
          </cell>
          <cell r="AK76">
            <v>1050</v>
          </cell>
          <cell r="AM76">
            <v>2</v>
          </cell>
          <cell r="AN76">
            <v>28</v>
          </cell>
          <cell r="AO76">
            <v>834.14200000000005</v>
          </cell>
          <cell r="AP76" t="str">
            <v>M.Szwyd</v>
          </cell>
        </row>
        <row r="77">
          <cell r="A77">
            <v>39884</v>
          </cell>
          <cell r="B77">
            <v>865.5</v>
          </cell>
          <cell r="C77">
            <v>0</v>
          </cell>
          <cell r="D77">
            <v>865.5</v>
          </cell>
          <cell r="F77">
            <v>689.3</v>
          </cell>
          <cell r="G77">
            <v>0</v>
          </cell>
          <cell r="H77">
            <v>15.2</v>
          </cell>
          <cell r="I77">
            <v>0</v>
          </cell>
          <cell r="J77">
            <v>112</v>
          </cell>
          <cell r="K77">
            <v>36.200000000000003</v>
          </cell>
          <cell r="L77">
            <v>852.7</v>
          </cell>
          <cell r="O77">
            <v>18.38</v>
          </cell>
          <cell r="P77">
            <v>18.38</v>
          </cell>
          <cell r="Q77">
            <v>12238</v>
          </cell>
          <cell r="R77">
            <v>1149</v>
          </cell>
          <cell r="S77">
            <v>1149</v>
          </cell>
          <cell r="U77">
            <v>670</v>
          </cell>
          <cell r="X77">
            <v>612</v>
          </cell>
          <cell r="Z77">
            <v>151.46</v>
          </cell>
          <cell r="AC77">
            <v>2200</v>
          </cell>
          <cell r="AK77">
            <v>1050</v>
          </cell>
          <cell r="AM77">
            <v>2</v>
          </cell>
          <cell r="AN77">
            <v>26</v>
          </cell>
          <cell r="AO77">
            <v>834.48299999999995</v>
          </cell>
          <cell r="AP77" t="str">
            <v>M.Szwyd</v>
          </cell>
        </row>
        <row r="78">
          <cell r="A78">
            <v>39885</v>
          </cell>
          <cell r="B78">
            <v>862.8</v>
          </cell>
          <cell r="C78">
            <v>0</v>
          </cell>
          <cell r="D78">
            <v>862.8</v>
          </cell>
          <cell r="F78">
            <v>665.9</v>
          </cell>
          <cell r="G78">
            <v>16.3</v>
          </cell>
          <cell r="H78">
            <v>15</v>
          </cell>
          <cell r="I78">
            <v>0</v>
          </cell>
          <cell r="J78">
            <v>112</v>
          </cell>
          <cell r="K78">
            <v>19.599999999999998</v>
          </cell>
          <cell r="L78">
            <v>828.8</v>
          </cell>
          <cell r="P78">
            <v>0</v>
          </cell>
          <cell r="Q78">
            <v>12165</v>
          </cell>
          <cell r="R78">
            <v>1123</v>
          </cell>
          <cell r="S78">
            <v>1123</v>
          </cell>
          <cell r="U78">
            <v>602</v>
          </cell>
          <cell r="Z78">
            <v>129.80000000000001</v>
          </cell>
          <cell r="AC78">
            <v>590</v>
          </cell>
          <cell r="AK78">
            <v>1050</v>
          </cell>
          <cell r="AM78">
            <v>2</v>
          </cell>
          <cell r="AN78">
            <v>24</v>
          </cell>
          <cell r="AO78">
            <v>831.8</v>
          </cell>
          <cell r="AP78" t="str">
            <v>M.Szwyd</v>
          </cell>
        </row>
        <row r="79">
          <cell r="A79">
            <v>39886</v>
          </cell>
          <cell r="B79">
            <v>863.5</v>
          </cell>
          <cell r="C79">
            <v>0</v>
          </cell>
          <cell r="D79">
            <v>863.5</v>
          </cell>
          <cell r="F79">
            <v>670.5</v>
          </cell>
          <cell r="G79">
            <v>19.100000000000001</v>
          </cell>
          <cell r="H79">
            <v>15.1</v>
          </cell>
          <cell r="I79">
            <v>0</v>
          </cell>
          <cell r="J79">
            <v>112</v>
          </cell>
          <cell r="K79">
            <v>44.5</v>
          </cell>
          <cell r="L79">
            <v>861.2</v>
          </cell>
          <cell r="P79">
            <v>0</v>
          </cell>
          <cell r="Q79">
            <v>12082</v>
          </cell>
          <cell r="R79">
            <v>1131</v>
          </cell>
          <cell r="S79">
            <v>1131</v>
          </cell>
          <cell r="U79">
            <v>192</v>
          </cell>
          <cell r="Y79">
            <v>641.5</v>
          </cell>
          <cell r="AC79">
            <v>2890</v>
          </cell>
          <cell r="AK79">
            <v>1050</v>
          </cell>
          <cell r="AM79">
            <v>2</v>
          </cell>
          <cell r="AN79">
            <v>22</v>
          </cell>
          <cell r="AO79">
            <v>832.43</v>
          </cell>
          <cell r="AP79" t="str">
            <v>M.Szwyd</v>
          </cell>
        </row>
        <row r="80">
          <cell r="A80">
            <v>39887</v>
          </cell>
          <cell r="B80">
            <v>868.5</v>
          </cell>
          <cell r="C80">
            <v>0</v>
          </cell>
          <cell r="D80">
            <v>868.5</v>
          </cell>
          <cell r="F80">
            <v>685</v>
          </cell>
          <cell r="G80">
            <v>94</v>
          </cell>
          <cell r="H80">
            <v>13.8</v>
          </cell>
          <cell r="I80">
            <v>0</v>
          </cell>
          <cell r="J80">
            <v>116</v>
          </cell>
          <cell r="K80">
            <v>76.400000000000006</v>
          </cell>
          <cell r="L80">
            <v>985.19999999999993</v>
          </cell>
          <cell r="P80">
            <v>0</v>
          </cell>
          <cell r="Q80">
            <v>11964</v>
          </cell>
          <cell r="R80">
            <v>1156</v>
          </cell>
          <cell r="S80">
            <v>1156</v>
          </cell>
          <cell r="U80">
            <v>24</v>
          </cell>
          <cell r="Y80">
            <v>645</v>
          </cell>
          <cell r="AC80">
            <v>3370</v>
          </cell>
          <cell r="AK80">
            <v>1050</v>
          </cell>
          <cell r="AM80">
            <v>2</v>
          </cell>
          <cell r="AN80">
            <v>20</v>
          </cell>
          <cell r="AO80">
            <v>831.07500000000005</v>
          </cell>
          <cell r="AP80" t="str">
            <v>M.Szwyd</v>
          </cell>
        </row>
        <row r="81">
          <cell r="A81">
            <v>39888</v>
          </cell>
          <cell r="B81">
            <v>870.4</v>
          </cell>
          <cell r="C81">
            <v>0</v>
          </cell>
          <cell r="D81">
            <v>870.4</v>
          </cell>
          <cell r="F81">
            <v>690.5</v>
          </cell>
          <cell r="G81">
            <v>7</v>
          </cell>
          <cell r="H81">
            <v>14</v>
          </cell>
          <cell r="I81">
            <v>0</v>
          </cell>
          <cell r="J81">
            <v>109</v>
          </cell>
          <cell r="K81">
            <v>87.5</v>
          </cell>
          <cell r="L81">
            <v>908</v>
          </cell>
          <cell r="M81">
            <v>1.24</v>
          </cell>
          <cell r="P81">
            <v>1.24</v>
          </cell>
          <cell r="Q81">
            <v>11906</v>
          </cell>
          <cell r="R81">
            <v>1164</v>
          </cell>
          <cell r="S81">
            <v>1164</v>
          </cell>
          <cell r="U81">
            <v>120</v>
          </cell>
          <cell r="X81">
            <v>615</v>
          </cell>
          <cell r="Y81">
            <v>690.06</v>
          </cell>
          <cell r="AC81">
            <v>3100</v>
          </cell>
          <cell r="AK81">
            <v>1050</v>
          </cell>
          <cell r="AL81">
            <v>18</v>
          </cell>
          <cell r="AM81">
            <v>2</v>
          </cell>
          <cell r="AN81">
            <v>36</v>
          </cell>
          <cell r="AO81">
            <v>830.72299999999996</v>
          </cell>
          <cell r="AP81" t="str">
            <v>M.Szwyd</v>
          </cell>
        </row>
        <row r="82">
          <cell r="A82">
            <v>39889</v>
          </cell>
          <cell r="B82">
            <v>871.5</v>
          </cell>
          <cell r="C82">
            <v>0</v>
          </cell>
          <cell r="D82">
            <v>871.5</v>
          </cell>
          <cell r="F82">
            <v>687.4</v>
          </cell>
          <cell r="G82">
            <v>102</v>
          </cell>
          <cell r="H82">
            <v>22.1</v>
          </cell>
          <cell r="I82">
            <v>0</v>
          </cell>
          <cell r="J82">
            <v>93</v>
          </cell>
          <cell r="K82">
            <v>59.800000000000004</v>
          </cell>
          <cell r="L82">
            <v>964.3</v>
          </cell>
          <cell r="O82">
            <v>18.46</v>
          </cell>
          <cell r="P82">
            <v>18.46</v>
          </cell>
          <cell r="Q82">
            <v>11766</v>
          </cell>
          <cell r="R82">
            <v>1159</v>
          </cell>
          <cell r="S82">
            <v>1159</v>
          </cell>
          <cell r="U82">
            <v>684</v>
          </cell>
          <cell r="X82">
            <v>397</v>
          </cell>
          <cell r="Y82">
            <v>115.5</v>
          </cell>
          <cell r="Z82">
            <v>99.2</v>
          </cell>
          <cell r="AC82">
            <v>3000</v>
          </cell>
          <cell r="AJ82">
            <v>47.74</v>
          </cell>
          <cell r="AK82">
            <v>1003</v>
          </cell>
          <cell r="AM82">
            <v>1</v>
          </cell>
          <cell r="AN82">
            <v>35</v>
          </cell>
          <cell r="AO82">
            <v>829.20100000000002</v>
          </cell>
          <cell r="AP82" t="str">
            <v>M.Karlewski</v>
          </cell>
        </row>
        <row r="83">
          <cell r="A83">
            <v>39890</v>
          </cell>
          <cell r="B83">
            <v>867.9</v>
          </cell>
          <cell r="C83">
            <v>0</v>
          </cell>
          <cell r="D83">
            <v>867.9</v>
          </cell>
          <cell r="F83">
            <v>685.6</v>
          </cell>
          <cell r="G83">
            <v>116</v>
          </cell>
          <cell r="H83">
            <v>31.2</v>
          </cell>
          <cell r="I83">
            <v>0</v>
          </cell>
          <cell r="J83">
            <v>117</v>
          </cell>
          <cell r="K83">
            <v>57.4</v>
          </cell>
          <cell r="L83">
            <v>1007.2</v>
          </cell>
          <cell r="P83">
            <v>0</v>
          </cell>
          <cell r="Q83">
            <v>11617</v>
          </cell>
          <cell r="R83">
            <v>1156</v>
          </cell>
          <cell r="S83">
            <v>1156</v>
          </cell>
          <cell r="U83">
            <v>483.6</v>
          </cell>
          <cell r="W83">
            <v>75.98</v>
          </cell>
          <cell r="Z83">
            <v>196.68</v>
          </cell>
          <cell r="AC83">
            <v>3400</v>
          </cell>
          <cell r="AJ83">
            <v>49.06</v>
          </cell>
          <cell r="AK83">
            <v>953</v>
          </cell>
          <cell r="AM83">
            <v>1</v>
          </cell>
          <cell r="AN83">
            <v>34</v>
          </cell>
          <cell r="AO83">
            <v>829.01599999999996</v>
          </cell>
          <cell r="AP83" t="str">
            <v>M.Karlewski</v>
          </cell>
        </row>
        <row r="84">
          <cell r="A84">
            <v>39891</v>
          </cell>
          <cell r="B84">
            <v>868.4</v>
          </cell>
          <cell r="C84">
            <v>0</v>
          </cell>
          <cell r="D84">
            <v>868.4</v>
          </cell>
          <cell r="F84">
            <v>590.70000000000005</v>
          </cell>
          <cell r="G84">
            <v>0</v>
          </cell>
          <cell r="H84">
            <v>37</v>
          </cell>
          <cell r="I84">
            <v>0</v>
          </cell>
          <cell r="J84">
            <v>115</v>
          </cell>
          <cell r="K84">
            <v>80.2</v>
          </cell>
          <cell r="L84">
            <v>822.90000000000009</v>
          </cell>
          <cell r="O84">
            <v>18.32</v>
          </cell>
          <cell r="P84">
            <v>18.32</v>
          </cell>
          <cell r="Q84">
            <v>11607</v>
          </cell>
          <cell r="R84">
            <v>996</v>
          </cell>
          <cell r="S84">
            <v>996</v>
          </cell>
          <cell r="U84">
            <v>552</v>
          </cell>
          <cell r="W84">
            <v>160</v>
          </cell>
          <cell r="X84">
            <v>565</v>
          </cell>
          <cell r="Z84">
            <v>149.94</v>
          </cell>
          <cell r="AC84">
            <v>2900</v>
          </cell>
          <cell r="AJ84">
            <v>48.12</v>
          </cell>
          <cell r="AK84">
            <v>905</v>
          </cell>
          <cell r="AM84">
            <v>3</v>
          </cell>
          <cell r="AN84">
            <v>31</v>
          </cell>
          <cell r="AO84">
            <v>827.62300000000005</v>
          </cell>
          <cell r="AP84" t="str">
            <v>M.Karlewski</v>
          </cell>
        </row>
        <row r="85">
          <cell r="A85">
            <v>39892</v>
          </cell>
          <cell r="B85">
            <v>868.3</v>
          </cell>
          <cell r="C85">
            <v>0</v>
          </cell>
          <cell r="D85">
            <v>868.3</v>
          </cell>
          <cell r="F85">
            <v>582.6</v>
          </cell>
          <cell r="G85">
            <v>0</v>
          </cell>
          <cell r="H85">
            <v>28.9</v>
          </cell>
          <cell r="I85">
            <v>0</v>
          </cell>
          <cell r="J85">
            <v>26</v>
          </cell>
          <cell r="K85">
            <v>51.3</v>
          </cell>
          <cell r="L85">
            <v>688.8</v>
          </cell>
          <cell r="O85">
            <v>19.8</v>
          </cell>
          <cell r="P85">
            <v>19.8</v>
          </cell>
          <cell r="Q85">
            <v>11756</v>
          </cell>
          <cell r="R85">
            <v>982</v>
          </cell>
          <cell r="S85">
            <v>982</v>
          </cell>
          <cell r="U85">
            <v>720</v>
          </cell>
          <cell r="X85">
            <v>466</v>
          </cell>
          <cell r="Y85">
            <v>50</v>
          </cell>
          <cell r="Z85">
            <v>152.18</v>
          </cell>
          <cell r="AB85">
            <v>100</v>
          </cell>
          <cell r="AC85">
            <v>2500</v>
          </cell>
          <cell r="AK85">
            <v>905</v>
          </cell>
          <cell r="AM85">
            <v>2</v>
          </cell>
          <cell r="AN85">
            <v>29</v>
          </cell>
          <cell r="AO85">
            <v>827.14599999999996</v>
          </cell>
          <cell r="AP85" t="str">
            <v>M.Trzaskalski</v>
          </cell>
        </row>
        <row r="86">
          <cell r="A86">
            <v>39893</v>
          </cell>
          <cell r="B86">
            <v>876.7</v>
          </cell>
          <cell r="C86">
            <v>0</v>
          </cell>
          <cell r="D86">
            <v>876.7</v>
          </cell>
          <cell r="F86">
            <v>648.4</v>
          </cell>
          <cell r="G86">
            <v>97</v>
          </cell>
          <cell r="H86">
            <v>41.8</v>
          </cell>
          <cell r="I86">
            <v>0</v>
          </cell>
          <cell r="J86">
            <v>0</v>
          </cell>
          <cell r="K86">
            <v>21.7</v>
          </cell>
          <cell r="L86">
            <v>808.9</v>
          </cell>
          <cell r="P86">
            <v>0</v>
          </cell>
          <cell r="Q86">
            <v>11819</v>
          </cell>
          <cell r="R86">
            <v>1092</v>
          </cell>
          <cell r="S86">
            <v>1092</v>
          </cell>
          <cell r="U86">
            <v>96</v>
          </cell>
          <cell r="AC86">
            <v>3500</v>
          </cell>
          <cell r="AK86">
            <v>905</v>
          </cell>
          <cell r="AM86">
            <v>2</v>
          </cell>
          <cell r="AN86">
            <v>27</v>
          </cell>
          <cell r="AO86">
            <v>823.64700000000005</v>
          </cell>
          <cell r="AP86" t="str">
            <v>M.Trzaskalski</v>
          </cell>
        </row>
        <row r="87">
          <cell r="A87">
            <v>39894</v>
          </cell>
          <cell r="B87">
            <v>881.6</v>
          </cell>
          <cell r="C87">
            <v>0</v>
          </cell>
          <cell r="D87">
            <v>881.6</v>
          </cell>
          <cell r="F87">
            <v>685.2</v>
          </cell>
          <cell r="G87">
            <v>111</v>
          </cell>
          <cell r="H87">
            <v>29.7</v>
          </cell>
          <cell r="I87">
            <v>0</v>
          </cell>
          <cell r="J87">
            <v>0</v>
          </cell>
          <cell r="K87">
            <v>26.7</v>
          </cell>
          <cell r="L87">
            <v>852.60000000000014</v>
          </cell>
          <cell r="P87">
            <v>0</v>
          </cell>
          <cell r="Q87">
            <v>11840</v>
          </cell>
          <cell r="R87">
            <v>1155</v>
          </cell>
          <cell r="S87">
            <v>1155</v>
          </cell>
          <cell r="U87">
            <v>24</v>
          </cell>
          <cell r="AC87">
            <v>4500</v>
          </cell>
          <cell r="AK87">
            <v>905</v>
          </cell>
          <cell r="AM87">
            <v>2</v>
          </cell>
          <cell r="AN87">
            <v>25</v>
          </cell>
          <cell r="AO87">
            <v>820.12400000000002</v>
          </cell>
          <cell r="AP87" t="str">
            <v>M.Trzaskalski</v>
          </cell>
        </row>
        <row r="88">
          <cell r="A88">
            <v>39895</v>
          </cell>
          <cell r="B88">
            <v>882.4</v>
          </cell>
          <cell r="C88">
            <v>0</v>
          </cell>
          <cell r="D88">
            <v>882.4</v>
          </cell>
          <cell r="F88">
            <v>686.7</v>
          </cell>
          <cell r="G88">
            <v>15</v>
          </cell>
          <cell r="H88">
            <v>23.9</v>
          </cell>
          <cell r="I88">
            <v>0</v>
          </cell>
          <cell r="J88">
            <v>0</v>
          </cell>
          <cell r="K88">
            <v>48.3</v>
          </cell>
          <cell r="L88">
            <v>773.9</v>
          </cell>
          <cell r="O88">
            <v>18.260000000000002</v>
          </cell>
          <cell r="P88">
            <v>18.260000000000002</v>
          </cell>
          <cell r="Q88">
            <v>11910</v>
          </cell>
          <cell r="R88">
            <v>1158</v>
          </cell>
          <cell r="S88">
            <v>1158</v>
          </cell>
          <cell r="U88">
            <v>192</v>
          </cell>
          <cell r="Z88">
            <v>125.56</v>
          </cell>
          <cell r="AB88">
            <v>50</v>
          </cell>
          <cell r="AC88">
            <v>5200</v>
          </cell>
          <cell r="AK88">
            <v>905</v>
          </cell>
          <cell r="AM88">
            <v>2</v>
          </cell>
          <cell r="AN88">
            <v>23</v>
          </cell>
          <cell r="AO88">
            <v>820.22699999999998</v>
          </cell>
          <cell r="AP88" t="str">
            <v>M.Trzaskalski</v>
          </cell>
        </row>
        <row r="89">
          <cell r="A89">
            <v>39896</v>
          </cell>
          <cell r="B89">
            <v>881.2</v>
          </cell>
          <cell r="C89">
            <v>0</v>
          </cell>
          <cell r="D89">
            <v>881.2</v>
          </cell>
          <cell r="F89">
            <v>687.2</v>
          </cell>
          <cell r="G89">
            <v>0</v>
          </cell>
          <cell r="H89">
            <v>14.3</v>
          </cell>
          <cell r="I89">
            <v>0</v>
          </cell>
          <cell r="J89">
            <v>0</v>
          </cell>
          <cell r="K89">
            <v>35.299999999999997</v>
          </cell>
          <cell r="L89">
            <v>736.8</v>
          </cell>
          <cell r="M89">
            <v>2.92</v>
          </cell>
          <cell r="P89">
            <v>2.92</v>
          </cell>
          <cell r="Q89">
            <v>12038</v>
          </cell>
          <cell r="R89">
            <v>1159</v>
          </cell>
          <cell r="S89">
            <v>1159</v>
          </cell>
          <cell r="U89">
            <v>428.4</v>
          </cell>
          <cell r="Z89">
            <v>204.24</v>
          </cell>
          <cell r="AB89">
            <v>100</v>
          </cell>
          <cell r="AC89">
            <v>5700</v>
          </cell>
          <cell r="AJ89">
            <v>24.04</v>
          </cell>
          <cell r="AK89">
            <v>881</v>
          </cell>
          <cell r="AL89">
            <v>23</v>
          </cell>
          <cell r="AM89">
            <v>1</v>
          </cell>
          <cell r="AN89">
            <v>45</v>
          </cell>
          <cell r="AO89">
            <v>821.32100000000003</v>
          </cell>
          <cell r="AP89" t="str">
            <v>M.Trzaskalski</v>
          </cell>
        </row>
        <row r="90">
          <cell r="A90">
            <v>39897</v>
          </cell>
          <cell r="B90">
            <v>880.2</v>
          </cell>
          <cell r="C90">
            <v>0</v>
          </cell>
          <cell r="D90">
            <v>880.2</v>
          </cell>
          <cell r="F90">
            <v>682.5</v>
          </cell>
          <cell r="G90">
            <v>0</v>
          </cell>
          <cell r="H90">
            <v>15.1</v>
          </cell>
          <cell r="I90">
            <v>0</v>
          </cell>
          <cell r="J90">
            <v>0</v>
          </cell>
          <cell r="K90">
            <v>84.9</v>
          </cell>
          <cell r="L90">
            <v>782.5</v>
          </cell>
          <cell r="O90">
            <v>31.42</v>
          </cell>
          <cell r="P90">
            <v>31.42</v>
          </cell>
          <cell r="Q90">
            <v>12087</v>
          </cell>
          <cell r="R90">
            <v>1151</v>
          </cell>
          <cell r="S90">
            <v>1151</v>
          </cell>
          <cell r="U90">
            <v>620</v>
          </cell>
          <cell r="X90">
            <v>292</v>
          </cell>
          <cell r="Z90">
            <v>96.3</v>
          </cell>
          <cell r="AB90">
            <v>100</v>
          </cell>
          <cell r="AC90">
            <v>5800</v>
          </cell>
          <cell r="AJ90">
            <v>24</v>
          </cell>
          <cell r="AK90">
            <v>868</v>
          </cell>
          <cell r="AM90">
            <v>1</v>
          </cell>
          <cell r="AN90">
            <v>44</v>
          </cell>
          <cell r="AO90">
            <v>822.84799999999996</v>
          </cell>
          <cell r="AP90" t="str">
            <v>M.Trzaskalski</v>
          </cell>
        </row>
        <row r="91">
          <cell r="A91">
            <v>39898</v>
          </cell>
          <cell r="B91">
            <v>880.5</v>
          </cell>
          <cell r="C91">
            <v>0</v>
          </cell>
          <cell r="D91">
            <v>880.5</v>
          </cell>
          <cell r="F91">
            <v>10.6</v>
          </cell>
          <cell r="G91">
            <v>0</v>
          </cell>
          <cell r="H91">
            <v>14.3</v>
          </cell>
          <cell r="I91">
            <v>107</v>
          </cell>
          <cell r="J91">
            <v>0</v>
          </cell>
          <cell r="K91">
            <v>54.3</v>
          </cell>
          <cell r="L91">
            <v>186.2</v>
          </cell>
          <cell r="M91">
            <v>0.86</v>
          </cell>
          <cell r="P91">
            <v>0.86</v>
          </cell>
          <cell r="Q91">
            <v>12717</v>
          </cell>
          <cell r="R91">
            <v>18</v>
          </cell>
          <cell r="S91">
            <v>18</v>
          </cell>
          <cell r="U91">
            <v>1173</v>
          </cell>
          <cell r="X91">
            <v>770</v>
          </cell>
          <cell r="AB91">
            <v>99.5</v>
          </cell>
          <cell r="AC91">
            <v>3900</v>
          </cell>
          <cell r="AK91">
            <v>868</v>
          </cell>
          <cell r="AN91">
            <v>44</v>
          </cell>
          <cell r="AO91">
            <v>821.71400000000006</v>
          </cell>
          <cell r="AP91" t="str">
            <v>M.Karlewski</v>
          </cell>
        </row>
        <row r="92">
          <cell r="A92">
            <v>39899</v>
          </cell>
          <cell r="B92">
            <v>879.4</v>
          </cell>
          <cell r="C92">
            <v>0</v>
          </cell>
          <cell r="D92">
            <v>879.4</v>
          </cell>
          <cell r="F92">
            <v>15</v>
          </cell>
          <cell r="G92">
            <v>69.5</v>
          </cell>
          <cell r="H92">
            <v>22.9</v>
          </cell>
          <cell r="I92">
            <v>0</v>
          </cell>
          <cell r="J92">
            <v>0</v>
          </cell>
          <cell r="K92">
            <v>46</v>
          </cell>
          <cell r="L92">
            <v>153.4</v>
          </cell>
          <cell r="P92">
            <v>0</v>
          </cell>
          <cell r="Q92">
            <v>13398</v>
          </cell>
          <cell r="R92">
            <v>0</v>
          </cell>
          <cell r="S92">
            <v>0</v>
          </cell>
          <cell r="U92">
            <v>650</v>
          </cell>
          <cell r="X92">
            <v>443</v>
          </cell>
          <cell r="Z92">
            <v>198</v>
          </cell>
          <cell r="AB92">
            <v>100</v>
          </cell>
          <cell r="AC92">
            <v>2500</v>
          </cell>
          <cell r="AJ92">
            <v>24.04</v>
          </cell>
          <cell r="AK92">
            <v>864</v>
          </cell>
          <cell r="AN92">
            <v>44</v>
          </cell>
          <cell r="AO92">
            <v>820.20500000000004</v>
          </cell>
          <cell r="AP92" t="str">
            <v>P.Witkowski</v>
          </cell>
        </row>
        <row r="93">
          <cell r="A93">
            <v>39900</v>
          </cell>
          <cell r="B93">
            <v>842</v>
          </cell>
          <cell r="C93">
            <v>0</v>
          </cell>
          <cell r="D93">
            <v>842</v>
          </cell>
          <cell r="F93">
            <v>460.7</v>
          </cell>
          <cell r="G93">
            <v>117.85</v>
          </cell>
          <cell r="H93">
            <v>27.9</v>
          </cell>
          <cell r="I93">
            <v>0</v>
          </cell>
          <cell r="J93">
            <v>0</v>
          </cell>
          <cell r="K93">
            <v>39.5</v>
          </cell>
          <cell r="L93">
            <v>645.94999999999993</v>
          </cell>
          <cell r="P93">
            <v>0</v>
          </cell>
          <cell r="Q93">
            <v>13582</v>
          </cell>
          <cell r="R93">
            <v>777</v>
          </cell>
          <cell r="S93">
            <v>777</v>
          </cell>
          <cell r="U93">
            <v>96</v>
          </cell>
          <cell r="X93">
            <v>573</v>
          </cell>
          <cell r="AB93">
            <v>200</v>
          </cell>
          <cell r="AC93">
            <v>2500</v>
          </cell>
          <cell r="AK93">
            <v>864</v>
          </cell>
          <cell r="AN93">
            <v>44</v>
          </cell>
          <cell r="AO93">
            <v>816.70799999999997</v>
          </cell>
          <cell r="AP93" t="str">
            <v>P.Witkowski</v>
          </cell>
        </row>
        <row r="94">
          <cell r="A94">
            <v>39901</v>
          </cell>
          <cell r="B94">
            <v>883.4</v>
          </cell>
          <cell r="C94">
            <v>0</v>
          </cell>
          <cell r="D94">
            <v>883.4</v>
          </cell>
          <cell r="F94">
            <v>578.1</v>
          </cell>
          <cell r="G94">
            <v>0</v>
          </cell>
          <cell r="H94">
            <v>31.3</v>
          </cell>
          <cell r="I94">
            <v>0</v>
          </cell>
          <cell r="J94">
            <v>0</v>
          </cell>
          <cell r="K94">
            <v>32.5</v>
          </cell>
          <cell r="L94">
            <v>641.9</v>
          </cell>
          <cell r="P94">
            <v>0</v>
          </cell>
          <cell r="Q94">
            <v>13719</v>
          </cell>
          <cell r="R94">
            <v>972</v>
          </cell>
          <cell r="S94">
            <v>972</v>
          </cell>
          <cell r="AB94">
            <v>200</v>
          </cell>
          <cell r="AC94">
            <v>3500</v>
          </cell>
          <cell r="AK94">
            <v>864</v>
          </cell>
          <cell r="AN94">
            <v>44</v>
          </cell>
          <cell r="AO94">
            <v>823.01700000000005</v>
          </cell>
          <cell r="AP94" t="str">
            <v>P.Witkowski</v>
          </cell>
        </row>
        <row r="95">
          <cell r="A95">
            <v>39902</v>
          </cell>
          <cell r="B95">
            <v>884.2</v>
          </cell>
          <cell r="C95">
            <v>0</v>
          </cell>
          <cell r="D95">
            <v>884.2</v>
          </cell>
          <cell r="F95">
            <v>885.5</v>
          </cell>
          <cell r="G95">
            <v>95</v>
          </cell>
          <cell r="H95">
            <v>23.4</v>
          </cell>
          <cell r="I95">
            <v>0</v>
          </cell>
          <cell r="J95">
            <v>0</v>
          </cell>
          <cell r="K95">
            <v>32.200000000000003</v>
          </cell>
          <cell r="L95">
            <v>1036.0999999999999</v>
          </cell>
          <cell r="O95">
            <v>39.1</v>
          </cell>
          <cell r="P95">
            <v>39.1</v>
          </cell>
          <cell r="Q95">
            <v>13708</v>
          </cell>
          <cell r="R95">
            <v>1156</v>
          </cell>
          <cell r="S95">
            <v>1156</v>
          </cell>
          <cell r="U95">
            <v>696</v>
          </cell>
          <cell r="Z95">
            <v>88</v>
          </cell>
          <cell r="AC95">
            <v>4000</v>
          </cell>
          <cell r="AJ95">
            <v>23.92</v>
          </cell>
          <cell r="AK95">
            <v>839</v>
          </cell>
          <cell r="AN95">
            <v>44</v>
          </cell>
          <cell r="AO95">
            <v>784.25</v>
          </cell>
          <cell r="AP95" t="str">
            <v>M.Szwyd</v>
          </cell>
        </row>
        <row r="96">
          <cell r="A96">
            <v>39903</v>
          </cell>
          <cell r="B96">
            <v>767.80000000000007</v>
          </cell>
          <cell r="C96">
            <v>0</v>
          </cell>
          <cell r="D96">
            <v>767.80000000000007</v>
          </cell>
          <cell r="F96">
            <v>499.9</v>
          </cell>
          <cell r="G96">
            <v>-63.899000000000001</v>
          </cell>
          <cell r="H96">
            <v>10.764999999999999</v>
          </cell>
          <cell r="I96">
            <v>358.62799999999999</v>
          </cell>
          <cell r="J96">
            <v>160.684</v>
          </cell>
          <cell r="K96">
            <v>334.86200000000002</v>
          </cell>
          <cell r="L96">
            <v>1300.94</v>
          </cell>
          <cell r="M96">
            <v>0.92</v>
          </cell>
          <cell r="O96">
            <v>45.32</v>
          </cell>
          <cell r="P96">
            <v>46.24</v>
          </cell>
          <cell r="Q96">
            <v>13750</v>
          </cell>
          <cell r="R96">
            <v>1170</v>
          </cell>
          <cell r="S96">
            <v>1167.492</v>
          </cell>
          <cell r="U96">
            <v>272</v>
          </cell>
          <cell r="W96">
            <v>-160</v>
          </cell>
          <cell r="X96">
            <v>-191.85</v>
          </cell>
          <cell r="Y96">
            <v>-4.96</v>
          </cell>
          <cell r="Z96">
            <v>200.6</v>
          </cell>
          <cell r="AB96">
            <v>680.476</v>
          </cell>
          <cell r="AC96">
            <v>4100</v>
          </cell>
          <cell r="AI96">
            <v>288.18</v>
          </cell>
          <cell r="AJ96">
            <v>-263.08000000000004</v>
          </cell>
          <cell r="AK96">
            <v>814</v>
          </cell>
          <cell r="AL96">
            <v>-0.08</v>
          </cell>
          <cell r="AM96">
            <v>3</v>
          </cell>
          <cell r="AN96">
            <v>43</v>
          </cell>
          <cell r="AO96">
            <v>821.11599999999999</v>
          </cell>
          <cell r="AP96" t="str">
            <v>M.Szwyd</v>
          </cell>
        </row>
        <row r="97">
          <cell r="A97">
            <v>39904</v>
          </cell>
          <cell r="B97">
            <v>882</v>
          </cell>
          <cell r="C97">
            <v>0</v>
          </cell>
          <cell r="D97">
            <v>882</v>
          </cell>
          <cell r="F97">
            <v>686.5</v>
          </cell>
          <cell r="G97">
            <v>15</v>
          </cell>
          <cell r="H97">
            <v>19.5</v>
          </cell>
          <cell r="I97">
            <v>0</v>
          </cell>
          <cell r="J97">
            <v>0</v>
          </cell>
          <cell r="K97">
            <v>2.8</v>
          </cell>
          <cell r="L97">
            <v>723.8</v>
          </cell>
          <cell r="O97">
            <v>18.239999999999998</v>
          </cell>
          <cell r="P97">
            <v>18.239999999999998</v>
          </cell>
          <cell r="Q97">
            <v>13887</v>
          </cell>
          <cell r="R97">
            <v>1158</v>
          </cell>
          <cell r="S97">
            <v>1158</v>
          </cell>
          <cell r="U97">
            <v>144</v>
          </cell>
          <cell r="Y97">
            <v>120</v>
          </cell>
          <cell r="Z97">
            <v>126.94</v>
          </cell>
          <cell r="AB97">
            <v>82.2</v>
          </cell>
          <cell r="AC97">
            <v>4700</v>
          </cell>
          <cell r="AJ97">
            <v>23.34</v>
          </cell>
          <cell r="AK97">
            <v>791</v>
          </cell>
          <cell r="AM97">
            <v>2</v>
          </cell>
          <cell r="AN97">
            <v>41</v>
          </cell>
          <cell r="AO97">
            <v>820.38900000000001</v>
          </cell>
          <cell r="AP97" t="str">
            <v>M.Trzaskalski</v>
          </cell>
        </row>
        <row r="98">
          <cell r="A98">
            <v>39905</v>
          </cell>
          <cell r="B98">
            <v>883</v>
          </cell>
          <cell r="C98">
            <v>0</v>
          </cell>
          <cell r="D98">
            <v>883</v>
          </cell>
          <cell r="F98">
            <v>686</v>
          </cell>
          <cell r="G98">
            <v>0</v>
          </cell>
          <cell r="H98">
            <v>17.899999999999999</v>
          </cell>
          <cell r="I98">
            <v>0</v>
          </cell>
          <cell r="J98">
            <v>0</v>
          </cell>
          <cell r="K98">
            <v>0</v>
          </cell>
          <cell r="L98">
            <v>703.9</v>
          </cell>
          <cell r="M98">
            <v>7.76</v>
          </cell>
          <cell r="O98">
            <v>18.5</v>
          </cell>
          <cell r="P98">
            <v>26.259999999999998</v>
          </cell>
          <cell r="Q98">
            <v>14045</v>
          </cell>
          <cell r="R98">
            <v>1157</v>
          </cell>
          <cell r="S98">
            <v>1157</v>
          </cell>
          <cell r="U98">
            <v>120</v>
          </cell>
          <cell r="W98">
            <v>785.13400000000001</v>
          </cell>
          <cell r="X98">
            <v>708</v>
          </cell>
          <cell r="AB98">
            <v>105.4</v>
          </cell>
          <cell r="AC98">
            <v>4300</v>
          </cell>
          <cell r="AJ98">
            <v>49.8</v>
          </cell>
          <cell r="AK98">
            <v>742</v>
          </cell>
          <cell r="AM98">
            <v>3</v>
          </cell>
          <cell r="AN98">
            <v>38</v>
          </cell>
          <cell r="AO98">
            <v>820.00199999999995</v>
          </cell>
          <cell r="AP98" t="str">
            <v>M.Trzaskalski</v>
          </cell>
        </row>
        <row r="99">
          <cell r="A99">
            <v>39906</v>
          </cell>
          <cell r="B99">
            <v>882.8</v>
          </cell>
          <cell r="C99">
            <v>0</v>
          </cell>
          <cell r="D99">
            <v>882.8</v>
          </cell>
          <cell r="F99">
            <v>686.9</v>
          </cell>
          <cell r="G99">
            <v>48</v>
          </cell>
          <cell r="H99">
            <v>33.6</v>
          </cell>
          <cell r="I99">
            <v>0</v>
          </cell>
          <cell r="J99">
            <v>0</v>
          </cell>
          <cell r="K99">
            <v>0</v>
          </cell>
          <cell r="L99">
            <v>768.5</v>
          </cell>
          <cell r="M99">
            <v>0.4</v>
          </cell>
          <cell r="P99">
            <v>0.4</v>
          </cell>
          <cell r="Q99">
            <v>14157</v>
          </cell>
          <cell r="R99">
            <v>1158</v>
          </cell>
          <cell r="S99">
            <v>1158</v>
          </cell>
          <cell r="U99">
            <v>134</v>
          </cell>
          <cell r="X99">
            <v>326</v>
          </cell>
          <cell r="AC99">
            <v>4900</v>
          </cell>
          <cell r="AH99">
            <v>40</v>
          </cell>
          <cell r="AJ99">
            <v>24.05</v>
          </cell>
          <cell r="AK99">
            <v>758</v>
          </cell>
          <cell r="AM99">
            <v>3</v>
          </cell>
          <cell r="AN99">
            <v>35</v>
          </cell>
          <cell r="AO99">
            <v>817.79200000000003</v>
          </cell>
          <cell r="AP99" t="str">
            <v>M.Karlewski</v>
          </cell>
        </row>
        <row r="100">
          <cell r="A100">
            <v>39907</v>
          </cell>
          <cell r="B100">
            <v>880.3</v>
          </cell>
          <cell r="C100">
            <v>0</v>
          </cell>
          <cell r="D100">
            <v>880.3</v>
          </cell>
          <cell r="F100">
            <v>689.9</v>
          </cell>
          <cell r="G100">
            <v>58</v>
          </cell>
          <cell r="H100">
            <v>34</v>
          </cell>
          <cell r="I100">
            <v>0</v>
          </cell>
          <cell r="J100">
            <v>0</v>
          </cell>
          <cell r="K100">
            <v>0</v>
          </cell>
          <cell r="L100">
            <v>781.9</v>
          </cell>
          <cell r="P100">
            <v>0</v>
          </cell>
          <cell r="Q100">
            <v>14256</v>
          </cell>
          <cell r="R100">
            <v>1160</v>
          </cell>
          <cell r="S100">
            <v>1160</v>
          </cell>
          <cell r="W100">
            <v>858</v>
          </cell>
          <cell r="X100">
            <v>580</v>
          </cell>
          <cell r="Y100">
            <v>115.7</v>
          </cell>
          <cell r="AC100">
            <v>4500</v>
          </cell>
          <cell r="AK100">
            <v>758</v>
          </cell>
          <cell r="AM100">
            <v>3</v>
          </cell>
          <cell r="AN100">
            <v>31</v>
          </cell>
          <cell r="AO100">
            <v>816.23400000000004</v>
          </cell>
          <cell r="AP100" t="str">
            <v>M.Karlewski</v>
          </cell>
        </row>
        <row r="101">
          <cell r="A101">
            <v>39908</v>
          </cell>
          <cell r="B101">
            <v>880.2</v>
          </cell>
          <cell r="C101">
            <v>0</v>
          </cell>
          <cell r="D101">
            <v>880.2</v>
          </cell>
          <cell r="F101">
            <v>686.5</v>
          </cell>
          <cell r="G101">
            <v>95</v>
          </cell>
          <cell r="H101">
            <v>31.5</v>
          </cell>
          <cell r="I101">
            <v>0</v>
          </cell>
          <cell r="J101">
            <v>0</v>
          </cell>
          <cell r="K101">
            <v>0</v>
          </cell>
          <cell r="L101">
            <v>813</v>
          </cell>
          <cell r="P101">
            <v>0</v>
          </cell>
          <cell r="Q101">
            <v>14310</v>
          </cell>
          <cell r="R101">
            <v>1158</v>
          </cell>
          <cell r="S101">
            <v>1158</v>
          </cell>
          <cell r="X101">
            <v>462</v>
          </cell>
          <cell r="AC101">
            <v>5200</v>
          </cell>
          <cell r="AK101">
            <v>758</v>
          </cell>
          <cell r="AM101">
            <v>3</v>
          </cell>
          <cell r="AN101">
            <v>28</v>
          </cell>
          <cell r="AO101">
            <v>818.01800000000003</v>
          </cell>
          <cell r="AP101" t="str">
            <v>M.Karlewski</v>
          </cell>
        </row>
        <row r="102">
          <cell r="A102">
            <v>39909</v>
          </cell>
          <cell r="B102">
            <v>884.5</v>
          </cell>
          <cell r="C102">
            <v>0</v>
          </cell>
          <cell r="D102">
            <v>884.5</v>
          </cell>
          <cell r="F102">
            <v>684.1</v>
          </cell>
          <cell r="G102">
            <v>93</v>
          </cell>
          <cell r="H102">
            <v>24.2</v>
          </cell>
          <cell r="I102">
            <v>0</v>
          </cell>
          <cell r="J102">
            <v>0</v>
          </cell>
          <cell r="K102">
            <v>0</v>
          </cell>
          <cell r="L102">
            <v>801.30000000000007</v>
          </cell>
          <cell r="P102">
            <v>0</v>
          </cell>
          <cell r="Q102">
            <v>14397</v>
          </cell>
          <cell r="R102">
            <v>1154</v>
          </cell>
          <cell r="S102">
            <v>1154</v>
          </cell>
          <cell r="U102">
            <v>72</v>
          </cell>
          <cell r="W102">
            <v>853.9</v>
          </cell>
          <cell r="Y102">
            <v>6.3</v>
          </cell>
          <cell r="Z102">
            <v>175</v>
          </cell>
          <cell r="AC102">
            <v>4700</v>
          </cell>
          <cell r="AJ102">
            <v>23.94</v>
          </cell>
          <cell r="AK102">
            <v>737</v>
          </cell>
          <cell r="AM102">
            <v>2</v>
          </cell>
          <cell r="AN102">
            <v>28</v>
          </cell>
          <cell r="AO102">
            <v>817.51300000000003</v>
          </cell>
          <cell r="AP102" t="str">
            <v>M.Karlewski</v>
          </cell>
        </row>
        <row r="103">
          <cell r="A103">
            <v>39910</v>
          </cell>
          <cell r="B103">
            <v>873.3</v>
          </cell>
          <cell r="C103">
            <v>0</v>
          </cell>
          <cell r="D103">
            <v>873.3</v>
          </cell>
          <cell r="F103">
            <v>683.9</v>
          </cell>
          <cell r="G103">
            <v>98</v>
          </cell>
          <cell r="H103">
            <v>31.5</v>
          </cell>
          <cell r="I103">
            <v>0</v>
          </cell>
          <cell r="J103">
            <v>0</v>
          </cell>
          <cell r="K103">
            <v>0</v>
          </cell>
          <cell r="L103">
            <v>813.4</v>
          </cell>
          <cell r="P103">
            <v>0</v>
          </cell>
          <cell r="Q103">
            <v>14460</v>
          </cell>
          <cell r="R103">
            <v>1153</v>
          </cell>
          <cell r="S103">
            <v>1153</v>
          </cell>
          <cell r="U103">
            <v>236</v>
          </cell>
          <cell r="X103">
            <v>411</v>
          </cell>
          <cell r="Z103">
            <v>251</v>
          </cell>
          <cell r="AA103">
            <v>838.8</v>
          </cell>
          <cell r="AC103">
            <v>4100</v>
          </cell>
          <cell r="AJ103">
            <v>25.54</v>
          </cell>
          <cell r="AK103">
            <v>711</v>
          </cell>
          <cell r="AM103">
            <v>1</v>
          </cell>
          <cell r="AN103">
            <v>27</v>
          </cell>
          <cell r="AO103">
            <v>811.774</v>
          </cell>
          <cell r="AP103" t="str">
            <v>P.Witkowski</v>
          </cell>
        </row>
        <row r="104">
          <cell r="A104">
            <v>39911</v>
          </cell>
          <cell r="B104">
            <v>870.2</v>
          </cell>
          <cell r="C104">
            <v>0</v>
          </cell>
          <cell r="D104">
            <v>870.2</v>
          </cell>
          <cell r="F104">
            <v>667.8</v>
          </cell>
          <cell r="G104">
            <v>20</v>
          </cell>
          <cell r="H104">
            <v>31.4</v>
          </cell>
          <cell r="I104">
            <v>0</v>
          </cell>
          <cell r="J104">
            <v>0</v>
          </cell>
          <cell r="K104">
            <v>0</v>
          </cell>
          <cell r="L104">
            <v>719.19999999999993</v>
          </cell>
          <cell r="M104">
            <v>0.82</v>
          </cell>
          <cell r="O104">
            <v>20.68</v>
          </cell>
          <cell r="P104">
            <v>21.5</v>
          </cell>
          <cell r="Q104">
            <v>14593</v>
          </cell>
          <cell r="R104">
            <v>1126</v>
          </cell>
          <cell r="S104">
            <v>1126</v>
          </cell>
          <cell r="U104">
            <v>630</v>
          </cell>
          <cell r="X104">
            <v>621</v>
          </cell>
          <cell r="Y104">
            <v>200</v>
          </cell>
          <cell r="Z104">
            <v>505</v>
          </cell>
          <cell r="AC104">
            <v>3400</v>
          </cell>
          <cell r="AJ104">
            <v>23.98</v>
          </cell>
          <cell r="AK104">
            <v>662</v>
          </cell>
          <cell r="AM104">
            <v>1</v>
          </cell>
          <cell r="AN104">
            <v>24</v>
          </cell>
          <cell r="AO104">
            <v>805.37800000000004</v>
          </cell>
          <cell r="AP104" t="str">
            <v>P.Witkowski</v>
          </cell>
        </row>
        <row r="105">
          <cell r="A105">
            <v>39912</v>
          </cell>
          <cell r="B105">
            <v>870.9</v>
          </cell>
          <cell r="C105">
            <v>0</v>
          </cell>
          <cell r="D105">
            <v>870.9</v>
          </cell>
          <cell r="F105">
            <v>662.4</v>
          </cell>
          <cell r="G105">
            <v>0</v>
          </cell>
          <cell r="H105">
            <v>23</v>
          </cell>
          <cell r="I105">
            <v>0</v>
          </cell>
          <cell r="J105">
            <v>0</v>
          </cell>
          <cell r="K105">
            <v>0</v>
          </cell>
          <cell r="L105">
            <v>685.4</v>
          </cell>
          <cell r="O105">
            <v>20.9</v>
          </cell>
          <cell r="P105">
            <v>20.9</v>
          </cell>
          <cell r="Q105">
            <v>14749</v>
          </cell>
          <cell r="R105">
            <v>1117</v>
          </cell>
          <cell r="S105">
            <v>1117</v>
          </cell>
          <cell r="U105">
            <v>806</v>
          </cell>
          <cell r="Y105">
            <v>250</v>
          </cell>
          <cell r="Z105">
            <v>12</v>
          </cell>
          <cell r="AB105">
            <v>50</v>
          </cell>
          <cell r="AC105">
            <v>3350</v>
          </cell>
          <cell r="AJ105">
            <v>48</v>
          </cell>
          <cell r="AK105">
            <v>638</v>
          </cell>
          <cell r="AM105">
            <v>1</v>
          </cell>
          <cell r="AN105">
            <v>23</v>
          </cell>
          <cell r="AO105">
            <v>805.67399999999998</v>
          </cell>
          <cell r="AP105" t="str">
            <v>M.Szwyd</v>
          </cell>
        </row>
        <row r="106">
          <cell r="A106">
            <v>39913</v>
          </cell>
          <cell r="B106">
            <v>836.6</v>
          </cell>
          <cell r="C106">
            <v>0</v>
          </cell>
          <cell r="D106">
            <v>836.6</v>
          </cell>
          <cell r="F106">
            <v>684.7</v>
          </cell>
          <cell r="G106">
            <v>72</v>
          </cell>
          <cell r="H106">
            <v>30.7</v>
          </cell>
          <cell r="I106">
            <v>0</v>
          </cell>
          <cell r="J106">
            <v>0</v>
          </cell>
          <cell r="K106">
            <v>0</v>
          </cell>
          <cell r="L106">
            <v>787.40000000000009</v>
          </cell>
          <cell r="M106">
            <v>0.46</v>
          </cell>
          <cell r="P106">
            <v>0.46</v>
          </cell>
          <cell r="Q106">
            <v>14795</v>
          </cell>
          <cell r="R106">
            <v>1164</v>
          </cell>
          <cell r="S106">
            <v>1164</v>
          </cell>
          <cell r="U106">
            <v>312</v>
          </cell>
          <cell r="W106">
            <v>62</v>
          </cell>
          <cell r="X106">
            <v>735</v>
          </cell>
          <cell r="Y106">
            <v>-355</v>
          </cell>
          <cell r="Z106">
            <v>25.57</v>
          </cell>
          <cell r="AC106">
            <v>3500</v>
          </cell>
          <cell r="AK106">
            <v>638</v>
          </cell>
          <cell r="AM106">
            <v>2</v>
          </cell>
          <cell r="AN106">
            <v>21</v>
          </cell>
          <cell r="AO106">
            <v>797.14599999999996</v>
          </cell>
          <cell r="AP106" t="str">
            <v>M.Trzaskalski</v>
          </cell>
        </row>
        <row r="107">
          <cell r="A107">
            <v>39914</v>
          </cell>
          <cell r="B107">
            <v>443.9</v>
          </cell>
          <cell r="C107">
            <v>0</v>
          </cell>
          <cell r="D107">
            <v>443.9</v>
          </cell>
          <cell r="F107">
            <v>378</v>
          </cell>
          <cell r="G107">
            <v>85</v>
          </cell>
          <cell r="H107">
            <v>30.9</v>
          </cell>
          <cell r="I107">
            <v>0</v>
          </cell>
          <cell r="J107">
            <v>0</v>
          </cell>
          <cell r="K107">
            <v>0</v>
          </cell>
          <cell r="L107">
            <v>493.9</v>
          </cell>
          <cell r="P107">
            <v>0</v>
          </cell>
          <cell r="Q107">
            <v>14812</v>
          </cell>
          <cell r="R107">
            <v>627</v>
          </cell>
          <cell r="S107">
            <v>627</v>
          </cell>
          <cell r="X107">
            <v>336</v>
          </cell>
          <cell r="AC107">
            <v>3800</v>
          </cell>
          <cell r="AK107">
            <v>638</v>
          </cell>
          <cell r="AM107">
            <v>2</v>
          </cell>
          <cell r="AN107">
            <v>19</v>
          </cell>
          <cell r="AO107">
            <v>653.52499999999998</v>
          </cell>
          <cell r="AP107" t="str">
            <v>M.Trzaskalski</v>
          </cell>
        </row>
        <row r="108">
          <cell r="A108">
            <v>39915</v>
          </cell>
          <cell r="B108">
            <v>0</v>
          </cell>
          <cell r="C108">
            <v>0</v>
          </cell>
          <cell r="D108">
            <v>0</v>
          </cell>
          <cell r="F108">
            <v>0</v>
          </cell>
          <cell r="G108">
            <v>36</v>
          </cell>
          <cell r="H108">
            <v>18.100000000000001</v>
          </cell>
          <cell r="I108">
            <v>0</v>
          </cell>
          <cell r="J108">
            <v>0</v>
          </cell>
          <cell r="K108">
            <v>0</v>
          </cell>
          <cell r="L108">
            <v>54.1</v>
          </cell>
          <cell r="P108">
            <v>0</v>
          </cell>
          <cell r="Q108">
            <v>14692</v>
          </cell>
          <cell r="R108">
            <v>0</v>
          </cell>
          <cell r="S108">
            <v>0</v>
          </cell>
          <cell r="AC108">
            <v>3800</v>
          </cell>
          <cell r="AK108">
            <v>638</v>
          </cell>
          <cell r="AN108">
            <v>19</v>
          </cell>
          <cell r="AO108">
            <v>8.7999999999999995E-2</v>
          </cell>
          <cell r="AP108" t="str">
            <v>M.Trzaskalski</v>
          </cell>
        </row>
        <row r="109">
          <cell r="A109">
            <v>39916</v>
          </cell>
          <cell r="B109">
            <v>0</v>
          </cell>
          <cell r="C109">
            <v>0</v>
          </cell>
          <cell r="D109">
            <v>0</v>
          </cell>
          <cell r="F109">
            <v>0</v>
          </cell>
          <cell r="G109">
            <v>51</v>
          </cell>
          <cell r="H109">
            <v>3.9</v>
          </cell>
          <cell r="I109">
            <v>0</v>
          </cell>
          <cell r="J109">
            <v>0</v>
          </cell>
          <cell r="K109">
            <v>0</v>
          </cell>
          <cell r="L109">
            <v>54.9</v>
          </cell>
          <cell r="P109">
            <v>0</v>
          </cell>
          <cell r="Q109">
            <v>14641</v>
          </cell>
          <cell r="R109">
            <v>0</v>
          </cell>
          <cell r="S109">
            <v>0</v>
          </cell>
          <cell r="AA109">
            <v>2050</v>
          </cell>
          <cell r="AC109">
            <v>1700</v>
          </cell>
          <cell r="AK109">
            <v>638</v>
          </cell>
          <cell r="AN109">
            <v>19</v>
          </cell>
          <cell r="AO109">
            <v>93.966999999999999</v>
          </cell>
          <cell r="AP109" t="str">
            <v>M.Trzaskalski</v>
          </cell>
        </row>
        <row r="110">
          <cell r="A110">
            <v>39917</v>
          </cell>
          <cell r="B110">
            <v>477.7</v>
          </cell>
          <cell r="C110">
            <v>0</v>
          </cell>
          <cell r="D110">
            <v>477.7</v>
          </cell>
          <cell r="F110">
            <v>189.6</v>
          </cell>
          <cell r="G110">
            <v>81</v>
          </cell>
          <cell r="H110">
            <v>17.8</v>
          </cell>
          <cell r="I110">
            <v>0</v>
          </cell>
          <cell r="J110">
            <v>0</v>
          </cell>
          <cell r="K110">
            <v>0</v>
          </cell>
          <cell r="L110">
            <v>288.40000000000003</v>
          </cell>
          <cell r="O110">
            <v>20.7</v>
          </cell>
          <cell r="P110">
            <v>20.7</v>
          </cell>
          <cell r="Q110">
            <v>14797</v>
          </cell>
          <cell r="R110">
            <v>187</v>
          </cell>
          <cell r="S110">
            <v>187</v>
          </cell>
          <cell r="U110">
            <v>48</v>
          </cell>
          <cell r="W110">
            <v>47.62</v>
          </cell>
          <cell r="Z110">
            <v>150.30000000000001</v>
          </cell>
          <cell r="AA110">
            <v>359.8</v>
          </cell>
          <cell r="AC110">
            <v>1300</v>
          </cell>
          <cell r="AK110">
            <v>638</v>
          </cell>
          <cell r="AN110">
            <v>19</v>
          </cell>
          <cell r="AO110">
            <v>483.827</v>
          </cell>
          <cell r="AP110" t="str">
            <v>M.Trzaskalski</v>
          </cell>
        </row>
        <row r="111">
          <cell r="A111">
            <v>39918</v>
          </cell>
          <cell r="B111">
            <v>554.6</v>
          </cell>
          <cell r="C111">
            <v>0</v>
          </cell>
          <cell r="D111">
            <v>554.6</v>
          </cell>
          <cell r="F111">
            <v>386.5</v>
          </cell>
          <cell r="G111">
            <v>18</v>
          </cell>
          <cell r="H111">
            <v>19.7</v>
          </cell>
          <cell r="I111">
            <v>0</v>
          </cell>
          <cell r="J111">
            <v>0</v>
          </cell>
          <cell r="K111">
            <v>0</v>
          </cell>
          <cell r="L111">
            <v>424.2</v>
          </cell>
          <cell r="O111">
            <v>20.399999999999999</v>
          </cell>
          <cell r="P111">
            <v>20.399999999999999</v>
          </cell>
          <cell r="Q111">
            <v>14900</v>
          </cell>
          <cell r="R111">
            <v>772</v>
          </cell>
          <cell r="S111">
            <v>772</v>
          </cell>
          <cell r="U111">
            <v>483.5</v>
          </cell>
          <cell r="W111">
            <v>341.58</v>
          </cell>
          <cell r="Z111">
            <v>372.15999999999997</v>
          </cell>
          <cell r="AC111">
            <v>500</v>
          </cell>
          <cell r="AJ111">
            <v>24</v>
          </cell>
          <cell r="AK111">
            <v>614</v>
          </cell>
          <cell r="AL111">
            <v>23</v>
          </cell>
          <cell r="AN111">
            <v>42</v>
          </cell>
          <cell r="AO111">
            <v>728.92499999999995</v>
          </cell>
          <cell r="AP111" t="str">
            <v>M.Karlewski</v>
          </cell>
        </row>
        <row r="112">
          <cell r="A112">
            <v>39919</v>
          </cell>
          <cell r="B112">
            <v>613.6</v>
          </cell>
          <cell r="C112">
            <v>0</v>
          </cell>
          <cell r="D112">
            <v>613.6</v>
          </cell>
          <cell r="F112">
            <v>368.8</v>
          </cell>
          <cell r="G112">
            <v>0</v>
          </cell>
          <cell r="H112">
            <v>20.2</v>
          </cell>
          <cell r="I112">
            <v>67</v>
          </cell>
          <cell r="J112">
            <v>0</v>
          </cell>
          <cell r="K112">
            <v>0</v>
          </cell>
          <cell r="L112">
            <v>456</v>
          </cell>
          <cell r="O112">
            <v>20.52</v>
          </cell>
          <cell r="P112">
            <v>20.52</v>
          </cell>
          <cell r="Q112">
            <v>15038</v>
          </cell>
          <cell r="R112">
            <v>664</v>
          </cell>
          <cell r="S112">
            <v>664</v>
          </cell>
          <cell r="W112">
            <v>26.8</v>
          </cell>
          <cell r="AC112">
            <v>1100</v>
          </cell>
          <cell r="AJ112">
            <v>48</v>
          </cell>
          <cell r="AK112">
            <v>568</v>
          </cell>
          <cell r="AL112">
            <v>18</v>
          </cell>
          <cell r="AN112">
            <v>60</v>
          </cell>
          <cell r="AO112">
            <v>534.96799999999996</v>
          </cell>
          <cell r="AP112" t="str">
            <v>M.Karlewski</v>
          </cell>
        </row>
        <row r="113">
          <cell r="A113">
            <v>39920</v>
          </cell>
          <cell r="B113">
            <v>799</v>
          </cell>
          <cell r="C113">
            <v>0</v>
          </cell>
          <cell r="D113">
            <v>799</v>
          </cell>
          <cell r="F113">
            <v>687.6</v>
          </cell>
          <cell r="G113">
            <v>118</v>
          </cell>
          <cell r="H113">
            <v>19.600000000000001</v>
          </cell>
          <cell r="I113">
            <v>162.91999999999999</v>
          </cell>
          <cell r="J113">
            <v>0</v>
          </cell>
          <cell r="K113">
            <v>23</v>
          </cell>
          <cell r="L113">
            <v>1011.12</v>
          </cell>
          <cell r="O113">
            <v>20.46</v>
          </cell>
          <cell r="P113">
            <v>20.46</v>
          </cell>
          <cell r="Q113">
            <v>14940</v>
          </cell>
          <cell r="R113">
            <v>1160</v>
          </cell>
          <cell r="S113">
            <v>1160</v>
          </cell>
          <cell r="U113">
            <v>864</v>
          </cell>
          <cell r="Z113">
            <v>46.1</v>
          </cell>
          <cell r="AC113">
            <v>1700</v>
          </cell>
          <cell r="AK113">
            <v>568</v>
          </cell>
          <cell r="AM113">
            <v>2</v>
          </cell>
          <cell r="AN113">
            <v>58</v>
          </cell>
          <cell r="AO113">
            <v>759.50599999999997</v>
          </cell>
          <cell r="AP113" t="str">
            <v>M.Szwyd</v>
          </cell>
        </row>
        <row r="114">
          <cell r="A114">
            <v>39921</v>
          </cell>
          <cell r="B114">
            <v>789.8</v>
          </cell>
          <cell r="C114">
            <v>0</v>
          </cell>
          <cell r="D114">
            <v>789.8</v>
          </cell>
          <cell r="F114">
            <v>687.2</v>
          </cell>
          <cell r="G114">
            <v>-129.078</v>
          </cell>
          <cell r="H114">
            <v>47.34</v>
          </cell>
          <cell r="I114">
            <v>0</v>
          </cell>
          <cell r="J114">
            <v>0</v>
          </cell>
          <cell r="K114">
            <v>47.9</v>
          </cell>
          <cell r="L114">
            <v>653.36200000000008</v>
          </cell>
          <cell r="O114">
            <v>20.74</v>
          </cell>
          <cell r="P114">
            <v>20.74</v>
          </cell>
          <cell r="Q114">
            <v>14961</v>
          </cell>
          <cell r="R114">
            <v>1159</v>
          </cell>
          <cell r="S114">
            <v>1159</v>
          </cell>
          <cell r="U114">
            <v>1189</v>
          </cell>
          <cell r="AC114">
            <v>1700</v>
          </cell>
          <cell r="AK114">
            <v>568</v>
          </cell>
          <cell r="AM114">
            <v>2</v>
          </cell>
          <cell r="AN114">
            <v>56</v>
          </cell>
          <cell r="AO114">
            <v>755.44799999999998</v>
          </cell>
          <cell r="AP114" t="str">
            <v>M.Szwyd</v>
          </cell>
        </row>
        <row r="115">
          <cell r="A115">
            <v>39922</v>
          </cell>
          <cell r="B115">
            <v>799.8</v>
          </cell>
          <cell r="C115">
            <v>0</v>
          </cell>
          <cell r="D115">
            <v>799.8</v>
          </cell>
          <cell r="F115">
            <v>658.7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41.5</v>
          </cell>
          <cell r="L115">
            <v>700.2</v>
          </cell>
          <cell r="O115">
            <v>2.74</v>
          </cell>
          <cell r="P115">
            <v>2.74</v>
          </cell>
          <cell r="Q115">
            <v>14995</v>
          </cell>
          <cell r="R115">
            <v>1111</v>
          </cell>
          <cell r="S115">
            <v>1111</v>
          </cell>
          <cell r="U115">
            <v>239</v>
          </cell>
          <cell r="AC115">
            <v>2600</v>
          </cell>
          <cell r="AK115">
            <v>568</v>
          </cell>
          <cell r="AM115">
            <v>2</v>
          </cell>
          <cell r="AN115">
            <v>54</v>
          </cell>
          <cell r="AO115">
            <v>757.01499999999999</v>
          </cell>
          <cell r="AP115" t="str">
            <v>M.Szwyd</v>
          </cell>
        </row>
        <row r="116">
          <cell r="A116">
            <v>39923</v>
          </cell>
          <cell r="B116">
            <v>801.5</v>
          </cell>
          <cell r="C116">
            <v>0</v>
          </cell>
          <cell r="D116">
            <v>801.5</v>
          </cell>
          <cell r="F116">
            <v>685.8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24.6</v>
          </cell>
          <cell r="L116">
            <v>710.4</v>
          </cell>
          <cell r="M116">
            <v>0.98</v>
          </cell>
          <cell r="P116">
            <v>0.98</v>
          </cell>
          <cell r="Q116">
            <v>15075</v>
          </cell>
          <cell r="R116">
            <v>1156</v>
          </cell>
          <cell r="S116">
            <v>1156</v>
          </cell>
          <cell r="U116">
            <v>990.5</v>
          </cell>
          <cell r="W116">
            <v>133.28</v>
          </cell>
          <cell r="X116">
            <v>564</v>
          </cell>
          <cell r="Z116">
            <v>327.64</v>
          </cell>
          <cell r="AC116">
            <v>1200</v>
          </cell>
          <cell r="AJ116">
            <v>25.96</v>
          </cell>
          <cell r="AK116">
            <v>541</v>
          </cell>
          <cell r="AM116">
            <v>1</v>
          </cell>
          <cell r="AN116">
            <v>53</v>
          </cell>
          <cell r="AO116">
            <v>755.85299999999995</v>
          </cell>
          <cell r="AP116" t="str">
            <v>M.Szwyd</v>
          </cell>
        </row>
        <row r="117">
          <cell r="A117">
            <v>39924</v>
          </cell>
          <cell r="B117">
            <v>535.4</v>
          </cell>
          <cell r="C117">
            <v>0</v>
          </cell>
          <cell r="D117">
            <v>535.4</v>
          </cell>
          <cell r="F117">
            <v>455.9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43.1</v>
          </cell>
          <cell r="L117">
            <v>499</v>
          </cell>
          <cell r="O117">
            <v>20.68</v>
          </cell>
          <cell r="P117">
            <v>20.68</v>
          </cell>
          <cell r="Q117">
            <v>15068</v>
          </cell>
          <cell r="R117">
            <v>769</v>
          </cell>
          <cell r="S117">
            <v>769</v>
          </cell>
          <cell r="U117">
            <v>1012</v>
          </cell>
          <cell r="W117">
            <v>497.90999999999997</v>
          </cell>
          <cell r="X117">
            <v>494</v>
          </cell>
          <cell r="Z117">
            <v>126.06</v>
          </cell>
          <cell r="AC117">
            <v>200</v>
          </cell>
          <cell r="AJ117">
            <v>24.02</v>
          </cell>
          <cell r="AK117">
            <v>517</v>
          </cell>
          <cell r="AM117">
            <v>0</v>
          </cell>
          <cell r="AN117">
            <v>53</v>
          </cell>
          <cell r="AO117">
            <v>736.66899999999998</v>
          </cell>
          <cell r="AP117" t="str">
            <v>M.Trzaskalski</v>
          </cell>
        </row>
        <row r="118">
          <cell r="A118">
            <v>39925</v>
          </cell>
          <cell r="B118">
            <v>0</v>
          </cell>
          <cell r="C118">
            <v>0</v>
          </cell>
          <cell r="D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84.7</v>
          </cell>
          <cell r="L118">
            <v>84.7</v>
          </cell>
          <cell r="O118">
            <v>18.14</v>
          </cell>
          <cell r="P118">
            <v>18.14</v>
          </cell>
          <cell r="Q118">
            <v>14952</v>
          </cell>
          <cell r="R118">
            <v>0</v>
          </cell>
          <cell r="S118">
            <v>0</v>
          </cell>
          <cell r="U118">
            <v>-249.89999999999998</v>
          </cell>
          <cell r="Z118">
            <v>887.61</v>
          </cell>
          <cell r="AC118">
            <v>50</v>
          </cell>
          <cell r="AJ118">
            <v>50</v>
          </cell>
          <cell r="AK118">
            <v>467</v>
          </cell>
          <cell r="AM118">
            <v>0</v>
          </cell>
          <cell r="AN118">
            <v>53</v>
          </cell>
          <cell r="AO118">
            <v>3.2000000000004081E-2</v>
          </cell>
          <cell r="AP118" t="str">
            <v>M.Trzaskalski</v>
          </cell>
        </row>
        <row r="119">
          <cell r="A119">
            <v>39926</v>
          </cell>
          <cell r="B119">
            <v>0</v>
          </cell>
          <cell r="C119">
            <v>0</v>
          </cell>
          <cell r="D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138</v>
          </cell>
          <cell r="L119">
            <v>138</v>
          </cell>
          <cell r="P119">
            <v>0</v>
          </cell>
          <cell r="Q119">
            <v>14790</v>
          </cell>
          <cell r="R119">
            <v>0</v>
          </cell>
          <cell r="S119">
            <v>0</v>
          </cell>
          <cell r="AC119">
            <v>50</v>
          </cell>
          <cell r="AJ119">
            <v>23.98</v>
          </cell>
          <cell r="AK119">
            <v>551</v>
          </cell>
          <cell r="AM119">
            <v>0</v>
          </cell>
          <cell r="AN119">
            <v>53</v>
          </cell>
          <cell r="AO119">
            <v>33.979999999999997</v>
          </cell>
          <cell r="AP119" t="str">
            <v>B.Bronicki</v>
          </cell>
        </row>
        <row r="120">
          <cell r="A120">
            <v>39927</v>
          </cell>
          <cell r="B120">
            <v>5.5</v>
          </cell>
          <cell r="C120">
            <v>0</v>
          </cell>
          <cell r="D120">
            <v>5.5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130.19999999999999</v>
          </cell>
          <cell r="L120">
            <v>130.19999999999999</v>
          </cell>
          <cell r="P120">
            <v>0</v>
          </cell>
          <cell r="Q120">
            <v>14638</v>
          </cell>
          <cell r="R120">
            <v>0</v>
          </cell>
          <cell r="S120">
            <v>0</v>
          </cell>
          <cell r="AC120">
            <v>50</v>
          </cell>
          <cell r="AJ120">
            <v>25</v>
          </cell>
          <cell r="AK120">
            <v>509</v>
          </cell>
          <cell r="AM120">
            <v>0</v>
          </cell>
          <cell r="AN120">
            <v>53</v>
          </cell>
          <cell r="AO120">
            <v>289.40800000000002</v>
          </cell>
          <cell r="AP120" t="str">
            <v>M.Karlewski</v>
          </cell>
        </row>
        <row r="121">
          <cell r="A121">
            <v>39928</v>
          </cell>
          <cell r="B121">
            <v>10.5</v>
          </cell>
          <cell r="C121">
            <v>0</v>
          </cell>
          <cell r="D121">
            <v>10.5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122.8</v>
          </cell>
          <cell r="L121">
            <v>122.8</v>
          </cell>
          <cell r="M121">
            <v>5.98</v>
          </cell>
          <cell r="P121">
            <v>5.98</v>
          </cell>
          <cell r="Q121">
            <v>14493</v>
          </cell>
          <cell r="R121">
            <v>0</v>
          </cell>
          <cell r="S121">
            <v>0</v>
          </cell>
          <cell r="AC121">
            <v>50</v>
          </cell>
          <cell r="AK121">
            <v>509</v>
          </cell>
          <cell r="AM121">
            <v>0</v>
          </cell>
          <cell r="AN121">
            <v>53</v>
          </cell>
          <cell r="AO121">
            <v>113.55500000000001</v>
          </cell>
          <cell r="AP121" t="str">
            <v>M.Karlewski</v>
          </cell>
        </row>
        <row r="122">
          <cell r="A122">
            <v>39929</v>
          </cell>
          <cell r="B122">
            <v>0</v>
          </cell>
          <cell r="C122">
            <v>0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151.69999999999999</v>
          </cell>
          <cell r="L122">
            <v>151.69999999999999</v>
          </cell>
          <cell r="P122">
            <v>0</v>
          </cell>
          <cell r="Q122">
            <v>14315</v>
          </cell>
          <cell r="R122">
            <v>0</v>
          </cell>
          <cell r="S122">
            <v>0</v>
          </cell>
          <cell r="AC122">
            <v>50</v>
          </cell>
          <cell r="AK122">
            <v>509</v>
          </cell>
          <cell r="AM122">
            <v>0</v>
          </cell>
          <cell r="AN122">
            <v>53</v>
          </cell>
          <cell r="AO122">
            <v>0</v>
          </cell>
          <cell r="AP122" t="str">
            <v>M.Karlewski</v>
          </cell>
        </row>
        <row r="123">
          <cell r="A123">
            <v>39930</v>
          </cell>
          <cell r="B123">
            <v>0</v>
          </cell>
          <cell r="C123">
            <v>0</v>
          </cell>
          <cell r="D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98.7</v>
          </cell>
          <cell r="L123">
            <v>98.7</v>
          </cell>
          <cell r="P123">
            <v>0</v>
          </cell>
          <cell r="Q123">
            <v>14191</v>
          </cell>
          <cell r="R123">
            <v>0</v>
          </cell>
          <cell r="S123">
            <v>0</v>
          </cell>
          <cell r="AC123">
            <v>0</v>
          </cell>
          <cell r="AJ123">
            <v>25.06</v>
          </cell>
          <cell r="AK123">
            <v>483</v>
          </cell>
          <cell r="AM123">
            <v>0</v>
          </cell>
          <cell r="AN123">
            <v>53</v>
          </cell>
          <cell r="AO123">
            <v>4.04</v>
          </cell>
          <cell r="AP123" t="str">
            <v>M.Karlewski</v>
          </cell>
        </row>
        <row r="124">
          <cell r="A124">
            <v>39931</v>
          </cell>
          <cell r="B124">
            <v>0</v>
          </cell>
          <cell r="C124">
            <v>0</v>
          </cell>
          <cell r="D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127.6</v>
          </cell>
          <cell r="L124">
            <v>127.6</v>
          </cell>
          <cell r="P124">
            <v>0</v>
          </cell>
          <cell r="Q124">
            <v>14056</v>
          </cell>
          <cell r="R124">
            <v>0</v>
          </cell>
          <cell r="S124">
            <v>0</v>
          </cell>
          <cell r="AC124">
            <v>0</v>
          </cell>
          <cell r="AJ124">
            <v>23.92</v>
          </cell>
          <cell r="AK124">
            <v>459</v>
          </cell>
          <cell r="AM124">
            <v>0</v>
          </cell>
          <cell r="AN124">
            <v>53</v>
          </cell>
          <cell r="AO124">
            <v>155.273</v>
          </cell>
          <cell r="AP124" t="str">
            <v>M.Karlewski</v>
          </cell>
        </row>
        <row r="125">
          <cell r="A125">
            <v>39932</v>
          </cell>
          <cell r="B125">
            <v>580.70000000000005</v>
          </cell>
          <cell r="C125">
            <v>0</v>
          </cell>
          <cell r="D125">
            <v>580.70000000000005</v>
          </cell>
          <cell r="F125">
            <v>186.6</v>
          </cell>
          <cell r="G125">
            <v>0</v>
          </cell>
          <cell r="H125">
            <v>0</v>
          </cell>
          <cell r="I125">
            <v>6</v>
          </cell>
          <cell r="J125">
            <v>0</v>
          </cell>
          <cell r="K125">
            <v>63.699999999999996</v>
          </cell>
          <cell r="L125">
            <v>256.3</v>
          </cell>
          <cell r="P125">
            <v>0</v>
          </cell>
          <cell r="Q125">
            <v>14329</v>
          </cell>
          <cell r="R125">
            <v>150</v>
          </cell>
          <cell r="S125">
            <v>150</v>
          </cell>
          <cell r="AC125">
            <v>150</v>
          </cell>
          <cell r="AJ125">
            <v>49.9</v>
          </cell>
          <cell r="AK125">
            <v>410</v>
          </cell>
          <cell r="AM125">
            <v>0</v>
          </cell>
          <cell r="AN125">
            <v>53</v>
          </cell>
          <cell r="AO125">
            <v>589.48599999999999</v>
          </cell>
          <cell r="AP125" t="str">
            <v>M.Karlewski</v>
          </cell>
        </row>
        <row r="126">
          <cell r="A126">
            <v>39933</v>
          </cell>
          <cell r="B126">
            <v>745</v>
          </cell>
          <cell r="C126">
            <v>0</v>
          </cell>
          <cell r="D126">
            <v>745</v>
          </cell>
          <cell r="F126">
            <v>830.9</v>
          </cell>
          <cell r="G126">
            <v>0</v>
          </cell>
          <cell r="H126">
            <v>0</v>
          </cell>
          <cell r="I126">
            <v>75.5</v>
          </cell>
          <cell r="J126">
            <v>0</v>
          </cell>
          <cell r="K126">
            <v>65.929000000000002</v>
          </cell>
          <cell r="L126">
            <v>972.32899999999995</v>
          </cell>
          <cell r="M126">
            <v>0.6</v>
          </cell>
          <cell r="P126">
            <v>0.6</v>
          </cell>
          <cell r="Q126">
            <v>14335</v>
          </cell>
          <cell r="R126">
            <v>1456</v>
          </cell>
          <cell r="S126">
            <v>1437.914</v>
          </cell>
          <cell r="U126">
            <v>312</v>
          </cell>
          <cell r="X126">
            <v>-5.0800000000000409</v>
          </cell>
          <cell r="Z126">
            <v>99.64</v>
          </cell>
          <cell r="AA126">
            <v>-838.78700000000003</v>
          </cell>
          <cell r="AB126">
            <v>1455.2539999999999</v>
          </cell>
          <cell r="AC126">
            <v>200</v>
          </cell>
          <cell r="AH126">
            <v>32.86</v>
          </cell>
          <cell r="AI126">
            <v>384.22</v>
          </cell>
          <cell r="AJ126">
            <v>-312.25</v>
          </cell>
          <cell r="AK126">
            <v>363</v>
          </cell>
          <cell r="AL126">
            <v>-0.14000000000000001</v>
          </cell>
          <cell r="AM126">
            <v>1</v>
          </cell>
          <cell r="AN126">
            <v>51</v>
          </cell>
          <cell r="AO126">
            <v>810.66700000000003</v>
          </cell>
          <cell r="AP126" t="str">
            <v>M.Karlewski</v>
          </cell>
        </row>
        <row r="127">
          <cell r="A127">
            <v>39934</v>
          </cell>
          <cell r="B127">
            <v>814.7</v>
          </cell>
          <cell r="C127">
            <v>0</v>
          </cell>
          <cell r="D127">
            <v>814.7</v>
          </cell>
          <cell r="F127">
            <v>688.7</v>
          </cell>
          <cell r="G127">
            <v>0</v>
          </cell>
          <cell r="H127">
            <v>0</v>
          </cell>
          <cell r="I127">
            <v>90.9</v>
          </cell>
          <cell r="J127">
            <v>0</v>
          </cell>
          <cell r="K127">
            <v>37.4</v>
          </cell>
          <cell r="L127">
            <v>817</v>
          </cell>
          <cell r="P127">
            <v>0</v>
          </cell>
          <cell r="Q127">
            <v>14317</v>
          </cell>
          <cell r="R127">
            <v>1160</v>
          </cell>
          <cell r="S127">
            <v>1160</v>
          </cell>
          <cell r="U127">
            <v>216</v>
          </cell>
          <cell r="X127">
            <v>423</v>
          </cell>
          <cell r="AC127">
            <v>700</v>
          </cell>
          <cell r="AK127">
            <v>363</v>
          </cell>
          <cell r="AM127">
            <v>2</v>
          </cell>
          <cell r="AN127">
            <v>49</v>
          </cell>
          <cell r="AO127">
            <v>780.096</v>
          </cell>
          <cell r="AP127" t="str">
            <v>M.Karlewski</v>
          </cell>
        </row>
        <row r="128">
          <cell r="A128">
            <v>39935</v>
          </cell>
          <cell r="B128">
            <v>816.3</v>
          </cell>
          <cell r="C128">
            <v>0</v>
          </cell>
          <cell r="D128">
            <v>816.3</v>
          </cell>
          <cell r="F128">
            <v>688.6</v>
          </cell>
          <cell r="G128">
            <v>0</v>
          </cell>
          <cell r="H128">
            <v>0</v>
          </cell>
          <cell r="I128">
            <v>79.900000000000006</v>
          </cell>
          <cell r="J128">
            <v>0</v>
          </cell>
          <cell r="K128">
            <v>53.6</v>
          </cell>
          <cell r="L128">
            <v>822.1</v>
          </cell>
          <cell r="P128">
            <v>0</v>
          </cell>
          <cell r="Q128">
            <v>14300</v>
          </cell>
          <cell r="R128">
            <v>1161</v>
          </cell>
          <cell r="S128">
            <v>1161</v>
          </cell>
          <cell r="U128">
            <v>120</v>
          </cell>
          <cell r="AC128">
            <v>1700</v>
          </cell>
          <cell r="AK128">
            <v>363</v>
          </cell>
          <cell r="AM128">
            <v>2</v>
          </cell>
          <cell r="AN128">
            <v>47</v>
          </cell>
          <cell r="AO128">
            <v>779.476</v>
          </cell>
          <cell r="AP128" t="str">
            <v>M.Karlewski</v>
          </cell>
        </row>
        <row r="129">
          <cell r="A129">
            <v>39936</v>
          </cell>
          <cell r="B129">
            <v>817.1</v>
          </cell>
          <cell r="C129">
            <v>0</v>
          </cell>
          <cell r="D129">
            <v>817.1</v>
          </cell>
          <cell r="F129">
            <v>691.3</v>
          </cell>
          <cell r="G129">
            <v>0</v>
          </cell>
          <cell r="H129">
            <v>0</v>
          </cell>
          <cell r="I129">
            <v>0</v>
          </cell>
          <cell r="J129">
            <v>59</v>
          </cell>
          <cell r="K129">
            <v>35.5</v>
          </cell>
          <cell r="L129">
            <v>785.8</v>
          </cell>
          <cell r="P129">
            <v>0</v>
          </cell>
          <cell r="Q129">
            <v>14328</v>
          </cell>
          <cell r="R129">
            <v>1161</v>
          </cell>
          <cell r="S129">
            <v>1161</v>
          </cell>
          <cell r="U129">
            <v>120</v>
          </cell>
          <cell r="AC129">
            <v>3000</v>
          </cell>
          <cell r="AK129">
            <v>363</v>
          </cell>
          <cell r="AM129">
            <v>2</v>
          </cell>
          <cell r="AN129">
            <v>45</v>
          </cell>
          <cell r="AO129">
            <v>778.798</v>
          </cell>
          <cell r="AP129" t="str">
            <v>M.Karlewski</v>
          </cell>
        </row>
        <row r="130">
          <cell r="A130">
            <v>39937</v>
          </cell>
          <cell r="B130">
            <v>817.6</v>
          </cell>
          <cell r="C130">
            <v>0</v>
          </cell>
          <cell r="D130">
            <v>817.6</v>
          </cell>
          <cell r="F130">
            <v>693.6</v>
          </cell>
          <cell r="G130">
            <v>0</v>
          </cell>
          <cell r="H130">
            <v>0</v>
          </cell>
          <cell r="I130">
            <v>0</v>
          </cell>
          <cell r="J130">
            <v>107</v>
          </cell>
          <cell r="K130">
            <v>0</v>
          </cell>
          <cell r="L130">
            <v>800.6</v>
          </cell>
          <cell r="P130">
            <v>0</v>
          </cell>
          <cell r="Q130">
            <v>14338</v>
          </cell>
          <cell r="R130">
            <v>1170</v>
          </cell>
          <cell r="S130">
            <v>1170</v>
          </cell>
          <cell r="U130">
            <v>480</v>
          </cell>
          <cell r="X130">
            <v>586</v>
          </cell>
          <cell r="Y130">
            <v>345.5</v>
          </cell>
          <cell r="AC130">
            <v>2800</v>
          </cell>
          <cell r="AK130">
            <v>363</v>
          </cell>
          <cell r="AM130">
            <v>2</v>
          </cell>
          <cell r="AN130">
            <v>43</v>
          </cell>
          <cell r="AO130">
            <v>782.89499999999998</v>
          </cell>
          <cell r="AP130" t="str">
            <v>M.Karlewski</v>
          </cell>
        </row>
        <row r="131">
          <cell r="A131">
            <v>39938</v>
          </cell>
          <cell r="B131">
            <v>819.5</v>
          </cell>
          <cell r="C131">
            <v>0</v>
          </cell>
          <cell r="D131">
            <v>819.5</v>
          </cell>
          <cell r="F131">
            <v>681.1</v>
          </cell>
          <cell r="G131">
            <v>0</v>
          </cell>
          <cell r="H131">
            <v>0</v>
          </cell>
          <cell r="I131">
            <v>0</v>
          </cell>
          <cell r="J131">
            <v>111</v>
          </cell>
          <cell r="K131">
            <v>0</v>
          </cell>
          <cell r="L131">
            <v>792.1</v>
          </cell>
          <cell r="P131">
            <v>0</v>
          </cell>
          <cell r="Q131">
            <v>14349</v>
          </cell>
          <cell r="R131">
            <v>1149</v>
          </cell>
          <cell r="S131">
            <v>1149</v>
          </cell>
          <cell r="U131">
            <v>624</v>
          </cell>
          <cell r="X131">
            <v>405</v>
          </cell>
          <cell r="Y131">
            <v>524.79999999999995</v>
          </cell>
          <cell r="Z131">
            <v>174.8</v>
          </cell>
          <cell r="AC131">
            <v>2100</v>
          </cell>
          <cell r="AJ131">
            <v>23.86</v>
          </cell>
          <cell r="AK131">
            <v>339</v>
          </cell>
          <cell r="AM131">
            <v>1</v>
          </cell>
          <cell r="AN131">
            <v>42</v>
          </cell>
          <cell r="AO131">
            <v>782.23400000000004</v>
          </cell>
          <cell r="AP131" t="str">
            <v>M.Karlewski</v>
          </cell>
        </row>
        <row r="132">
          <cell r="A132">
            <v>39939</v>
          </cell>
          <cell r="B132">
            <v>821.1</v>
          </cell>
          <cell r="C132">
            <v>0</v>
          </cell>
          <cell r="D132">
            <v>821.1</v>
          </cell>
          <cell r="F132">
            <v>687.3</v>
          </cell>
          <cell r="G132">
            <v>0</v>
          </cell>
          <cell r="H132">
            <v>11.7</v>
          </cell>
          <cell r="I132">
            <v>0</v>
          </cell>
          <cell r="J132">
            <v>106</v>
          </cell>
          <cell r="K132">
            <v>0</v>
          </cell>
          <cell r="L132">
            <v>805</v>
          </cell>
          <cell r="M132">
            <v>0.8</v>
          </cell>
          <cell r="P132">
            <v>0.8</v>
          </cell>
          <cell r="Q132">
            <v>14353</v>
          </cell>
          <cell r="R132">
            <v>1159</v>
          </cell>
          <cell r="S132">
            <v>1159</v>
          </cell>
          <cell r="U132">
            <v>384</v>
          </cell>
          <cell r="Y132">
            <v>33</v>
          </cell>
          <cell r="Z132">
            <v>49.7</v>
          </cell>
          <cell r="AC132">
            <v>2800</v>
          </cell>
          <cell r="AH132">
            <v>162</v>
          </cell>
          <cell r="AK132">
            <v>501</v>
          </cell>
          <cell r="AM132">
            <v>3</v>
          </cell>
          <cell r="AN132">
            <v>39</v>
          </cell>
          <cell r="AO132">
            <v>781.65599999999995</v>
          </cell>
          <cell r="AP132" t="str">
            <v>M.Karlewski</v>
          </cell>
        </row>
        <row r="133">
          <cell r="A133">
            <v>39940</v>
          </cell>
          <cell r="B133">
            <v>820.1</v>
          </cell>
          <cell r="C133">
            <v>0</v>
          </cell>
          <cell r="D133">
            <v>820.1</v>
          </cell>
          <cell r="F133">
            <v>688.8</v>
          </cell>
          <cell r="G133">
            <v>0</v>
          </cell>
          <cell r="H133">
            <v>10.199999999999999</v>
          </cell>
          <cell r="I133">
            <v>0</v>
          </cell>
          <cell r="J133">
            <v>109</v>
          </cell>
          <cell r="K133">
            <v>0</v>
          </cell>
          <cell r="L133">
            <v>808</v>
          </cell>
          <cell r="O133">
            <v>18.940000000000001</v>
          </cell>
          <cell r="P133">
            <v>18.940000000000001</v>
          </cell>
          <cell r="Q133">
            <v>14346</v>
          </cell>
          <cell r="R133">
            <v>1162</v>
          </cell>
          <cell r="S133">
            <v>1162</v>
          </cell>
          <cell r="U133">
            <v>144</v>
          </cell>
          <cell r="W133">
            <v>230.86</v>
          </cell>
          <cell r="X133">
            <v>412</v>
          </cell>
          <cell r="AA133">
            <v>1360.61</v>
          </cell>
          <cell r="AB133">
            <v>49.1</v>
          </cell>
          <cell r="AC133">
            <v>1700</v>
          </cell>
          <cell r="AH133">
            <v>270</v>
          </cell>
          <cell r="AJ133">
            <v>97.92</v>
          </cell>
          <cell r="AK133">
            <v>680</v>
          </cell>
          <cell r="AM133">
            <v>2</v>
          </cell>
          <cell r="AN133">
            <v>37</v>
          </cell>
          <cell r="AO133">
            <v>783.22699999999998</v>
          </cell>
          <cell r="AP133" t="str">
            <v>M.Karlewski</v>
          </cell>
        </row>
        <row r="134">
          <cell r="A134">
            <v>39941</v>
          </cell>
          <cell r="B134">
            <v>819.4</v>
          </cell>
          <cell r="C134">
            <v>0</v>
          </cell>
          <cell r="D134">
            <v>819.4</v>
          </cell>
          <cell r="F134">
            <v>689.2</v>
          </cell>
          <cell r="G134">
            <v>0</v>
          </cell>
          <cell r="H134">
            <v>0</v>
          </cell>
          <cell r="I134">
            <v>0</v>
          </cell>
          <cell r="J134">
            <v>108</v>
          </cell>
          <cell r="K134">
            <v>0</v>
          </cell>
          <cell r="L134">
            <v>797.2</v>
          </cell>
          <cell r="P134">
            <v>0</v>
          </cell>
          <cell r="Q134">
            <v>14367</v>
          </cell>
          <cell r="R134">
            <v>1163</v>
          </cell>
          <cell r="S134">
            <v>1163</v>
          </cell>
          <cell r="U134">
            <v>180</v>
          </cell>
          <cell r="W134">
            <v>26.98</v>
          </cell>
          <cell r="X134">
            <v>616</v>
          </cell>
          <cell r="Y134">
            <v>160</v>
          </cell>
          <cell r="AC134">
            <v>2000</v>
          </cell>
          <cell r="AH134">
            <v>142</v>
          </cell>
          <cell r="AJ134">
            <v>24.24</v>
          </cell>
          <cell r="AK134">
            <v>798</v>
          </cell>
          <cell r="AM134">
            <v>2</v>
          </cell>
          <cell r="AN134">
            <v>35</v>
          </cell>
          <cell r="AO134">
            <v>771.89499999999998</v>
          </cell>
          <cell r="AP134" t="str">
            <v>M.Szwyd</v>
          </cell>
        </row>
        <row r="135">
          <cell r="A135">
            <v>39942</v>
          </cell>
          <cell r="B135">
            <v>820.4</v>
          </cell>
          <cell r="C135">
            <v>0</v>
          </cell>
          <cell r="D135">
            <v>820.4</v>
          </cell>
          <cell r="F135">
            <v>686.2</v>
          </cell>
          <cell r="G135">
            <v>0</v>
          </cell>
          <cell r="H135">
            <v>0</v>
          </cell>
          <cell r="I135">
            <v>0</v>
          </cell>
          <cell r="J135">
            <v>106</v>
          </cell>
          <cell r="K135">
            <v>0</v>
          </cell>
          <cell r="L135">
            <v>792.2</v>
          </cell>
          <cell r="P135">
            <v>0</v>
          </cell>
          <cell r="Q135">
            <v>14392</v>
          </cell>
          <cell r="R135">
            <v>1157</v>
          </cell>
          <cell r="S135">
            <v>1157</v>
          </cell>
          <cell r="U135">
            <v>24</v>
          </cell>
          <cell r="Y135">
            <v>46</v>
          </cell>
          <cell r="AC135">
            <v>3200</v>
          </cell>
          <cell r="AH135">
            <v>92</v>
          </cell>
          <cell r="AK135">
            <v>890</v>
          </cell>
          <cell r="AM135">
            <v>2</v>
          </cell>
          <cell r="AN135">
            <v>33</v>
          </cell>
          <cell r="AO135">
            <v>775.07500000000005</v>
          </cell>
          <cell r="AP135" t="str">
            <v>M.Szwyd</v>
          </cell>
        </row>
        <row r="136">
          <cell r="A136">
            <v>39943</v>
          </cell>
          <cell r="B136">
            <v>820.7</v>
          </cell>
          <cell r="C136">
            <v>0</v>
          </cell>
          <cell r="D136">
            <v>820.7</v>
          </cell>
          <cell r="F136">
            <v>686.3</v>
          </cell>
          <cell r="G136">
            <v>0</v>
          </cell>
          <cell r="H136">
            <v>0</v>
          </cell>
          <cell r="I136">
            <v>0</v>
          </cell>
          <cell r="J136">
            <v>107</v>
          </cell>
          <cell r="K136">
            <v>0</v>
          </cell>
          <cell r="L136">
            <v>793.3</v>
          </cell>
          <cell r="P136">
            <v>0</v>
          </cell>
          <cell r="Q136">
            <v>14417</v>
          </cell>
          <cell r="R136">
            <v>1157</v>
          </cell>
          <cell r="S136">
            <v>657</v>
          </cell>
          <cell r="U136">
            <v>24</v>
          </cell>
          <cell r="AC136">
            <v>3800</v>
          </cell>
          <cell r="AD136">
            <v>500</v>
          </cell>
          <cell r="AE136">
            <v>500</v>
          </cell>
          <cell r="AK136">
            <v>890</v>
          </cell>
          <cell r="AM136">
            <v>2</v>
          </cell>
          <cell r="AN136">
            <v>31</v>
          </cell>
          <cell r="AO136">
            <v>774.41600000000005</v>
          </cell>
          <cell r="AP136" t="str">
            <v>M.Szwyd</v>
          </cell>
        </row>
        <row r="137">
          <cell r="A137">
            <v>39944</v>
          </cell>
          <cell r="B137">
            <v>820.7</v>
          </cell>
          <cell r="C137">
            <v>0</v>
          </cell>
          <cell r="D137">
            <v>820.7</v>
          </cell>
          <cell r="F137">
            <v>683.2</v>
          </cell>
          <cell r="G137">
            <v>0</v>
          </cell>
          <cell r="H137">
            <v>0</v>
          </cell>
          <cell r="I137">
            <v>0</v>
          </cell>
          <cell r="J137">
            <v>44</v>
          </cell>
          <cell r="K137">
            <v>21</v>
          </cell>
          <cell r="L137">
            <v>748.2</v>
          </cell>
          <cell r="M137">
            <v>6.44</v>
          </cell>
          <cell r="P137">
            <v>6.44</v>
          </cell>
          <cell r="Q137">
            <v>14467</v>
          </cell>
          <cell r="R137">
            <v>1152</v>
          </cell>
          <cell r="S137">
            <v>1152</v>
          </cell>
          <cell r="U137">
            <v>173</v>
          </cell>
          <cell r="AC137">
            <v>4500</v>
          </cell>
          <cell r="AH137">
            <v>185</v>
          </cell>
          <cell r="AK137">
            <v>1075</v>
          </cell>
          <cell r="AM137">
            <v>1</v>
          </cell>
          <cell r="AN137">
            <v>30</v>
          </cell>
          <cell r="AO137">
            <v>775.60900000000004</v>
          </cell>
          <cell r="AP137" t="str">
            <v>M.Trzaskalski</v>
          </cell>
        </row>
        <row r="138">
          <cell r="A138">
            <v>39945</v>
          </cell>
          <cell r="B138">
            <v>821</v>
          </cell>
          <cell r="C138">
            <v>0</v>
          </cell>
          <cell r="D138">
            <v>821</v>
          </cell>
          <cell r="F138">
            <v>686.1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41.6</v>
          </cell>
          <cell r="L138">
            <v>727.7</v>
          </cell>
          <cell r="O138">
            <v>37.64</v>
          </cell>
          <cell r="P138">
            <v>37.64</v>
          </cell>
          <cell r="Q138">
            <v>14527</v>
          </cell>
          <cell r="R138">
            <v>1157</v>
          </cell>
          <cell r="S138">
            <v>1157</v>
          </cell>
          <cell r="U138">
            <v>72</v>
          </cell>
          <cell r="X138">
            <v>747</v>
          </cell>
          <cell r="Z138">
            <v>201.4</v>
          </cell>
          <cell r="AC138">
            <v>5600</v>
          </cell>
          <cell r="AH138">
            <v>93</v>
          </cell>
          <cell r="AJ138">
            <v>72.42</v>
          </cell>
          <cell r="AK138">
            <v>1095</v>
          </cell>
          <cell r="AM138">
            <v>1</v>
          </cell>
          <cell r="AN138">
            <v>29</v>
          </cell>
          <cell r="AO138">
            <v>778.89099999999996</v>
          </cell>
          <cell r="AP138" t="str">
            <v>M.Trzaskalski</v>
          </cell>
        </row>
        <row r="139">
          <cell r="A139">
            <v>39946</v>
          </cell>
          <cell r="B139">
            <v>820.7</v>
          </cell>
          <cell r="C139">
            <v>0</v>
          </cell>
          <cell r="D139">
            <v>820.7</v>
          </cell>
          <cell r="F139">
            <v>684</v>
          </cell>
          <cell r="G139">
            <v>52</v>
          </cell>
          <cell r="H139">
            <v>13.8</v>
          </cell>
          <cell r="I139">
            <v>0</v>
          </cell>
          <cell r="J139">
            <v>0</v>
          </cell>
          <cell r="K139">
            <v>37.200000000000003</v>
          </cell>
          <cell r="L139">
            <v>787</v>
          </cell>
          <cell r="M139">
            <v>6</v>
          </cell>
          <cell r="P139">
            <v>6</v>
          </cell>
          <cell r="Q139">
            <v>14532</v>
          </cell>
          <cell r="R139">
            <v>1153</v>
          </cell>
          <cell r="S139">
            <v>1153</v>
          </cell>
          <cell r="U139">
            <v>54</v>
          </cell>
          <cell r="X139">
            <v>326</v>
          </cell>
          <cell r="Z139">
            <v>25.3</v>
          </cell>
          <cell r="AC139">
            <v>6300</v>
          </cell>
          <cell r="AJ139">
            <v>48.7</v>
          </cell>
          <cell r="AK139">
            <v>1045</v>
          </cell>
          <cell r="AM139">
            <v>3</v>
          </cell>
          <cell r="AN139">
            <v>26</v>
          </cell>
          <cell r="AO139">
            <v>777.65800000000002</v>
          </cell>
          <cell r="AP139" t="str">
            <v>M.Trzaskalski</v>
          </cell>
        </row>
        <row r="140">
          <cell r="A140">
            <v>39947</v>
          </cell>
          <cell r="B140">
            <v>821.2</v>
          </cell>
          <cell r="C140">
            <v>0</v>
          </cell>
          <cell r="D140">
            <v>821.2</v>
          </cell>
          <cell r="F140">
            <v>610.20000000000005</v>
          </cell>
          <cell r="G140">
            <v>0</v>
          </cell>
          <cell r="H140">
            <v>16.7</v>
          </cell>
          <cell r="I140">
            <v>0</v>
          </cell>
          <cell r="J140">
            <v>0</v>
          </cell>
          <cell r="K140">
            <v>39</v>
          </cell>
          <cell r="L140">
            <v>665.90000000000009</v>
          </cell>
          <cell r="O140">
            <v>37.979999999999997</v>
          </cell>
          <cell r="P140">
            <v>37.979999999999997</v>
          </cell>
          <cell r="Q140">
            <v>14648</v>
          </cell>
          <cell r="R140">
            <v>1029</v>
          </cell>
          <cell r="S140">
            <v>1029</v>
          </cell>
          <cell r="U140">
            <v>24</v>
          </cell>
          <cell r="W140">
            <v>24.3</v>
          </cell>
          <cell r="Z140">
            <v>24.64</v>
          </cell>
          <cell r="AC140">
            <v>6300</v>
          </cell>
          <cell r="AJ140">
            <v>69.02</v>
          </cell>
          <cell r="AK140">
            <v>975</v>
          </cell>
          <cell r="AM140">
            <v>2</v>
          </cell>
          <cell r="AN140">
            <v>24</v>
          </cell>
          <cell r="AO140">
            <v>778.59500000000003</v>
          </cell>
          <cell r="AP140" t="str">
            <v>B.Bronicki</v>
          </cell>
        </row>
        <row r="141">
          <cell r="A141">
            <v>39948</v>
          </cell>
          <cell r="B141">
            <v>821.2</v>
          </cell>
          <cell r="C141">
            <v>0</v>
          </cell>
          <cell r="D141">
            <v>821.2</v>
          </cell>
          <cell r="F141">
            <v>559</v>
          </cell>
          <cell r="G141">
            <v>0</v>
          </cell>
          <cell r="H141">
            <v>16.7</v>
          </cell>
          <cell r="I141">
            <v>0</v>
          </cell>
          <cell r="J141">
            <v>0</v>
          </cell>
          <cell r="K141">
            <v>38.299999999999997</v>
          </cell>
          <cell r="L141">
            <v>614</v>
          </cell>
          <cell r="P141">
            <v>0</v>
          </cell>
          <cell r="Q141">
            <v>14681</v>
          </cell>
          <cell r="R141">
            <v>943</v>
          </cell>
          <cell r="S141">
            <v>943</v>
          </cell>
          <cell r="U141">
            <v>10</v>
          </cell>
          <cell r="Y141">
            <v>132</v>
          </cell>
          <cell r="AC141">
            <v>7200</v>
          </cell>
          <cell r="AJ141">
            <v>73.7</v>
          </cell>
          <cell r="AK141">
            <v>901</v>
          </cell>
          <cell r="AM141">
            <v>2</v>
          </cell>
          <cell r="AN141">
            <v>22</v>
          </cell>
          <cell r="AO141">
            <v>778.57</v>
          </cell>
          <cell r="AP141" t="str">
            <v>P.Witkowski</v>
          </cell>
        </row>
        <row r="142">
          <cell r="A142">
            <v>39949</v>
          </cell>
          <cell r="B142">
            <v>821</v>
          </cell>
          <cell r="C142">
            <v>0</v>
          </cell>
          <cell r="D142">
            <v>821</v>
          </cell>
          <cell r="F142">
            <v>666</v>
          </cell>
          <cell r="G142">
            <v>0</v>
          </cell>
          <cell r="H142">
            <v>17.8</v>
          </cell>
          <cell r="I142">
            <v>0</v>
          </cell>
          <cell r="J142">
            <v>0</v>
          </cell>
          <cell r="K142">
            <v>22.1</v>
          </cell>
          <cell r="L142">
            <v>705.9</v>
          </cell>
          <cell r="P142">
            <v>0</v>
          </cell>
          <cell r="Q142">
            <v>14970</v>
          </cell>
          <cell r="R142">
            <v>1123</v>
          </cell>
          <cell r="S142">
            <v>1123</v>
          </cell>
          <cell r="Y142">
            <v>46</v>
          </cell>
          <cell r="AC142">
            <v>8300</v>
          </cell>
          <cell r="AK142">
            <v>901</v>
          </cell>
          <cell r="AM142">
            <v>2</v>
          </cell>
          <cell r="AN142">
            <v>20</v>
          </cell>
          <cell r="AO142">
            <v>778.22299999999996</v>
          </cell>
          <cell r="AP142" t="str">
            <v>P.Witkowski</v>
          </cell>
        </row>
        <row r="143">
          <cell r="A143">
            <v>39950</v>
          </cell>
          <cell r="B143">
            <v>820.5</v>
          </cell>
          <cell r="C143">
            <v>0</v>
          </cell>
          <cell r="D143">
            <v>820.5</v>
          </cell>
          <cell r="F143">
            <v>684.1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35.5</v>
          </cell>
          <cell r="L143">
            <v>719.6</v>
          </cell>
          <cell r="P143">
            <v>0</v>
          </cell>
          <cell r="Q143">
            <v>14974</v>
          </cell>
          <cell r="R143">
            <v>1154</v>
          </cell>
          <cell r="S143">
            <v>1154</v>
          </cell>
          <cell r="X143">
            <v>48</v>
          </cell>
          <cell r="Y143">
            <v>48</v>
          </cell>
          <cell r="AC143">
            <v>8900</v>
          </cell>
          <cell r="AK143">
            <v>901</v>
          </cell>
          <cell r="AM143">
            <v>2</v>
          </cell>
          <cell r="AN143">
            <v>18</v>
          </cell>
          <cell r="AO143">
            <v>776.97199999999998</v>
          </cell>
          <cell r="AP143" t="str">
            <v>P.Witkowski</v>
          </cell>
        </row>
        <row r="144">
          <cell r="A144">
            <v>39951</v>
          </cell>
          <cell r="B144">
            <v>814.4</v>
          </cell>
          <cell r="C144">
            <v>0</v>
          </cell>
          <cell r="D144">
            <v>814.4</v>
          </cell>
          <cell r="F144">
            <v>683.1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19.899999999999999</v>
          </cell>
          <cell r="L144">
            <v>703</v>
          </cell>
          <cell r="P144">
            <v>0</v>
          </cell>
          <cell r="Q144">
            <v>15177</v>
          </cell>
          <cell r="R144">
            <v>1152</v>
          </cell>
          <cell r="S144">
            <v>1152</v>
          </cell>
          <cell r="U144">
            <v>240</v>
          </cell>
          <cell r="X144">
            <v>669</v>
          </cell>
          <cell r="Y144">
            <v>197</v>
          </cell>
          <cell r="Z144">
            <v>96.96</v>
          </cell>
          <cell r="AA144">
            <v>1296.8420000000001</v>
          </cell>
          <cell r="AC144">
            <v>7700</v>
          </cell>
          <cell r="AH144">
            <v>239</v>
          </cell>
          <cell r="AJ144">
            <v>99.74</v>
          </cell>
          <cell r="AK144">
            <v>1033</v>
          </cell>
          <cell r="AM144">
            <v>1</v>
          </cell>
          <cell r="AN144">
            <v>17</v>
          </cell>
          <cell r="AO144">
            <v>771.47400000000005</v>
          </cell>
          <cell r="AP144" t="str">
            <v>P.Witkowski</v>
          </cell>
        </row>
        <row r="145">
          <cell r="A145">
            <v>39952</v>
          </cell>
          <cell r="B145">
            <v>805.3</v>
          </cell>
          <cell r="C145">
            <v>0</v>
          </cell>
          <cell r="D145">
            <v>805.3</v>
          </cell>
          <cell r="F145">
            <v>668.5</v>
          </cell>
          <cell r="G145">
            <v>0</v>
          </cell>
          <cell r="H145">
            <v>0</v>
          </cell>
          <cell r="I145">
            <v>0</v>
          </cell>
          <cell r="J145">
            <v>68</v>
          </cell>
          <cell r="K145">
            <v>24</v>
          </cell>
          <cell r="L145">
            <v>760.5</v>
          </cell>
          <cell r="O145">
            <v>37.659999999999997</v>
          </cell>
          <cell r="P145">
            <v>37.659999999999997</v>
          </cell>
          <cell r="Q145">
            <v>15178</v>
          </cell>
          <cell r="R145">
            <v>1127</v>
          </cell>
          <cell r="S145">
            <v>1127</v>
          </cell>
          <cell r="U145">
            <v>515</v>
          </cell>
          <cell r="X145">
            <v>352</v>
          </cell>
          <cell r="Z145">
            <v>125.9</v>
          </cell>
          <cell r="AC145">
            <v>7800</v>
          </cell>
          <cell r="AH145">
            <v>182</v>
          </cell>
          <cell r="AJ145">
            <v>98.06</v>
          </cell>
          <cell r="AK145">
            <v>1116</v>
          </cell>
          <cell r="AM145">
            <v>14</v>
          </cell>
          <cell r="AN145">
            <v>16</v>
          </cell>
          <cell r="AO145">
            <v>763.48599999999999</v>
          </cell>
          <cell r="AP145" t="str">
            <v>M.Szwyd</v>
          </cell>
        </row>
        <row r="146">
          <cell r="A146">
            <v>39953</v>
          </cell>
          <cell r="B146">
            <v>804.8</v>
          </cell>
          <cell r="C146">
            <v>0</v>
          </cell>
          <cell r="D146">
            <v>804.8</v>
          </cell>
          <cell r="F146">
            <v>516</v>
          </cell>
          <cell r="G146">
            <v>0</v>
          </cell>
          <cell r="H146">
            <v>0</v>
          </cell>
          <cell r="I146">
            <v>0</v>
          </cell>
          <cell r="J146">
            <v>100</v>
          </cell>
          <cell r="K146">
            <v>24.7</v>
          </cell>
          <cell r="L146">
            <v>640.70000000000005</v>
          </cell>
          <cell r="P146">
            <v>0</v>
          </cell>
          <cell r="Q146">
            <v>15338</v>
          </cell>
          <cell r="R146">
            <v>870</v>
          </cell>
          <cell r="S146">
            <v>870</v>
          </cell>
          <cell r="U146">
            <v>245</v>
          </cell>
          <cell r="X146">
            <v>609</v>
          </cell>
          <cell r="Y146">
            <v>10</v>
          </cell>
          <cell r="AC146">
            <v>7700</v>
          </cell>
          <cell r="AJ146">
            <v>99.012</v>
          </cell>
          <cell r="AK146">
            <v>1065</v>
          </cell>
          <cell r="AM146">
            <v>2</v>
          </cell>
          <cell r="AN146">
            <v>14</v>
          </cell>
          <cell r="AO146">
            <v>761.52700000000004</v>
          </cell>
          <cell r="AP146" t="str">
            <v>M.Szwyd</v>
          </cell>
        </row>
        <row r="147">
          <cell r="A147">
            <v>39954</v>
          </cell>
          <cell r="B147">
            <v>805.1</v>
          </cell>
          <cell r="C147">
            <v>0</v>
          </cell>
          <cell r="D147">
            <v>805.1</v>
          </cell>
          <cell r="F147">
            <v>636.70000000000005</v>
          </cell>
          <cell r="G147">
            <v>0</v>
          </cell>
          <cell r="H147">
            <v>0</v>
          </cell>
          <cell r="I147">
            <v>0</v>
          </cell>
          <cell r="J147">
            <v>105</v>
          </cell>
          <cell r="K147">
            <v>26.3</v>
          </cell>
          <cell r="L147">
            <v>768</v>
          </cell>
          <cell r="P147">
            <v>0</v>
          </cell>
          <cell r="Q147">
            <v>15387</v>
          </cell>
          <cell r="R147">
            <v>1074</v>
          </cell>
          <cell r="S147">
            <v>1074</v>
          </cell>
          <cell r="U147">
            <v>72</v>
          </cell>
          <cell r="X147">
            <v>446</v>
          </cell>
          <cell r="Z147">
            <v>24.44</v>
          </cell>
          <cell r="AA147">
            <v>1480</v>
          </cell>
          <cell r="AC147">
            <v>6700</v>
          </cell>
          <cell r="AJ147">
            <v>50.1</v>
          </cell>
          <cell r="AK147">
            <v>1017</v>
          </cell>
          <cell r="AM147">
            <v>1</v>
          </cell>
          <cell r="AN147">
            <v>13</v>
          </cell>
          <cell r="AO147">
            <v>761.43100000000004</v>
          </cell>
          <cell r="AP147" t="str">
            <v>M.Szwyd</v>
          </cell>
        </row>
        <row r="148">
          <cell r="A148">
            <v>39955</v>
          </cell>
          <cell r="B148">
            <v>806.4</v>
          </cell>
          <cell r="C148">
            <v>0</v>
          </cell>
          <cell r="D148">
            <v>806.4</v>
          </cell>
          <cell r="F148">
            <v>684.5</v>
          </cell>
          <cell r="G148">
            <v>0</v>
          </cell>
          <cell r="H148">
            <v>0</v>
          </cell>
          <cell r="I148">
            <v>0</v>
          </cell>
          <cell r="J148">
            <v>23.768000000000001</v>
          </cell>
          <cell r="K148">
            <v>25.9</v>
          </cell>
          <cell r="L148">
            <v>734.16800000000001</v>
          </cell>
          <cell r="P148">
            <v>0</v>
          </cell>
          <cell r="Q148">
            <v>15405</v>
          </cell>
          <cell r="R148">
            <v>1154</v>
          </cell>
          <cell r="S148">
            <v>1154</v>
          </cell>
          <cell r="U148">
            <v>60</v>
          </cell>
          <cell r="Z148">
            <v>50</v>
          </cell>
          <cell r="AA148">
            <v>2576</v>
          </cell>
          <cell r="AC148">
            <v>5000</v>
          </cell>
          <cell r="AJ148">
            <v>74.540000000000006</v>
          </cell>
          <cell r="AK148">
            <v>942</v>
          </cell>
          <cell r="AM148">
            <v>1</v>
          </cell>
          <cell r="AN148">
            <v>12</v>
          </cell>
          <cell r="AO148">
            <v>762.53</v>
          </cell>
          <cell r="AP148" t="str">
            <v>M.Karlewski</v>
          </cell>
        </row>
        <row r="149">
          <cell r="A149">
            <v>39956</v>
          </cell>
          <cell r="B149">
            <v>805.4</v>
          </cell>
          <cell r="C149">
            <v>0</v>
          </cell>
          <cell r="D149">
            <v>805.4</v>
          </cell>
          <cell r="F149">
            <v>682.8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30.099999999999998</v>
          </cell>
          <cell r="L149">
            <v>712.9</v>
          </cell>
          <cell r="P149">
            <v>0</v>
          </cell>
          <cell r="Q149">
            <v>15488</v>
          </cell>
          <cell r="R149">
            <v>1151</v>
          </cell>
          <cell r="S149">
            <v>1151</v>
          </cell>
          <cell r="AA149">
            <v>3540</v>
          </cell>
          <cell r="AC149">
            <v>2600</v>
          </cell>
          <cell r="AK149">
            <v>942</v>
          </cell>
          <cell r="AM149">
            <v>1</v>
          </cell>
          <cell r="AN149">
            <v>11</v>
          </cell>
          <cell r="AO149">
            <v>765.08</v>
          </cell>
          <cell r="AP149" t="str">
            <v>M.Karlewski</v>
          </cell>
        </row>
        <row r="150">
          <cell r="A150">
            <v>39957</v>
          </cell>
          <cell r="B150">
            <v>804.4</v>
          </cell>
          <cell r="C150">
            <v>0</v>
          </cell>
          <cell r="D150">
            <v>804.4</v>
          </cell>
          <cell r="F150">
            <v>681.5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21.7</v>
          </cell>
          <cell r="L150">
            <v>703.2</v>
          </cell>
          <cell r="P150">
            <v>0</v>
          </cell>
          <cell r="Q150">
            <v>15587</v>
          </cell>
          <cell r="R150">
            <v>1149</v>
          </cell>
          <cell r="S150">
            <v>1149</v>
          </cell>
          <cell r="X150">
            <v>803</v>
          </cell>
          <cell r="AA150">
            <v>655</v>
          </cell>
          <cell r="AC150">
            <v>2100</v>
          </cell>
          <cell r="AH150">
            <v>230</v>
          </cell>
          <cell r="AK150">
            <v>1173</v>
          </cell>
          <cell r="AM150">
            <v>1</v>
          </cell>
          <cell r="AN150">
            <v>10</v>
          </cell>
          <cell r="AO150">
            <v>761.12599999999998</v>
          </cell>
          <cell r="AP150" t="str">
            <v>M.Karlewski</v>
          </cell>
        </row>
        <row r="151">
          <cell r="A151">
            <v>39958</v>
          </cell>
          <cell r="B151">
            <v>804.5</v>
          </cell>
          <cell r="C151">
            <v>0</v>
          </cell>
          <cell r="D151">
            <v>804.5</v>
          </cell>
          <cell r="F151">
            <v>683.2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24.4</v>
          </cell>
          <cell r="L151">
            <v>707.6</v>
          </cell>
          <cell r="P151">
            <v>0</v>
          </cell>
          <cell r="Q151">
            <v>15684</v>
          </cell>
          <cell r="R151">
            <v>1152</v>
          </cell>
          <cell r="S151">
            <v>1152</v>
          </cell>
          <cell r="X151">
            <v>174</v>
          </cell>
          <cell r="AC151">
            <v>3300</v>
          </cell>
          <cell r="AK151">
            <v>1173</v>
          </cell>
          <cell r="AM151">
            <v>2</v>
          </cell>
          <cell r="AN151">
            <v>8</v>
          </cell>
          <cell r="AO151">
            <v>760.73900000000003</v>
          </cell>
          <cell r="AP151" t="str">
            <v>M.Karlewski</v>
          </cell>
        </row>
        <row r="152">
          <cell r="A152">
            <v>39959</v>
          </cell>
          <cell r="B152">
            <v>804.2</v>
          </cell>
          <cell r="C152">
            <v>0</v>
          </cell>
          <cell r="D152">
            <v>804.2</v>
          </cell>
          <cell r="F152">
            <v>684.1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46.7</v>
          </cell>
          <cell r="L152">
            <v>730.80000000000007</v>
          </cell>
          <cell r="M152">
            <v>0.44</v>
          </cell>
          <cell r="O152">
            <v>20.100000000000001</v>
          </cell>
          <cell r="P152">
            <v>20.540000000000003</v>
          </cell>
          <cell r="Q152">
            <v>15719</v>
          </cell>
          <cell r="R152">
            <v>1154</v>
          </cell>
          <cell r="S152">
            <v>1154</v>
          </cell>
          <cell r="U152">
            <v>192</v>
          </cell>
          <cell r="Z152">
            <v>51</v>
          </cell>
          <cell r="AC152">
            <v>4260</v>
          </cell>
          <cell r="AJ152">
            <v>24.26</v>
          </cell>
          <cell r="AK152">
            <v>1148</v>
          </cell>
          <cell r="AM152">
            <v>2</v>
          </cell>
          <cell r="AN152">
            <v>6</v>
          </cell>
          <cell r="AO152">
            <v>758.30899999999997</v>
          </cell>
          <cell r="AP152" t="str">
            <v>M.Karlewski</v>
          </cell>
        </row>
        <row r="153">
          <cell r="A153">
            <v>39960</v>
          </cell>
          <cell r="B153">
            <v>804.6</v>
          </cell>
          <cell r="C153">
            <v>0</v>
          </cell>
          <cell r="D153">
            <v>804.6</v>
          </cell>
          <cell r="F153">
            <v>684.5</v>
          </cell>
          <cell r="G153">
            <v>0</v>
          </cell>
          <cell r="H153">
            <v>14.5</v>
          </cell>
          <cell r="I153">
            <v>0</v>
          </cell>
          <cell r="J153">
            <v>0</v>
          </cell>
          <cell r="K153">
            <v>57.1</v>
          </cell>
          <cell r="L153">
            <v>756.1</v>
          </cell>
          <cell r="M153">
            <v>3.7199999999999998</v>
          </cell>
          <cell r="O153">
            <v>20.64</v>
          </cell>
          <cell r="P153">
            <v>24.36</v>
          </cell>
          <cell r="Q153">
            <v>15726</v>
          </cell>
          <cell r="R153">
            <v>1128</v>
          </cell>
          <cell r="S153">
            <v>1128</v>
          </cell>
          <cell r="U153">
            <v>336</v>
          </cell>
          <cell r="Y153">
            <v>44</v>
          </cell>
          <cell r="AC153">
            <v>5000</v>
          </cell>
          <cell r="AH153">
            <v>44</v>
          </cell>
          <cell r="AJ153">
            <v>154.34</v>
          </cell>
          <cell r="AK153">
            <v>1039</v>
          </cell>
          <cell r="AM153">
            <v>1</v>
          </cell>
          <cell r="AN153">
            <v>5</v>
          </cell>
          <cell r="AO153">
            <v>760.60799999999995</v>
          </cell>
          <cell r="AP153" t="str">
            <v>P.Witkowski</v>
          </cell>
        </row>
        <row r="154">
          <cell r="A154">
            <v>39961</v>
          </cell>
          <cell r="B154">
            <v>804.6</v>
          </cell>
          <cell r="C154">
            <v>0</v>
          </cell>
          <cell r="D154">
            <v>804.6</v>
          </cell>
          <cell r="F154">
            <v>683.5</v>
          </cell>
          <cell r="G154">
            <v>41</v>
          </cell>
          <cell r="H154">
            <v>21.9</v>
          </cell>
          <cell r="I154">
            <v>0</v>
          </cell>
          <cell r="J154">
            <v>0</v>
          </cell>
          <cell r="K154">
            <v>58</v>
          </cell>
          <cell r="L154">
            <v>804.4</v>
          </cell>
          <cell r="O154">
            <v>19.96</v>
          </cell>
          <cell r="P154">
            <v>19.96</v>
          </cell>
          <cell r="Q154">
            <v>15679</v>
          </cell>
          <cell r="R154">
            <v>1189</v>
          </cell>
          <cell r="S154">
            <v>1189</v>
          </cell>
          <cell r="U154">
            <v>382</v>
          </cell>
          <cell r="X154">
            <v>685</v>
          </cell>
          <cell r="Z154">
            <v>50.44</v>
          </cell>
          <cell r="AA154">
            <v>480</v>
          </cell>
          <cell r="AC154">
            <v>4600</v>
          </cell>
          <cell r="AH154">
            <v>141</v>
          </cell>
          <cell r="AJ154">
            <v>49.38</v>
          </cell>
          <cell r="AK154">
            <v>1130</v>
          </cell>
          <cell r="AL154">
            <v>42</v>
          </cell>
          <cell r="AM154">
            <v>1</v>
          </cell>
          <cell r="AN154">
            <v>46</v>
          </cell>
          <cell r="AO154">
            <v>762.96400000000006</v>
          </cell>
          <cell r="AP154" t="str">
            <v>P.Witkowski</v>
          </cell>
        </row>
        <row r="155">
          <cell r="A155">
            <v>39962</v>
          </cell>
          <cell r="B155">
            <v>804.5</v>
          </cell>
          <cell r="C155">
            <v>0</v>
          </cell>
          <cell r="D155">
            <v>804.5</v>
          </cell>
          <cell r="F155">
            <v>677.9</v>
          </cell>
          <cell r="G155">
            <v>56</v>
          </cell>
          <cell r="H155">
            <v>20</v>
          </cell>
          <cell r="I155">
            <v>0</v>
          </cell>
          <cell r="J155">
            <v>0</v>
          </cell>
          <cell r="K155">
            <v>72.5</v>
          </cell>
          <cell r="L155">
            <v>826.4</v>
          </cell>
          <cell r="O155">
            <v>20.94</v>
          </cell>
          <cell r="P155">
            <v>20.94</v>
          </cell>
          <cell r="Q155">
            <v>15622</v>
          </cell>
          <cell r="R155">
            <v>1150</v>
          </cell>
          <cell r="S155">
            <v>1150</v>
          </cell>
          <cell r="U155">
            <v>78</v>
          </cell>
          <cell r="X155">
            <v>320</v>
          </cell>
          <cell r="Z155">
            <v>25.34</v>
          </cell>
          <cell r="AA155">
            <v>1385.3</v>
          </cell>
          <cell r="AC155">
            <v>3940</v>
          </cell>
          <cell r="AK155">
            <v>1130</v>
          </cell>
          <cell r="AM155">
            <v>1</v>
          </cell>
          <cell r="AN155">
            <v>45</v>
          </cell>
          <cell r="AO155">
            <v>763.71900000000005</v>
          </cell>
          <cell r="AP155" t="str">
            <v>M.Szwyd</v>
          </cell>
        </row>
        <row r="156">
          <cell r="A156">
            <v>39963</v>
          </cell>
          <cell r="B156">
            <v>803.2</v>
          </cell>
          <cell r="C156">
            <v>0</v>
          </cell>
          <cell r="D156">
            <v>803.2</v>
          </cell>
          <cell r="F156">
            <v>682.3</v>
          </cell>
          <cell r="G156">
            <v>0</v>
          </cell>
          <cell r="H156">
            <v>21.5</v>
          </cell>
          <cell r="I156">
            <v>0</v>
          </cell>
          <cell r="J156">
            <v>0</v>
          </cell>
          <cell r="K156">
            <v>46.5</v>
          </cell>
          <cell r="L156">
            <v>750.3</v>
          </cell>
          <cell r="P156">
            <v>0</v>
          </cell>
          <cell r="Q156">
            <v>15666</v>
          </cell>
          <cell r="R156">
            <v>1145</v>
          </cell>
          <cell r="S156">
            <v>16.340999999999894</v>
          </cell>
          <cell r="AC156">
            <v>5090</v>
          </cell>
          <cell r="AH156">
            <v>46</v>
          </cell>
          <cell r="AK156">
            <v>1176</v>
          </cell>
          <cell r="AM156">
            <v>1</v>
          </cell>
          <cell r="AN156">
            <v>44</v>
          </cell>
          <cell r="AO156">
            <v>761.11199999999997</v>
          </cell>
          <cell r="AP156" t="str">
            <v>M.Szwyd</v>
          </cell>
        </row>
        <row r="157">
          <cell r="A157">
            <v>39964</v>
          </cell>
          <cell r="B157">
            <v>802.5</v>
          </cell>
          <cell r="C157">
            <v>0</v>
          </cell>
          <cell r="D157">
            <v>802.5</v>
          </cell>
          <cell r="F157">
            <v>683.5</v>
          </cell>
          <cell r="G157">
            <v>61.585999999999999</v>
          </cell>
          <cell r="H157">
            <v>-1.509999999999998</v>
          </cell>
          <cell r="I157">
            <v>11.608000000000001</v>
          </cell>
          <cell r="J157">
            <v>0</v>
          </cell>
          <cell r="K157">
            <v>276.60500000000002</v>
          </cell>
          <cell r="L157">
            <v>1031.789</v>
          </cell>
          <cell r="M157">
            <v>0.1</v>
          </cell>
          <cell r="O157">
            <v>18.68</v>
          </cell>
          <cell r="P157">
            <v>18.78</v>
          </cell>
          <cell r="Q157">
            <v>15597</v>
          </cell>
          <cell r="R157">
            <v>1154.509</v>
          </cell>
          <cell r="S157">
            <v>1154.509</v>
          </cell>
          <cell r="U157">
            <v>-14</v>
          </cell>
          <cell r="X157">
            <v>641.75</v>
          </cell>
          <cell r="Y157">
            <v>486.8</v>
          </cell>
          <cell r="Z157">
            <v>27.34</v>
          </cell>
          <cell r="AA157">
            <v>8.3309999999999995</v>
          </cell>
          <cell r="AB157">
            <v>580.55899999999997</v>
          </cell>
          <cell r="AC157">
            <v>4680</v>
          </cell>
          <cell r="AD157">
            <v>499</v>
          </cell>
          <cell r="AE157">
            <v>499</v>
          </cell>
          <cell r="AH157">
            <v>185.78</v>
          </cell>
          <cell r="AI157">
            <v>535</v>
          </cell>
          <cell r="AJ157">
            <v>-534.79</v>
          </cell>
          <cell r="AK157">
            <v>1222</v>
          </cell>
          <cell r="AL157">
            <v>0.04</v>
          </cell>
          <cell r="AM157">
            <v>-12</v>
          </cell>
          <cell r="AN157">
            <v>43</v>
          </cell>
          <cell r="AO157">
            <v>759.87800000000004</v>
          </cell>
          <cell r="AP157" t="str">
            <v>M.Szwyd</v>
          </cell>
        </row>
        <row r="158">
          <cell r="A158">
            <v>39965</v>
          </cell>
          <cell r="B158">
            <v>803</v>
          </cell>
          <cell r="C158">
            <v>0</v>
          </cell>
          <cell r="D158">
            <v>803</v>
          </cell>
          <cell r="F158">
            <v>687.3</v>
          </cell>
          <cell r="G158">
            <v>0</v>
          </cell>
          <cell r="H158">
            <v>2.5</v>
          </cell>
          <cell r="I158">
            <v>0</v>
          </cell>
          <cell r="J158">
            <v>0</v>
          </cell>
          <cell r="K158">
            <v>102.2</v>
          </cell>
          <cell r="L158">
            <v>792</v>
          </cell>
          <cell r="M158">
            <v>5.54</v>
          </cell>
          <cell r="P158">
            <v>5.54</v>
          </cell>
          <cell r="Q158">
            <v>15584</v>
          </cell>
          <cell r="R158">
            <v>1157</v>
          </cell>
          <cell r="S158">
            <v>1157</v>
          </cell>
          <cell r="U158">
            <v>48</v>
          </cell>
          <cell r="AC158">
            <v>5800</v>
          </cell>
          <cell r="AJ158">
            <v>24.06</v>
          </cell>
          <cell r="AK158">
            <v>1198</v>
          </cell>
          <cell r="AM158">
            <v>1</v>
          </cell>
          <cell r="AN158">
            <v>42</v>
          </cell>
          <cell r="AO158">
            <v>757.51099999999997</v>
          </cell>
          <cell r="AP158" t="str">
            <v>M.Szwyd</v>
          </cell>
        </row>
        <row r="159">
          <cell r="A159">
            <v>39966</v>
          </cell>
          <cell r="B159">
            <v>803.3</v>
          </cell>
          <cell r="C159">
            <v>0</v>
          </cell>
          <cell r="D159">
            <v>803.3</v>
          </cell>
          <cell r="F159">
            <v>580.9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51.7</v>
          </cell>
          <cell r="L159">
            <v>632.6</v>
          </cell>
          <cell r="M159">
            <v>125</v>
          </cell>
          <cell r="P159">
            <v>125</v>
          </cell>
          <cell r="Q159">
            <v>15470</v>
          </cell>
          <cell r="R159">
            <v>946</v>
          </cell>
          <cell r="S159">
            <v>946</v>
          </cell>
          <cell r="U159">
            <v>444</v>
          </cell>
          <cell r="Z159">
            <v>25.18</v>
          </cell>
          <cell r="AC159">
            <v>6300</v>
          </cell>
          <cell r="AJ159">
            <v>49</v>
          </cell>
          <cell r="AK159">
            <v>1149</v>
          </cell>
          <cell r="AM159">
            <v>2</v>
          </cell>
          <cell r="AN159">
            <v>40</v>
          </cell>
          <cell r="AO159">
            <v>757.56200000000001</v>
          </cell>
          <cell r="AP159" t="str">
            <v>M.Karlewski</v>
          </cell>
        </row>
        <row r="160">
          <cell r="A160">
            <v>39967</v>
          </cell>
          <cell r="B160">
            <v>804</v>
          </cell>
          <cell r="C160">
            <v>0</v>
          </cell>
          <cell r="D160">
            <v>804</v>
          </cell>
          <cell r="F160">
            <v>570.79999999999995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62.7</v>
          </cell>
          <cell r="L160">
            <v>633.5</v>
          </cell>
          <cell r="M160">
            <v>750.6</v>
          </cell>
          <cell r="P160">
            <v>750.6</v>
          </cell>
          <cell r="Q160">
            <v>15020</v>
          </cell>
          <cell r="R160">
            <v>1075</v>
          </cell>
          <cell r="S160">
            <v>1075</v>
          </cell>
          <cell r="U160">
            <v>307</v>
          </cell>
          <cell r="X160">
            <v>309</v>
          </cell>
          <cell r="Z160">
            <v>26.26</v>
          </cell>
          <cell r="AC160">
            <v>6700</v>
          </cell>
          <cell r="AJ160">
            <v>124.34</v>
          </cell>
          <cell r="AK160">
            <v>1001</v>
          </cell>
          <cell r="AM160">
            <v>2</v>
          </cell>
          <cell r="AN160">
            <v>38</v>
          </cell>
          <cell r="AO160">
            <v>759.89099999999996</v>
          </cell>
          <cell r="AP160" t="str">
            <v>M.Karlewski</v>
          </cell>
        </row>
        <row r="161">
          <cell r="A161">
            <v>39968</v>
          </cell>
          <cell r="B161">
            <v>804.2</v>
          </cell>
          <cell r="C161">
            <v>0</v>
          </cell>
          <cell r="D161">
            <v>804.2</v>
          </cell>
          <cell r="F161">
            <v>684.1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46.2</v>
          </cell>
          <cell r="L161">
            <v>730.30000000000007</v>
          </cell>
          <cell r="P161">
            <v>0</v>
          </cell>
          <cell r="Q161">
            <v>15047</v>
          </cell>
          <cell r="R161">
            <v>1169</v>
          </cell>
          <cell r="S161">
            <v>1169</v>
          </cell>
          <cell r="U161">
            <v>452</v>
          </cell>
          <cell r="X161">
            <v>651</v>
          </cell>
          <cell r="AC161">
            <v>6700</v>
          </cell>
          <cell r="AJ161">
            <v>70.98</v>
          </cell>
          <cell r="AK161">
            <v>955</v>
          </cell>
          <cell r="AM161">
            <v>2</v>
          </cell>
          <cell r="AN161">
            <v>36</v>
          </cell>
          <cell r="AO161">
            <v>761.20500000000004</v>
          </cell>
          <cell r="AP161" t="str">
            <v>M.Karlewski</v>
          </cell>
        </row>
        <row r="162">
          <cell r="A162">
            <v>39969</v>
          </cell>
          <cell r="B162">
            <v>819.3</v>
          </cell>
          <cell r="C162">
            <v>0</v>
          </cell>
          <cell r="D162">
            <v>819.3</v>
          </cell>
          <cell r="F162">
            <v>684</v>
          </cell>
          <cell r="G162">
            <v>0</v>
          </cell>
          <cell r="H162">
            <v>14.6</v>
          </cell>
          <cell r="I162">
            <v>0</v>
          </cell>
          <cell r="J162">
            <v>0</v>
          </cell>
          <cell r="K162">
            <v>39.9</v>
          </cell>
          <cell r="L162">
            <v>738.5</v>
          </cell>
          <cell r="M162">
            <v>0.9</v>
          </cell>
          <cell r="P162">
            <v>0.9</v>
          </cell>
          <cell r="Q162">
            <v>15127</v>
          </cell>
          <cell r="R162">
            <v>1162</v>
          </cell>
          <cell r="S162">
            <v>1162</v>
          </cell>
          <cell r="U162">
            <v>504</v>
          </cell>
          <cell r="X162">
            <v>624</v>
          </cell>
          <cell r="Z162">
            <v>25.84</v>
          </cell>
          <cell r="AC162">
            <v>6800</v>
          </cell>
          <cell r="AK162">
            <v>955</v>
          </cell>
          <cell r="AM162">
            <v>2</v>
          </cell>
          <cell r="AN162">
            <v>34</v>
          </cell>
          <cell r="AO162">
            <v>766.55600000000004</v>
          </cell>
          <cell r="AP162" t="str">
            <v>P.Witkowski</v>
          </cell>
        </row>
        <row r="163">
          <cell r="A163">
            <v>39970</v>
          </cell>
          <cell r="B163">
            <v>826.4</v>
          </cell>
          <cell r="C163">
            <v>0</v>
          </cell>
          <cell r="D163">
            <v>826.4</v>
          </cell>
          <cell r="F163">
            <v>683.2</v>
          </cell>
          <cell r="G163">
            <v>84</v>
          </cell>
          <cell r="H163">
            <v>18.8</v>
          </cell>
          <cell r="I163">
            <v>0</v>
          </cell>
          <cell r="J163">
            <v>0</v>
          </cell>
          <cell r="K163">
            <v>37</v>
          </cell>
          <cell r="L163">
            <v>823</v>
          </cell>
          <cell r="P163">
            <v>0</v>
          </cell>
          <cell r="Q163">
            <v>15107</v>
          </cell>
          <cell r="R163">
            <v>1158</v>
          </cell>
          <cell r="S163">
            <v>1158</v>
          </cell>
          <cell r="U163">
            <v>167</v>
          </cell>
          <cell r="X163">
            <v>370</v>
          </cell>
          <cell r="Z163">
            <v>50.88</v>
          </cell>
          <cell r="AA163">
            <v>1150</v>
          </cell>
          <cell r="AC163">
            <v>6000</v>
          </cell>
          <cell r="AJ163">
            <v>50.34</v>
          </cell>
          <cell r="AK163">
            <v>904</v>
          </cell>
          <cell r="AM163">
            <v>2</v>
          </cell>
          <cell r="AN163">
            <v>32</v>
          </cell>
          <cell r="AO163">
            <v>775.61500000000001</v>
          </cell>
          <cell r="AP163" t="str">
            <v>P.Witkowski</v>
          </cell>
        </row>
        <row r="164">
          <cell r="A164">
            <v>39971</v>
          </cell>
          <cell r="B164">
            <v>825.8</v>
          </cell>
          <cell r="C164">
            <v>0</v>
          </cell>
          <cell r="D164">
            <v>825.8</v>
          </cell>
          <cell r="F164">
            <v>683.7</v>
          </cell>
          <cell r="G164">
            <v>26</v>
          </cell>
          <cell r="H164">
            <v>18.600000000000001</v>
          </cell>
          <cell r="I164">
            <v>0</v>
          </cell>
          <cell r="J164">
            <v>0</v>
          </cell>
          <cell r="K164">
            <v>40</v>
          </cell>
          <cell r="L164">
            <v>768.30000000000007</v>
          </cell>
          <cell r="P164">
            <v>0</v>
          </cell>
          <cell r="Q164">
            <v>15157</v>
          </cell>
          <cell r="R164">
            <v>1163</v>
          </cell>
          <cell r="S164">
            <v>1163</v>
          </cell>
          <cell r="Y164">
            <v>366.3</v>
          </cell>
          <cell r="AA164">
            <v>810</v>
          </cell>
          <cell r="AC164">
            <v>6000</v>
          </cell>
          <cell r="AK164">
            <v>904</v>
          </cell>
          <cell r="AM164">
            <v>2</v>
          </cell>
          <cell r="AN164">
            <v>30</v>
          </cell>
          <cell r="AO164">
            <v>776.26599999999996</v>
          </cell>
          <cell r="AP164" t="str">
            <v>P.Witkowski</v>
          </cell>
        </row>
        <row r="165">
          <cell r="A165">
            <v>39972</v>
          </cell>
          <cell r="B165">
            <v>828.9</v>
          </cell>
          <cell r="C165">
            <v>0</v>
          </cell>
          <cell r="D165">
            <v>828.9</v>
          </cell>
          <cell r="F165">
            <v>684.5</v>
          </cell>
          <cell r="G165">
            <v>51</v>
          </cell>
          <cell r="H165">
            <v>18.5</v>
          </cell>
          <cell r="I165">
            <v>0</v>
          </cell>
          <cell r="J165">
            <v>0</v>
          </cell>
          <cell r="K165">
            <v>50.1</v>
          </cell>
          <cell r="L165">
            <v>804.1</v>
          </cell>
          <cell r="P165">
            <v>0</v>
          </cell>
          <cell r="Q165">
            <v>15172</v>
          </cell>
          <cell r="R165">
            <v>1161</v>
          </cell>
          <cell r="S165">
            <v>1161</v>
          </cell>
          <cell r="U165">
            <v>528</v>
          </cell>
          <cell r="X165">
            <v>623</v>
          </cell>
          <cell r="Y165">
            <v>208.5</v>
          </cell>
          <cell r="Z165">
            <v>101.02</v>
          </cell>
          <cell r="AA165">
            <v>71.55</v>
          </cell>
          <cell r="AC165">
            <v>5600</v>
          </cell>
          <cell r="AH165">
            <v>230</v>
          </cell>
          <cell r="AJ165">
            <v>47.6</v>
          </cell>
          <cell r="AK165">
            <v>1086</v>
          </cell>
          <cell r="AM165">
            <v>2</v>
          </cell>
          <cell r="AN165">
            <v>28</v>
          </cell>
          <cell r="AO165">
            <v>776.46299999999997</v>
          </cell>
          <cell r="AP165" t="str">
            <v>M.Szwyd</v>
          </cell>
        </row>
        <row r="166">
          <cell r="A166">
            <v>39973</v>
          </cell>
          <cell r="B166">
            <v>828.7</v>
          </cell>
          <cell r="C166">
            <v>0</v>
          </cell>
          <cell r="D166">
            <v>828.7</v>
          </cell>
          <cell r="F166">
            <v>683.1</v>
          </cell>
          <cell r="G166">
            <v>0</v>
          </cell>
          <cell r="H166">
            <v>2.2999999999999998</v>
          </cell>
          <cell r="I166">
            <v>0</v>
          </cell>
          <cell r="J166">
            <v>0</v>
          </cell>
          <cell r="K166">
            <v>59.8</v>
          </cell>
          <cell r="L166">
            <v>745.19999999999993</v>
          </cell>
          <cell r="P166">
            <v>0</v>
          </cell>
          <cell r="Q166">
            <v>15249</v>
          </cell>
          <cell r="R166">
            <v>1159</v>
          </cell>
          <cell r="S166">
            <v>1159</v>
          </cell>
          <cell r="U166">
            <v>552</v>
          </cell>
          <cell r="W166">
            <v>25.86</v>
          </cell>
          <cell r="X166">
            <v>406</v>
          </cell>
          <cell r="Y166">
            <v>488.5</v>
          </cell>
          <cell r="Z166">
            <v>50.12</v>
          </cell>
          <cell r="AC166">
            <v>5200</v>
          </cell>
          <cell r="AH166">
            <v>139</v>
          </cell>
          <cell r="AJ166">
            <v>25.84</v>
          </cell>
          <cell r="AK166">
            <v>1199</v>
          </cell>
          <cell r="AM166">
            <v>3</v>
          </cell>
          <cell r="AN166">
            <v>25</v>
          </cell>
          <cell r="AO166">
            <v>776.39599999999996</v>
          </cell>
          <cell r="AP166" t="str">
            <v>M.Szwyd</v>
          </cell>
        </row>
        <row r="167">
          <cell r="A167">
            <v>39974</v>
          </cell>
          <cell r="B167">
            <v>825.1</v>
          </cell>
          <cell r="C167">
            <v>0</v>
          </cell>
          <cell r="D167">
            <v>825.1</v>
          </cell>
          <cell r="F167">
            <v>685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57.4</v>
          </cell>
          <cell r="L167">
            <v>742.4</v>
          </cell>
          <cell r="M167">
            <v>0.4</v>
          </cell>
          <cell r="P167">
            <v>0.4</v>
          </cell>
          <cell r="Q167">
            <v>15319</v>
          </cell>
          <cell r="R167">
            <v>1155</v>
          </cell>
          <cell r="S167">
            <v>1155</v>
          </cell>
          <cell r="U167">
            <v>684</v>
          </cell>
          <cell r="Y167">
            <v>594</v>
          </cell>
          <cell r="Z167">
            <v>154.08000000000001</v>
          </cell>
          <cell r="AC167">
            <v>4970</v>
          </cell>
          <cell r="AJ167">
            <v>67.92</v>
          </cell>
          <cell r="AK167">
            <v>1131</v>
          </cell>
          <cell r="AM167">
            <v>2</v>
          </cell>
          <cell r="AN167">
            <v>23</v>
          </cell>
          <cell r="AO167">
            <v>776.70699999999999</v>
          </cell>
          <cell r="AP167" t="str">
            <v>M.Karlewski</v>
          </cell>
        </row>
        <row r="168">
          <cell r="A168">
            <v>39975</v>
          </cell>
          <cell r="B168">
            <v>825.2</v>
          </cell>
          <cell r="C168">
            <v>0</v>
          </cell>
          <cell r="D168">
            <v>825.2</v>
          </cell>
          <cell r="F168">
            <v>664.7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58</v>
          </cell>
          <cell r="L168">
            <v>722.7</v>
          </cell>
          <cell r="P168">
            <v>0</v>
          </cell>
          <cell r="Q168">
            <v>15411</v>
          </cell>
          <cell r="R168">
            <v>1121</v>
          </cell>
          <cell r="S168">
            <v>1121</v>
          </cell>
          <cell r="U168">
            <v>398</v>
          </cell>
          <cell r="X168">
            <v>864</v>
          </cell>
          <cell r="Y168">
            <v>328.5</v>
          </cell>
          <cell r="AC168">
            <v>4500</v>
          </cell>
          <cell r="AJ168">
            <v>24.34</v>
          </cell>
          <cell r="AK168">
            <v>1106</v>
          </cell>
          <cell r="AM168">
            <v>2</v>
          </cell>
          <cell r="AN168">
            <v>21</v>
          </cell>
          <cell r="AO168">
            <v>777.83100000000002</v>
          </cell>
          <cell r="AP168" t="str">
            <v>M.Karlewski</v>
          </cell>
        </row>
        <row r="169">
          <cell r="A169">
            <v>39976</v>
          </cell>
          <cell r="B169">
            <v>827.7</v>
          </cell>
          <cell r="C169">
            <v>0</v>
          </cell>
          <cell r="D169">
            <v>827.7</v>
          </cell>
          <cell r="F169">
            <v>650.79999999999995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65</v>
          </cell>
          <cell r="L169">
            <v>715.8</v>
          </cell>
          <cell r="P169">
            <v>0</v>
          </cell>
          <cell r="Q169">
            <v>15510</v>
          </cell>
          <cell r="R169">
            <v>1097</v>
          </cell>
          <cell r="S169">
            <v>1097</v>
          </cell>
          <cell r="U169">
            <v>263</v>
          </cell>
          <cell r="X169">
            <v>216</v>
          </cell>
          <cell r="AC169">
            <v>5120</v>
          </cell>
          <cell r="AJ169">
            <v>50.7</v>
          </cell>
          <cell r="AK169">
            <v>1056</v>
          </cell>
          <cell r="AM169">
            <v>2</v>
          </cell>
          <cell r="AN169">
            <v>19</v>
          </cell>
          <cell r="AO169">
            <v>782.553</v>
          </cell>
          <cell r="AP169" t="str">
            <v>M.Karlewski</v>
          </cell>
        </row>
        <row r="170">
          <cell r="A170">
            <v>39977</v>
          </cell>
          <cell r="B170">
            <v>682.3</v>
          </cell>
          <cell r="C170">
            <v>0</v>
          </cell>
          <cell r="D170">
            <v>682.3</v>
          </cell>
          <cell r="F170">
            <v>564.70000000000005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66.400000000000006</v>
          </cell>
          <cell r="L170">
            <v>631.1</v>
          </cell>
          <cell r="P170">
            <v>0</v>
          </cell>
          <cell r="Q170">
            <v>15551</v>
          </cell>
          <cell r="R170">
            <v>952</v>
          </cell>
          <cell r="S170">
            <v>952</v>
          </cell>
          <cell r="U170">
            <v>72</v>
          </cell>
          <cell r="X170">
            <v>522</v>
          </cell>
          <cell r="AC170">
            <v>5470</v>
          </cell>
          <cell r="AK170">
            <v>1056</v>
          </cell>
          <cell r="AM170">
            <v>2</v>
          </cell>
          <cell r="AN170">
            <v>17</v>
          </cell>
          <cell r="AO170">
            <v>782.548</v>
          </cell>
          <cell r="AP170" t="str">
            <v>M.Karlewski</v>
          </cell>
        </row>
        <row r="171">
          <cell r="A171">
            <v>39978</v>
          </cell>
          <cell r="B171">
            <v>0</v>
          </cell>
          <cell r="C171">
            <v>0</v>
          </cell>
          <cell r="D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62.9</v>
          </cell>
          <cell r="L171">
            <v>62.9</v>
          </cell>
          <cell r="P171">
            <v>0</v>
          </cell>
          <cell r="Q171">
            <v>15482</v>
          </cell>
          <cell r="R171">
            <v>0</v>
          </cell>
          <cell r="S171">
            <v>0</v>
          </cell>
          <cell r="U171">
            <v>48</v>
          </cell>
          <cell r="X171">
            <v>487</v>
          </cell>
          <cell r="AC171">
            <v>4940</v>
          </cell>
          <cell r="AK171">
            <v>1056</v>
          </cell>
          <cell r="AM171">
            <v>0</v>
          </cell>
          <cell r="AN171">
            <v>17</v>
          </cell>
          <cell r="AO171">
            <v>602.08699999999999</v>
          </cell>
          <cell r="AP171" t="str">
            <v>M.Karlewski</v>
          </cell>
        </row>
        <row r="172">
          <cell r="A172">
            <v>39979</v>
          </cell>
          <cell r="B172">
            <v>0</v>
          </cell>
          <cell r="C172">
            <v>0</v>
          </cell>
          <cell r="D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62.2</v>
          </cell>
          <cell r="L172">
            <v>62.2</v>
          </cell>
          <cell r="P172">
            <v>0</v>
          </cell>
          <cell r="Q172">
            <v>15409</v>
          </cell>
          <cell r="R172">
            <v>0</v>
          </cell>
          <cell r="S172">
            <v>0</v>
          </cell>
          <cell r="U172">
            <v>528</v>
          </cell>
          <cell r="Y172">
            <v>187</v>
          </cell>
          <cell r="Z172">
            <v>304.74</v>
          </cell>
          <cell r="AC172">
            <v>3800</v>
          </cell>
          <cell r="AK172">
            <v>1056</v>
          </cell>
          <cell r="AM172">
            <v>0</v>
          </cell>
          <cell r="AN172">
            <v>17</v>
          </cell>
          <cell r="AO172">
            <v>565.88499999999999</v>
          </cell>
          <cell r="AP172" t="str">
            <v>M.Karlewski</v>
          </cell>
        </row>
        <row r="173">
          <cell r="A173">
            <v>39980</v>
          </cell>
          <cell r="B173">
            <v>328.7</v>
          </cell>
          <cell r="C173">
            <v>0</v>
          </cell>
          <cell r="D173">
            <v>328.7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43.900000000000006</v>
          </cell>
          <cell r="L173">
            <v>43.900000000000006</v>
          </cell>
          <cell r="P173">
            <v>0</v>
          </cell>
          <cell r="Q173">
            <v>15679</v>
          </cell>
          <cell r="R173">
            <v>0</v>
          </cell>
          <cell r="S173">
            <v>0</v>
          </cell>
          <cell r="U173">
            <v>648</v>
          </cell>
          <cell r="Y173">
            <v>674</v>
          </cell>
          <cell r="Z173">
            <v>218.12</v>
          </cell>
          <cell r="AC173">
            <v>2260</v>
          </cell>
          <cell r="AJ173">
            <v>120.28</v>
          </cell>
          <cell r="AK173">
            <v>935</v>
          </cell>
          <cell r="AM173">
            <v>0</v>
          </cell>
          <cell r="AN173">
            <v>17</v>
          </cell>
          <cell r="AO173">
            <v>591.59500000000003</v>
          </cell>
          <cell r="AP173" t="str">
            <v>P.Witkowski</v>
          </cell>
        </row>
        <row r="174">
          <cell r="A174">
            <v>39981</v>
          </cell>
          <cell r="B174">
            <v>803.6</v>
          </cell>
          <cell r="C174">
            <v>0</v>
          </cell>
          <cell r="D174">
            <v>803.6</v>
          </cell>
          <cell r="F174">
            <v>455.7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</v>
          </cell>
          <cell r="L174">
            <v>490.7</v>
          </cell>
          <cell r="P174">
            <v>0</v>
          </cell>
          <cell r="Q174">
            <v>15990</v>
          </cell>
          <cell r="R174">
            <v>751</v>
          </cell>
          <cell r="S174">
            <v>751</v>
          </cell>
          <cell r="U174">
            <v>611</v>
          </cell>
          <cell r="Y174">
            <v>633.5</v>
          </cell>
          <cell r="Z174">
            <v>25.66</v>
          </cell>
          <cell r="AC174">
            <v>2200</v>
          </cell>
          <cell r="AJ174">
            <v>59.4</v>
          </cell>
          <cell r="AK174">
            <v>886</v>
          </cell>
          <cell r="AM174">
            <v>0</v>
          </cell>
          <cell r="AN174">
            <v>17</v>
          </cell>
          <cell r="AO174">
            <v>745.49400000000003</v>
          </cell>
          <cell r="AP174" t="str">
            <v>P.Witkowski</v>
          </cell>
        </row>
        <row r="175">
          <cell r="A175">
            <v>39982</v>
          </cell>
          <cell r="B175">
            <v>816</v>
          </cell>
          <cell r="C175">
            <v>0</v>
          </cell>
          <cell r="D175">
            <v>816</v>
          </cell>
          <cell r="F175">
            <v>661.6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42.2</v>
          </cell>
          <cell r="L175">
            <v>703.80000000000007</v>
          </cell>
          <cell r="M175">
            <v>1.42</v>
          </cell>
          <cell r="P175">
            <v>1.42</v>
          </cell>
          <cell r="Q175">
            <v>16088</v>
          </cell>
          <cell r="R175">
            <v>1116</v>
          </cell>
          <cell r="S175">
            <v>1116</v>
          </cell>
          <cell r="U175">
            <v>482.5</v>
          </cell>
          <cell r="Y175">
            <v>636</v>
          </cell>
          <cell r="Z175">
            <v>87.5</v>
          </cell>
          <cell r="AC175">
            <v>2100</v>
          </cell>
          <cell r="AE175">
            <v>0</v>
          </cell>
          <cell r="AJ175">
            <v>72.64</v>
          </cell>
          <cell r="AK175">
            <v>812</v>
          </cell>
          <cell r="AM175">
            <v>0</v>
          </cell>
          <cell r="AN175">
            <v>36</v>
          </cell>
          <cell r="AO175">
            <v>770.18299999999999</v>
          </cell>
          <cell r="AP175" t="str">
            <v>M.Szwyd</v>
          </cell>
        </row>
        <row r="176">
          <cell r="A176">
            <v>39983</v>
          </cell>
          <cell r="B176">
            <v>813.6</v>
          </cell>
          <cell r="C176">
            <v>0</v>
          </cell>
          <cell r="D176">
            <v>813.6</v>
          </cell>
          <cell r="F176">
            <v>686.8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30</v>
          </cell>
          <cell r="L176">
            <v>716.8</v>
          </cell>
          <cell r="P176">
            <v>0</v>
          </cell>
          <cell r="Q176">
            <v>16175</v>
          </cell>
          <cell r="R176">
            <v>1158</v>
          </cell>
          <cell r="S176">
            <v>1158</v>
          </cell>
          <cell r="U176">
            <v>312</v>
          </cell>
          <cell r="X176">
            <v>298</v>
          </cell>
          <cell r="Y176">
            <v>592.5</v>
          </cell>
          <cell r="Z176">
            <v>51.7</v>
          </cell>
          <cell r="AA176">
            <v>795.6</v>
          </cell>
          <cell r="AC176">
            <v>1200</v>
          </cell>
          <cell r="AE176">
            <v>0</v>
          </cell>
          <cell r="AJ176">
            <v>50</v>
          </cell>
          <cell r="AK176">
            <v>762</v>
          </cell>
          <cell r="AM176">
            <v>1</v>
          </cell>
          <cell r="AN176">
            <v>35</v>
          </cell>
          <cell r="AO176">
            <v>771.32100000000003</v>
          </cell>
          <cell r="AP176" t="str">
            <v>M.Trzaskalski</v>
          </cell>
        </row>
        <row r="177">
          <cell r="A177">
            <v>39984</v>
          </cell>
          <cell r="B177">
            <v>812.1</v>
          </cell>
          <cell r="C177">
            <v>0</v>
          </cell>
          <cell r="D177">
            <v>812.1</v>
          </cell>
          <cell r="F177">
            <v>686.7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17.5</v>
          </cell>
          <cell r="L177">
            <v>704.2</v>
          </cell>
          <cell r="P177">
            <v>0</v>
          </cell>
          <cell r="Q177">
            <v>16282</v>
          </cell>
          <cell r="R177">
            <v>1158</v>
          </cell>
          <cell r="S177">
            <v>758</v>
          </cell>
          <cell r="U177">
            <v>72</v>
          </cell>
          <cell r="X177">
            <v>518</v>
          </cell>
          <cell r="AC177">
            <v>1400</v>
          </cell>
          <cell r="AD177">
            <v>392</v>
          </cell>
          <cell r="AE177">
            <v>392</v>
          </cell>
          <cell r="AJ177">
            <v>0</v>
          </cell>
          <cell r="AK177">
            <v>762</v>
          </cell>
          <cell r="AM177">
            <v>1</v>
          </cell>
          <cell r="AN177">
            <v>34</v>
          </cell>
          <cell r="AO177">
            <v>773.005</v>
          </cell>
          <cell r="AP177" t="str">
            <v>M.Trzaskalski</v>
          </cell>
        </row>
        <row r="178">
          <cell r="A178">
            <v>39985</v>
          </cell>
          <cell r="B178">
            <v>815.6</v>
          </cell>
          <cell r="C178">
            <v>0</v>
          </cell>
          <cell r="D178">
            <v>815.6</v>
          </cell>
          <cell r="F178">
            <v>686.2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51.6</v>
          </cell>
          <cell r="L178">
            <v>737.80000000000007</v>
          </cell>
          <cell r="P178">
            <v>0</v>
          </cell>
          <cell r="Q178">
            <v>16348</v>
          </cell>
          <cell r="R178">
            <v>1157</v>
          </cell>
          <cell r="S178">
            <v>1157</v>
          </cell>
          <cell r="U178">
            <v>24</v>
          </cell>
          <cell r="X178">
            <v>226</v>
          </cell>
          <cell r="AC178">
            <v>2300</v>
          </cell>
          <cell r="AE178">
            <v>0</v>
          </cell>
          <cell r="AJ178">
            <v>0</v>
          </cell>
          <cell r="AK178">
            <v>762</v>
          </cell>
          <cell r="AM178">
            <v>1</v>
          </cell>
          <cell r="AN178">
            <v>33</v>
          </cell>
          <cell r="AO178">
            <v>772.25199999999995</v>
          </cell>
          <cell r="AP178" t="str">
            <v>M.Trzaskalski</v>
          </cell>
        </row>
        <row r="179">
          <cell r="A179">
            <v>39986</v>
          </cell>
          <cell r="B179">
            <v>816.7</v>
          </cell>
          <cell r="C179">
            <v>0</v>
          </cell>
          <cell r="D179">
            <v>816.7</v>
          </cell>
          <cell r="F179">
            <v>643.6</v>
          </cell>
          <cell r="G179">
            <v>0</v>
          </cell>
          <cell r="H179">
            <v>8.8000000000000007</v>
          </cell>
          <cell r="I179">
            <v>0</v>
          </cell>
          <cell r="J179">
            <v>0</v>
          </cell>
          <cell r="K179">
            <v>43.9</v>
          </cell>
          <cell r="L179">
            <v>696.3</v>
          </cell>
          <cell r="M179">
            <v>0.44</v>
          </cell>
          <cell r="P179">
            <v>0.44</v>
          </cell>
          <cell r="Q179">
            <v>16440</v>
          </cell>
          <cell r="R179">
            <v>1085</v>
          </cell>
          <cell r="S179">
            <v>1085</v>
          </cell>
          <cell r="U179">
            <v>192</v>
          </cell>
          <cell r="Y179">
            <v>243</v>
          </cell>
          <cell r="Z179">
            <v>246.74</v>
          </cell>
          <cell r="AC179">
            <v>2700</v>
          </cell>
          <cell r="AE179">
            <v>0</v>
          </cell>
          <cell r="AJ179">
            <v>74.709999999999994</v>
          </cell>
          <cell r="AK179">
            <v>687</v>
          </cell>
          <cell r="AM179">
            <v>1</v>
          </cell>
          <cell r="AN179">
            <v>32</v>
          </cell>
          <cell r="AO179">
            <v>771.87699999999995</v>
          </cell>
          <cell r="AP179" t="str">
            <v>B.Bronicki</v>
          </cell>
        </row>
        <row r="180">
          <cell r="A180">
            <v>39987</v>
          </cell>
          <cell r="B180">
            <v>814.1</v>
          </cell>
          <cell r="C180">
            <v>0</v>
          </cell>
          <cell r="D180">
            <v>814.1</v>
          </cell>
          <cell r="F180">
            <v>685.5</v>
          </cell>
          <cell r="G180">
            <v>19</v>
          </cell>
          <cell r="H180">
            <v>18.2</v>
          </cell>
          <cell r="I180">
            <v>0</v>
          </cell>
          <cell r="J180">
            <v>0</v>
          </cell>
          <cell r="K180">
            <v>34.700000000000003</v>
          </cell>
          <cell r="L180">
            <v>757.40000000000009</v>
          </cell>
          <cell r="M180">
            <v>6</v>
          </cell>
          <cell r="P180">
            <v>6</v>
          </cell>
          <cell r="Q180">
            <v>16454</v>
          </cell>
          <cell r="R180">
            <v>1156</v>
          </cell>
          <cell r="S180">
            <v>1156</v>
          </cell>
          <cell r="U180">
            <v>300</v>
          </cell>
          <cell r="X180">
            <v>273</v>
          </cell>
          <cell r="Y180">
            <v>102.5</v>
          </cell>
          <cell r="Z180">
            <v>406.88</v>
          </cell>
          <cell r="AA180">
            <v>623.16099999999994</v>
          </cell>
          <cell r="AC180">
            <v>2000</v>
          </cell>
          <cell r="AE180">
            <v>0</v>
          </cell>
          <cell r="AH180">
            <v>225</v>
          </cell>
          <cell r="AJ180">
            <v>98.32</v>
          </cell>
          <cell r="AK180">
            <v>816</v>
          </cell>
          <cell r="AM180">
            <v>1</v>
          </cell>
          <cell r="AN180">
            <v>31</v>
          </cell>
          <cell r="AO180">
            <v>772.62400000000002</v>
          </cell>
          <cell r="AP180" t="str">
            <v>B.Bronicki</v>
          </cell>
        </row>
        <row r="181">
          <cell r="A181">
            <v>39988</v>
          </cell>
          <cell r="B181">
            <v>811</v>
          </cell>
          <cell r="C181">
            <v>0</v>
          </cell>
          <cell r="D181">
            <v>811</v>
          </cell>
          <cell r="F181">
            <v>682.6</v>
          </cell>
          <cell r="G181">
            <v>58</v>
          </cell>
          <cell r="H181">
            <v>19.2</v>
          </cell>
          <cell r="I181">
            <v>0</v>
          </cell>
          <cell r="J181">
            <v>0</v>
          </cell>
          <cell r="K181">
            <v>41</v>
          </cell>
          <cell r="L181">
            <v>800.80000000000007</v>
          </cell>
          <cell r="M181">
            <v>1.28</v>
          </cell>
          <cell r="P181">
            <v>1.28</v>
          </cell>
          <cell r="Q181">
            <v>16447</v>
          </cell>
          <cell r="R181">
            <v>1151</v>
          </cell>
          <cell r="S181">
            <v>1151</v>
          </cell>
          <cell r="U181">
            <v>196</v>
          </cell>
          <cell r="X181">
            <v>165</v>
          </cell>
          <cell r="Y181">
            <v>368</v>
          </cell>
          <cell r="Z181">
            <v>895</v>
          </cell>
          <cell r="AC181">
            <v>1500</v>
          </cell>
          <cell r="AE181">
            <v>0</v>
          </cell>
          <cell r="AJ181">
            <v>123.3</v>
          </cell>
          <cell r="AK181">
            <v>693</v>
          </cell>
          <cell r="AM181">
            <v>1</v>
          </cell>
          <cell r="AN181">
            <v>30</v>
          </cell>
          <cell r="AO181">
            <v>772.53200000000004</v>
          </cell>
          <cell r="AP181" t="str">
            <v>M.Karlewski</v>
          </cell>
        </row>
        <row r="182">
          <cell r="A182">
            <v>39989</v>
          </cell>
          <cell r="B182">
            <v>809.7</v>
          </cell>
          <cell r="C182">
            <v>0</v>
          </cell>
          <cell r="D182">
            <v>809.7</v>
          </cell>
          <cell r="F182">
            <v>662.7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66</v>
          </cell>
          <cell r="L182">
            <v>728.7</v>
          </cell>
          <cell r="M182">
            <v>0</v>
          </cell>
          <cell r="P182">
            <v>0</v>
          </cell>
          <cell r="Q182">
            <v>16510</v>
          </cell>
          <cell r="R182">
            <v>1118</v>
          </cell>
          <cell r="S182">
            <v>1057.2249999999999</v>
          </cell>
          <cell r="W182">
            <v>75.66</v>
          </cell>
          <cell r="X182">
            <v>514</v>
          </cell>
          <cell r="Y182">
            <v>217.5</v>
          </cell>
          <cell r="Z182">
            <v>179</v>
          </cell>
          <cell r="AA182">
            <v>630</v>
          </cell>
          <cell r="AC182">
            <v>1200</v>
          </cell>
          <cell r="AE182">
            <v>0</v>
          </cell>
          <cell r="AH182">
            <v>187</v>
          </cell>
          <cell r="AJ182">
            <v>62.12</v>
          </cell>
          <cell r="AK182">
            <v>819</v>
          </cell>
          <cell r="AM182">
            <v>1</v>
          </cell>
          <cell r="AN182">
            <v>29</v>
          </cell>
          <cell r="AO182">
            <v>772.2</v>
          </cell>
          <cell r="AP182" t="str">
            <v>M.Karlewski</v>
          </cell>
        </row>
        <row r="183">
          <cell r="A183">
            <v>39990</v>
          </cell>
          <cell r="B183">
            <v>810.3</v>
          </cell>
          <cell r="D183">
            <v>810.3</v>
          </cell>
          <cell r="F183">
            <v>678.8</v>
          </cell>
          <cell r="G183">
            <v>4</v>
          </cell>
          <cell r="H183">
            <v>12.9</v>
          </cell>
          <cell r="I183">
            <v>0</v>
          </cell>
          <cell r="J183">
            <v>0</v>
          </cell>
          <cell r="K183">
            <v>44.7</v>
          </cell>
          <cell r="L183">
            <v>740.4</v>
          </cell>
          <cell r="P183">
            <v>0</v>
          </cell>
          <cell r="Q183">
            <v>16548</v>
          </cell>
          <cell r="R183">
            <v>1144</v>
          </cell>
          <cell r="S183">
            <v>1069.575</v>
          </cell>
          <cell r="U183">
            <v>25.48</v>
          </cell>
          <cell r="X183">
            <v>226</v>
          </cell>
          <cell r="Y183">
            <v>192</v>
          </cell>
          <cell r="Z183">
            <v>301.82</v>
          </cell>
          <cell r="AC183">
            <v>1500</v>
          </cell>
          <cell r="AE183">
            <v>0</v>
          </cell>
          <cell r="AH183">
            <v>229</v>
          </cell>
          <cell r="AJ183">
            <v>23.58</v>
          </cell>
          <cell r="AK183">
            <v>1025</v>
          </cell>
          <cell r="AM183">
            <v>1</v>
          </cell>
          <cell r="AN183">
            <v>28</v>
          </cell>
          <cell r="AO183">
            <v>770.57</v>
          </cell>
          <cell r="AP183" t="str">
            <v>M.Szwyd</v>
          </cell>
        </row>
        <row r="184">
          <cell r="A184">
            <v>39991</v>
          </cell>
          <cell r="B184">
            <v>811.5</v>
          </cell>
          <cell r="D184">
            <v>811.5</v>
          </cell>
          <cell r="F184">
            <v>686.9</v>
          </cell>
          <cell r="G184">
            <v>87</v>
          </cell>
          <cell r="H184">
            <v>20.9</v>
          </cell>
          <cell r="I184">
            <v>0</v>
          </cell>
          <cell r="J184">
            <v>0</v>
          </cell>
          <cell r="K184">
            <v>40.700000000000003</v>
          </cell>
          <cell r="L184">
            <v>835.5</v>
          </cell>
          <cell r="P184">
            <v>0</v>
          </cell>
          <cell r="Q184">
            <v>16488</v>
          </cell>
          <cell r="R184">
            <v>1158</v>
          </cell>
          <cell r="S184">
            <v>1143.05</v>
          </cell>
          <cell r="U184">
            <v>50.4</v>
          </cell>
          <cell r="X184">
            <v>664</v>
          </cell>
          <cell r="Y184">
            <v>323</v>
          </cell>
          <cell r="AC184">
            <v>1600</v>
          </cell>
          <cell r="AE184">
            <v>0</v>
          </cell>
          <cell r="AH184">
            <v>46</v>
          </cell>
          <cell r="AJ184">
            <v>0</v>
          </cell>
          <cell r="AK184">
            <v>1071</v>
          </cell>
          <cell r="AM184">
            <v>1</v>
          </cell>
          <cell r="AN184">
            <v>27</v>
          </cell>
          <cell r="AO184">
            <v>771.04600000000005</v>
          </cell>
          <cell r="AP184" t="str">
            <v>M.Szwyd</v>
          </cell>
        </row>
        <row r="185">
          <cell r="A185">
            <v>39992</v>
          </cell>
          <cell r="B185">
            <v>810.9</v>
          </cell>
          <cell r="D185">
            <v>810.9</v>
          </cell>
          <cell r="F185">
            <v>686.5</v>
          </cell>
          <cell r="G185">
            <v>73</v>
          </cell>
          <cell r="H185">
            <v>15.6</v>
          </cell>
          <cell r="I185">
            <v>0</v>
          </cell>
          <cell r="J185">
            <v>57</v>
          </cell>
          <cell r="K185">
            <v>55.7</v>
          </cell>
          <cell r="L185">
            <v>887.80000000000007</v>
          </cell>
          <cell r="P185">
            <v>0</v>
          </cell>
          <cell r="Q185">
            <v>16393</v>
          </cell>
          <cell r="R185">
            <v>1158</v>
          </cell>
          <cell r="S185">
            <v>1158</v>
          </cell>
          <cell r="X185">
            <v>274.39999999999998</v>
          </cell>
          <cell r="AA185">
            <v>2182.6889999999999</v>
          </cell>
          <cell r="AC185">
            <v>2000</v>
          </cell>
          <cell r="AE185">
            <v>0</v>
          </cell>
          <cell r="AJ185">
            <v>0</v>
          </cell>
          <cell r="AK185">
            <v>1071</v>
          </cell>
          <cell r="AM185">
            <v>1</v>
          </cell>
          <cell r="AN185">
            <v>26</v>
          </cell>
          <cell r="AO185">
            <v>771.46600000000001</v>
          </cell>
          <cell r="AP185" t="str">
            <v>M.Szwyd</v>
          </cell>
        </row>
        <row r="186">
          <cell r="A186">
            <v>39993</v>
          </cell>
          <cell r="B186">
            <v>815.8</v>
          </cell>
          <cell r="D186">
            <v>815.8</v>
          </cell>
          <cell r="F186">
            <v>682.7</v>
          </cell>
          <cell r="G186">
            <v>0</v>
          </cell>
          <cell r="H186">
            <v>21.7</v>
          </cell>
          <cell r="I186">
            <v>0</v>
          </cell>
          <cell r="J186">
            <v>112</v>
          </cell>
          <cell r="K186">
            <v>53.3</v>
          </cell>
          <cell r="L186">
            <v>869.7</v>
          </cell>
          <cell r="M186">
            <v>-2.31</v>
          </cell>
          <cell r="P186">
            <v>-2.31</v>
          </cell>
          <cell r="Q186">
            <v>16334</v>
          </cell>
          <cell r="R186">
            <v>1152</v>
          </cell>
          <cell r="S186">
            <v>1126.6500000000001</v>
          </cell>
          <cell r="U186">
            <v>432</v>
          </cell>
          <cell r="W186">
            <v>76.14</v>
          </cell>
          <cell r="Z186">
            <v>114.18</v>
          </cell>
          <cell r="AC186">
            <v>2500</v>
          </cell>
          <cell r="AE186">
            <v>0</v>
          </cell>
          <cell r="AH186">
            <v>78</v>
          </cell>
          <cell r="AJ186">
            <v>24.06</v>
          </cell>
          <cell r="AK186">
            <v>1125</v>
          </cell>
          <cell r="AM186">
            <v>3</v>
          </cell>
          <cell r="AN186">
            <v>23</v>
          </cell>
          <cell r="AO186">
            <v>772.48699999999997</v>
          </cell>
          <cell r="AP186" t="str">
            <v>M.Szwyd</v>
          </cell>
        </row>
        <row r="187">
          <cell r="A187">
            <v>39994</v>
          </cell>
          <cell r="B187">
            <v>794.1</v>
          </cell>
          <cell r="D187">
            <v>794.1</v>
          </cell>
          <cell r="F187">
            <v>752.7</v>
          </cell>
          <cell r="G187">
            <v>73.608999999999995</v>
          </cell>
          <cell r="H187">
            <v>19.599</v>
          </cell>
          <cell r="I187">
            <v>0</v>
          </cell>
          <cell r="J187">
            <v>99.009</v>
          </cell>
          <cell r="K187">
            <v>500.916</v>
          </cell>
          <cell r="L187">
            <v>1445.8330000000001</v>
          </cell>
          <cell r="O187">
            <v>41.34</v>
          </cell>
          <cell r="P187">
            <v>41.34</v>
          </cell>
          <cell r="Q187">
            <v>16179</v>
          </cell>
          <cell r="R187">
            <v>1141.0519999999999</v>
          </cell>
          <cell r="S187">
            <v>880.56200000000001</v>
          </cell>
          <cell r="U187">
            <v>177.12</v>
          </cell>
          <cell r="W187">
            <v>202.01999999999998</v>
          </cell>
          <cell r="Y187">
            <v>147</v>
          </cell>
          <cell r="Z187">
            <v>114.02000000000001</v>
          </cell>
          <cell r="AC187">
            <v>3000</v>
          </cell>
          <cell r="AE187">
            <v>0</v>
          </cell>
          <cell r="AH187">
            <v>232.16</v>
          </cell>
          <cell r="AI187">
            <v>663.68</v>
          </cell>
          <cell r="AJ187">
            <v>-552.21</v>
          </cell>
          <cell r="AK187">
            <v>1232</v>
          </cell>
          <cell r="AL187">
            <v>23.74</v>
          </cell>
          <cell r="AM187">
            <v>7</v>
          </cell>
          <cell r="AN187">
            <v>21</v>
          </cell>
          <cell r="AO187">
            <v>763.84500000000003</v>
          </cell>
          <cell r="AP187" t="str">
            <v>M.Trzaskalski</v>
          </cell>
        </row>
        <row r="188">
          <cell r="A188">
            <v>39995</v>
          </cell>
          <cell r="B188">
            <v>806.9</v>
          </cell>
          <cell r="D188">
            <v>806.9</v>
          </cell>
          <cell r="F188">
            <v>684.5</v>
          </cell>
          <cell r="G188">
            <v>69</v>
          </cell>
          <cell r="H188">
            <v>20</v>
          </cell>
          <cell r="I188">
            <v>0</v>
          </cell>
          <cell r="J188">
            <v>113</v>
          </cell>
          <cell r="K188">
            <v>64.599999999999994</v>
          </cell>
          <cell r="L188">
            <v>951.1</v>
          </cell>
          <cell r="P188">
            <v>0</v>
          </cell>
          <cell r="Q188">
            <v>16028</v>
          </cell>
          <cell r="R188">
            <v>1154</v>
          </cell>
          <cell r="S188">
            <v>1123.45</v>
          </cell>
          <cell r="U188">
            <v>408</v>
          </cell>
          <cell r="X188">
            <v>244</v>
          </cell>
          <cell r="Y188">
            <v>23</v>
          </cell>
          <cell r="Z188">
            <v>153.54</v>
          </cell>
          <cell r="AC188">
            <v>3100</v>
          </cell>
          <cell r="AE188">
            <v>0</v>
          </cell>
          <cell r="AH188">
            <v>94</v>
          </cell>
          <cell r="AJ188">
            <v>24.22</v>
          </cell>
          <cell r="AK188">
            <v>1302</v>
          </cell>
          <cell r="AM188">
            <v>2</v>
          </cell>
          <cell r="AN188">
            <v>19</v>
          </cell>
          <cell r="AO188">
            <v>763.78499999999997</v>
          </cell>
          <cell r="AP188" t="str">
            <v>M.Trzaskalski</v>
          </cell>
        </row>
        <row r="189">
          <cell r="A189">
            <v>39996</v>
          </cell>
          <cell r="B189">
            <v>817.8</v>
          </cell>
          <cell r="D189">
            <v>817.8</v>
          </cell>
          <cell r="F189">
            <v>683.8</v>
          </cell>
          <cell r="G189">
            <v>110</v>
          </cell>
          <cell r="H189">
            <v>15.9</v>
          </cell>
          <cell r="I189">
            <v>0</v>
          </cell>
          <cell r="J189">
            <v>8</v>
          </cell>
          <cell r="K189">
            <v>97.4</v>
          </cell>
          <cell r="L189">
            <v>915.09999999999991</v>
          </cell>
          <cell r="P189">
            <v>0</v>
          </cell>
          <cell r="Q189">
            <v>15905</v>
          </cell>
          <cell r="R189">
            <v>1153</v>
          </cell>
          <cell r="S189">
            <v>1153</v>
          </cell>
          <cell r="U189">
            <v>504</v>
          </cell>
          <cell r="X189">
            <v>803</v>
          </cell>
          <cell r="Y189">
            <v>528.5</v>
          </cell>
          <cell r="AC189">
            <v>2400</v>
          </cell>
          <cell r="AE189">
            <v>0</v>
          </cell>
          <cell r="AJ189">
            <v>47.35</v>
          </cell>
          <cell r="AK189">
            <v>1254</v>
          </cell>
          <cell r="AM189">
            <v>2</v>
          </cell>
          <cell r="AN189">
            <v>17</v>
          </cell>
          <cell r="AO189">
            <v>773.54200000000003</v>
          </cell>
          <cell r="AP189" t="str">
            <v>B.Bronicki</v>
          </cell>
        </row>
        <row r="190">
          <cell r="A190">
            <v>39997</v>
          </cell>
          <cell r="B190">
            <v>812.5</v>
          </cell>
          <cell r="D190">
            <v>812.5</v>
          </cell>
          <cell r="F190">
            <v>683.6</v>
          </cell>
          <cell r="G190">
            <v>45</v>
          </cell>
          <cell r="H190">
            <v>20.2</v>
          </cell>
          <cell r="I190">
            <v>0</v>
          </cell>
          <cell r="J190">
            <v>0</v>
          </cell>
          <cell r="K190">
            <v>84.6</v>
          </cell>
          <cell r="L190">
            <v>833.40000000000009</v>
          </cell>
          <cell r="P190">
            <v>0</v>
          </cell>
          <cell r="Q190">
            <v>15873</v>
          </cell>
          <cell r="R190">
            <v>1153</v>
          </cell>
          <cell r="S190">
            <v>1123.75</v>
          </cell>
          <cell r="U190">
            <v>514</v>
          </cell>
          <cell r="Y190">
            <v>586</v>
          </cell>
          <cell r="AC190">
            <v>2400</v>
          </cell>
          <cell r="AE190">
            <v>0</v>
          </cell>
          <cell r="AH190">
            <v>90</v>
          </cell>
          <cell r="AJ190">
            <v>74.94</v>
          </cell>
          <cell r="AK190">
            <v>1272</v>
          </cell>
          <cell r="AM190">
            <v>1</v>
          </cell>
          <cell r="AN190">
            <v>16</v>
          </cell>
          <cell r="AO190">
            <v>769.15300000000002</v>
          </cell>
          <cell r="AP190" t="str">
            <v>M.Karlewski</v>
          </cell>
        </row>
        <row r="191">
          <cell r="A191">
            <v>39998</v>
          </cell>
          <cell r="B191">
            <v>816.5</v>
          </cell>
          <cell r="D191">
            <v>816.5</v>
          </cell>
          <cell r="F191">
            <v>643.79999999999995</v>
          </cell>
          <cell r="G191">
            <v>59</v>
          </cell>
          <cell r="H191">
            <v>18.899999999999999</v>
          </cell>
          <cell r="I191">
            <v>0</v>
          </cell>
          <cell r="J191">
            <v>0</v>
          </cell>
          <cell r="K191">
            <v>40.4</v>
          </cell>
          <cell r="L191">
            <v>762.09999999999991</v>
          </cell>
          <cell r="P191">
            <v>0</v>
          </cell>
          <cell r="Q191">
            <v>15842</v>
          </cell>
          <cell r="R191">
            <v>1086</v>
          </cell>
          <cell r="S191">
            <v>1086</v>
          </cell>
          <cell r="U191">
            <v>866</v>
          </cell>
          <cell r="Y191">
            <v>0</v>
          </cell>
          <cell r="AC191">
            <v>2000</v>
          </cell>
          <cell r="AD191">
            <v>638</v>
          </cell>
          <cell r="AE191">
            <v>638</v>
          </cell>
          <cell r="AK191">
            <v>1272</v>
          </cell>
          <cell r="AM191">
            <v>1</v>
          </cell>
          <cell r="AN191">
            <v>15</v>
          </cell>
          <cell r="AO191">
            <v>771.48299999999995</v>
          </cell>
          <cell r="AP191" t="str">
            <v>M.Karlewski</v>
          </cell>
        </row>
        <row r="192">
          <cell r="A192">
            <v>39999</v>
          </cell>
          <cell r="B192">
            <v>818.1</v>
          </cell>
          <cell r="D192">
            <v>818.1</v>
          </cell>
          <cell r="F192">
            <v>621.9</v>
          </cell>
          <cell r="G192">
            <v>67</v>
          </cell>
          <cell r="H192">
            <v>17.899999999999999</v>
          </cell>
          <cell r="I192">
            <v>0</v>
          </cell>
          <cell r="J192">
            <v>0</v>
          </cell>
          <cell r="K192">
            <v>88</v>
          </cell>
          <cell r="L192">
            <v>794.8</v>
          </cell>
          <cell r="P192">
            <v>0</v>
          </cell>
          <cell r="Q192">
            <v>15858</v>
          </cell>
          <cell r="R192">
            <v>1049</v>
          </cell>
          <cell r="S192">
            <v>1034.375</v>
          </cell>
          <cell r="U192">
            <v>96</v>
          </cell>
          <cell r="Y192">
            <v>48</v>
          </cell>
          <cell r="AC192">
            <v>2400</v>
          </cell>
          <cell r="AD192">
            <v>470</v>
          </cell>
          <cell r="AE192">
            <v>470</v>
          </cell>
          <cell r="AH192">
            <v>45</v>
          </cell>
          <cell r="AK192">
            <v>1317</v>
          </cell>
          <cell r="AM192">
            <v>0</v>
          </cell>
          <cell r="AN192">
            <v>15</v>
          </cell>
          <cell r="AO192">
            <v>774.35799999999995</v>
          </cell>
          <cell r="AP192" t="str">
            <v>M.Karlewski</v>
          </cell>
        </row>
        <row r="193">
          <cell r="A193">
            <v>40000</v>
          </cell>
          <cell r="B193">
            <v>811.4</v>
          </cell>
          <cell r="D193">
            <v>811.4</v>
          </cell>
          <cell r="F193">
            <v>655</v>
          </cell>
          <cell r="G193">
            <v>0</v>
          </cell>
          <cell r="H193">
            <v>16.600000000000001</v>
          </cell>
          <cell r="I193">
            <v>0</v>
          </cell>
          <cell r="J193">
            <v>0</v>
          </cell>
          <cell r="K193">
            <v>62</v>
          </cell>
          <cell r="L193">
            <v>733.6</v>
          </cell>
          <cell r="P193">
            <v>0</v>
          </cell>
          <cell r="Q193">
            <v>15920</v>
          </cell>
          <cell r="R193">
            <v>1105</v>
          </cell>
          <cell r="S193">
            <v>922</v>
          </cell>
          <cell r="Y193">
            <v>448.5</v>
          </cell>
          <cell r="AC193">
            <v>2800</v>
          </cell>
          <cell r="AD193">
            <v>183</v>
          </cell>
          <cell r="AE193">
            <v>183</v>
          </cell>
          <cell r="AH193">
            <v>0</v>
          </cell>
          <cell r="AJ193">
            <v>48.5</v>
          </cell>
          <cell r="AK193">
            <v>1269</v>
          </cell>
          <cell r="AM193">
            <v>1</v>
          </cell>
          <cell r="AN193">
            <v>14</v>
          </cell>
          <cell r="AO193">
            <v>767.13900000000001</v>
          </cell>
          <cell r="AP193" t="str">
            <v>P.Witkowski</v>
          </cell>
        </row>
        <row r="194">
          <cell r="A194">
            <v>40001</v>
          </cell>
          <cell r="B194">
            <v>815.2</v>
          </cell>
          <cell r="D194">
            <v>815.2</v>
          </cell>
          <cell r="F194">
            <v>679.8</v>
          </cell>
          <cell r="G194">
            <v>0</v>
          </cell>
          <cell r="H194">
            <v>18.899999999999999</v>
          </cell>
          <cell r="I194">
            <v>0</v>
          </cell>
          <cell r="J194">
            <v>0</v>
          </cell>
          <cell r="K194">
            <v>30.9</v>
          </cell>
          <cell r="L194">
            <v>729.59999999999991</v>
          </cell>
          <cell r="P194">
            <v>0</v>
          </cell>
          <cell r="Q194">
            <v>15999</v>
          </cell>
          <cell r="R194">
            <v>1146</v>
          </cell>
          <cell r="S194">
            <v>1115.7750000000001</v>
          </cell>
          <cell r="U194">
            <v>216</v>
          </cell>
          <cell r="Y194">
            <v>680.5</v>
          </cell>
          <cell r="AC194">
            <v>3000</v>
          </cell>
          <cell r="AE194">
            <v>0</v>
          </cell>
          <cell r="AH194">
            <v>93</v>
          </cell>
          <cell r="AJ194">
            <v>24</v>
          </cell>
          <cell r="AK194">
            <v>1338</v>
          </cell>
          <cell r="AM194">
            <v>1</v>
          </cell>
          <cell r="AN194">
            <v>13</v>
          </cell>
          <cell r="AO194">
            <v>770.95699999999999</v>
          </cell>
          <cell r="AP194" t="str">
            <v>P.Witkowski</v>
          </cell>
        </row>
        <row r="195">
          <cell r="A195">
            <v>40002</v>
          </cell>
          <cell r="B195">
            <v>816.7</v>
          </cell>
          <cell r="D195">
            <v>816.7</v>
          </cell>
          <cell r="F195">
            <v>681</v>
          </cell>
          <cell r="G195">
            <v>0</v>
          </cell>
          <cell r="H195">
            <v>13.5</v>
          </cell>
          <cell r="I195">
            <v>0</v>
          </cell>
          <cell r="J195">
            <v>0</v>
          </cell>
          <cell r="K195">
            <v>25.3</v>
          </cell>
          <cell r="L195">
            <v>719.8</v>
          </cell>
          <cell r="M195">
            <v>5.76</v>
          </cell>
          <cell r="P195">
            <v>5.76</v>
          </cell>
          <cell r="Q195">
            <v>16102</v>
          </cell>
          <cell r="R195">
            <v>1148</v>
          </cell>
          <cell r="S195">
            <v>1148</v>
          </cell>
          <cell r="X195">
            <v>165</v>
          </cell>
          <cell r="Y195">
            <v>699.5</v>
          </cell>
          <cell r="AC195">
            <v>3400</v>
          </cell>
          <cell r="AE195">
            <v>0</v>
          </cell>
          <cell r="AJ195">
            <v>97.66</v>
          </cell>
          <cell r="AK195">
            <v>1239</v>
          </cell>
          <cell r="AM195">
            <v>1</v>
          </cell>
          <cell r="AN195">
            <v>12</v>
          </cell>
          <cell r="AO195">
            <v>770.88099999999997</v>
          </cell>
          <cell r="AP195" t="str">
            <v>M.Szwyd</v>
          </cell>
        </row>
        <row r="196">
          <cell r="A196">
            <v>40003</v>
          </cell>
          <cell r="B196">
            <v>817</v>
          </cell>
          <cell r="D196">
            <v>817</v>
          </cell>
          <cell r="F196">
            <v>680.4</v>
          </cell>
          <cell r="G196">
            <v>0</v>
          </cell>
          <cell r="H196">
            <v>14.2</v>
          </cell>
          <cell r="I196">
            <v>0</v>
          </cell>
          <cell r="J196">
            <v>0</v>
          </cell>
          <cell r="K196">
            <v>52</v>
          </cell>
          <cell r="L196">
            <v>746.6</v>
          </cell>
          <cell r="P196">
            <v>0</v>
          </cell>
          <cell r="Q196">
            <v>16164</v>
          </cell>
          <cell r="R196">
            <v>1147</v>
          </cell>
          <cell r="S196">
            <v>1117.0999999999999</v>
          </cell>
          <cell r="X196">
            <v>831</v>
          </cell>
          <cell r="Y196">
            <v>566.70000000000005</v>
          </cell>
          <cell r="AC196">
            <v>3100</v>
          </cell>
          <cell r="AE196">
            <v>0</v>
          </cell>
          <cell r="AH196">
            <v>92</v>
          </cell>
          <cell r="AJ196">
            <v>23.88</v>
          </cell>
          <cell r="AK196">
            <v>1307</v>
          </cell>
          <cell r="AM196">
            <v>2</v>
          </cell>
          <cell r="AN196">
            <v>10</v>
          </cell>
          <cell r="AO196">
            <v>771.24699999999996</v>
          </cell>
          <cell r="AP196" t="str">
            <v>M.Szwyd</v>
          </cell>
        </row>
        <row r="197">
          <cell r="A197">
            <v>40004</v>
          </cell>
          <cell r="B197">
            <v>816.4</v>
          </cell>
          <cell r="D197">
            <v>816.4</v>
          </cell>
          <cell r="F197">
            <v>679.5</v>
          </cell>
          <cell r="G197">
            <v>24</v>
          </cell>
          <cell r="H197">
            <v>11.7</v>
          </cell>
          <cell r="I197">
            <v>0</v>
          </cell>
          <cell r="J197">
            <v>0</v>
          </cell>
          <cell r="K197">
            <v>55.3</v>
          </cell>
          <cell r="L197">
            <v>770.5</v>
          </cell>
          <cell r="M197">
            <v>0.42</v>
          </cell>
          <cell r="P197">
            <v>0.42</v>
          </cell>
          <cell r="Q197">
            <v>16175</v>
          </cell>
          <cell r="R197">
            <v>1148</v>
          </cell>
          <cell r="S197">
            <v>1133.05</v>
          </cell>
          <cell r="Y197">
            <v>174</v>
          </cell>
          <cell r="AC197">
            <v>4100</v>
          </cell>
          <cell r="AE197">
            <v>0</v>
          </cell>
          <cell r="AH197">
            <v>46</v>
          </cell>
          <cell r="AI197">
            <v>24.04</v>
          </cell>
          <cell r="AK197">
            <v>1329</v>
          </cell>
          <cell r="AM197">
            <v>1</v>
          </cell>
          <cell r="AN197">
            <v>9</v>
          </cell>
          <cell r="AO197">
            <v>773.58900000000006</v>
          </cell>
          <cell r="AP197" t="str">
            <v>M.Trzaskalski</v>
          </cell>
        </row>
        <row r="198">
          <cell r="A198">
            <v>40005</v>
          </cell>
          <cell r="B198">
            <v>816.2</v>
          </cell>
          <cell r="D198">
            <v>816.2</v>
          </cell>
          <cell r="F198">
            <v>680.5</v>
          </cell>
          <cell r="G198">
            <v>0</v>
          </cell>
          <cell r="H198">
            <v>16.2</v>
          </cell>
          <cell r="I198">
            <v>0</v>
          </cell>
          <cell r="J198">
            <v>0</v>
          </cell>
          <cell r="K198">
            <v>55.6</v>
          </cell>
          <cell r="L198">
            <v>752.30000000000007</v>
          </cell>
          <cell r="P198">
            <v>0</v>
          </cell>
          <cell r="Q198">
            <v>16232</v>
          </cell>
          <cell r="R198">
            <v>1149</v>
          </cell>
          <cell r="S198">
            <v>1149</v>
          </cell>
          <cell r="AC198">
            <v>5200</v>
          </cell>
          <cell r="AE198">
            <v>0</v>
          </cell>
          <cell r="AK198">
            <v>1329</v>
          </cell>
          <cell r="AM198">
            <v>1</v>
          </cell>
          <cell r="AN198">
            <v>8</v>
          </cell>
          <cell r="AO198">
            <v>775.33399999999995</v>
          </cell>
          <cell r="AP198" t="str">
            <v>M.Trzaskalski</v>
          </cell>
        </row>
        <row r="199">
          <cell r="A199">
            <v>40006</v>
          </cell>
          <cell r="B199">
            <v>816.2</v>
          </cell>
          <cell r="D199">
            <v>816.2</v>
          </cell>
          <cell r="F199">
            <v>-193.8</v>
          </cell>
          <cell r="G199">
            <v>0</v>
          </cell>
          <cell r="H199">
            <v>17.8</v>
          </cell>
          <cell r="I199">
            <v>0</v>
          </cell>
          <cell r="J199">
            <v>0</v>
          </cell>
          <cell r="K199">
            <v>50.599999999999994</v>
          </cell>
          <cell r="L199">
            <v>-125.4</v>
          </cell>
          <cell r="P199">
            <v>0</v>
          </cell>
          <cell r="Q199">
            <v>16942</v>
          </cell>
          <cell r="R199">
            <v>-339</v>
          </cell>
          <cell r="S199">
            <v>-1847.325</v>
          </cell>
          <cell r="AC199">
            <v>5300</v>
          </cell>
          <cell r="AE199">
            <v>0</v>
          </cell>
          <cell r="AK199">
            <v>1329</v>
          </cell>
          <cell r="AM199">
            <v>0</v>
          </cell>
          <cell r="AN199">
            <v>8</v>
          </cell>
          <cell r="AO199">
            <v>774.46600000000001</v>
          </cell>
          <cell r="AP199" t="str">
            <v>M.Trzaskalski</v>
          </cell>
        </row>
        <row r="200">
          <cell r="A200">
            <v>40007</v>
          </cell>
          <cell r="B200">
            <v>816.6</v>
          </cell>
          <cell r="D200">
            <v>816.6</v>
          </cell>
          <cell r="F200">
            <v>0</v>
          </cell>
          <cell r="G200">
            <v>50</v>
          </cell>
          <cell r="H200">
            <v>12.7</v>
          </cell>
          <cell r="I200">
            <v>0</v>
          </cell>
          <cell r="J200">
            <v>0</v>
          </cell>
          <cell r="K200">
            <v>39.1</v>
          </cell>
          <cell r="L200">
            <v>101.80000000000001</v>
          </cell>
          <cell r="P200">
            <v>0</v>
          </cell>
          <cell r="Q200">
            <v>17654</v>
          </cell>
          <cell r="R200">
            <v>0</v>
          </cell>
          <cell r="S200">
            <v>0</v>
          </cell>
          <cell r="U200">
            <v>2.02</v>
          </cell>
          <cell r="AC200">
            <v>5300</v>
          </cell>
          <cell r="AE200">
            <v>0</v>
          </cell>
          <cell r="AJ200">
            <v>73.02</v>
          </cell>
          <cell r="AK200">
            <v>1255</v>
          </cell>
          <cell r="AM200">
            <v>0</v>
          </cell>
          <cell r="AN200">
            <v>8</v>
          </cell>
          <cell r="AO200">
            <v>773.66099999999994</v>
          </cell>
          <cell r="AP200" t="str">
            <v>M.Trzaskalski</v>
          </cell>
        </row>
        <row r="201">
          <cell r="A201">
            <v>40008</v>
          </cell>
          <cell r="B201">
            <v>158.30000000000001</v>
          </cell>
          <cell r="D201">
            <v>158.30000000000001</v>
          </cell>
          <cell r="F201">
            <v>0</v>
          </cell>
          <cell r="G201">
            <v>107</v>
          </cell>
          <cell r="H201">
            <v>15.7</v>
          </cell>
          <cell r="I201">
            <v>0</v>
          </cell>
          <cell r="J201">
            <v>0</v>
          </cell>
          <cell r="K201">
            <v>41.9</v>
          </cell>
          <cell r="L201">
            <v>164.6</v>
          </cell>
          <cell r="P201">
            <v>0</v>
          </cell>
          <cell r="Q201">
            <v>17669</v>
          </cell>
          <cell r="R201">
            <v>0</v>
          </cell>
          <cell r="S201">
            <v>0</v>
          </cell>
          <cell r="X201">
            <v>642</v>
          </cell>
          <cell r="AC201">
            <v>4600</v>
          </cell>
          <cell r="AE201">
            <v>0</v>
          </cell>
          <cell r="AJ201">
            <v>24.32</v>
          </cell>
          <cell r="AK201">
            <v>1230</v>
          </cell>
          <cell r="AM201">
            <v>0</v>
          </cell>
          <cell r="AN201">
            <v>8</v>
          </cell>
          <cell r="AO201">
            <v>448.90800000000002</v>
          </cell>
          <cell r="AP201" t="str">
            <v>M.Karlewski</v>
          </cell>
        </row>
        <row r="202">
          <cell r="A202">
            <v>40009</v>
          </cell>
          <cell r="B202">
            <v>0</v>
          </cell>
          <cell r="C202">
            <v>0</v>
          </cell>
          <cell r="D202">
            <v>0</v>
          </cell>
          <cell r="F202">
            <v>0</v>
          </cell>
          <cell r="G202">
            <v>30</v>
          </cell>
          <cell r="H202">
            <v>15.1</v>
          </cell>
          <cell r="I202">
            <v>0</v>
          </cell>
          <cell r="J202">
            <v>0</v>
          </cell>
          <cell r="K202">
            <v>27</v>
          </cell>
          <cell r="L202">
            <v>72.099999999999994</v>
          </cell>
          <cell r="P202">
            <v>0</v>
          </cell>
          <cell r="Q202">
            <v>17596</v>
          </cell>
          <cell r="R202">
            <v>0</v>
          </cell>
          <cell r="S202">
            <v>0</v>
          </cell>
          <cell r="X202">
            <v>360</v>
          </cell>
          <cell r="AC202">
            <v>4200</v>
          </cell>
          <cell r="AE202">
            <v>0</v>
          </cell>
          <cell r="AJ202">
            <v>48.22</v>
          </cell>
          <cell r="AK202">
            <v>1182</v>
          </cell>
          <cell r="AM202">
            <v>0</v>
          </cell>
          <cell r="AN202">
            <v>8</v>
          </cell>
          <cell r="AO202">
            <v>6.24</v>
          </cell>
          <cell r="AP202" t="str">
            <v>M.Karlewski</v>
          </cell>
        </row>
        <row r="203">
          <cell r="A203">
            <v>40010</v>
          </cell>
          <cell r="B203">
            <v>0</v>
          </cell>
          <cell r="C203">
            <v>0</v>
          </cell>
          <cell r="D203">
            <v>0</v>
          </cell>
          <cell r="F203">
            <v>0</v>
          </cell>
          <cell r="G203">
            <v>0</v>
          </cell>
          <cell r="H203">
            <v>16.399999999999999</v>
          </cell>
          <cell r="I203">
            <v>0</v>
          </cell>
          <cell r="J203">
            <v>0</v>
          </cell>
          <cell r="K203">
            <v>51</v>
          </cell>
          <cell r="L203">
            <v>67.400000000000006</v>
          </cell>
          <cell r="M203">
            <v>1.52</v>
          </cell>
          <cell r="P203">
            <v>1.52</v>
          </cell>
          <cell r="Q203">
            <v>17522</v>
          </cell>
          <cell r="R203">
            <v>0</v>
          </cell>
          <cell r="S203">
            <v>0</v>
          </cell>
          <cell r="AC203">
            <v>4200</v>
          </cell>
          <cell r="AE203">
            <v>0</v>
          </cell>
          <cell r="AJ203">
            <v>49.14</v>
          </cell>
          <cell r="AK203">
            <v>1133</v>
          </cell>
          <cell r="AM203">
            <v>0</v>
          </cell>
          <cell r="AN203">
            <v>8</v>
          </cell>
          <cell r="AP203" t="str">
            <v>M.Szwyd</v>
          </cell>
        </row>
        <row r="204">
          <cell r="A204">
            <v>40011</v>
          </cell>
          <cell r="B204">
            <v>0</v>
          </cell>
          <cell r="C204">
            <v>0</v>
          </cell>
          <cell r="D204">
            <v>0</v>
          </cell>
          <cell r="F204">
            <v>0</v>
          </cell>
          <cell r="G204">
            <v>0</v>
          </cell>
          <cell r="H204">
            <v>14.6</v>
          </cell>
          <cell r="I204">
            <v>0</v>
          </cell>
          <cell r="J204">
            <v>0</v>
          </cell>
          <cell r="K204">
            <v>53.3</v>
          </cell>
          <cell r="L204">
            <v>67.899999999999991</v>
          </cell>
          <cell r="P204">
            <v>0</v>
          </cell>
          <cell r="Q204">
            <v>17452</v>
          </cell>
          <cell r="R204">
            <v>0</v>
          </cell>
          <cell r="S204">
            <v>0</v>
          </cell>
          <cell r="AC204">
            <v>4200</v>
          </cell>
          <cell r="AE204">
            <v>0</v>
          </cell>
          <cell r="AJ204">
            <v>24.32</v>
          </cell>
          <cell r="AK204">
            <v>1109</v>
          </cell>
          <cell r="AM204">
            <v>0</v>
          </cell>
          <cell r="AN204">
            <v>8</v>
          </cell>
          <cell r="AO204">
            <v>0</v>
          </cell>
          <cell r="AP204" t="str">
            <v>M.Szwyd</v>
          </cell>
        </row>
        <row r="205">
          <cell r="A205">
            <v>40012</v>
          </cell>
          <cell r="B205">
            <v>0</v>
          </cell>
          <cell r="C205">
            <v>0</v>
          </cell>
          <cell r="D205">
            <v>0</v>
          </cell>
          <cell r="F205">
            <v>0</v>
          </cell>
          <cell r="G205">
            <v>63</v>
          </cell>
          <cell r="H205">
            <v>17.399999999999999</v>
          </cell>
          <cell r="I205">
            <v>0</v>
          </cell>
          <cell r="J205">
            <v>0</v>
          </cell>
          <cell r="K205">
            <v>69</v>
          </cell>
          <cell r="L205">
            <v>149.4</v>
          </cell>
          <cell r="P205">
            <v>0</v>
          </cell>
          <cell r="Q205">
            <v>17279</v>
          </cell>
          <cell r="R205">
            <v>0</v>
          </cell>
          <cell r="S205">
            <v>0</v>
          </cell>
          <cell r="X205">
            <v>620</v>
          </cell>
          <cell r="AC205">
            <v>3600</v>
          </cell>
          <cell r="AE205">
            <v>0</v>
          </cell>
          <cell r="AK205">
            <v>1109</v>
          </cell>
          <cell r="AM205">
            <v>0</v>
          </cell>
          <cell r="AN205">
            <v>8</v>
          </cell>
          <cell r="AO205">
            <v>0</v>
          </cell>
          <cell r="AP205" t="str">
            <v>M.Szwyd</v>
          </cell>
        </row>
        <row r="206">
          <cell r="A206">
            <v>40013</v>
          </cell>
          <cell r="B206">
            <v>0</v>
          </cell>
          <cell r="C206">
            <v>0</v>
          </cell>
          <cell r="D206">
            <v>0</v>
          </cell>
          <cell r="F206">
            <v>0</v>
          </cell>
          <cell r="G206">
            <v>52</v>
          </cell>
          <cell r="H206">
            <v>14.8</v>
          </cell>
          <cell r="I206">
            <v>0</v>
          </cell>
          <cell r="J206">
            <v>0</v>
          </cell>
          <cell r="K206">
            <v>85.6</v>
          </cell>
          <cell r="L206">
            <v>152.39999999999998</v>
          </cell>
          <cell r="P206">
            <v>0</v>
          </cell>
          <cell r="Q206">
            <v>17107</v>
          </cell>
          <cell r="R206">
            <v>0</v>
          </cell>
          <cell r="S206">
            <v>0</v>
          </cell>
          <cell r="X206">
            <v>379</v>
          </cell>
          <cell r="AC206">
            <v>3200</v>
          </cell>
          <cell r="AE206">
            <v>0</v>
          </cell>
          <cell r="AK206">
            <v>1109</v>
          </cell>
          <cell r="AM206">
            <v>0</v>
          </cell>
          <cell r="AN206">
            <v>8</v>
          </cell>
          <cell r="AO206">
            <v>0</v>
          </cell>
          <cell r="AP206" t="str">
            <v>M.Szwyd</v>
          </cell>
        </row>
        <row r="207">
          <cell r="A207">
            <v>40014</v>
          </cell>
          <cell r="B207">
            <v>0</v>
          </cell>
          <cell r="C207">
            <v>0</v>
          </cell>
          <cell r="D207">
            <v>0</v>
          </cell>
          <cell r="F207">
            <v>0</v>
          </cell>
          <cell r="G207">
            <v>0</v>
          </cell>
          <cell r="H207">
            <v>13.6</v>
          </cell>
          <cell r="I207">
            <v>0</v>
          </cell>
          <cell r="J207">
            <v>0</v>
          </cell>
          <cell r="K207">
            <v>71</v>
          </cell>
          <cell r="L207">
            <v>84.6</v>
          </cell>
          <cell r="M207">
            <v>6.18</v>
          </cell>
          <cell r="P207">
            <v>6.18</v>
          </cell>
          <cell r="Q207">
            <v>16996</v>
          </cell>
          <cell r="R207">
            <v>0</v>
          </cell>
          <cell r="S207">
            <v>0</v>
          </cell>
          <cell r="AC207">
            <v>3200</v>
          </cell>
          <cell r="AE207">
            <v>0</v>
          </cell>
          <cell r="AJ207">
            <v>48.96</v>
          </cell>
          <cell r="AK207">
            <v>1059</v>
          </cell>
          <cell r="AM207">
            <v>0</v>
          </cell>
          <cell r="AN207">
            <v>8</v>
          </cell>
          <cell r="AO207">
            <v>0</v>
          </cell>
          <cell r="AP207" t="str">
            <v>M.Trzaskalski</v>
          </cell>
        </row>
        <row r="208">
          <cell r="A208">
            <v>40015</v>
          </cell>
          <cell r="B208">
            <v>0</v>
          </cell>
          <cell r="C208">
            <v>0</v>
          </cell>
          <cell r="D208">
            <v>0</v>
          </cell>
          <cell r="F208">
            <v>0</v>
          </cell>
          <cell r="G208">
            <v>0</v>
          </cell>
          <cell r="H208">
            <v>11.7</v>
          </cell>
          <cell r="I208">
            <v>0</v>
          </cell>
          <cell r="J208">
            <v>0</v>
          </cell>
          <cell r="K208">
            <v>92.5</v>
          </cell>
          <cell r="L208">
            <v>104.2</v>
          </cell>
          <cell r="P208">
            <v>0</v>
          </cell>
          <cell r="Q208">
            <v>16892</v>
          </cell>
          <cell r="R208">
            <v>0</v>
          </cell>
          <cell r="S208">
            <v>0</v>
          </cell>
          <cell r="Z208">
            <v>25.64</v>
          </cell>
          <cell r="AC208">
            <v>3200</v>
          </cell>
          <cell r="AE208">
            <v>0</v>
          </cell>
          <cell r="AJ208">
            <v>24.04</v>
          </cell>
          <cell r="AK208">
            <v>1035</v>
          </cell>
          <cell r="AM208">
            <v>0</v>
          </cell>
          <cell r="AN208">
            <v>8</v>
          </cell>
          <cell r="AO208">
            <v>0</v>
          </cell>
          <cell r="AP208" t="str">
            <v>M.Trzaskalski</v>
          </cell>
        </row>
        <row r="209">
          <cell r="A209">
            <v>40016</v>
          </cell>
          <cell r="B209">
            <v>0</v>
          </cell>
          <cell r="C209">
            <v>0</v>
          </cell>
          <cell r="D209">
            <v>0</v>
          </cell>
          <cell r="F209">
            <v>0</v>
          </cell>
          <cell r="G209">
            <v>0</v>
          </cell>
          <cell r="H209">
            <v>15.5</v>
          </cell>
          <cell r="I209">
            <v>0</v>
          </cell>
          <cell r="J209">
            <v>0</v>
          </cell>
          <cell r="K209">
            <v>63.5</v>
          </cell>
          <cell r="L209">
            <v>79</v>
          </cell>
          <cell r="P209">
            <v>0</v>
          </cell>
          <cell r="Q209">
            <v>16805.900000000001</v>
          </cell>
          <cell r="R209">
            <v>0</v>
          </cell>
          <cell r="S209">
            <v>0</v>
          </cell>
          <cell r="Z209">
            <v>52.02</v>
          </cell>
          <cell r="AC209">
            <v>3100</v>
          </cell>
          <cell r="AE209">
            <v>0</v>
          </cell>
          <cell r="AJ209">
            <v>73.900000000000006</v>
          </cell>
          <cell r="AK209">
            <v>963</v>
          </cell>
          <cell r="AM209">
            <v>0</v>
          </cell>
          <cell r="AN209">
            <v>8</v>
          </cell>
          <cell r="AO209">
            <v>0</v>
          </cell>
          <cell r="AP209" t="str">
            <v>M.Trzaskalski</v>
          </cell>
        </row>
        <row r="210">
          <cell r="A210">
            <v>40017</v>
          </cell>
          <cell r="B210">
            <v>0</v>
          </cell>
          <cell r="C210">
            <v>0</v>
          </cell>
          <cell r="D210">
            <v>0</v>
          </cell>
          <cell r="F210">
            <v>0</v>
          </cell>
          <cell r="G210">
            <v>0</v>
          </cell>
          <cell r="H210">
            <v>13.6</v>
          </cell>
          <cell r="I210">
            <v>0</v>
          </cell>
          <cell r="J210">
            <v>0</v>
          </cell>
          <cell r="K210">
            <v>64.400000000000006</v>
          </cell>
          <cell r="L210">
            <v>78</v>
          </cell>
          <cell r="P210">
            <v>0</v>
          </cell>
          <cell r="Q210">
            <v>16771</v>
          </cell>
          <cell r="R210">
            <v>0</v>
          </cell>
          <cell r="S210">
            <v>0</v>
          </cell>
          <cell r="X210">
            <v>732</v>
          </cell>
          <cell r="Z210">
            <v>26.4</v>
          </cell>
          <cell r="AC210">
            <v>2400</v>
          </cell>
          <cell r="AE210">
            <v>0</v>
          </cell>
          <cell r="AJ210">
            <v>24.04</v>
          </cell>
          <cell r="AK210">
            <v>939</v>
          </cell>
          <cell r="AM210">
            <v>0</v>
          </cell>
          <cell r="AN210">
            <v>8</v>
          </cell>
          <cell r="AO210">
            <v>0</v>
          </cell>
          <cell r="AP210" t="str">
            <v>M.Trzaskalski</v>
          </cell>
        </row>
        <row r="211">
          <cell r="A211">
            <v>40018</v>
          </cell>
          <cell r="B211">
            <v>0</v>
          </cell>
          <cell r="C211">
            <v>0</v>
          </cell>
          <cell r="D211">
            <v>0</v>
          </cell>
          <cell r="F211">
            <v>0</v>
          </cell>
          <cell r="G211">
            <v>0</v>
          </cell>
          <cell r="H211">
            <v>12.2</v>
          </cell>
          <cell r="I211">
            <v>0</v>
          </cell>
          <cell r="J211">
            <v>0</v>
          </cell>
          <cell r="K211">
            <v>13</v>
          </cell>
          <cell r="L211">
            <v>25.2</v>
          </cell>
          <cell r="M211">
            <v>5.05</v>
          </cell>
          <cell r="P211">
            <v>5.05</v>
          </cell>
          <cell r="Q211">
            <v>16730</v>
          </cell>
          <cell r="S211">
            <v>0</v>
          </cell>
          <cell r="X211">
            <v>270</v>
          </cell>
          <cell r="Z211">
            <v>50</v>
          </cell>
          <cell r="AC211">
            <v>2100</v>
          </cell>
          <cell r="AE211">
            <v>0</v>
          </cell>
          <cell r="AK211">
            <v>939</v>
          </cell>
          <cell r="AN211">
            <v>8</v>
          </cell>
          <cell r="AO211">
            <v>0</v>
          </cell>
          <cell r="AP211" t="str">
            <v>M.Karlewski</v>
          </cell>
        </row>
        <row r="212">
          <cell r="A212">
            <v>40019</v>
          </cell>
          <cell r="B212">
            <v>0</v>
          </cell>
          <cell r="C212">
            <v>0</v>
          </cell>
          <cell r="D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14.7</v>
          </cell>
          <cell r="L212">
            <v>14.7</v>
          </cell>
          <cell r="P212">
            <v>0</v>
          </cell>
          <cell r="Q212">
            <v>16701</v>
          </cell>
          <cell r="S212">
            <v>0</v>
          </cell>
          <cell r="AC212">
            <v>2100</v>
          </cell>
          <cell r="AE212">
            <v>0</v>
          </cell>
          <cell r="AK212">
            <v>939</v>
          </cell>
          <cell r="AN212">
            <v>8</v>
          </cell>
          <cell r="AO212">
            <v>0</v>
          </cell>
          <cell r="AP212" t="str">
            <v>M.Karlewski</v>
          </cell>
        </row>
        <row r="213">
          <cell r="A213">
            <v>40020</v>
          </cell>
          <cell r="B213">
            <v>0</v>
          </cell>
          <cell r="C213">
            <v>0</v>
          </cell>
          <cell r="D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9.1999999999999993</v>
          </cell>
          <cell r="L213">
            <v>9.1999999999999993</v>
          </cell>
          <cell r="P213">
            <v>0</v>
          </cell>
          <cell r="Q213">
            <v>16670</v>
          </cell>
          <cell r="S213">
            <v>0</v>
          </cell>
          <cell r="AC213">
            <v>2100</v>
          </cell>
          <cell r="AE213">
            <v>0</v>
          </cell>
          <cell r="AK213">
            <v>939</v>
          </cell>
          <cell r="AN213">
            <v>8</v>
          </cell>
          <cell r="AO213">
            <v>0</v>
          </cell>
          <cell r="AP213" t="str">
            <v>M.Karlewski</v>
          </cell>
        </row>
        <row r="214">
          <cell r="A214">
            <v>40021</v>
          </cell>
          <cell r="B214">
            <v>0</v>
          </cell>
          <cell r="C214">
            <v>0</v>
          </cell>
          <cell r="D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9</v>
          </cell>
          <cell r="L214">
            <v>9</v>
          </cell>
          <cell r="P214">
            <v>0</v>
          </cell>
          <cell r="Q214">
            <v>16673</v>
          </cell>
          <cell r="S214">
            <v>0</v>
          </cell>
          <cell r="Z214">
            <v>51.08</v>
          </cell>
          <cell r="AC214">
            <v>2000</v>
          </cell>
          <cell r="AE214">
            <v>0</v>
          </cell>
          <cell r="AJ214">
            <v>74.62</v>
          </cell>
          <cell r="AK214">
            <v>863</v>
          </cell>
          <cell r="AN214">
            <v>8</v>
          </cell>
          <cell r="AO214">
            <v>0</v>
          </cell>
          <cell r="AP214" t="str">
            <v>M.Karlewski</v>
          </cell>
        </row>
        <row r="215">
          <cell r="A215">
            <v>40022</v>
          </cell>
          <cell r="B215">
            <v>0</v>
          </cell>
          <cell r="C215">
            <v>0</v>
          </cell>
          <cell r="D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10.1</v>
          </cell>
          <cell r="L215">
            <v>10.1</v>
          </cell>
          <cell r="M215">
            <v>5.94</v>
          </cell>
          <cell r="P215">
            <v>5.94</v>
          </cell>
          <cell r="Q215">
            <v>16652</v>
          </cell>
          <cell r="S215">
            <v>0</v>
          </cell>
          <cell r="Z215">
            <v>77.680000000000007</v>
          </cell>
          <cell r="AC215">
            <v>1800</v>
          </cell>
          <cell r="AE215">
            <v>0</v>
          </cell>
          <cell r="AJ215">
            <v>24</v>
          </cell>
          <cell r="AK215">
            <v>840</v>
          </cell>
          <cell r="AN215">
            <v>8</v>
          </cell>
          <cell r="AO215">
            <v>0</v>
          </cell>
          <cell r="AP215" t="str">
            <v>M.Trzaskalski</v>
          </cell>
        </row>
        <row r="216">
          <cell r="A216">
            <v>40023</v>
          </cell>
          <cell r="B216">
            <v>0</v>
          </cell>
          <cell r="C216">
            <v>0</v>
          </cell>
          <cell r="D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2.8</v>
          </cell>
          <cell r="L216">
            <v>2.8</v>
          </cell>
          <cell r="P216">
            <v>0</v>
          </cell>
          <cell r="Q216">
            <v>16642</v>
          </cell>
          <cell r="S216">
            <v>0</v>
          </cell>
          <cell r="Z216">
            <v>104.32</v>
          </cell>
          <cell r="AC216">
            <v>1200</v>
          </cell>
          <cell r="AE216">
            <v>0</v>
          </cell>
          <cell r="AJ216">
            <v>48.14</v>
          </cell>
          <cell r="AK216">
            <v>791</v>
          </cell>
          <cell r="AN216">
            <v>8</v>
          </cell>
          <cell r="AO216">
            <v>0</v>
          </cell>
          <cell r="AP216" t="str">
            <v>R.Utrata</v>
          </cell>
        </row>
        <row r="217">
          <cell r="A217">
            <v>40024</v>
          </cell>
          <cell r="B217">
            <v>0</v>
          </cell>
          <cell r="C217">
            <v>0</v>
          </cell>
          <cell r="D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60</v>
          </cell>
          <cell r="K217">
            <v>6.7</v>
          </cell>
          <cell r="L217">
            <v>66.7</v>
          </cell>
          <cell r="M217">
            <v>0.66</v>
          </cell>
          <cell r="P217">
            <v>0.66</v>
          </cell>
          <cell r="Q217">
            <v>16560</v>
          </cell>
          <cell r="S217">
            <v>0</v>
          </cell>
          <cell r="X217">
            <v>595</v>
          </cell>
          <cell r="Z217">
            <v>78.86</v>
          </cell>
          <cell r="AC217">
            <v>500</v>
          </cell>
          <cell r="AE217">
            <v>0</v>
          </cell>
          <cell r="AK217">
            <v>791</v>
          </cell>
          <cell r="AN217">
            <v>8</v>
          </cell>
          <cell r="AO217">
            <v>0</v>
          </cell>
          <cell r="AP217" t="str">
            <v>M.Trzaskalski</v>
          </cell>
        </row>
        <row r="218">
          <cell r="A218">
            <v>40025</v>
          </cell>
          <cell r="B218">
            <v>0</v>
          </cell>
          <cell r="C218">
            <v>0</v>
          </cell>
          <cell r="D218">
            <v>0</v>
          </cell>
          <cell r="F218">
            <v>0</v>
          </cell>
          <cell r="G218">
            <v>-58.552999999999997</v>
          </cell>
          <cell r="H218">
            <v>-46.633000000000003</v>
          </cell>
          <cell r="I218">
            <v>0</v>
          </cell>
          <cell r="J218">
            <v>104.35899999999999</v>
          </cell>
          <cell r="K218">
            <v>463.96699999999998</v>
          </cell>
          <cell r="L218">
            <v>463.14</v>
          </cell>
          <cell r="P218">
            <v>0</v>
          </cell>
          <cell r="Q218">
            <v>16451</v>
          </cell>
          <cell r="S218">
            <v>0</v>
          </cell>
          <cell r="U218">
            <v>0.18</v>
          </cell>
          <cell r="X218">
            <v>190.5</v>
          </cell>
          <cell r="Y218">
            <v>-16.399999999999999</v>
          </cell>
          <cell r="Z218">
            <v>83.18</v>
          </cell>
          <cell r="AC218">
            <v>300</v>
          </cell>
          <cell r="AD218">
            <v>400</v>
          </cell>
          <cell r="AE218">
            <v>400</v>
          </cell>
          <cell r="AH218">
            <v>1</v>
          </cell>
          <cell r="AI218">
            <v>554.17999999999995</v>
          </cell>
          <cell r="AJ218">
            <v>-504.50999999999993</v>
          </cell>
          <cell r="AK218">
            <v>742</v>
          </cell>
          <cell r="AN218">
            <v>8</v>
          </cell>
          <cell r="AO218">
            <v>0</v>
          </cell>
          <cell r="AP218" t="str">
            <v>M.Trzaskalski</v>
          </cell>
        </row>
        <row r="219">
          <cell r="A219">
            <v>40026</v>
          </cell>
          <cell r="B219">
            <v>0</v>
          </cell>
          <cell r="C219">
            <v>0</v>
          </cell>
          <cell r="D219">
            <v>0</v>
          </cell>
          <cell r="F219">
            <v>0</v>
          </cell>
          <cell r="G219">
            <v>0</v>
          </cell>
          <cell r="H219">
            <v>14.6</v>
          </cell>
          <cell r="I219">
            <v>0</v>
          </cell>
          <cell r="J219">
            <v>100</v>
          </cell>
          <cell r="K219">
            <v>56.3</v>
          </cell>
          <cell r="L219">
            <v>170.89999999999998</v>
          </cell>
          <cell r="P219">
            <v>0</v>
          </cell>
          <cell r="Q219">
            <v>16270</v>
          </cell>
          <cell r="S219">
            <v>0</v>
          </cell>
          <cell r="Y219">
            <v>62</v>
          </cell>
          <cell r="Z219">
            <v>79.44</v>
          </cell>
          <cell r="AC219">
            <v>200</v>
          </cell>
          <cell r="AE219">
            <v>0</v>
          </cell>
          <cell r="AK219">
            <v>742</v>
          </cell>
          <cell r="AN219">
            <v>8</v>
          </cell>
          <cell r="AO219">
            <v>0</v>
          </cell>
          <cell r="AP219" t="str">
            <v>M.Trzaskalski</v>
          </cell>
        </row>
        <row r="220">
          <cell r="A220">
            <v>40027</v>
          </cell>
          <cell r="B220">
            <v>0</v>
          </cell>
          <cell r="C220">
            <v>0</v>
          </cell>
          <cell r="D220">
            <v>0</v>
          </cell>
          <cell r="F220">
            <v>0</v>
          </cell>
          <cell r="G220">
            <v>0</v>
          </cell>
          <cell r="H220">
            <v>12.3</v>
          </cell>
          <cell r="I220">
            <v>0</v>
          </cell>
          <cell r="J220">
            <v>105</v>
          </cell>
          <cell r="K220">
            <v>63.3</v>
          </cell>
          <cell r="L220">
            <v>180.6</v>
          </cell>
          <cell r="P220">
            <v>0</v>
          </cell>
          <cell r="Q220">
            <v>16080</v>
          </cell>
          <cell r="S220">
            <v>0</v>
          </cell>
          <cell r="Y220">
            <v>47</v>
          </cell>
          <cell r="AC220">
            <v>0</v>
          </cell>
          <cell r="AE220">
            <v>0</v>
          </cell>
          <cell r="AK220">
            <v>742</v>
          </cell>
          <cell r="AN220">
            <v>8</v>
          </cell>
          <cell r="AO220">
            <v>0</v>
          </cell>
          <cell r="AP220" t="str">
            <v>M.Trzaskalski</v>
          </cell>
        </row>
        <row r="221">
          <cell r="A221">
            <v>40028</v>
          </cell>
          <cell r="B221">
            <v>0</v>
          </cell>
          <cell r="C221">
            <v>0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105</v>
          </cell>
          <cell r="K221">
            <v>54</v>
          </cell>
          <cell r="L221">
            <v>159</v>
          </cell>
          <cell r="P221">
            <v>0</v>
          </cell>
          <cell r="Q221">
            <v>15901</v>
          </cell>
          <cell r="S221">
            <v>0</v>
          </cell>
          <cell r="AC221">
            <v>0</v>
          </cell>
          <cell r="AE221">
            <v>0</v>
          </cell>
          <cell r="AJ221">
            <v>24.3</v>
          </cell>
          <cell r="AK221">
            <v>718</v>
          </cell>
          <cell r="AN221">
            <v>8</v>
          </cell>
          <cell r="AO221">
            <v>0</v>
          </cell>
          <cell r="AP221" t="str">
            <v>M.Karlewski</v>
          </cell>
        </row>
        <row r="222">
          <cell r="A222">
            <v>40029</v>
          </cell>
          <cell r="B222">
            <v>0</v>
          </cell>
          <cell r="C222">
            <v>0</v>
          </cell>
          <cell r="D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95</v>
          </cell>
          <cell r="K222">
            <v>47</v>
          </cell>
          <cell r="L222">
            <v>142</v>
          </cell>
          <cell r="P222">
            <v>0</v>
          </cell>
          <cell r="Q222">
            <v>15746</v>
          </cell>
          <cell r="S222">
            <v>0</v>
          </cell>
          <cell r="AC222">
            <v>0</v>
          </cell>
          <cell r="AE222">
            <v>0</v>
          </cell>
          <cell r="AJ222">
            <v>76.260000000000005</v>
          </cell>
          <cell r="AK222">
            <v>640</v>
          </cell>
          <cell r="AN222">
            <v>8</v>
          </cell>
          <cell r="AO222">
            <v>0</v>
          </cell>
          <cell r="AP222" t="str">
            <v>M.Karlewski</v>
          </cell>
        </row>
        <row r="223">
          <cell r="A223">
            <v>40030</v>
          </cell>
          <cell r="B223">
            <v>0</v>
          </cell>
          <cell r="C223">
            <v>0</v>
          </cell>
          <cell r="D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96</v>
          </cell>
          <cell r="K223">
            <v>48.5</v>
          </cell>
          <cell r="L223">
            <v>144.5</v>
          </cell>
          <cell r="P223">
            <v>0</v>
          </cell>
          <cell r="Q223">
            <v>15595</v>
          </cell>
          <cell r="S223">
            <v>0</v>
          </cell>
          <cell r="AC223">
            <v>0</v>
          </cell>
          <cell r="AE223">
            <v>0</v>
          </cell>
          <cell r="AJ223">
            <v>25.76</v>
          </cell>
          <cell r="AK223">
            <v>615</v>
          </cell>
          <cell r="AN223">
            <v>8</v>
          </cell>
          <cell r="AO223">
            <v>0</v>
          </cell>
          <cell r="AP223" t="str">
            <v>P.Witkowski</v>
          </cell>
        </row>
        <row r="224">
          <cell r="A224">
            <v>40031</v>
          </cell>
          <cell r="B224">
            <v>0</v>
          </cell>
          <cell r="C224">
            <v>0</v>
          </cell>
          <cell r="D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96</v>
          </cell>
          <cell r="K224">
            <v>0</v>
          </cell>
          <cell r="L224">
            <v>96</v>
          </cell>
          <cell r="P224">
            <v>0</v>
          </cell>
          <cell r="Q224">
            <v>15497</v>
          </cell>
          <cell r="S224">
            <v>0</v>
          </cell>
          <cell r="AC224">
            <v>0</v>
          </cell>
          <cell r="AE224">
            <v>0</v>
          </cell>
          <cell r="AJ224">
            <v>23.98</v>
          </cell>
          <cell r="AK224">
            <v>591</v>
          </cell>
          <cell r="AN224">
            <v>8</v>
          </cell>
          <cell r="AO224">
            <v>0</v>
          </cell>
          <cell r="AP224" t="str">
            <v>P.Witkowski</v>
          </cell>
        </row>
        <row r="225">
          <cell r="A225">
            <v>40032</v>
          </cell>
          <cell r="B225">
            <v>0</v>
          </cell>
          <cell r="C225">
            <v>0</v>
          </cell>
          <cell r="D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98</v>
          </cell>
          <cell r="K225">
            <v>0</v>
          </cell>
          <cell r="L225">
            <v>98</v>
          </cell>
          <cell r="P225">
            <v>0</v>
          </cell>
          <cell r="Q225">
            <v>15395</v>
          </cell>
          <cell r="S225">
            <v>0</v>
          </cell>
          <cell r="AC225">
            <v>0</v>
          </cell>
          <cell r="AE225">
            <v>0</v>
          </cell>
          <cell r="AJ225">
            <v>51.4</v>
          </cell>
          <cell r="AK225">
            <v>541</v>
          </cell>
          <cell r="AN225">
            <v>8</v>
          </cell>
          <cell r="AO225">
            <v>0</v>
          </cell>
          <cell r="AP225" t="str">
            <v>M.Trzaskalski</v>
          </cell>
        </row>
        <row r="226">
          <cell r="A226">
            <v>40033</v>
          </cell>
          <cell r="B226">
            <v>0</v>
          </cell>
          <cell r="C226">
            <v>0</v>
          </cell>
          <cell r="D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98</v>
          </cell>
          <cell r="K226">
            <v>0</v>
          </cell>
          <cell r="L226">
            <v>98</v>
          </cell>
          <cell r="P226">
            <v>0</v>
          </cell>
          <cell r="Q226">
            <v>15300</v>
          </cell>
          <cell r="S226">
            <v>0</v>
          </cell>
          <cell r="AC226">
            <v>0</v>
          </cell>
          <cell r="AE226">
            <v>0</v>
          </cell>
          <cell r="AK226">
            <v>541</v>
          </cell>
          <cell r="AN226">
            <v>8</v>
          </cell>
          <cell r="AO226">
            <v>0</v>
          </cell>
          <cell r="AP226" t="str">
            <v>M.Trzaskalski</v>
          </cell>
        </row>
        <row r="227">
          <cell r="A227">
            <v>40034</v>
          </cell>
          <cell r="B227">
            <v>0</v>
          </cell>
          <cell r="C227">
            <v>0</v>
          </cell>
          <cell r="D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97</v>
          </cell>
          <cell r="K227">
            <v>0</v>
          </cell>
          <cell r="L227">
            <v>97</v>
          </cell>
          <cell r="P227">
            <v>0</v>
          </cell>
          <cell r="Q227">
            <v>15198</v>
          </cell>
          <cell r="S227">
            <v>0</v>
          </cell>
          <cell r="AC227">
            <v>0</v>
          </cell>
          <cell r="AE227">
            <v>0</v>
          </cell>
          <cell r="AK227">
            <v>541</v>
          </cell>
          <cell r="AN227">
            <v>8</v>
          </cell>
          <cell r="AO227">
            <v>0</v>
          </cell>
          <cell r="AP227" t="str">
            <v>M.Trzaskalski</v>
          </cell>
        </row>
        <row r="228">
          <cell r="A228">
            <v>40035</v>
          </cell>
          <cell r="B228">
            <v>0</v>
          </cell>
          <cell r="C228">
            <v>0</v>
          </cell>
          <cell r="D228">
            <v>0</v>
          </cell>
          <cell r="F228">
            <v>0</v>
          </cell>
          <cell r="G228">
            <v>0</v>
          </cell>
          <cell r="H228">
            <v>24.8</v>
          </cell>
          <cell r="I228">
            <v>0</v>
          </cell>
          <cell r="J228">
            <v>94</v>
          </cell>
          <cell r="K228">
            <v>29.4</v>
          </cell>
          <cell r="L228">
            <v>148.19999999999999</v>
          </cell>
          <cell r="P228">
            <v>0</v>
          </cell>
          <cell r="Q228">
            <v>15027</v>
          </cell>
          <cell r="S228">
            <v>0</v>
          </cell>
          <cell r="AC228">
            <v>0</v>
          </cell>
          <cell r="AE228">
            <v>0</v>
          </cell>
          <cell r="AJ228">
            <v>74.3</v>
          </cell>
          <cell r="AK228">
            <v>465</v>
          </cell>
          <cell r="AN228">
            <v>8</v>
          </cell>
          <cell r="AO228">
            <v>0</v>
          </cell>
          <cell r="AP228" t="str">
            <v>M.Trzaskalski</v>
          </cell>
        </row>
        <row r="229">
          <cell r="A229">
            <v>40036</v>
          </cell>
          <cell r="B229">
            <v>0</v>
          </cell>
          <cell r="C229">
            <v>0</v>
          </cell>
          <cell r="D229">
            <v>0</v>
          </cell>
          <cell r="F229">
            <v>0</v>
          </cell>
          <cell r="G229">
            <v>106</v>
          </cell>
          <cell r="H229">
            <v>15.8</v>
          </cell>
          <cell r="I229">
            <v>0</v>
          </cell>
          <cell r="J229">
            <v>98</v>
          </cell>
          <cell r="K229">
            <v>36.299999999999997</v>
          </cell>
          <cell r="L229">
            <v>256.10000000000002</v>
          </cell>
          <cell r="P229">
            <v>0</v>
          </cell>
          <cell r="Q229">
            <v>14773</v>
          </cell>
          <cell r="S229">
            <v>0</v>
          </cell>
          <cell r="AC229">
            <v>0</v>
          </cell>
          <cell r="AE229">
            <v>0</v>
          </cell>
          <cell r="AJ229">
            <v>100.56</v>
          </cell>
          <cell r="AK229">
            <v>364</v>
          </cell>
          <cell r="AN229">
            <v>8</v>
          </cell>
          <cell r="AO229">
            <v>0</v>
          </cell>
          <cell r="AP229" t="str">
            <v>M.Trzaskalski</v>
          </cell>
        </row>
        <row r="230">
          <cell r="A230">
            <v>40037</v>
          </cell>
          <cell r="B230">
            <v>0</v>
          </cell>
          <cell r="C230">
            <v>0</v>
          </cell>
          <cell r="D230">
            <v>0</v>
          </cell>
          <cell r="F230">
            <v>0</v>
          </cell>
          <cell r="G230">
            <v>0</v>
          </cell>
          <cell r="H230">
            <v>7.3</v>
          </cell>
          <cell r="I230">
            <v>0</v>
          </cell>
          <cell r="J230">
            <v>98</v>
          </cell>
          <cell r="K230">
            <v>41.8</v>
          </cell>
          <cell r="L230">
            <v>147.1</v>
          </cell>
          <cell r="P230">
            <v>0</v>
          </cell>
          <cell r="Q230">
            <v>14624</v>
          </cell>
          <cell r="S230">
            <v>0</v>
          </cell>
          <cell r="AC230">
            <v>0</v>
          </cell>
          <cell r="AE230">
            <v>0</v>
          </cell>
          <cell r="AJ230">
            <v>50.42</v>
          </cell>
          <cell r="AK230">
            <v>314</v>
          </cell>
          <cell r="AN230">
            <v>8</v>
          </cell>
          <cell r="AO230">
            <v>0</v>
          </cell>
          <cell r="AP230" t="str">
            <v>M.Trzaskalski</v>
          </cell>
        </row>
        <row r="231">
          <cell r="A231">
            <v>40038</v>
          </cell>
          <cell r="B231">
            <v>0</v>
          </cell>
          <cell r="C231">
            <v>0</v>
          </cell>
          <cell r="D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9</v>
          </cell>
          <cell r="K231">
            <v>42.3</v>
          </cell>
          <cell r="L231">
            <v>51.3</v>
          </cell>
          <cell r="M231">
            <v>0.86</v>
          </cell>
          <cell r="P231">
            <v>0.86</v>
          </cell>
          <cell r="Q231">
            <v>14578</v>
          </cell>
          <cell r="S231">
            <v>0</v>
          </cell>
          <cell r="AC231">
            <v>0</v>
          </cell>
          <cell r="AE231">
            <v>0</v>
          </cell>
          <cell r="AK231">
            <v>314</v>
          </cell>
          <cell r="AN231">
            <v>8</v>
          </cell>
          <cell r="AO231">
            <v>2.5790000000000002</v>
          </cell>
          <cell r="AP231" t="str">
            <v>P.Witkowski</v>
          </cell>
        </row>
        <row r="232">
          <cell r="A232">
            <v>40039</v>
          </cell>
          <cell r="B232">
            <v>0</v>
          </cell>
          <cell r="C232">
            <v>0</v>
          </cell>
          <cell r="D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39.9</v>
          </cell>
          <cell r="L232">
            <v>39.9</v>
          </cell>
          <cell r="P232">
            <v>0</v>
          </cell>
          <cell r="Q232">
            <v>14514</v>
          </cell>
          <cell r="S232">
            <v>0</v>
          </cell>
          <cell r="AC232">
            <v>0</v>
          </cell>
          <cell r="AE232">
            <v>0</v>
          </cell>
          <cell r="AJ232">
            <v>100.88</v>
          </cell>
          <cell r="AK232">
            <v>213</v>
          </cell>
          <cell r="AN232">
            <v>8</v>
          </cell>
          <cell r="AO232">
            <v>6.0250000000000004</v>
          </cell>
          <cell r="AP232" t="str">
            <v>P.Witkowski</v>
          </cell>
        </row>
        <row r="233">
          <cell r="A233">
            <v>40040</v>
          </cell>
          <cell r="B233">
            <v>0</v>
          </cell>
          <cell r="C233">
            <v>0</v>
          </cell>
          <cell r="D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43.8</v>
          </cell>
          <cell r="L233">
            <v>43.8</v>
          </cell>
          <cell r="P233">
            <v>0</v>
          </cell>
          <cell r="Q233">
            <v>14485</v>
          </cell>
          <cell r="S233">
            <v>0</v>
          </cell>
          <cell r="AC233">
            <v>0</v>
          </cell>
          <cell r="AE233">
            <v>0</v>
          </cell>
          <cell r="AJ233">
            <v>24.5</v>
          </cell>
          <cell r="AK233">
            <v>188</v>
          </cell>
          <cell r="AN233">
            <v>8</v>
          </cell>
          <cell r="AO233">
            <v>188.726</v>
          </cell>
          <cell r="AP233" t="str">
            <v>P.Witkowski</v>
          </cell>
        </row>
        <row r="234">
          <cell r="A234">
            <v>40041</v>
          </cell>
          <cell r="B234">
            <v>0</v>
          </cell>
          <cell r="C234">
            <v>356.5</v>
          </cell>
          <cell r="D234">
            <v>356.5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44.2</v>
          </cell>
          <cell r="L234">
            <v>44.2</v>
          </cell>
          <cell r="P234">
            <v>0</v>
          </cell>
          <cell r="Q234">
            <v>14878</v>
          </cell>
          <cell r="S234">
            <v>0</v>
          </cell>
          <cell r="AC234">
            <v>0</v>
          </cell>
          <cell r="AE234">
            <v>0</v>
          </cell>
          <cell r="AK234">
            <v>188</v>
          </cell>
          <cell r="AN234">
            <v>8</v>
          </cell>
          <cell r="AO234">
            <v>457.60300000000001</v>
          </cell>
          <cell r="AP234" t="str">
            <v>P.Witkowski</v>
          </cell>
        </row>
        <row r="235">
          <cell r="A235">
            <v>40042</v>
          </cell>
          <cell r="B235">
            <v>0</v>
          </cell>
          <cell r="C235">
            <v>583.79999999999995</v>
          </cell>
          <cell r="D235">
            <v>583.79999999999995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52.2</v>
          </cell>
          <cell r="L235">
            <v>52.2</v>
          </cell>
          <cell r="P235">
            <v>0</v>
          </cell>
          <cell r="Q235">
            <v>15395</v>
          </cell>
          <cell r="S235">
            <v>0</v>
          </cell>
          <cell r="AC235">
            <v>0</v>
          </cell>
          <cell r="AE235">
            <v>0</v>
          </cell>
          <cell r="AJ235">
            <v>24.02</v>
          </cell>
          <cell r="AK235">
            <v>172</v>
          </cell>
          <cell r="AN235">
            <v>8</v>
          </cell>
          <cell r="AO235">
            <v>590.947</v>
          </cell>
          <cell r="AP235" t="str">
            <v>M.Szwyd</v>
          </cell>
        </row>
        <row r="236">
          <cell r="A236">
            <v>40043</v>
          </cell>
          <cell r="B236">
            <v>0</v>
          </cell>
          <cell r="C236">
            <v>642.29999999999995</v>
          </cell>
          <cell r="D236">
            <v>642.29999999999995</v>
          </cell>
          <cell r="F236">
            <v>459.9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109.4</v>
          </cell>
          <cell r="L236">
            <v>569.29999999999995</v>
          </cell>
          <cell r="P236">
            <v>0</v>
          </cell>
          <cell r="Q236">
            <v>15468</v>
          </cell>
          <cell r="R236">
            <v>529</v>
          </cell>
          <cell r="S236">
            <v>529</v>
          </cell>
          <cell r="AC236">
            <v>489</v>
          </cell>
          <cell r="AE236">
            <v>0</v>
          </cell>
          <cell r="AJ236">
            <v>50.52</v>
          </cell>
          <cell r="AK236">
            <v>120</v>
          </cell>
          <cell r="AN236">
            <v>8</v>
          </cell>
          <cell r="AO236">
            <v>597.26700000000005</v>
          </cell>
          <cell r="AP236" t="str">
            <v>M.Szwyd</v>
          </cell>
        </row>
        <row r="237">
          <cell r="A237">
            <v>40044</v>
          </cell>
          <cell r="B237">
            <v>0</v>
          </cell>
          <cell r="C237">
            <v>783.1</v>
          </cell>
          <cell r="D237">
            <v>783.1</v>
          </cell>
          <cell r="F237">
            <v>677.3</v>
          </cell>
          <cell r="G237">
            <v>0</v>
          </cell>
          <cell r="H237">
            <v>8.6</v>
          </cell>
          <cell r="I237">
            <v>0</v>
          </cell>
          <cell r="J237">
            <v>171</v>
          </cell>
          <cell r="K237">
            <v>50.4</v>
          </cell>
          <cell r="L237">
            <v>907.3</v>
          </cell>
          <cell r="M237">
            <v>0.42</v>
          </cell>
          <cell r="P237">
            <v>0.42</v>
          </cell>
          <cell r="Q237">
            <v>15335</v>
          </cell>
          <cell r="R237">
            <v>1151</v>
          </cell>
          <cell r="S237">
            <v>1151</v>
          </cell>
          <cell r="Y237">
            <v>436.5</v>
          </cell>
          <cell r="AB237">
            <v>75</v>
          </cell>
          <cell r="AC237">
            <v>1200</v>
          </cell>
          <cell r="AE237">
            <v>0</v>
          </cell>
          <cell r="AJ237">
            <v>24.16</v>
          </cell>
          <cell r="AK237">
            <v>95</v>
          </cell>
          <cell r="AN237">
            <v>8</v>
          </cell>
          <cell r="AO237">
            <v>719.85</v>
          </cell>
          <cell r="AP237" t="str">
            <v>M.Trzaskalski</v>
          </cell>
        </row>
        <row r="238">
          <cell r="A238">
            <v>40045</v>
          </cell>
          <cell r="B238">
            <v>0</v>
          </cell>
          <cell r="C238">
            <v>784.1</v>
          </cell>
          <cell r="D238">
            <v>784.1</v>
          </cell>
          <cell r="F238">
            <v>679.8</v>
          </cell>
          <cell r="G238">
            <v>0</v>
          </cell>
          <cell r="H238">
            <v>0.5</v>
          </cell>
          <cell r="I238">
            <v>0</v>
          </cell>
          <cell r="J238">
            <v>203</v>
          </cell>
          <cell r="K238">
            <v>6.4</v>
          </cell>
          <cell r="L238">
            <v>889.69999999999993</v>
          </cell>
          <cell r="P238">
            <v>0</v>
          </cell>
          <cell r="Q238">
            <v>15231</v>
          </cell>
          <cell r="R238">
            <v>1158</v>
          </cell>
          <cell r="S238">
            <v>1158</v>
          </cell>
          <cell r="U238">
            <v>93</v>
          </cell>
          <cell r="Y238">
            <v>496.5</v>
          </cell>
          <cell r="AC238">
            <v>1800</v>
          </cell>
          <cell r="AE238">
            <v>0</v>
          </cell>
          <cell r="AH238">
            <v>317</v>
          </cell>
          <cell r="AJ238">
            <v>49.92</v>
          </cell>
          <cell r="AK238">
            <v>362</v>
          </cell>
          <cell r="AM238">
            <v>1</v>
          </cell>
          <cell r="AN238">
            <v>7</v>
          </cell>
          <cell r="AO238">
            <v>743.46699999999998</v>
          </cell>
          <cell r="AP238" t="str">
            <v>M.Trzaskalski</v>
          </cell>
        </row>
        <row r="239">
          <cell r="A239">
            <v>40046</v>
          </cell>
          <cell r="B239">
            <v>0</v>
          </cell>
          <cell r="C239">
            <v>816.3</v>
          </cell>
          <cell r="D239">
            <v>816.3</v>
          </cell>
          <cell r="F239">
            <v>682.8</v>
          </cell>
          <cell r="G239">
            <v>0</v>
          </cell>
          <cell r="H239">
            <v>1.4</v>
          </cell>
          <cell r="I239">
            <v>0</v>
          </cell>
          <cell r="J239">
            <v>214</v>
          </cell>
          <cell r="K239">
            <v>0</v>
          </cell>
          <cell r="L239">
            <v>898.19999999999993</v>
          </cell>
          <cell r="M239">
            <v>1.38</v>
          </cell>
          <cell r="P239">
            <v>1.38</v>
          </cell>
          <cell r="Q239">
            <v>15142</v>
          </cell>
          <cell r="R239">
            <v>1151</v>
          </cell>
          <cell r="S239">
            <v>1151</v>
          </cell>
          <cell r="U239">
            <v>144</v>
          </cell>
          <cell r="X239">
            <v>610</v>
          </cell>
          <cell r="Y239">
            <v>118</v>
          </cell>
          <cell r="AC239">
            <v>2100</v>
          </cell>
          <cell r="AE239">
            <v>0</v>
          </cell>
          <cell r="AH239">
            <v>184</v>
          </cell>
          <cell r="AK239">
            <v>546</v>
          </cell>
          <cell r="AM239">
            <v>3</v>
          </cell>
          <cell r="AN239">
            <v>4</v>
          </cell>
          <cell r="AO239">
            <v>763.36300000000006</v>
          </cell>
          <cell r="AP239" t="str">
            <v>M.Trzaskalski</v>
          </cell>
        </row>
        <row r="240">
          <cell r="A240">
            <v>40047</v>
          </cell>
          <cell r="B240">
            <v>0</v>
          </cell>
          <cell r="C240">
            <v>822</v>
          </cell>
          <cell r="D240">
            <v>822</v>
          </cell>
          <cell r="F240">
            <v>685.1</v>
          </cell>
          <cell r="G240">
            <v>0</v>
          </cell>
          <cell r="H240">
            <v>0</v>
          </cell>
          <cell r="I240">
            <v>0</v>
          </cell>
          <cell r="J240">
            <v>217</v>
          </cell>
          <cell r="K240">
            <v>0</v>
          </cell>
          <cell r="L240">
            <v>902.1</v>
          </cell>
          <cell r="P240">
            <v>0</v>
          </cell>
          <cell r="Q240">
            <v>15050</v>
          </cell>
          <cell r="R240">
            <v>1155</v>
          </cell>
          <cell r="S240">
            <v>1155</v>
          </cell>
          <cell r="X240">
            <v>371</v>
          </cell>
          <cell r="Y240">
            <v>490</v>
          </cell>
          <cell r="AC240">
            <v>2400</v>
          </cell>
          <cell r="AE240">
            <v>0</v>
          </cell>
          <cell r="AH240">
            <v>140</v>
          </cell>
          <cell r="AK240">
            <v>686</v>
          </cell>
          <cell r="AM240">
            <v>2</v>
          </cell>
          <cell r="AN240">
            <v>2</v>
          </cell>
          <cell r="AO240">
            <v>780.58299999999997</v>
          </cell>
          <cell r="AP240" t="str">
            <v>M.Trzaskalski</v>
          </cell>
        </row>
        <row r="241">
          <cell r="A241">
            <v>40048</v>
          </cell>
          <cell r="B241">
            <v>0</v>
          </cell>
          <cell r="C241">
            <v>823</v>
          </cell>
          <cell r="D241">
            <v>823</v>
          </cell>
          <cell r="F241">
            <v>687.1</v>
          </cell>
          <cell r="G241">
            <v>0</v>
          </cell>
          <cell r="H241">
            <v>0</v>
          </cell>
          <cell r="I241">
            <v>0</v>
          </cell>
          <cell r="J241">
            <v>219</v>
          </cell>
          <cell r="K241">
            <v>0</v>
          </cell>
          <cell r="L241">
            <v>906.1</v>
          </cell>
          <cell r="P241">
            <v>0</v>
          </cell>
          <cell r="Q241">
            <v>14966</v>
          </cell>
          <cell r="R241">
            <v>1159</v>
          </cell>
          <cell r="S241">
            <v>1159</v>
          </cell>
          <cell r="U241">
            <v>24</v>
          </cell>
          <cell r="Y241">
            <v>675</v>
          </cell>
          <cell r="AC241">
            <v>2800</v>
          </cell>
          <cell r="AE241">
            <v>0</v>
          </cell>
          <cell r="AH241">
            <v>91</v>
          </cell>
          <cell r="AK241">
            <v>777</v>
          </cell>
          <cell r="AM241">
            <v>2</v>
          </cell>
          <cell r="AN241">
            <v>0</v>
          </cell>
          <cell r="AO241">
            <v>779.27700000000004</v>
          </cell>
          <cell r="AP241" t="str">
            <v>M.Trzaskalski</v>
          </cell>
        </row>
        <row r="242">
          <cell r="A242">
            <v>40049</v>
          </cell>
          <cell r="B242">
            <v>0</v>
          </cell>
          <cell r="C242">
            <v>817.1</v>
          </cell>
          <cell r="D242">
            <v>817.1</v>
          </cell>
          <cell r="F242">
            <v>632.6</v>
          </cell>
          <cell r="G242">
            <v>0</v>
          </cell>
          <cell r="H242">
            <v>14.2</v>
          </cell>
          <cell r="I242">
            <v>0</v>
          </cell>
          <cell r="J242">
            <v>202</v>
          </cell>
          <cell r="K242">
            <v>0</v>
          </cell>
          <cell r="L242">
            <v>848.80000000000007</v>
          </cell>
          <cell r="P242">
            <v>0</v>
          </cell>
          <cell r="Q242">
            <v>14910</v>
          </cell>
          <cell r="R242">
            <v>1067</v>
          </cell>
          <cell r="S242">
            <v>1067</v>
          </cell>
          <cell r="U242">
            <v>24</v>
          </cell>
          <cell r="Y242">
            <v>191.5</v>
          </cell>
          <cell r="AC242">
            <v>3600</v>
          </cell>
          <cell r="AE242">
            <v>0</v>
          </cell>
          <cell r="AH242">
            <v>140</v>
          </cell>
          <cell r="AJ242">
            <v>99.48</v>
          </cell>
          <cell r="AK242">
            <v>818</v>
          </cell>
          <cell r="AM242">
            <v>0</v>
          </cell>
          <cell r="AN242">
            <v>0</v>
          </cell>
          <cell r="AO242">
            <v>774.40700000000004</v>
          </cell>
          <cell r="AP242" t="str">
            <v>M.Karlewski</v>
          </cell>
        </row>
        <row r="243">
          <cell r="A243">
            <v>40050</v>
          </cell>
          <cell r="B243">
            <v>0</v>
          </cell>
          <cell r="C243">
            <v>813.8</v>
          </cell>
          <cell r="D243">
            <v>813.8</v>
          </cell>
          <cell r="F243">
            <v>682.3</v>
          </cell>
          <cell r="G243">
            <v>0</v>
          </cell>
          <cell r="H243">
            <v>23.4</v>
          </cell>
          <cell r="I243">
            <v>0</v>
          </cell>
          <cell r="J243">
            <v>202</v>
          </cell>
          <cell r="K243">
            <v>0</v>
          </cell>
          <cell r="L243">
            <v>907.69999999999993</v>
          </cell>
          <cell r="M243">
            <v>0.48</v>
          </cell>
          <cell r="P243">
            <v>0.48</v>
          </cell>
          <cell r="Q243">
            <v>14782</v>
          </cell>
          <cell r="R243">
            <v>1151</v>
          </cell>
          <cell r="S243">
            <v>1151</v>
          </cell>
          <cell r="U243">
            <v>24</v>
          </cell>
          <cell r="AC243">
            <v>4400</v>
          </cell>
          <cell r="AE243">
            <v>0</v>
          </cell>
          <cell r="AH243">
            <v>228</v>
          </cell>
          <cell r="AJ243">
            <v>126.08</v>
          </cell>
          <cell r="AK243">
            <v>920</v>
          </cell>
          <cell r="AL243">
            <v>42.1</v>
          </cell>
          <cell r="AM243">
            <v>0</v>
          </cell>
          <cell r="AN243">
            <v>43</v>
          </cell>
          <cell r="AO243">
            <v>765.67499999999995</v>
          </cell>
          <cell r="AP243" t="str">
            <v>P.Witkowski</v>
          </cell>
        </row>
        <row r="244">
          <cell r="A244">
            <v>40051</v>
          </cell>
          <cell r="B244">
            <v>0</v>
          </cell>
          <cell r="C244">
            <v>824.2</v>
          </cell>
          <cell r="D244">
            <v>824.2</v>
          </cell>
          <cell r="F244">
            <v>686.1</v>
          </cell>
          <cell r="G244">
            <v>14</v>
          </cell>
          <cell r="H244">
            <v>19.3</v>
          </cell>
          <cell r="I244">
            <v>0</v>
          </cell>
          <cell r="J244">
            <v>223</v>
          </cell>
          <cell r="K244">
            <v>0</v>
          </cell>
          <cell r="L244">
            <v>942.4</v>
          </cell>
          <cell r="P244">
            <v>0</v>
          </cell>
          <cell r="Q244">
            <v>14636</v>
          </cell>
          <cell r="R244">
            <v>1157</v>
          </cell>
          <cell r="S244">
            <v>1082.25</v>
          </cell>
          <cell r="U244">
            <v>48</v>
          </cell>
          <cell r="Y244">
            <v>50</v>
          </cell>
          <cell r="AC244">
            <v>5400</v>
          </cell>
          <cell r="AE244">
            <v>0</v>
          </cell>
          <cell r="AH244">
            <v>230</v>
          </cell>
          <cell r="AJ244">
            <v>26.12</v>
          </cell>
          <cell r="AK244">
            <v>1124</v>
          </cell>
          <cell r="AM244">
            <v>0</v>
          </cell>
          <cell r="AN244">
            <v>43</v>
          </cell>
          <cell r="AO244">
            <v>773.86</v>
          </cell>
          <cell r="AP244" t="str">
            <v>P.Witkowski</v>
          </cell>
        </row>
        <row r="245">
          <cell r="A245">
            <v>40052</v>
          </cell>
          <cell r="B245">
            <v>0</v>
          </cell>
          <cell r="C245">
            <v>813.2</v>
          </cell>
          <cell r="D245">
            <v>813.2</v>
          </cell>
          <cell r="F245">
            <v>680.4</v>
          </cell>
          <cell r="G245">
            <v>65</v>
          </cell>
          <cell r="H245">
            <v>19.600000000000001</v>
          </cell>
          <cell r="I245">
            <v>0</v>
          </cell>
          <cell r="J245">
            <v>213</v>
          </cell>
          <cell r="K245">
            <v>0</v>
          </cell>
          <cell r="L245">
            <v>978</v>
          </cell>
          <cell r="M245">
            <v>1.54</v>
          </cell>
          <cell r="P245">
            <v>1.54</v>
          </cell>
          <cell r="Q245">
            <v>14476</v>
          </cell>
          <cell r="R245">
            <v>1148</v>
          </cell>
          <cell r="S245">
            <v>1102.825</v>
          </cell>
          <cell r="U245">
            <v>36</v>
          </cell>
          <cell r="AC245">
            <v>5500</v>
          </cell>
          <cell r="AE245">
            <v>0</v>
          </cell>
          <cell r="AH245">
            <v>139</v>
          </cell>
          <cell r="AJ245">
            <v>125.52</v>
          </cell>
          <cell r="AK245">
            <v>1138</v>
          </cell>
          <cell r="AM245">
            <v>2.6080000000000001</v>
          </cell>
          <cell r="AN245">
            <v>40.713999999999999</v>
          </cell>
          <cell r="AO245">
            <v>765.64200000000005</v>
          </cell>
          <cell r="AP245" t="str">
            <v>M.Szwyd</v>
          </cell>
        </row>
        <row r="246">
          <cell r="A246">
            <v>40053</v>
          </cell>
          <cell r="C246">
            <v>820.7</v>
          </cell>
          <cell r="D246">
            <v>820.7</v>
          </cell>
          <cell r="F246">
            <v>630</v>
          </cell>
          <cell r="H246">
            <v>10.199999999999999</v>
          </cell>
          <cell r="J246">
            <v>189</v>
          </cell>
          <cell r="L246">
            <v>829.2</v>
          </cell>
          <cell r="M246">
            <v>0.9</v>
          </cell>
          <cell r="P246">
            <v>0.9</v>
          </cell>
          <cell r="Q246">
            <v>14425</v>
          </cell>
          <cell r="R246">
            <v>1062</v>
          </cell>
          <cell r="S246">
            <v>1032.425</v>
          </cell>
          <cell r="U246">
            <v>36</v>
          </cell>
          <cell r="X246">
            <v>979</v>
          </cell>
          <cell r="AC246">
            <v>5355</v>
          </cell>
          <cell r="AE246">
            <v>0</v>
          </cell>
          <cell r="AH246">
            <v>91</v>
          </cell>
          <cell r="AJ246">
            <v>73.099999999999994</v>
          </cell>
          <cell r="AK246">
            <v>1156</v>
          </cell>
          <cell r="AM246">
            <v>2.234</v>
          </cell>
          <cell r="AN246">
            <v>36.564999999999998</v>
          </cell>
          <cell r="AO246">
            <v>772.62599999999998</v>
          </cell>
          <cell r="AP246" t="str">
            <v>M.Karlewski</v>
          </cell>
        </row>
        <row r="247">
          <cell r="A247">
            <v>40054</v>
          </cell>
          <cell r="C247">
            <v>821.4</v>
          </cell>
          <cell r="D247">
            <v>821.4</v>
          </cell>
          <cell r="F247">
            <v>683.1</v>
          </cell>
          <cell r="J247">
            <v>207</v>
          </cell>
          <cell r="L247">
            <v>890.1</v>
          </cell>
          <cell r="P247">
            <v>0</v>
          </cell>
          <cell r="Q247">
            <v>14314</v>
          </cell>
          <cell r="R247">
            <v>1152</v>
          </cell>
          <cell r="S247">
            <v>1152</v>
          </cell>
          <cell r="AC247">
            <v>6300</v>
          </cell>
          <cell r="AE247">
            <v>0</v>
          </cell>
          <cell r="AJ247">
            <v>26</v>
          </cell>
          <cell r="AK247">
            <v>1131</v>
          </cell>
          <cell r="AM247">
            <v>2.2349999999999999</v>
          </cell>
          <cell r="AN247">
            <v>34.33</v>
          </cell>
          <cell r="AO247">
            <v>775.89300000000003</v>
          </cell>
          <cell r="AP247" t="str">
            <v>M.Karlewski</v>
          </cell>
        </row>
        <row r="248">
          <cell r="A248">
            <v>40055</v>
          </cell>
          <cell r="C248">
            <v>821.3</v>
          </cell>
          <cell r="D248">
            <v>821.3</v>
          </cell>
          <cell r="F248">
            <v>685</v>
          </cell>
          <cell r="J248">
            <v>253.7</v>
          </cell>
          <cell r="L248">
            <v>938.7</v>
          </cell>
          <cell r="P248">
            <v>0</v>
          </cell>
          <cell r="Q248">
            <v>14168</v>
          </cell>
          <cell r="R248">
            <v>1155</v>
          </cell>
          <cell r="S248">
            <v>1140.05</v>
          </cell>
          <cell r="AC248">
            <v>7500</v>
          </cell>
          <cell r="AE248">
            <v>0</v>
          </cell>
          <cell r="AH248">
            <v>46</v>
          </cell>
          <cell r="AK248">
            <v>1177</v>
          </cell>
          <cell r="AM248">
            <v>2.2349999999999999</v>
          </cell>
          <cell r="AN248">
            <v>32.094999999999999</v>
          </cell>
          <cell r="AO248">
            <v>774.21299999999997</v>
          </cell>
          <cell r="AP248" t="str">
            <v>M.Karlewski</v>
          </cell>
        </row>
        <row r="249">
          <cell r="A249">
            <v>40056</v>
          </cell>
          <cell r="C249">
            <v>919.69999999999993</v>
          </cell>
          <cell r="D249">
            <v>919.69999999999993</v>
          </cell>
          <cell r="F249">
            <v>684.7</v>
          </cell>
          <cell r="G249">
            <v>7.8360000000000003</v>
          </cell>
          <cell r="H249">
            <v>-29.251999999999999</v>
          </cell>
          <cell r="J249">
            <v>398.95000000000005</v>
          </cell>
          <cell r="K249">
            <v>206.148</v>
          </cell>
          <cell r="L249">
            <v>1268.3820000000001</v>
          </cell>
          <cell r="M249">
            <v>3.9</v>
          </cell>
          <cell r="P249">
            <v>3.9</v>
          </cell>
          <cell r="Q249">
            <v>14063</v>
          </cell>
          <cell r="R249">
            <v>1134</v>
          </cell>
          <cell r="S249">
            <v>776.5</v>
          </cell>
          <cell r="U249">
            <v>23</v>
          </cell>
          <cell r="X249">
            <v>-23.25</v>
          </cell>
          <cell r="Y249">
            <v>69</v>
          </cell>
          <cell r="Z249">
            <v>150.12</v>
          </cell>
          <cell r="AB249">
            <v>13.6</v>
          </cell>
          <cell r="AC249">
            <v>8500</v>
          </cell>
          <cell r="AE249">
            <v>0</v>
          </cell>
          <cell r="AI249">
            <v>954.14</v>
          </cell>
          <cell r="AJ249">
            <v>-905.90000000000009</v>
          </cell>
          <cell r="AK249">
            <v>1128</v>
          </cell>
          <cell r="AM249">
            <v>3.2349999999999999</v>
          </cell>
          <cell r="AN249">
            <v>29.86</v>
          </cell>
          <cell r="AO249">
            <v>777.94</v>
          </cell>
          <cell r="AP249" t="str">
            <v>M.Karlewski</v>
          </cell>
        </row>
        <row r="250">
          <cell r="A250">
            <v>40057</v>
          </cell>
          <cell r="C250">
            <v>819.3</v>
          </cell>
          <cell r="D250">
            <v>819.3</v>
          </cell>
          <cell r="F250">
            <v>500.2</v>
          </cell>
          <cell r="J250">
            <v>193</v>
          </cell>
          <cell r="L250">
            <v>693.2</v>
          </cell>
          <cell r="P250">
            <v>0</v>
          </cell>
          <cell r="Q250">
            <v>14054</v>
          </cell>
          <cell r="R250">
            <v>844</v>
          </cell>
          <cell r="S250">
            <v>829.05</v>
          </cell>
          <cell r="U250">
            <v>240</v>
          </cell>
          <cell r="AC250">
            <v>10300</v>
          </cell>
          <cell r="AE250">
            <v>0</v>
          </cell>
          <cell r="AH250">
            <v>46</v>
          </cell>
          <cell r="AJ250">
            <v>23.84</v>
          </cell>
          <cell r="AK250">
            <v>1150</v>
          </cell>
          <cell r="AM250">
            <v>3.2589999999999999</v>
          </cell>
          <cell r="AN250">
            <v>26.600999999999999</v>
          </cell>
          <cell r="AO250">
            <v>770.53200000000004</v>
          </cell>
          <cell r="AP250" t="str">
            <v>M.Karlewski</v>
          </cell>
        </row>
        <row r="251">
          <cell r="A251">
            <v>40058</v>
          </cell>
          <cell r="C251">
            <v>803.1</v>
          </cell>
          <cell r="D251">
            <v>803.1</v>
          </cell>
          <cell r="F251">
            <v>609.20000000000005</v>
          </cell>
          <cell r="H251">
            <v>20.2</v>
          </cell>
          <cell r="J251">
            <v>146</v>
          </cell>
          <cell r="L251">
            <v>775.40000000000009</v>
          </cell>
          <cell r="P251">
            <v>0</v>
          </cell>
          <cell r="Q251">
            <v>14060</v>
          </cell>
          <cell r="R251">
            <v>1027</v>
          </cell>
          <cell r="S251">
            <v>1027</v>
          </cell>
          <cell r="U251">
            <v>264</v>
          </cell>
          <cell r="X251">
            <v>918</v>
          </cell>
          <cell r="Z251">
            <v>150.34</v>
          </cell>
          <cell r="AC251">
            <v>10100</v>
          </cell>
          <cell r="AE251">
            <v>0</v>
          </cell>
          <cell r="AJ251">
            <v>101.96</v>
          </cell>
          <cell r="AK251">
            <v>1047</v>
          </cell>
          <cell r="AM251">
            <v>1.028</v>
          </cell>
          <cell r="AN251">
            <v>25.573</v>
          </cell>
          <cell r="AO251">
            <v>764.09400000000005</v>
          </cell>
          <cell r="AP251" t="str">
            <v>M.Karlewski</v>
          </cell>
        </row>
        <row r="252">
          <cell r="A252">
            <v>40059</v>
          </cell>
          <cell r="C252">
            <v>794.3</v>
          </cell>
          <cell r="D252">
            <v>794.3</v>
          </cell>
          <cell r="F252">
            <v>575.5</v>
          </cell>
          <cell r="G252">
            <v>71</v>
          </cell>
          <cell r="H252">
            <v>1.6</v>
          </cell>
          <cell r="J252">
            <v>125</v>
          </cell>
          <cell r="L252">
            <v>773.1</v>
          </cell>
          <cell r="P252">
            <v>0</v>
          </cell>
          <cell r="Q252">
            <v>14043</v>
          </cell>
          <cell r="R252">
            <v>970</v>
          </cell>
          <cell r="S252">
            <v>939.77499999999998</v>
          </cell>
          <cell r="U252">
            <v>43</v>
          </cell>
          <cell r="X252">
            <v>283</v>
          </cell>
          <cell r="Y252">
            <v>207</v>
          </cell>
          <cell r="Z252">
            <v>49.16</v>
          </cell>
          <cell r="AC252">
            <v>10400</v>
          </cell>
          <cell r="AE252">
            <v>0</v>
          </cell>
          <cell r="AH252">
            <v>93</v>
          </cell>
          <cell r="AJ252">
            <v>124.84</v>
          </cell>
          <cell r="AK252">
            <v>1015</v>
          </cell>
          <cell r="AM252">
            <v>3.24</v>
          </cell>
          <cell r="AN252">
            <v>22.332999999999998</v>
          </cell>
          <cell r="AO252">
            <v>753.54100000000005</v>
          </cell>
          <cell r="AP252" t="str">
            <v>M.Karlewski</v>
          </cell>
        </row>
        <row r="253">
          <cell r="A253">
            <v>40060</v>
          </cell>
          <cell r="C253">
            <v>789.5</v>
          </cell>
          <cell r="D253">
            <v>789.5</v>
          </cell>
          <cell r="F253">
            <v>542.79999999999995</v>
          </cell>
          <cell r="J253">
            <v>144.4</v>
          </cell>
          <cell r="L253">
            <v>687.19999999999993</v>
          </cell>
          <cell r="P253">
            <v>0</v>
          </cell>
          <cell r="Q253">
            <v>14130</v>
          </cell>
          <cell r="R253">
            <v>915</v>
          </cell>
          <cell r="S253">
            <v>900.375</v>
          </cell>
          <cell r="U253">
            <v>48</v>
          </cell>
          <cell r="X253">
            <v>771</v>
          </cell>
          <cell r="Y253">
            <v>445.5</v>
          </cell>
          <cell r="Z253">
            <v>25.1</v>
          </cell>
          <cell r="AC253">
            <v>10000</v>
          </cell>
          <cell r="AE253">
            <v>0</v>
          </cell>
          <cell r="AH253">
            <v>45</v>
          </cell>
          <cell r="AK253">
            <v>1060</v>
          </cell>
          <cell r="AM253">
            <v>1.835</v>
          </cell>
          <cell r="AN253">
            <v>20.498000000000001</v>
          </cell>
          <cell r="AO253">
            <v>756.46799999999996</v>
          </cell>
          <cell r="AP253" t="str">
            <v>M.Szwyd</v>
          </cell>
        </row>
        <row r="254">
          <cell r="A254">
            <v>40061</v>
          </cell>
          <cell r="C254">
            <v>794.6</v>
          </cell>
          <cell r="D254">
            <v>794.6</v>
          </cell>
          <cell r="F254">
            <v>527.70000000000005</v>
          </cell>
          <cell r="J254">
            <v>98.1</v>
          </cell>
          <cell r="L254">
            <v>625.80000000000007</v>
          </cell>
          <cell r="M254">
            <v>0.4</v>
          </cell>
          <cell r="P254">
            <v>0.4</v>
          </cell>
          <cell r="Q254">
            <v>14280</v>
          </cell>
          <cell r="R254">
            <v>890</v>
          </cell>
          <cell r="S254">
            <v>890</v>
          </cell>
          <cell r="Y254">
            <v>698</v>
          </cell>
          <cell r="AA254">
            <v>1328.979</v>
          </cell>
          <cell r="AC254">
            <v>8900</v>
          </cell>
          <cell r="AE254">
            <v>0</v>
          </cell>
          <cell r="AK254">
            <v>1060</v>
          </cell>
          <cell r="AM254">
            <v>1.8340000000000001</v>
          </cell>
          <cell r="AN254">
            <v>18.664000000000001</v>
          </cell>
          <cell r="AO254">
            <v>758.34199999999998</v>
          </cell>
          <cell r="AP254" t="str">
            <v>M.Szwyd</v>
          </cell>
        </row>
        <row r="255">
          <cell r="A255">
            <v>40062</v>
          </cell>
          <cell r="C255">
            <v>796.4</v>
          </cell>
          <cell r="D255">
            <v>796.4</v>
          </cell>
          <cell r="F255">
            <v>527.79999999999995</v>
          </cell>
          <cell r="J255">
            <v>89.8</v>
          </cell>
          <cell r="L255">
            <v>617.59999999999991</v>
          </cell>
          <cell r="P255">
            <v>0</v>
          </cell>
          <cell r="Q255">
            <v>14446</v>
          </cell>
          <cell r="R255">
            <v>890</v>
          </cell>
          <cell r="S255">
            <v>890</v>
          </cell>
          <cell r="Y255">
            <v>13.5</v>
          </cell>
          <cell r="AA255">
            <v>850</v>
          </cell>
          <cell r="AC255">
            <v>10200</v>
          </cell>
          <cell r="AE255">
            <v>0</v>
          </cell>
          <cell r="AK255">
            <v>1060</v>
          </cell>
          <cell r="AM255">
            <v>1.8340000000000001</v>
          </cell>
          <cell r="AN255">
            <v>16.829999999999998</v>
          </cell>
          <cell r="AO255">
            <v>759.52</v>
          </cell>
          <cell r="AP255" t="str">
            <v>M.Szwyd</v>
          </cell>
        </row>
        <row r="256">
          <cell r="A256">
            <v>40063</v>
          </cell>
          <cell r="C256">
            <v>795.8</v>
          </cell>
          <cell r="D256">
            <v>795.8</v>
          </cell>
          <cell r="F256">
            <v>526.20000000000005</v>
          </cell>
          <cell r="J256">
            <v>71.900000000000006</v>
          </cell>
          <cell r="L256">
            <v>598.1</v>
          </cell>
          <cell r="P256">
            <v>0</v>
          </cell>
          <cell r="Q256">
            <v>14446</v>
          </cell>
          <cell r="R256">
            <v>888</v>
          </cell>
          <cell r="S256">
            <v>813.25</v>
          </cell>
          <cell r="U256">
            <v>24</v>
          </cell>
          <cell r="X256">
            <v>174</v>
          </cell>
          <cell r="AA256">
            <v>2321.6210000000001</v>
          </cell>
          <cell r="AC256">
            <v>7100</v>
          </cell>
          <cell r="AE256">
            <v>0</v>
          </cell>
          <cell r="AH256">
            <v>230</v>
          </cell>
          <cell r="AJ256">
            <v>94.88</v>
          </cell>
          <cell r="AK256">
            <v>1196</v>
          </cell>
          <cell r="AM256">
            <v>1.1279999999999999</v>
          </cell>
          <cell r="AN256">
            <v>15.702</v>
          </cell>
          <cell r="AO256">
            <v>757.31200000000001</v>
          </cell>
          <cell r="AP256" t="str">
            <v>M.Szwyd</v>
          </cell>
        </row>
        <row r="257">
          <cell r="A257">
            <v>40064</v>
          </cell>
          <cell r="C257">
            <v>794.9</v>
          </cell>
          <cell r="D257">
            <v>794.9</v>
          </cell>
          <cell r="F257">
            <v>531.6</v>
          </cell>
          <cell r="J257">
            <v>90.1</v>
          </cell>
          <cell r="L257">
            <v>621.70000000000005</v>
          </cell>
          <cell r="P257">
            <v>0</v>
          </cell>
          <cell r="Q257">
            <v>14785</v>
          </cell>
          <cell r="R257">
            <v>896</v>
          </cell>
          <cell r="S257">
            <v>836.52499999999998</v>
          </cell>
          <cell r="U257">
            <v>24</v>
          </cell>
          <cell r="X257">
            <v>845</v>
          </cell>
          <cell r="AC257">
            <v>7300</v>
          </cell>
          <cell r="AE257">
            <v>0</v>
          </cell>
          <cell r="AH257">
            <v>183</v>
          </cell>
          <cell r="AJ257">
            <v>76.12</v>
          </cell>
          <cell r="AK257">
            <v>1303</v>
          </cell>
          <cell r="AM257">
            <v>1.2729999999999999</v>
          </cell>
          <cell r="AN257">
            <v>14.429</v>
          </cell>
          <cell r="AO257">
            <v>755.13900000000001</v>
          </cell>
          <cell r="AP257" t="str">
            <v>Utrata R.</v>
          </cell>
        </row>
        <row r="258">
          <cell r="A258">
            <v>40065</v>
          </cell>
          <cell r="C258">
            <v>795.3</v>
          </cell>
          <cell r="D258">
            <v>795.3</v>
          </cell>
          <cell r="F258">
            <v>536.79999999999995</v>
          </cell>
          <cell r="J258">
            <v>89.5</v>
          </cell>
          <cell r="L258">
            <v>626.29999999999995</v>
          </cell>
          <cell r="P258">
            <v>0</v>
          </cell>
          <cell r="Q258">
            <v>14932</v>
          </cell>
          <cell r="R258">
            <v>906</v>
          </cell>
          <cell r="S258">
            <v>876.42499999999995</v>
          </cell>
          <cell r="U258">
            <v>366</v>
          </cell>
          <cell r="X258">
            <v>216</v>
          </cell>
          <cell r="AC258">
            <v>7600</v>
          </cell>
          <cell r="AE258">
            <v>0</v>
          </cell>
          <cell r="AH258">
            <v>91</v>
          </cell>
          <cell r="AJ258">
            <v>100.42</v>
          </cell>
          <cell r="AK258">
            <v>1294</v>
          </cell>
          <cell r="AM258">
            <v>2.8380000000000001</v>
          </cell>
          <cell r="AN258">
            <v>11.590999999999999</v>
          </cell>
          <cell r="AO258">
            <v>756.73099999999999</v>
          </cell>
          <cell r="AP258" t="str">
            <v>Utrata R.</v>
          </cell>
        </row>
        <row r="259">
          <cell r="A259">
            <v>40066</v>
          </cell>
          <cell r="C259">
            <v>795.7</v>
          </cell>
          <cell r="D259">
            <v>795.7</v>
          </cell>
          <cell r="F259">
            <v>590.4</v>
          </cell>
          <cell r="J259">
            <v>97</v>
          </cell>
          <cell r="L259">
            <v>687.4</v>
          </cell>
          <cell r="P259">
            <v>0</v>
          </cell>
          <cell r="Q259">
            <v>15044</v>
          </cell>
          <cell r="R259">
            <v>996</v>
          </cell>
          <cell r="S259">
            <v>996</v>
          </cell>
          <cell r="U259">
            <v>144</v>
          </cell>
          <cell r="X259">
            <v>807</v>
          </cell>
          <cell r="AA259">
            <v>1980</v>
          </cell>
          <cell r="AC259">
            <v>5700</v>
          </cell>
          <cell r="AE259">
            <v>0</v>
          </cell>
          <cell r="AJ259">
            <v>98.38</v>
          </cell>
          <cell r="AK259">
            <v>1194</v>
          </cell>
          <cell r="AM259">
            <v>1.4059999999999999</v>
          </cell>
          <cell r="AN259">
            <v>10.185</v>
          </cell>
          <cell r="AO259">
            <v>756.87800000000004</v>
          </cell>
          <cell r="AP259" t="str">
            <v>B.Bronicki</v>
          </cell>
        </row>
        <row r="260">
          <cell r="A260">
            <v>40067</v>
          </cell>
          <cell r="C260">
            <v>796.3</v>
          </cell>
          <cell r="D260">
            <v>796.3</v>
          </cell>
          <cell r="F260">
            <v>611.29999999999995</v>
          </cell>
          <cell r="J260">
            <v>89.6</v>
          </cell>
          <cell r="L260">
            <v>700.9</v>
          </cell>
          <cell r="P260">
            <v>0</v>
          </cell>
          <cell r="Q260">
            <v>15112</v>
          </cell>
          <cell r="R260">
            <v>1031</v>
          </cell>
          <cell r="S260">
            <v>1031</v>
          </cell>
          <cell r="U260">
            <v>145</v>
          </cell>
          <cell r="X260">
            <v>756</v>
          </cell>
          <cell r="Z260">
            <v>76.08</v>
          </cell>
          <cell r="AA260">
            <v>3270.404</v>
          </cell>
          <cell r="AC260">
            <v>3300</v>
          </cell>
          <cell r="AE260">
            <v>0</v>
          </cell>
          <cell r="AJ260">
            <v>50.26</v>
          </cell>
          <cell r="AK260">
            <v>1142</v>
          </cell>
          <cell r="AL260">
            <v>23.26</v>
          </cell>
          <cell r="AM260">
            <v>0.94299999999999995</v>
          </cell>
          <cell r="AN260">
            <v>32.502000000000002</v>
          </cell>
          <cell r="AO260">
            <v>758.601</v>
          </cell>
          <cell r="AP260" t="str">
            <v>M.Karlewski</v>
          </cell>
        </row>
        <row r="261">
          <cell r="A261">
            <v>40068</v>
          </cell>
          <cell r="C261">
            <v>796</v>
          </cell>
          <cell r="D261">
            <v>796</v>
          </cell>
          <cell r="F261">
            <v>611.1</v>
          </cell>
          <cell r="J261">
            <v>87</v>
          </cell>
          <cell r="L261">
            <v>698.1</v>
          </cell>
          <cell r="P261">
            <v>0</v>
          </cell>
          <cell r="Q261">
            <v>15197</v>
          </cell>
          <cell r="R261">
            <v>1031</v>
          </cell>
          <cell r="S261">
            <v>1015.4</v>
          </cell>
          <cell r="U261">
            <v>48</v>
          </cell>
          <cell r="X261">
            <v>213</v>
          </cell>
          <cell r="AA261">
            <v>446.02800000000002</v>
          </cell>
          <cell r="AC261">
            <v>3200</v>
          </cell>
          <cell r="AE261">
            <v>0</v>
          </cell>
          <cell r="AH261">
            <v>48</v>
          </cell>
          <cell r="AJ261">
            <v>21.58</v>
          </cell>
          <cell r="AK261">
            <v>1168</v>
          </cell>
          <cell r="AM261">
            <v>0.94199999999999995</v>
          </cell>
          <cell r="AN261">
            <v>31.56</v>
          </cell>
          <cell r="AO261">
            <v>757.03200000000004</v>
          </cell>
          <cell r="AP261" t="str">
            <v>M.Karlewski</v>
          </cell>
        </row>
        <row r="262">
          <cell r="A262">
            <v>40069</v>
          </cell>
          <cell r="C262">
            <v>794.7</v>
          </cell>
          <cell r="D262">
            <v>794.7</v>
          </cell>
          <cell r="F262">
            <v>608.5</v>
          </cell>
          <cell r="J262">
            <v>87</v>
          </cell>
          <cell r="L262">
            <v>695.5</v>
          </cell>
          <cell r="P262">
            <v>0</v>
          </cell>
          <cell r="Q262">
            <v>15280</v>
          </cell>
          <cell r="R262">
            <v>1026</v>
          </cell>
          <cell r="S262">
            <v>981.47500000000002</v>
          </cell>
          <cell r="U262">
            <v>24</v>
          </cell>
          <cell r="AC262">
            <v>4100</v>
          </cell>
          <cell r="AE262">
            <v>0</v>
          </cell>
          <cell r="AH262">
            <v>137</v>
          </cell>
          <cell r="AK262">
            <v>1305</v>
          </cell>
          <cell r="AM262">
            <v>0.94199999999999995</v>
          </cell>
          <cell r="AN262">
            <v>30.618000000000002</v>
          </cell>
          <cell r="AO262">
            <v>757.08299999999997</v>
          </cell>
          <cell r="AP262" t="str">
            <v>M.Karlewski</v>
          </cell>
        </row>
        <row r="263">
          <cell r="A263">
            <v>40070</v>
          </cell>
          <cell r="C263">
            <v>794</v>
          </cell>
          <cell r="D263">
            <v>794</v>
          </cell>
          <cell r="F263">
            <v>594.6</v>
          </cell>
          <cell r="J263">
            <v>87</v>
          </cell>
          <cell r="L263">
            <v>681.6</v>
          </cell>
          <cell r="P263">
            <v>0</v>
          </cell>
          <cell r="Q263">
            <v>15375</v>
          </cell>
          <cell r="R263">
            <v>1003</v>
          </cell>
          <cell r="S263">
            <v>1003</v>
          </cell>
          <cell r="U263">
            <v>72</v>
          </cell>
          <cell r="X263">
            <v>390</v>
          </cell>
          <cell r="Z263">
            <v>49.88</v>
          </cell>
          <cell r="AA263">
            <v>1607.21</v>
          </cell>
          <cell r="AC263">
            <v>2600</v>
          </cell>
          <cell r="AE263">
            <v>0</v>
          </cell>
          <cell r="AJ263">
            <v>98.04</v>
          </cell>
          <cell r="AK263">
            <v>1207</v>
          </cell>
          <cell r="AM263">
            <v>0.98299999999999998</v>
          </cell>
          <cell r="AN263">
            <v>29.635000000000002</v>
          </cell>
          <cell r="AO263">
            <v>755.77</v>
          </cell>
          <cell r="AP263" t="str">
            <v>P.Witkowski</v>
          </cell>
        </row>
        <row r="264">
          <cell r="A264">
            <v>40071</v>
          </cell>
          <cell r="C264">
            <v>794.2</v>
          </cell>
          <cell r="D264">
            <v>794.2</v>
          </cell>
          <cell r="F264">
            <v>611.20000000000005</v>
          </cell>
          <cell r="J264">
            <v>90.5</v>
          </cell>
          <cell r="L264">
            <v>701.7</v>
          </cell>
          <cell r="P264">
            <v>0</v>
          </cell>
          <cell r="Q264">
            <v>15459</v>
          </cell>
          <cell r="R264">
            <v>1031</v>
          </cell>
          <cell r="S264">
            <v>988.1</v>
          </cell>
          <cell r="U264">
            <v>24</v>
          </cell>
          <cell r="X264">
            <v>576</v>
          </cell>
          <cell r="AA264">
            <v>-1968.6859999999997</v>
          </cell>
          <cell r="AC264">
            <v>2100</v>
          </cell>
          <cell r="AE264">
            <v>0</v>
          </cell>
          <cell r="AH264">
            <v>132</v>
          </cell>
          <cell r="AJ264">
            <v>24.08</v>
          </cell>
          <cell r="AK264">
            <v>1315</v>
          </cell>
          <cell r="AM264">
            <v>1.2010000000000001</v>
          </cell>
          <cell r="AN264">
            <v>28.434000000000001</v>
          </cell>
          <cell r="AO264">
            <v>755.67600000000004</v>
          </cell>
          <cell r="AP264" t="str">
            <v>P.Witkowski</v>
          </cell>
        </row>
        <row r="265">
          <cell r="A265">
            <v>40072</v>
          </cell>
          <cell r="C265">
            <v>793.4</v>
          </cell>
          <cell r="D265">
            <v>793.4</v>
          </cell>
          <cell r="F265">
            <v>613.9</v>
          </cell>
          <cell r="J265">
            <v>88.6</v>
          </cell>
          <cell r="L265">
            <v>702.5</v>
          </cell>
          <cell r="P265">
            <v>0</v>
          </cell>
          <cell r="Q265">
            <v>15535</v>
          </cell>
          <cell r="R265">
            <v>1035</v>
          </cell>
          <cell r="S265">
            <v>1035</v>
          </cell>
          <cell r="U265">
            <v>168</v>
          </cell>
          <cell r="X265">
            <v>584</v>
          </cell>
          <cell r="Z265">
            <v>23.98</v>
          </cell>
          <cell r="AC265">
            <v>2300</v>
          </cell>
          <cell r="AE265">
            <v>0</v>
          </cell>
          <cell r="AJ265">
            <v>125.04</v>
          </cell>
          <cell r="AK265">
            <v>1189</v>
          </cell>
          <cell r="AL265">
            <v>18.62</v>
          </cell>
          <cell r="AM265">
            <v>0</v>
          </cell>
          <cell r="AN265">
            <v>47.054000000000002</v>
          </cell>
          <cell r="AO265">
            <v>755.13699999999994</v>
          </cell>
          <cell r="AP265" t="str">
            <v>M.Szwyd</v>
          </cell>
        </row>
        <row r="266">
          <cell r="A266">
            <v>40073</v>
          </cell>
          <cell r="C266">
            <v>792.9</v>
          </cell>
          <cell r="D266">
            <v>792.9</v>
          </cell>
          <cell r="F266">
            <v>612.29999999999995</v>
          </cell>
          <cell r="H266">
            <v>13.4</v>
          </cell>
          <cell r="J266">
            <v>90</v>
          </cell>
          <cell r="L266">
            <v>715.69999999999993</v>
          </cell>
          <cell r="M266">
            <v>0.88</v>
          </cell>
          <cell r="P266">
            <v>0.88</v>
          </cell>
          <cell r="Q266">
            <v>15598</v>
          </cell>
          <cell r="R266">
            <v>1033</v>
          </cell>
          <cell r="S266">
            <v>987.5</v>
          </cell>
          <cell r="U266">
            <v>144</v>
          </cell>
          <cell r="X266">
            <v>452</v>
          </cell>
          <cell r="Z266">
            <v>25.74</v>
          </cell>
          <cell r="AC266">
            <v>2600</v>
          </cell>
          <cell r="AE266">
            <v>0</v>
          </cell>
          <cell r="AH266">
            <v>140</v>
          </cell>
          <cell r="AJ266">
            <v>97.86</v>
          </cell>
          <cell r="AK266">
            <v>1231</v>
          </cell>
          <cell r="AM266">
            <v>0.41199999999999998</v>
          </cell>
          <cell r="AN266">
            <v>46.642000000000003</v>
          </cell>
          <cell r="AO266">
            <v>755.04200000000003</v>
          </cell>
          <cell r="AP266" t="str">
            <v>M.Szwyd</v>
          </cell>
        </row>
        <row r="267">
          <cell r="A267">
            <v>40074</v>
          </cell>
          <cell r="C267">
            <v>803</v>
          </cell>
          <cell r="D267">
            <v>803</v>
          </cell>
          <cell r="F267">
            <v>666.1</v>
          </cell>
          <cell r="H267">
            <v>17.2</v>
          </cell>
          <cell r="J267">
            <v>98</v>
          </cell>
          <cell r="L267">
            <v>781.30000000000007</v>
          </cell>
          <cell r="P267">
            <v>0</v>
          </cell>
          <cell r="Q267">
            <v>15619</v>
          </cell>
          <cell r="R267">
            <v>1124</v>
          </cell>
          <cell r="S267">
            <v>1108.7249999999999</v>
          </cell>
          <cell r="U267">
            <v>240</v>
          </cell>
          <cell r="Z267">
            <v>300.95999999999998</v>
          </cell>
          <cell r="AC267">
            <v>3200</v>
          </cell>
          <cell r="AE267">
            <v>0</v>
          </cell>
          <cell r="AH267">
            <v>47</v>
          </cell>
          <cell r="AJ267">
            <v>49.54</v>
          </cell>
          <cell r="AK267">
            <v>1229</v>
          </cell>
          <cell r="AM267">
            <v>2.1040000000000001</v>
          </cell>
          <cell r="AN267">
            <v>44.537999999999997</v>
          </cell>
          <cell r="AO267">
            <v>760.25900000000001</v>
          </cell>
          <cell r="AP267" t="str">
            <v>M.Trzaskalski</v>
          </cell>
        </row>
        <row r="268">
          <cell r="A268">
            <v>40075</v>
          </cell>
          <cell r="C268">
            <v>806.6</v>
          </cell>
          <cell r="D268">
            <v>806.6</v>
          </cell>
          <cell r="F268">
            <v>687.2</v>
          </cell>
          <cell r="H268">
            <v>17.899999999999999</v>
          </cell>
          <cell r="J268">
            <v>98</v>
          </cell>
          <cell r="L268">
            <v>803.1</v>
          </cell>
          <cell r="P268">
            <v>0</v>
          </cell>
          <cell r="Q268">
            <v>15615</v>
          </cell>
          <cell r="R268">
            <v>1159</v>
          </cell>
          <cell r="S268">
            <v>1129.425</v>
          </cell>
          <cell r="U268">
            <v>24</v>
          </cell>
          <cell r="AC268">
            <v>4200</v>
          </cell>
          <cell r="AE268">
            <v>0</v>
          </cell>
          <cell r="AH268">
            <v>91</v>
          </cell>
          <cell r="AK268">
            <v>1320</v>
          </cell>
          <cell r="AM268">
            <v>2.1040000000000001</v>
          </cell>
          <cell r="AN268">
            <v>42.433999999999997</v>
          </cell>
          <cell r="AO268">
            <v>766.22699999999998</v>
          </cell>
          <cell r="AP268" t="str">
            <v>M.Trzaskalski</v>
          </cell>
        </row>
        <row r="269">
          <cell r="A269">
            <v>40076</v>
          </cell>
          <cell r="C269">
            <v>801.9</v>
          </cell>
          <cell r="D269">
            <v>801.9</v>
          </cell>
          <cell r="F269">
            <v>543.5</v>
          </cell>
          <cell r="H269">
            <v>20.8</v>
          </cell>
          <cell r="J269">
            <v>98</v>
          </cell>
          <cell r="L269">
            <v>662.3</v>
          </cell>
          <cell r="P269">
            <v>0</v>
          </cell>
          <cell r="Q269">
            <v>15747</v>
          </cell>
          <cell r="R269">
            <v>917</v>
          </cell>
          <cell r="S269">
            <v>917</v>
          </cell>
          <cell r="AC269">
            <v>5100</v>
          </cell>
          <cell r="AE269">
            <v>0</v>
          </cell>
          <cell r="AK269">
            <v>1320</v>
          </cell>
          <cell r="AM269">
            <v>1.8029999999999999</v>
          </cell>
          <cell r="AN269">
            <v>40.631</v>
          </cell>
          <cell r="AO269">
            <v>764.803</v>
          </cell>
          <cell r="AP269" t="str">
            <v>M.Trzaskalski</v>
          </cell>
        </row>
        <row r="270">
          <cell r="A270">
            <v>40077</v>
          </cell>
          <cell r="C270">
            <v>61.3</v>
          </cell>
          <cell r="D270">
            <v>61.3</v>
          </cell>
          <cell r="G270">
            <v>60</v>
          </cell>
          <cell r="H270">
            <v>15.9</v>
          </cell>
          <cell r="J270">
            <v>99</v>
          </cell>
          <cell r="L270">
            <v>174.9</v>
          </cell>
          <cell r="P270">
            <v>0</v>
          </cell>
          <cell r="Q270">
            <v>15618</v>
          </cell>
          <cell r="U270">
            <v>48</v>
          </cell>
          <cell r="Z270">
            <v>252.24</v>
          </cell>
          <cell r="AC270">
            <v>4800</v>
          </cell>
          <cell r="AE270">
            <v>0</v>
          </cell>
          <cell r="AJ270">
            <v>48.12</v>
          </cell>
          <cell r="AK270">
            <v>1272</v>
          </cell>
          <cell r="AM270">
            <v>0</v>
          </cell>
          <cell r="AN270">
            <v>40.631</v>
          </cell>
          <cell r="AO270">
            <v>698.73500000000001</v>
          </cell>
          <cell r="AP270" t="str">
            <v>M.Trzaskalski</v>
          </cell>
        </row>
        <row r="271">
          <cell r="A271">
            <v>40078</v>
          </cell>
          <cell r="D271">
            <v>0</v>
          </cell>
          <cell r="H271">
            <v>0</v>
          </cell>
          <cell r="J271">
            <v>93</v>
          </cell>
          <cell r="L271">
            <v>93</v>
          </cell>
          <cell r="P271">
            <v>0</v>
          </cell>
          <cell r="Q271">
            <v>15523</v>
          </cell>
          <cell r="X271">
            <v>490</v>
          </cell>
          <cell r="Y271">
            <v>67</v>
          </cell>
          <cell r="Z271">
            <v>305.98</v>
          </cell>
          <cell r="AC271">
            <v>4000</v>
          </cell>
          <cell r="AE271">
            <v>0</v>
          </cell>
          <cell r="AJ271">
            <v>124.84</v>
          </cell>
          <cell r="AK271">
            <v>1146</v>
          </cell>
          <cell r="AM271">
            <v>0</v>
          </cell>
          <cell r="AN271">
            <v>40.631</v>
          </cell>
          <cell r="AO271">
            <v>575.71400000000006</v>
          </cell>
          <cell r="AP271" t="str">
            <v>M.Karlewski</v>
          </cell>
        </row>
        <row r="272">
          <cell r="A272">
            <v>40079</v>
          </cell>
          <cell r="D272">
            <v>0</v>
          </cell>
          <cell r="H272">
            <v>16.100000000000001</v>
          </cell>
          <cell r="J272">
            <v>99</v>
          </cell>
          <cell r="L272">
            <v>115.1</v>
          </cell>
          <cell r="P272">
            <v>0</v>
          </cell>
          <cell r="Q272">
            <v>15404</v>
          </cell>
          <cell r="U272">
            <v>147</v>
          </cell>
          <cell r="X272">
            <v>496</v>
          </cell>
          <cell r="Z272">
            <v>325</v>
          </cell>
          <cell r="AB272">
            <v>408.70000000000005</v>
          </cell>
          <cell r="AC272">
            <v>3000</v>
          </cell>
          <cell r="AE272">
            <v>0</v>
          </cell>
          <cell r="AJ272">
            <v>98.08</v>
          </cell>
          <cell r="AK272">
            <v>1049</v>
          </cell>
          <cell r="AM272">
            <v>0</v>
          </cell>
          <cell r="AN272">
            <v>40.631</v>
          </cell>
          <cell r="AO272">
            <v>574.32799999999997</v>
          </cell>
          <cell r="AP272" t="str">
            <v>M.Karlewski</v>
          </cell>
        </row>
        <row r="273">
          <cell r="A273">
            <v>40080</v>
          </cell>
          <cell r="C273">
            <v>684.6</v>
          </cell>
          <cell r="D273">
            <v>684.6</v>
          </cell>
          <cell r="F273">
            <v>473.6</v>
          </cell>
          <cell r="H273">
            <v>2.2000000000000002</v>
          </cell>
          <cell r="J273">
            <v>101.78</v>
          </cell>
          <cell r="L273">
            <v>577.58000000000004</v>
          </cell>
          <cell r="P273">
            <v>0</v>
          </cell>
          <cell r="Q273">
            <v>15480</v>
          </cell>
          <cell r="R273">
            <v>704</v>
          </cell>
          <cell r="S273">
            <v>704</v>
          </cell>
          <cell r="U273">
            <v>120</v>
          </cell>
          <cell r="X273">
            <v>371</v>
          </cell>
          <cell r="Z273">
            <v>280.42</v>
          </cell>
          <cell r="AC273">
            <v>2900</v>
          </cell>
          <cell r="AE273">
            <v>0</v>
          </cell>
          <cell r="AJ273">
            <v>49.94</v>
          </cell>
          <cell r="AK273">
            <v>999</v>
          </cell>
          <cell r="AM273">
            <v>2.9689999999999999</v>
          </cell>
          <cell r="AN273">
            <v>37.661999999999999</v>
          </cell>
          <cell r="AO273">
            <v>621.72699999999998</v>
          </cell>
          <cell r="AP273" t="str">
            <v>P.Witkowski</v>
          </cell>
        </row>
        <row r="274">
          <cell r="A274">
            <v>40081</v>
          </cell>
          <cell r="C274">
            <v>791</v>
          </cell>
          <cell r="D274">
            <v>791</v>
          </cell>
          <cell r="F274">
            <v>611.6</v>
          </cell>
          <cell r="H274">
            <v>16.5</v>
          </cell>
          <cell r="J274">
            <v>99.8</v>
          </cell>
          <cell r="L274">
            <v>727.9</v>
          </cell>
          <cell r="P274">
            <v>0</v>
          </cell>
          <cell r="Q274">
            <v>15511</v>
          </cell>
          <cell r="R274">
            <v>1031</v>
          </cell>
          <cell r="S274">
            <v>1031</v>
          </cell>
          <cell r="U274">
            <v>48</v>
          </cell>
          <cell r="Z274">
            <v>281.48</v>
          </cell>
          <cell r="AC274">
            <v>3500</v>
          </cell>
          <cell r="AE274">
            <v>0</v>
          </cell>
          <cell r="AJ274">
            <v>75.88</v>
          </cell>
          <cell r="AK274">
            <v>922</v>
          </cell>
          <cell r="AM274">
            <v>1.3779999999999999</v>
          </cell>
          <cell r="AN274">
            <v>36.283999999999999</v>
          </cell>
          <cell r="AO274">
            <v>755.44799999999998</v>
          </cell>
          <cell r="AP274" t="str">
            <v>M.Szwyd</v>
          </cell>
        </row>
        <row r="275">
          <cell r="A275">
            <v>40082</v>
          </cell>
          <cell r="C275">
            <v>787.8</v>
          </cell>
          <cell r="D275">
            <v>787.8</v>
          </cell>
          <cell r="F275">
            <v>593.5</v>
          </cell>
          <cell r="H275">
            <v>20.399999999999999</v>
          </cell>
          <cell r="J275">
            <v>114.7</v>
          </cell>
          <cell r="L275">
            <v>728.6</v>
          </cell>
          <cell r="P275">
            <v>0</v>
          </cell>
          <cell r="Q275">
            <v>15549</v>
          </cell>
          <cell r="R275">
            <v>1001</v>
          </cell>
          <cell r="S275">
            <v>1001</v>
          </cell>
          <cell r="X275">
            <v>1011</v>
          </cell>
          <cell r="AC275">
            <v>3500</v>
          </cell>
          <cell r="AE275">
            <v>0</v>
          </cell>
          <cell r="AK275">
            <v>922</v>
          </cell>
          <cell r="AM275">
            <v>1.377</v>
          </cell>
          <cell r="AN275">
            <v>34.906999999999996</v>
          </cell>
          <cell r="AO275">
            <v>749.82899999999995</v>
          </cell>
          <cell r="AP275" t="str">
            <v>M.Szwyd</v>
          </cell>
        </row>
        <row r="276">
          <cell r="A276">
            <v>40083</v>
          </cell>
          <cell r="C276">
            <v>787.6</v>
          </cell>
          <cell r="D276">
            <v>787.6</v>
          </cell>
          <cell r="F276">
            <v>592.4</v>
          </cell>
          <cell r="H276">
            <v>19</v>
          </cell>
          <cell r="J276">
            <v>123.2</v>
          </cell>
          <cell r="L276">
            <v>734.6</v>
          </cell>
          <cell r="P276">
            <v>0</v>
          </cell>
          <cell r="Q276">
            <v>15577</v>
          </cell>
          <cell r="R276">
            <v>999</v>
          </cell>
          <cell r="S276">
            <v>999</v>
          </cell>
          <cell r="AC276">
            <v>4500</v>
          </cell>
          <cell r="AE276">
            <v>0</v>
          </cell>
          <cell r="AK276">
            <v>922</v>
          </cell>
          <cell r="AM276">
            <v>1.377</v>
          </cell>
          <cell r="AN276">
            <v>33.53</v>
          </cell>
          <cell r="AO276">
            <v>749.72799999999995</v>
          </cell>
          <cell r="AP276" t="str">
            <v>M.Szwyd</v>
          </cell>
        </row>
        <row r="277">
          <cell r="A277">
            <v>40084</v>
          </cell>
          <cell r="C277">
            <v>787.5</v>
          </cell>
          <cell r="D277">
            <v>787.5</v>
          </cell>
          <cell r="F277">
            <v>591.1</v>
          </cell>
          <cell r="G277">
            <v>38</v>
          </cell>
          <cell r="H277">
            <v>19.399999999999999</v>
          </cell>
          <cell r="J277">
            <v>104</v>
          </cell>
          <cell r="K277">
            <v>30.2</v>
          </cell>
          <cell r="L277">
            <v>782.7</v>
          </cell>
          <cell r="P277">
            <v>0</v>
          </cell>
          <cell r="Q277">
            <v>15558</v>
          </cell>
          <cell r="R277">
            <v>997</v>
          </cell>
          <cell r="S277">
            <v>997</v>
          </cell>
          <cell r="U277">
            <v>85.52</v>
          </cell>
          <cell r="X277">
            <v>594</v>
          </cell>
          <cell r="Z277">
            <v>50.58</v>
          </cell>
          <cell r="AC277">
            <v>4800</v>
          </cell>
          <cell r="AE277">
            <v>0</v>
          </cell>
          <cell r="AJ277">
            <v>48.06</v>
          </cell>
          <cell r="AK277">
            <v>873</v>
          </cell>
          <cell r="AM277">
            <v>2.2440000000000002</v>
          </cell>
          <cell r="AN277">
            <v>31.286000000000001</v>
          </cell>
          <cell r="AO277">
            <v>749.42899999999997</v>
          </cell>
          <cell r="AP277" t="str">
            <v>M.Trzaskalski</v>
          </cell>
        </row>
        <row r="278">
          <cell r="A278">
            <v>40085</v>
          </cell>
          <cell r="C278">
            <v>767.1</v>
          </cell>
          <cell r="D278">
            <v>767.1</v>
          </cell>
          <cell r="F278">
            <v>591</v>
          </cell>
          <cell r="G278">
            <v>76.313999999999993</v>
          </cell>
          <cell r="H278">
            <v>18.399999999999999</v>
          </cell>
          <cell r="J278">
            <v>96</v>
          </cell>
          <cell r="K278">
            <v>31</v>
          </cell>
          <cell r="L278">
            <v>812.71399999999994</v>
          </cell>
          <cell r="M278">
            <v>10.120000000000001</v>
          </cell>
          <cell r="P278">
            <v>1.48</v>
          </cell>
          <cell r="Q278">
            <v>15501</v>
          </cell>
          <cell r="R278">
            <v>997</v>
          </cell>
          <cell r="S278">
            <v>936.875</v>
          </cell>
          <cell r="U278">
            <v>24</v>
          </cell>
          <cell r="Z278">
            <v>127.54</v>
          </cell>
          <cell r="AC278">
            <v>5600</v>
          </cell>
          <cell r="AE278">
            <v>0</v>
          </cell>
          <cell r="AH278">
            <v>185</v>
          </cell>
          <cell r="AJ278">
            <v>75.14</v>
          </cell>
          <cell r="AK278">
            <v>983</v>
          </cell>
          <cell r="AM278">
            <v>2.38</v>
          </cell>
          <cell r="AN278">
            <v>28.905999999999999</v>
          </cell>
          <cell r="AO278">
            <v>739.38300000000004</v>
          </cell>
          <cell r="AP278" t="str">
            <v>M.Trzaskalski</v>
          </cell>
        </row>
        <row r="279">
          <cell r="A279">
            <v>40086</v>
          </cell>
          <cell r="C279">
            <v>745.9</v>
          </cell>
          <cell r="D279">
            <v>736.3</v>
          </cell>
          <cell r="F279">
            <v>716.6</v>
          </cell>
          <cell r="H279">
            <v>3.1340000000000003</v>
          </cell>
          <cell r="J279">
            <v>370.05599999999998</v>
          </cell>
          <cell r="K279">
            <v>164.51</v>
          </cell>
          <cell r="L279">
            <v>1254.3</v>
          </cell>
          <cell r="P279">
            <v>0</v>
          </cell>
          <cell r="Q279">
            <v>15556</v>
          </cell>
          <cell r="R279">
            <v>1068</v>
          </cell>
          <cell r="S279">
            <v>1068</v>
          </cell>
          <cell r="U279">
            <v>351.18</v>
          </cell>
          <cell r="W279">
            <v>2847.5909999999999</v>
          </cell>
          <cell r="X279">
            <v>-961.55</v>
          </cell>
          <cell r="Y279">
            <v>113.6</v>
          </cell>
          <cell r="Z279">
            <v>155.47999999999999</v>
          </cell>
          <cell r="AC279">
            <v>5600</v>
          </cell>
          <cell r="AE279">
            <v>0</v>
          </cell>
          <cell r="AI279">
            <v>1066.32</v>
          </cell>
          <cell r="AJ279">
            <v>-1140.6000000000001</v>
          </cell>
          <cell r="AK279">
            <v>880</v>
          </cell>
          <cell r="AM279">
            <v>1.464</v>
          </cell>
          <cell r="AN279">
            <v>27.442</v>
          </cell>
          <cell r="AO279">
            <v>718.68600000000004</v>
          </cell>
          <cell r="AP279" t="str">
            <v>M.Trzaskalski</v>
          </cell>
        </row>
        <row r="280">
          <cell r="A280">
            <v>40087</v>
          </cell>
          <cell r="C280">
            <v>726.1</v>
          </cell>
          <cell r="D280">
            <v>726.1</v>
          </cell>
          <cell r="F280">
            <v>588.79999999999995</v>
          </cell>
          <cell r="K280">
            <v>26.2</v>
          </cell>
          <cell r="L280">
            <v>615</v>
          </cell>
          <cell r="P280">
            <v>0</v>
          </cell>
          <cell r="Q280">
            <v>15661</v>
          </cell>
          <cell r="R280">
            <v>993</v>
          </cell>
          <cell r="S280">
            <v>902.97500000000002</v>
          </cell>
          <cell r="U280">
            <v>108</v>
          </cell>
          <cell r="X280">
            <v>439</v>
          </cell>
          <cell r="Y280">
            <v>397</v>
          </cell>
          <cell r="Z280">
            <v>154.04</v>
          </cell>
          <cell r="AC280">
            <v>5200</v>
          </cell>
          <cell r="AD280">
            <v>170</v>
          </cell>
          <cell r="AE280">
            <v>170</v>
          </cell>
          <cell r="AH280">
            <v>277</v>
          </cell>
          <cell r="AJ280">
            <v>24.02</v>
          </cell>
          <cell r="AK280">
            <v>1133</v>
          </cell>
          <cell r="AM280">
            <v>2.8450000000000002</v>
          </cell>
          <cell r="AN280">
            <v>24.597000000000001</v>
          </cell>
          <cell r="AO280">
            <v>696.11099999999999</v>
          </cell>
          <cell r="AP280" t="str">
            <v>M.Trzaskalski</v>
          </cell>
        </row>
        <row r="281">
          <cell r="A281">
            <v>40088</v>
          </cell>
          <cell r="C281">
            <v>727.2</v>
          </cell>
          <cell r="D281">
            <v>727.2</v>
          </cell>
          <cell r="F281">
            <v>591.1</v>
          </cell>
          <cell r="H281">
            <v>19.899999999999999</v>
          </cell>
          <cell r="J281">
            <v>42</v>
          </cell>
          <cell r="K281">
            <v>30</v>
          </cell>
          <cell r="L281">
            <v>683</v>
          </cell>
          <cell r="P281">
            <v>0</v>
          </cell>
          <cell r="Q281">
            <v>15682</v>
          </cell>
          <cell r="R281">
            <v>997</v>
          </cell>
          <cell r="S281">
            <v>967.42499999999995</v>
          </cell>
          <cell r="U281">
            <v>48</v>
          </cell>
          <cell r="X281">
            <v>668</v>
          </cell>
          <cell r="Z281">
            <v>102.2</v>
          </cell>
          <cell r="AC281">
            <v>5300</v>
          </cell>
          <cell r="AE281">
            <v>0</v>
          </cell>
          <cell r="AH281">
            <v>91</v>
          </cell>
          <cell r="AJ281">
            <v>125.92</v>
          </cell>
          <cell r="AK281">
            <v>1098</v>
          </cell>
          <cell r="AM281">
            <v>1.484</v>
          </cell>
          <cell r="AN281">
            <v>23.113</v>
          </cell>
          <cell r="AO281">
            <v>699.12199999999996</v>
          </cell>
          <cell r="AP281" t="str">
            <v>P.Witkowski</v>
          </cell>
        </row>
        <row r="282">
          <cell r="A282">
            <v>40089</v>
          </cell>
          <cell r="C282">
            <v>726</v>
          </cell>
          <cell r="D282">
            <v>726</v>
          </cell>
          <cell r="F282">
            <v>591.5</v>
          </cell>
          <cell r="H282">
            <v>13.9</v>
          </cell>
          <cell r="J282">
            <v>90</v>
          </cell>
          <cell r="K282">
            <v>31.6</v>
          </cell>
          <cell r="L282">
            <v>727</v>
          </cell>
          <cell r="P282">
            <v>0</v>
          </cell>
          <cell r="Q282">
            <v>15669</v>
          </cell>
          <cell r="R282">
            <v>997</v>
          </cell>
          <cell r="S282">
            <v>952.15</v>
          </cell>
          <cell r="U282">
            <v>24</v>
          </cell>
          <cell r="X282">
            <v>605</v>
          </cell>
          <cell r="AC282">
            <v>5700</v>
          </cell>
          <cell r="AE282">
            <v>0</v>
          </cell>
          <cell r="AH282">
            <v>138</v>
          </cell>
          <cell r="AK282">
            <v>1236</v>
          </cell>
          <cell r="AM282">
            <v>1.4850000000000001</v>
          </cell>
          <cell r="AN282">
            <v>21.628</v>
          </cell>
          <cell r="AO282">
            <v>699.803</v>
          </cell>
          <cell r="AP282" t="str">
            <v>P.Witkowski</v>
          </cell>
        </row>
        <row r="283">
          <cell r="A283">
            <v>40090</v>
          </cell>
          <cell r="C283">
            <v>726.3</v>
          </cell>
          <cell r="D283">
            <v>726.3</v>
          </cell>
          <cell r="F283">
            <v>589.70000000000005</v>
          </cell>
          <cell r="J283">
            <v>93.2</v>
          </cell>
          <cell r="L283">
            <v>682.90000000000009</v>
          </cell>
          <cell r="P283">
            <v>0</v>
          </cell>
          <cell r="Q283">
            <v>15685</v>
          </cell>
          <cell r="R283">
            <v>995</v>
          </cell>
          <cell r="S283">
            <v>936.17499999999995</v>
          </cell>
          <cell r="AC283">
            <v>6600</v>
          </cell>
          <cell r="AE283">
            <v>0</v>
          </cell>
          <cell r="AH283">
            <v>181</v>
          </cell>
          <cell r="AJ283">
            <v>115.06</v>
          </cell>
          <cell r="AK283">
            <v>1302</v>
          </cell>
          <cell r="AM283">
            <v>1.4850000000000001</v>
          </cell>
          <cell r="AN283">
            <v>20.143000000000001</v>
          </cell>
          <cell r="AO283">
            <v>697.31899999999996</v>
          </cell>
          <cell r="AP283" t="str">
            <v>P.Witkowski</v>
          </cell>
        </row>
        <row r="284">
          <cell r="A284">
            <v>40091</v>
          </cell>
          <cell r="C284">
            <v>726.1</v>
          </cell>
          <cell r="D284">
            <v>726.1</v>
          </cell>
          <cell r="F284">
            <v>589.70000000000005</v>
          </cell>
          <cell r="J284">
            <v>70.8</v>
          </cell>
          <cell r="L284">
            <v>660.5</v>
          </cell>
          <cell r="P284">
            <v>0</v>
          </cell>
          <cell r="Q284">
            <v>15761</v>
          </cell>
          <cell r="R284">
            <v>994</v>
          </cell>
          <cell r="S284">
            <v>994</v>
          </cell>
          <cell r="U284">
            <v>265</v>
          </cell>
          <cell r="AC284">
            <v>7100</v>
          </cell>
          <cell r="AE284">
            <v>0</v>
          </cell>
          <cell r="AJ284">
            <v>24.06</v>
          </cell>
          <cell r="AK284">
            <v>1278</v>
          </cell>
          <cell r="AM284">
            <v>4</v>
          </cell>
          <cell r="AN284">
            <v>16.143000000000001</v>
          </cell>
          <cell r="AO284">
            <v>699.02599999999995</v>
          </cell>
          <cell r="AP284" t="str">
            <v>P.Witkowski</v>
          </cell>
        </row>
        <row r="285">
          <cell r="A285">
            <v>40092</v>
          </cell>
          <cell r="C285">
            <v>725.2</v>
          </cell>
          <cell r="D285">
            <v>725.2</v>
          </cell>
          <cell r="F285">
            <v>591.1</v>
          </cell>
          <cell r="H285">
            <v>14.2</v>
          </cell>
          <cell r="J285">
            <v>96</v>
          </cell>
          <cell r="K285">
            <v>14.4</v>
          </cell>
          <cell r="L285">
            <v>715.7</v>
          </cell>
          <cell r="P285">
            <v>0</v>
          </cell>
          <cell r="Q285">
            <v>15786</v>
          </cell>
          <cell r="R285">
            <v>997</v>
          </cell>
          <cell r="S285">
            <v>997</v>
          </cell>
          <cell r="U285">
            <v>168</v>
          </cell>
          <cell r="X285">
            <v>604</v>
          </cell>
          <cell r="AC285">
            <v>7300</v>
          </cell>
          <cell r="AE285">
            <v>0</v>
          </cell>
          <cell r="AJ285">
            <v>75.3</v>
          </cell>
          <cell r="AK285">
            <v>1202</v>
          </cell>
          <cell r="AM285">
            <v>0.51600000000000001</v>
          </cell>
          <cell r="AN285">
            <v>15.627000000000001</v>
          </cell>
          <cell r="AO285">
            <v>698.80200000000002</v>
          </cell>
          <cell r="AP285" t="str">
            <v>M.Szwyd</v>
          </cell>
        </row>
        <row r="286">
          <cell r="A286">
            <v>40093</v>
          </cell>
          <cell r="C286">
            <v>724.2</v>
          </cell>
          <cell r="D286">
            <v>724.2</v>
          </cell>
          <cell r="F286">
            <v>590.4</v>
          </cell>
          <cell r="H286">
            <v>18.7</v>
          </cell>
          <cell r="J286">
            <v>97</v>
          </cell>
          <cell r="L286">
            <v>706.1</v>
          </cell>
          <cell r="P286">
            <v>0</v>
          </cell>
          <cell r="Q286">
            <v>15780</v>
          </cell>
          <cell r="R286">
            <v>996</v>
          </cell>
          <cell r="S286">
            <v>996</v>
          </cell>
          <cell r="U286">
            <v>192</v>
          </cell>
          <cell r="X286">
            <v>396</v>
          </cell>
          <cell r="Y286">
            <v>150.30000000000001</v>
          </cell>
          <cell r="AC286">
            <v>7600</v>
          </cell>
          <cell r="AE286">
            <v>0</v>
          </cell>
          <cell r="AJ286">
            <v>50.14</v>
          </cell>
          <cell r="AK286">
            <v>1154</v>
          </cell>
          <cell r="AL286">
            <v>24</v>
          </cell>
          <cell r="AM286">
            <v>0</v>
          </cell>
          <cell r="AN286">
            <v>39.627000000000002</v>
          </cell>
          <cell r="AO286">
            <v>696.58100000000002</v>
          </cell>
          <cell r="AP286" t="str">
            <v>M.Szwyd</v>
          </cell>
        </row>
        <row r="287">
          <cell r="A287">
            <v>40094</v>
          </cell>
          <cell r="C287">
            <v>723.9</v>
          </cell>
          <cell r="D287">
            <v>723.9</v>
          </cell>
          <cell r="F287">
            <v>590.29999999999995</v>
          </cell>
          <cell r="G287">
            <v>75</v>
          </cell>
          <cell r="H287">
            <v>18.899999999999999</v>
          </cell>
          <cell r="J287">
            <v>100</v>
          </cell>
          <cell r="L287">
            <v>784.19999999999993</v>
          </cell>
          <cell r="M287">
            <v>5.92</v>
          </cell>
          <cell r="P287">
            <v>5.92</v>
          </cell>
          <cell r="Q287">
            <v>15702</v>
          </cell>
          <cell r="R287">
            <v>995</v>
          </cell>
          <cell r="S287">
            <v>995</v>
          </cell>
          <cell r="U287">
            <v>144</v>
          </cell>
          <cell r="X287">
            <v>540</v>
          </cell>
          <cell r="AA287">
            <v>2050</v>
          </cell>
          <cell r="AC287">
            <v>5900</v>
          </cell>
          <cell r="AE287">
            <v>0</v>
          </cell>
          <cell r="AJ287">
            <v>51.36</v>
          </cell>
          <cell r="AK287">
            <v>1102</v>
          </cell>
          <cell r="AM287">
            <v>0.72</v>
          </cell>
          <cell r="AN287">
            <v>38.906999999999996</v>
          </cell>
          <cell r="AO287">
            <v>698.35599999999999</v>
          </cell>
          <cell r="AP287" t="str">
            <v>M.Trzaskalski</v>
          </cell>
        </row>
        <row r="288">
          <cell r="A288">
            <v>40095</v>
          </cell>
          <cell r="C288">
            <v>724</v>
          </cell>
          <cell r="D288">
            <v>724</v>
          </cell>
          <cell r="F288">
            <v>590.1</v>
          </cell>
          <cell r="G288">
            <v>26</v>
          </cell>
          <cell r="H288">
            <v>19.2</v>
          </cell>
          <cell r="J288">
            <v>82.1</v>
          </cell>
          <cell r="L288">
            <v>717.40000000000009</v>
          </cell>
          <cell r="P288">
            <v>0</v>
          </cell>
          <cell r="Q288">
            <v>15689</v>
          </cell>
          <cell r="R288">
            <v>995</v>
          </cell>
          <cell r="S288">
            <v>957.95</v>
          </cell>
          <cell r="U288">
            <v>238</v>
          </cell>
          <cell r="X288">
            <v>505</v>
          </cell>
          <cell r="Z288">
            <v>51.76</v>
          </cell>
          <cell r="AA288">
            <v>3010</v>
          </cell>
          <cell r="AC288">
            <v>3000</v>
          </cell>
          <cell r="AE288">
            <v>0</v>
          </cell>
          <cell r="AH288">
            <v>114</v>
          </cell>
          <cell r="AK288">
            <v>1216</v>
          </cell>
          <cell r="AM288">
            <v>0.97</v>
          </cell>
          <cell r="AN288">
            <v>37.936999999999998</v>
          </cell>
          <cell r="AO288">
            <v>700.13699999999994</v>
          </cell>
          <cell r="AP288" t="str">
            <v>M.Karlewski</v>
          </cell>
        </row>
        <row r="289">
          <cell r="A289">
            <v>40096</v>
          </cell>
          <cell r="C289">
            <v>723.3</v>
          </cell>
          <cell r="D289">
            <v>723.3</v>
          </cell>
          <cell r="F289">
            <v>590.20000000000005</v>
          </cell>
          <cell r="H289">
            <v>21.3</v>
          </cell>
          <cell r="J289">
            <v>83.5</v>
          </cell>
          <cell r="L289">
            <v>695</v>
          </cell>
          <cell r="P289">
            <v>0</v>
          </cell>
          <cell r="Q289">
            <v>15701</v>
          </cell>
          <cell r="R289">
            <v>995</v>
          </cell>
          <cell r="S289">
            <v>995</v>
          </cell>
          <cell r="AA289">
            <v>442.83</v>
          </cell>
          <cell r="AC289">
            <v>3600</v>
          </cell>
          <cell r="AE289">
            <v>0</v>
          </cell>
          <cell r="AK289">
            <v>1216</v>
          </cell>
          <cell r="AM289">
            <v>0.97099999999999997</v>
          </cell>
          <cell r="AN289">
            <v>36.966000000000001</v>
          </cell>
          <cell r="AO289">
            <v>699.53599999999994</v>
          </cell>
          <cell r="AP289" t="str">
            <v>M.Karlewski</v>
          </cell>
        </row>
        <row r="290">
          <cell r="A290">
            <v>40097</v>
          </cell>
          <cell r="C290">
            <v>722.5</v>
          </cell>
          <cell r="D290">
            <v>722.5</v>
          </cell>
          <cell r="F290">
            <v>589.9</v>
          </cell>
          <cell r="G290">
            <v>52</v>
          </cell>
          <cell r="H290">
            <v>19.2</v>
          </cell>
          <cell r="J290">
            <v>90</v>
          </cell>
          <cell r="L290">
            <v>751.1</v>
          </cell>
          <cell r="P290">
            <v>0</v>
          </cell>
          <cell r="Q290">
            <v>15652</v>
          </cell>
          <cell r="R290">
            <v>995</v>
          </cell>
          <cell r="S290">
            <v>980.375</v>
          </cell>
          <cell r="U290">
            <v>24</v>
          </cell>
          <cell r="X290">
            <v>653</v>
          </cell>
          <cell r="AC290">
            <v>3900</v>
          </cell>
          <cell r="AE290">
            <v>0</v>
          </cell>
          <cell r="AH290">
            <v>45</v>
          </cell>
          <cell r="AK290">
            <v>1261</v>
          </cell>
          <cell r="AM290">
            <v>0.97099999999999997</v>
          </cell>
          <cell r="AN290">
            <v>35.994999999999997</v>
          </cell>
          <cell r="AO290">
            <v>698.85699999999997</v>
          </cell>
          <cell r="AP290" t="str">
            <v>M.Karlewski</v>
          </cell>
        </row>
        <row r="291">
          <cell r="A291">
            <v>40098</v>
          </cell>
          <cell r="C291">
            <v>722.4</v>
          </cell>
          <cell r="D291">
            <v>722.4</v>
          </cell>
          <cell r="F291">
            <v>590.29999999999995</v>
          </cell>
          <cell r="G291">
            <v>113</v>
          </cell>
          <cell r="H291">
            <v>19.399999999999999</v>
          </cell>
          <cell r="J291">
            <v>132.9</v>
          </cell>
          <cell r="L291">
            <v>855.59999999999991</v>
          </cell>
          <cell r="P291">
            <v>0</v>
          </cell>
          <cell r="Q291">
            <v>15481</v>
          </cell>
          <cell r="R291">
            <v>995</v>
          </cell>
          <cell r="S291">
            <v>995</v>
          </cell>
          <cell r="U291">
            <v>72</v>
          </cell>
          <cell r="X291">
            <v>366</v>
          </cell>
          <cell r="Y291">
            <v>24</v>
          </cell>
          <cell r="AA291">
            <v>350</v>
          </cell>
          <cell r="AC291">
            <v>4200</v>
          </cell>
          <cell r="AE291">
            <v>0</v>
          </cell>
          <cell r="AJ291">
            <v>24.02</v>
          </cell>
          <cell r="AK291">
            <v>1236</v>
          </cell>
          <cell r="AM291">
            <v>0.69199999999999995</v>
          </cell>
          <cell r="AN291">
            <v>35.302999999999997</v>
          </cell>
          <cell r="AO291">
            <v>700.16899999999998</v>
          </cell>
          <cell r="AP291" t="str">
            <v>M.Karlewski</v>
          </cell>
        </row>
        <row r="292">
          <cell r="A292">
            <v>40099</v>
          </cell>
          <cell r="C292">
            <v>722.4</v>
          </cell>
          <cell r="D292">
            <v>722.4</v>
          </cell>
          <cell r="F292">
            <v>589.6</v>
          </cell>
          <cell r="G292">
            <v>18</v>
          </cell>
          <cell r="H292">
            <v>16.100000000000001</v>
          </cell>
          <cell r="K292">
            <v>48</v>
          </cell>
          <cell r="L292">
            <v>671.7</v>
          </cell>
          <cell r="M292">
            <v>-0.46</v>
          </cell>
          <cell r="P292">
            <v>-0.46</v>
          </cell>
          <cell r="Q292">
            <v>15520</v>
          </cell>
          <cell r="R292">
            <v>994</v>
          </cell>
          <cell r="S292">
            <v>994</v>
          </cell>
          <cell r="U292">
            <v>120</v>
          </cell>
          <cell r="AA292">
            <v>1054.6030000000001</v>
          </cell>
          <cell r="AC292">
            <v>4200</v>
          </cell>
          <cell r="AE292">
            <v>0</v>
          </cell>
          <cell r="AJ292">
            <v>150.13999999999999</v>
          </cell>
          <cell r="AK292">
            <v>1087</v>
          </cell>
          <cell r="AM292">
            <v>1.1479999999999999</v>
          </cell>
          <cell r="AN292">
            <v>34.155000000000001</v>
          </cell>
          <cell r="AO292">
            <v>703.94299999999998</v>
          </cell>
          <cell r="AP292" t="str">
            <v>M.Karlewski</v>
          </cell>
        </row>
        <row r="293">
          <cell r="A293">
            <v>40100</v>
          </cell>
          <cell r="C293">
            <v>721.3</v>
          </cell>
          <cell r="D293">
            <v>721.3</v>
          </cell>
          <cell r="F293">
            <v>592.29999999999995</v>
          </cell>
          <cell r="G293">
            <v>99</v>
          </cell>
          <cell r="H293">
            <v>18.100000000000001</v>
          </cell>
          <cell r="K293">
            <v>53.4</v>
          </cell>
          <cell r="L293">
            <v>762.8</v>
          </cell>
          <cell r="M293">
            <v>1.38</v>
          </cell>
          <cell r="P293">
            <v>1.38</v>
          </cell>
          <cell r="Q293">
            <v>15481</v>
          </cell>
          <cell r="R293">
            <v>999</v>
          </cell>
          <cell r="S293">
            <v>973</v>
          </cell>
          <cell r="U293">
            <v>90</v>
          </cell>
          <cell r="AC293">
            <v>5100</v>
          </cell>
          <cell r="AE293">
            <v>0</v>
          </cell>
          <cell r="AH293">
            <v>80</v>
          </cell>
          <cell r="AJ293">
            <v>101.52</v>
          </cell>
          <cell r="AK293">
            <v>1078</v>
          </cell>
          <cell r="AL293">
            <v>19</v>
          </cell>
          <cell r="AM293">
            <v>1.0269999999999999</v>
          </cell>
          <cell r="AN293">
            <v>52.128</v>
          </cell>
          <cell r="AO293">
            <v>705.46500000000003</v>
          </cell>
          <cell r="AP293" t="str">
            <v>P.Witkowski</v>
          </cell>
        </row>
        <row r="294">
          <cell r="A294">
            <v>40101</v>
          </cell>
          <cell r="C294">
            <v>719.5</v>
          </cell>
          <cell r="D294">
            <v>719.5</v>
          </cell>
          <cell r="F294">
            <v>590.20000000000005</v>
          </cell>
          <cell r="G294">
            <v>66.8</v>
          </cell>
          <cell r="H294">
            <v>18.899999999999999</v>
          </cell>
          <cell r="J294">
            <v>58</v>
          </cell>
          <cell r="K294">
            <v>50.4</v>
          </cell>
          <cell r="L294">
            <v>784.3</v>
          </cell>
          <cell r="M294">
            <v>0.9</v>
          </cell>
          <cell r="P294">
            <v>0.9</v>
          </cell>
          <cell r="Q294">
            <v>15333.5</v>
          </cell>
          <cell r="R294">
            <v>995</v>
          </cell>
          <cell r="S294">
            <v>980.375</v>
          </cell>
          <cell r="U294">
            <v>102</v>
          </cell>
          <cell r="X294">
            <v>601.77</v>
          </cell>
          <cell r="AC294">
            <v>5400</v>
          </cell>
          <cell r="AE294">
            <v>0</v>
          </cell>
          <cell r="AH294">
            <v>45</v>
          </cell>
          <cell r="AJ294">
            <v>24.02</v>
          </cell>
          <cell r="AK294">
            <v>1099</v>
          </cell>
          <cell r="AM294">
            <v>0.46300000000000002</v>
          </cell>
          <cell r="AN294">
            <v>51.344999999999999</v>
          </cell>
          <cell r="AO294">
            <v>705.17700000000002</v>
          </cell>
          <cell r="AP294" t="str">
            <v>P.Witkowski</v>
          </cell>
        </row>
        <row r="295">
          <cell r="A295">
            <v>40102</v>
          </cell>
          <cell r="C295">
            <v>718.4</v>
          </cell>
          <cell r="D295">
            <v>718.4</v>
          </cell>
          <cell r="F295">
            <v>592.29999999999995</v>
          </cell>
          <cell r="G295">
            <v>34</v>
          </cell>
          <cell r="H295">
            <v>17.600000000000001</v>
          </cell>
          <cell r="J295">
            <v>149</v>
          </cell>
          <cell r="L295">
            <v>792.9</v>
          </cell>
          <cell r="M295">
            <v>6.54</v>
          </cell>
          <cell r="P295">
            <v>6.54</v>
          </cell>
          <cell r="Q295">
            <v>15249</v>
          </cell>
          <cell r="R295">
            <v>999</v>
          </cell>
          <cell r="S295">
            <v>730.875</v>
          </cell>
          <cell r="U295">
            <v>168</v>
          </cell>
          <cell r="X295">
            <v>580</v>
          </cell>
          <cell r="Y295">
            <v>76</v>
          </cell>
          <cell r="AC295">
            <v>5200</v>
          </cell>
          <cell r="AD295">
            <v>208</v>
          </cell>
          <cell r="AE295">
            <v>208</v>
          </cell>
          <cell r="AH295">
            <v>185</v>
          </cell>
          <cell r="AJ295">
            <v>77.48</v>
          </cell>
          <cell r="AK295">
            <v>1207</v>
          </cell>
          <cell r="AM295">
            <v>1.829</v>
          </cell>
          <cell r="AN295">
            <v>49.515999999999998</v>
          </cell>
          <cell r="AO295">
            <v>702.428</v>
          </cell>
          <cell r="AP295" t="str">
            <v>M.Trzaskalski</v>
          </cell>
        </row>
        <row r="296">
          <cell r="A296">
            <v>40103</v>
          </cell>
          <cell r="C296">
            <v>717.6</v>
          </cell>
          <cell r="D296">
            <v>717.6</v>
          </cell>
          <cell r="F296">
            <v>590.9</v>
          </cell>
          <cell r="H296">
            <v>18.600000000000001</v>
          </cell>
          <cell r="J296">
            <v>150</v>
          </cell>
          <cell r="L296">
            <v>759.5</v>
          </cell>
          <cell r="P296">
            <v>0</v>
          </cell>
          <cell r="Q296">
            <v>15193</v>
          </cell>
          <cell r="R296">
            <v>996</v>
          </cell>
          <cell r="S296">
            <v>774.75</v>
          </cell>
          <cell r="U296">
            <v>40.799999999999997</v>
          </cell>
          <cell r="X296">
            <v>795</v>
          </cell>
          <cell r="AC296">
            <v>4900</v>
          </cell>
          <cell r="AD296">
            <v>192</v>
          </cell>
          <cell r="AE296">
            <v>192</v>
          </cell>
          <cell r="AH296">
            <v>90</v>
          </cell>
          <cell r="AK296">
            <v>1297</v>
          </cell>
          <cell r="AM296">
            <v>1.8280000000000001</v>
          </cell>
          <cell r="AN296">
            <v>47.688000000000002</v>
          </cell>
          <cell r="AO296">
            <v>702.32299999999998</v>
          </cell>
          <cell r="AP296" t="str">
            <v>M.Trzaskalski</v>
          </cell>
        </row>
        <row r="297">
          <cell r="A297">
            <v>40104</v>
          </cell>
          <cell r="C297">
            <v>717</v>
          </cell>
          <cell r="D297">
            <v>717</v>
          </cell>
          <cell r="F297">
            <v>591.4</v>
          </cell>
          <cell r="H297">
            <v>18.2</v>
          </cell>
          <cell r="J297">
            <v>155</v>
          </cell>
          <cell r="L297">
            <v>764.6</v>
          </cell>
          <cell r="P297">
            <v>0</v>
          </cell>
          <cell r="Q297">
            <v>15115</v>
          </cell>
          <cell r="R297">
            <v>996</v>
          </cell>
          <cell r="S297">
            <v>996</v>
          </cell>
          <cell r="X297">
            <v>1049</v>
          </cell>
          <cell r="AC297">
            <v>4900</v>
          </cell>
          <cell r="AE297">
            <v>0</v>
          </cell>
          <cell r="AJ297">
            <v>26.04</v>
          </cell>
          <cell r="AK297">
            <v>1272</v>
          </cell>
          <cell r="AM297">
            <v>1.8280000000000001</v>
          </cell>
          <cell r="AN297">
            <v>45.86</v>
          </cell>
          <cell r="AO297">
            <v>703.34900000000005</v>
          </cell>
          <cell r="AP297" t="str">
            <v>M.Trzaskalski</v>
          </cell>
        </row>
        <row r="298">
          <cell r="A298">
            <v>40105</v>
          </cell>
          <cell r="C298">
            <v>716.2</v>
          </cell>
          <cell r="D298">
            <v>716.2</v>
          </cell>
          <cell r="F298">
            <v>591</v>
          </cell>
          <cell r="H298">
            <v>17.2</v>
          </cell>
          <cell r="J298">
            <v>143.9</v>
          </cell>
          <cell r="L298">
            <v>752.1</v>
          </cell>
          <cell r="M298">
            <v>0.91300000000000003</v>
          </cell>
          <cell r="P298">
            <v>0.91300000000000003</v>
          </cell>
          <cell r="Q298">
            <v>15049</v>
          </cell>
          <cell r="R298">
            <v>997</v>
          </cell>
          <cell r="S298">
            <v>997</v>
          </cell>
          <cell r="U298">
            <v>280.5</v>
          </cell>
          <cell r="Y298">
            <v>364.3</v>
          </cell>
          <cell r="AC298">
            <v>5400</v>
          </cell>
          <cell r="AE298">
            <v>0</v>
          </cell>
          <cell r="AJ298">
            <v>48.34</v>
          </cell>
          <cell r="AK298">
            <v>1223</v>
          </cell>
          <cell r="AM298">
            <v>1.194</v>
          </cell>
          <cell r="AN298">
            <v>44.665999999999997</v>
          </cell>
          <cell r="AO298">
            <v>701.85400000000004</v>
          </cell>
          <cell r="AP298" t="str">
            <v>M.Trzaskalski</v>
          </cell>
        </row>
        <row r="299">
          <cell r="A299">
            <v>40106</v>
          </cell>
          <cell r="C299">
            <v>713.5</v>
          </cell>
          <cell r="D299">
            <v>713.5</v>
          </cell>
          <cell r="F299">
            <v>591.29999999999995</v>
          </cell>
          <cell r="H299">
            <v>16.899999999999999</v>
          </cell>
          <cell r="J299">
            <v>144.5</v>
          </cell>
          <cell r="L299">
            <v>752.69999999999993</v>
          </cell>
          <cell r="M299">
            <v>2</v>
          </cell>
          <cell r="P299">
            <v>2</v>
          </cell>
          <cell r="Q299">
            <v>14983</v>
          </cell>
          <cell r="R299">
            <v>997</v>
          </cell>
          <cell r="S299">
            <v>997</v>
          </cell>
          <cell r="U299">
            <v>191</v>
          </cell>
          <cell r="Y299">
            <v>24</v>
          </cell>
          <cell r="Z299">
            <v>77.540000000000006</v>
          </cell>
          <cell r="AC299">
            <v>6100</v>
          </cell>
          <cell r="AE299">
            <v>0</v>
          </cell>
          <cell r="AJ299">
            <v>101.08</v>
          </cell>
          <cell r="AK299">
            <v>1123</v>
          </cell>
          <cell r="AM299">
            <v>2.5779999999999998</v>
          </cell>
          <cell r="AN299">
            <v>42.088000000000001</v>
          </cell>
          <cell r="AO299">
            <v>702.63400000000001</v>
          </cell>
          <cell r="AP299" t="str">
            <v>M.Trzaskalski</v>
          </cell>
        </row>
        <row r="300">
          <cell r="A300">
            <v>40107</v>
          </cell>
          <cell r="C300">
            <v>712</v>
          </cell>
          <cell r="D300">
            <v>712</v>
          </cell>
          <cell r="F300">
            <v>590.6</v>
          </cell>
          <cell r="G300">
            <v>82</v>
          </cell>
          <cell r="H300">
            <v>22.5</v>
          </cell>
          <cell r="J300">
            <v>173</v>
          </cell>
          <cell r="L300">
            <v>868.1</v>
          </cell>
          <cell r="P300">
            <v>0</v>
          </cell>
          <cell r="Q300">
            <v>14796</v>
          </cell>
          <cell r="R300">
            <v>996</v>
          </cell>
          <cell r="S300">
            <v>996</v>
          </cell>
          <cell r="U300">
            <v>158</v>
          </cell>
          <cell r="Y300">
            <v>383.5</v>
          </cell>
          <cell r="Z300">
            <v>228.2</v>
          </cell>
          <cell r="AC300">
            <v>6400</v>
          </cell>
          <cell r="AE300">
            <v>0</v>
          </cell>
          <cell r="AJ300">
            <v>95.44</v>
          </cell>
          <cell r="AK300">
            <v>1026</v>
          </cell>
          <cell r="AM300">
            <v>3.5840000000000001</v>
          </cell>
          <cell r="AN300">
            <v>38.503999999999998</v>
          </cell>
          <cell r="AO300">
            <v>701.19100000000003</v>
          </cell>
          <cell r="AP300" t="str">
            <v>M.Karlewski</v>
          </cell>
        </row>
        <row r="301">
          <cell r="A301">
            <v>40108</v>
          </cell>
          <cell r="C301">
            <v>711.2</v>
          </cell>
          <cell r="D301">
            <v>711.2</v>
          </cell>
          <cell r="F301">
            <v>590.20000000000005</v>
          </cell>
          <cell r="H301">
            <v>19.899999999999999</v>
          </cell>
          <cell r="J301">
            <v>152.4</v>
          </cell>
          <cell r="L301">
            <v>762.5</v>
          </cell>
          <cell r="P301">
            <v>0</v>
          </cell>
          <cell r="Q301">
            <v>14701</v>
          </cell>
          <cell r="R301">
            <v>995</v>
          </cell>
          <cell r="S301">
            <v>995</v>
          </cell>
          <cell r="U301">
            <v>552</v>
          </cell>
          <cell r="X301">
            <v>48</v>
          </cell>
          <cell r="Y301">
            <v>362</v>
          </cell>
          <cell r="AC301">
            <v>6400</v>
          </cell>
          <cell r="AE301">
            <v>0</v>
          </cell>
          <cell r="AJ301">
            <v>76.040000000000006</v>
          </cell>
          <cell r="AK301">
            <v>950</v>
          </cell>
          <cell r="AM301">
            <v>3.9830000000000001</v>
          </cell>
          <cell r="AN301">
            <v>34.521000000000001</v>
          </cell>
          <cell r="AO301">
            <v>699.26400000000001</v>
          </cell>
          <cell r="AP301" t="str">
            <v>M.Karlewski</v>
          </cell>
        </row>
        <row r="302">
          <cell r="A302">
            <v>40109</v>
          </cell>
          <cell r="C302">
            <v>710.4</v>
          </cell>
          <cell r="D302">
            <v>710.4</v>
          </cell>
          <cell r="F302">
            <v>592.1</v>
          </cell>
          <cell r="H302">
            <v>20.5</v>
          </cell>
          <cell r="J302">
            <v>68.900000000000006</v>
          </cell>
          <cell r="K302">
            <v>99</v>
          </cell>
          <cell r="L302">
            <v>780.5</v>
          </cell>
          <cell r="P302">
            <v>0</v>
          </cell>
          <cell r="Q302">
            <v>14619</v>
          </cell>
          <cell r="R302">
            <v>998</v>
          </cell>
          <cell r="S302">
            <v>998</v>
          </cell>
          <cell r="U302">
            <v>563.4</v>
          </cell>
          <cell r="X302">
            <v>887</v>
          </cell>
          <cell r="Y302">
            <v>332</v>
          </cell>
          <cell r="AC302">
            <v>5700</v>
          </cell>
          <cell r="AE302">
            <v>0</v>
          </cell>
          <cell r="AJ302">
            <v>100.9</v>
          </cell>
          <cell r="AK302">
            <v>849</v>
          </cell>
          <cell r="AM302">
            <v>6.4710000000000001</v>
          </cell>
          <cell r="AN302">
            <v>28.05</v>
          </cell>
          <cell r="AO302">
            <v>699.899</v>
          </cell>
          <cell r="AP302" t="str">
            <v>M.Szwyd</v>
          </cell>
        </row>
        <row r="303">
          <cell r="A303">
            <v>40110</v>
          </cell>
          <cell r="C303">
            <v>739.1</v>
          </cell>
          <cell r="D303">
            <v>739.1</v>
          </cell>
          <cell r="F303">
            <v>616.70000000000005</v>
          </cell>
          <cell r="H303">
            <v>25.6</v>
          </cell>
          <cell r="J303">
            <v>102</v>
          </cell>
          <cell r="K303">
            <v>50.2</v>
          </cell>
          <cell r="L303">
            <v>794.50000000000011</v>
          </cell>
          <cell r="P303">
            <v>0</v>
          </cell>
          <cell r="Q303">
            <v>14551</v>
          </cell>
          <cell r="R303">
            <v>1040</v>
          </cell>
          <cell r="S303">
            <v>1040</v>
          </cell>
          <cell r="U303">
            <v>864</v>
          </cell>
          <cell r="X303">
            <v>815</v>
          </cell>
          <cell r="Y303">
            <v>25</v>
          </cell>
          <cell r="AC303">
            <v>5100</v>
          </cell>
          <cell r="AE303">
            <v>0</v>
          </cell>
          <cell r="AK303">
            <v>849</v>
          </cell>
          <cell r="AM303">
            <v>5.47</v>
          </cell>
          <cell r="AN303">
            <v>22.58</v>
          </cell>
          <cell r="AO303">
            <v>699.61199999999997</v>
          </cell>
          <cell r="AP303" t="str">
            <v>M.Szwyd</v>
          </cell>
        </row>
        <row r="304">
          <cell r="A304">
            <v>40111</v>
          </cell>
          <cell r="C304">
            <v>557.70000000000005</v>
          </cell>
          <cell r="D304">
            <v>557.70000000000005</v>
          </cell>
          <cell r="F304">
            <v>296.10000000000002</v>
          </cell>
          <cell r="G304">
            <v>101</v>
          </cell>
          <cell r="H304">
            <v>20.399999999999999</v>
          </cell>
          <cell r="J304">
            <v>103</v>
          </cell>
          <cell r="K304">
            <v>45.3</v>
          </cell>
          <cell r="L304">
            <v>565.79999999999995</v>
          </cell>
          <cell r="M304">
            <v>0.92100000000000004</v>
          </cell>
          <cell r="P304">
            <v>0.92100000000000004</v>
          </cell>
          <cell r="Q304">
            <v>14528</v>
          </cell>
          <cell r="R304">
            <v>499</v>
          </cell>
          <cell r="S304">
            <v>499</v>
          </cell>
          <cell r="U304">
            <v>842.2</v>
          </cell>
          <cell r="X304">
            <v>264</v>
          </cell>
          <cell r="AC304">
            <v>4500</v>
          </cell>
          <cell r="AE304">
            <v>0</v>
          </cell>
          <cell r="AJ304">
            <v>26.05</v>
          </cell>
          <cell r="AK304">
            <v>822</v>
          </cell>
          <cell r="AM304">
            <v>1</v>
          </cell>
          <cell r="AN304">
            <v>21.58</v>
          </cell>
          <cell r="AO304">
            <v>698.72900000000004</v>
          </cell>
          <cell r="AP304" t="str">
            <v>M.Szwyd</v>
          </cell>
        </row>
        <row r="305">
          <cell r="A305">
            <v>40112</v>
          </cell>
          <cell r="D305">
            <v>0</v>
          </cell>
          <cell r="G305">
            <v>64</v>
          </cell>
          <cell r="H305">
            <v>17.8</v>
          </cell>
          <cell r="J305">
            <v>57</v>
          </cell>
          <cell r="K305">
            <v>44</v>
          </cell>
          <cell r="L305">
            <v>182.8</v>
          </cell>
          <cell r="M305">
            <v>0.496</v>
          </cell>
          <cell r="P305">
            <v>0.496</v>
          </cell>
          <cell r="Q305">
            <v>14305</v>
          </cell>
          <cell r="S305">
            <v>0</v>
          </cell>
          <cell r="U305">
            <v>709</v>
          </cell>
          <cell r="Z305">
            <v>48.06</v>
          </cell>
          <cell r="AC305">
            <v>3800</v>
          </cell>
          <cell r="AE305">
            <v>0</v>
          </cell>
          <cell r="AJ305">
            <v>48.24</v>
          </cell>
          <cell r="AK305">
            <v>774</v>
          </cell>
          <cell r="AN305">
            <v>21.58</v>
          </cell>
          <cell r="AO305">
            <v>260.54199999999997</v>
          </cell>
          <cell r="AP305" t="str">
            <v>M.Szwyd</v>
          </cell>
        </row>
        <row r="306">
          <cell r="A306">
            <v>40113</v>
          </cell>
          <cell r="C306">
            <v>509.2</v>
          </cell>
          <cell r="D306">
            <v>509.2</v>
          </cell>
          <cell r="F306">
            <v>176.5</v>
          </cell>
          <cell r="H306">
            <v>19.100000000000001</v>
          </cell>
          <cell r="J306">
            <v>43</v>
          </cell>
          <cell r="K306">
            <v>47.4</v>
          </cell>
          <cell r="L306">
            <v>286</v>
          </cell>
          <cell r="P306">
            <v>0</v>
          </cell>
          <cell r="Q306">
            <v>14506</v>
          </cell>
          <cell r="R306">
            <v>60</v>
          </cell>
          <cell r="S306">
            <v>60</v>
          </cell>
          <cell r="U306">
            <v>459.4</v>
          </cell>
          <cell r="AC306">
            <v>4000</v>
          </cell>
          <cell r="AE306">
            <v>0</v>
          </cell>
          <cell r="AJ306">
            <v>149.58000000000001</v>
          </cell>
          <cell r="AK306">
            <v>624</v>
          </cell>
          <cell r="AN306">
            <v>21.58</v>
          </cell>
          <cell r="AO306">
            <v>501.16899999999998</v>
          </cell>
          <cell r="AP306" t="str">
            <v>M.Szwyd</v>
          </cell>
        </row>
        <row r="307">
          <cell r="A307">
            <v>40114</v>
          </cell>
          <cell r="C307">
            <v>785.4</v>
          </cell>
          <cell r="D307">
            <v>785.4</v>
          </cell>
          <cell r="F307">
            <v>577.20000000000005</v>
          </cell>
          <cell r="G307">
            <v>103</v>
          </cell>
          <cell r="H307">
            <v>19.7</v>
          </cell>
          <cell r="J307">
            <v>98</v>
          </cell>
          <cell r="K307">
            <v>44.3</v>
          </cell>
          <cell r="L307">
            <v>842.2</v>
          </cell>
          <cell r="P307">
            <v>0</v>
          </cell>
          <cell r="Q307">
            <v>14431</v>
          </cell>
          <cell r="R307">
            <v>973</v>
          </cell>
          <cell r="S307">
            <v>973</v>
          </cell>
          <cell r="U307">
            <v>199</v>
          </cell>
          <cell r="Z307">
            <v>76.900000000000006</v>
          </cell>
          <cell r="AC307">
            <v>4700</v>
          </cell>
          <cell r="AE307">
            <v>0</v>
          </cell>
          <cell r="AJ307">
            <v>50.4</v>
          </cell>
          <cell r="AK307">
            <v>574</v>
          </cell>
          <cell r="AM307">
            <v>1.2669999999999999</v>
          </cell>
          <cell r="AN307">
            <v>20.312999999999999</v>
          </cell>
          <cell r="AO307">
            <v>729.57799999999997</v>
          </cell>
          <cell r="AP307" t="str">
            <v>M.Szwyd</v>
          </cell>
        </row>
        <row r="308">
          <cell r="A308">
            <v>40115</v>
          </cell>
          <cell r="C308">
            <v>853.3</v>
          </cell>
          <cell r="D308">
            <v>853.3</v>
          </cell>
          <cell r="F308">
            <v>588.79999999999995</v>
          </cell>
          <cell r="G308">
            <v>126.5</v>
          </cell>
          <cell r="H308">
            <v>12.1</v>
          </cell>
          <cell r="J308">
            <v>99</v>
          </cell>
          <cell r="K308">
            <v>38.5</v>
          </cell>
          <cell r="L308">
            <v>864.9</v>
          </cell>
          <cell r="M308">
            <v>0.92</v>
          </cell>
          <cell r="P308">
            <v>0.92</v>
          </cell>
          <cell r="Q308">
            <v>14387</v>
          </cell>
          <cell r="R308">
            <v>993</v>
          </cell>
          <cell r="S308">
            <v>993</v>
          </cell>
          <cell r="U308">
            <v>190.5</v>
          </cell>
          <cell r="X308">
            <v>472</v>
          </cell>
          <cell r="AC308">
            <v>5000</v>
          </cell>
          <cell r="AE308">
            <v>0</v>
          </cell>
          <cell r="AJ308">
            <v>126.52</v>
          </cell>
          <cell r="AK308">
            <v>448</v>
          </cell>
          <cell r="AL308">
            <v>19</v>
          </cell>
          <cell r="AM308">
            <v>0</v>
          </cell>
          <cell r="AN308">
            <v>39.313000000000002</v>
          </cell>
          <cell r="AO308">
            <v>801.41499999999996</v>
          </cell>
          <cell r="AP308" t="str">
            <v>M.Szwyd</v>
          </cell>
        </row>
        <row r="309">
          <cell r="A309">
            <v>40116</v>
          </cell>
          <cell r="C309">
            <v>854.5</v>
          </cell>
          <cell r="D309">
            <v>854.5</v>
          </cell>
          <cell r="F309">
            <v>589.70000000000005</v>
          </cell>
          <cell r="H309">
            <v>22.9</v>
          </cell>
          <cell r="I309">
            <v>119</v>
          </cell>
          <cell r="J309">
            <v>135.30000000000001</v>
          </cell>
          <cell r="L309">
            <v>866.90000000000009</v>
          </cell>
          <cell r="P309">
            <v>0</v>
          </cell>
          <cell r="Q309">
            <v>14388</v>
          </cell>
          <cell r="R309">
            <v>995</v>
          </cell>
          <cell r="S309">
            <v>995</v>
          </cell>
          <cell r="U309">
            <v>96</v>
          </cell>
          <cell r="X309">
            <v>579</v>
          </cell>
          <cell r="Z309">
            <v>50.16</v>
          </cell>
          <cell r="AC309">
            <v>5300</v>
          </cell>
          <cell r="AE309">
            <v>0</v>
          </cell>
          <cell r="AJ309">
            <v>98</v>
          </cell>
          <cell r="AK309">
            <v>349</v>
          </cell>
          <cell r="AM309">
            <v>4.1000000000000002E-2</v>
          </cell>
          <cell r="AN309">
            <v>39.152000000000001</v>
          </cell>
          <cell r="AO309">
            <v>806.55899999999997</v>
          </cell>
          <cell r="AP309" t="str">
            <v>M.Karlewski</v>
          </cell>
        </row>
        <row r="310">
          <cell r="A310">
            <v>40117</v>
          </cell>
          <cell r="C310">
            <v>729.4</v>
          </cell>
          <cell r="D310">
            <v>853.4</v>
          </cell>
          <cell r="F310">
            <v>613.4</v>
          </cell>
          <cell r="G310">
            <v>-355.04899999999998</v>
          </cell>
          <cell r="H310">
            <v>54.47</v>
          </cell>
          <cell r="I310">
            <v>445.03399999999999</v>
          </cell>
          <cell r="J310">
            <v>-560.89300000000003</v>
          </cell>
          <cell r="K310">
            <v>928.96400000000006</v>
          </cell>
          <cell r="L310">
            <v>1125.9259999999999</v>
          </cell>
          <cell r="M310">
            <v>1.35</v>
          </cell>
          <cell r="P310">
            <v>0</v>
          </cell>
          <cell r="Q310">
            <v>14573</v>
          </cell>
          <cell r="R310">
            <v>1206</v>
          </cell>
          <cell r="S310">
            <v>984.31</v>
          </cell>
          <cell r="U310">
            <v>-636.79999999999995</v>
          </cell>
          <cell r="X310">
            <v>1223.23</v>
          </cell>
          <cell r="Y310">
            <v>5.0999999999999996</v>
          </cell>
          <cell r="Z310">
            <v>50.86</v>
          </cell>
          <cell r="AA310">
            <v>-320.33699999999999</v>
          </cell>
          <cell r="AB310">
            <v>177.822</v>
          </cell>
          <cell r="AC310">
            <v>5500</v>
          </cell>
          <cell r="AD310">
            <v>37</v>
          </cell>
          <cell r="AE310">
            <v>37</v>
          </cell>
          <cell r="AH310">
            <v>45.2</v>
          </cell>
          <cell r="AI310">
            <v>1298.32</v>
          </cell>
          <cell r="AJ310">
            <v>-1314.81</v>
          </cell>
          <cell r="AK310">
            <v>370</v>
          </cell>
          <cell r="AL310">
            <v>-1.1599999999999999</v>
          </cell>
          <cell r="AM310">
            <v>-1</v>
          </cell>
          <cell r="AN310">
            <v>39.152000000000001</v>
          </cell>
          <cell r="AO310">
            <v>803.5</v>
          </cell>
          <cell r="AP310" t="str">
            <v>M.Karlewski</v>
          </cell>
        </row>
        <row r="311">
          <cell r="A311">
            <v>40118</v>
          </cell>
          <cell r="C311">
            <v>852.9</v>
          </cell>
          <cell r="D311">
            <v>852.9</v>
          </cell>
          <cell r="F311">
            <v>592.29999999999995</v>
          </cell>
          <cell r="H311">
            <v>22.9</v>
          </cell>
          <cell r="J311">
            <v>32</v>
          </cell>
          <cell r="L311">
            <v>647.19999999999993</v>
          </cell>
          <cell r="P311">
            <v>0</v>
          </cell>
          <cell r="Q311">
            <v>14707</v>
          </cell>
          <cell r="R311">
            <v>999</v>
          </cell>
          <cell r="S311">
            <v>953.63</v>
          </cell>
          <cell r="U311">
            <v>24</v>
          </cell>
          <cell r="X311">
            <v>471</v>
          </cell>
          <cell r="AC311">
            <v>6000</v>
          </cell>
          <cell r="AE311">
            <v>0</v>
          </cell>
          <cell r="AH311">
            <v>139.6</v>
          </cell>
          <cell r="AJ311">
            <v>22.6</v>
          </cell>
          <cell r="AK311">
            <v>487</v>
          </cell>
          <cell r="AN311">
            <v>39.152000000000001</v>
          </cell>
          <cell r="AO311">
            <v>803.23099999999999</v>
          </cell>
          <cell r="AP311" t="str">
            <v>M.Karlewski</v>
          </cell>
        </row>
        <row r="312">
          <cell r="A312">
            <v>40119</v>
          </cell>
          <cell r="C312">
            <v>853</v>
          </cell>
          <cell r="D312">
            <v>853</v>
          </cell>
          <cell r="F312">
            <v>591</v>
          </cell>
          <cell r="H312">
            <v>23</v>
          </cell>
          <cell r="J312">
            <v>80</v>
          </cell>
          <cell r="L312">
            <v>694</v>
          </cell>
          <cell r="M312">
            <v>0.89200000000000002</v>
          </cell>
          <cell r="P312">
            <v>0.89200000000000002</v>
          </cell>
          <cell r="Q312">
            <v>14845</v>
          </cell>
          <cell r="R312">
            <v>997</v>
          </cell>
          <cell r="S312">
            <v>937.2</v>
          </cell>
          <cell r="U312">
            <v>216</v>
          </cell>
          <cell r="Y312">
            <v>51</v>
          </cell>
          <cell r="Z312">
            <v>201.26</v>
          </cell>
          <cell r="AC312">
            <v>6500</v>
          </cell>
          <cell r="AE312">
            <v>0</v>
          </cell>
          <cell r="AH312">
            <v>184</v>
          </cell>
          <cell r="AJ312">
            <v>24.02</v>
          </cell>
          <cell r="AK312">
            <v>647</v>
          </cell>
          <cell r="AN312">
            <v>39.152000000000001</v>
          </cell>
          <cell r="AO312">
            <v>802.952</v>
          </cell>
          <cell r="AP312" t="str">
            <v>M.Karlewski</v>
          </cell>
        </row>
        <row r="313">
          <cell r="A313">
            <v>40120</v>
          </cell>
          <cell r="C313">
            <v>850.7</v>
          </cell>
          <cell r="D313">
            <v>850.7</v>
          </cell>
          <cell r="F313">
            <v>591.1</v>
          </cell>
          <cell r="G313">
            <v>45</v>
          </cell>
          <cell r="H313">
            <v>22.2</v>
          </cell>
          <cell r="J313">
            <v>76</v>
          </cell>
          <cell r="L313">
            <v>734.30000000000007</v>
          </cell>
          <cell r="P313">
            <v>0</v>
          </cell>
          <cell r="Q313">
            <v>14931</v>
          </cell>
          <cell r="R313">
            <v>997</v>
          </cell>
          <cell r="S313">
            <v>922.25</v>
          </cell>
          <cell r="U313">
            <v>216</v>
          </cell>
          <cell r="Z313">
            <v>256.18</v>
          </cell>
          <cell r="AC313">
            <v>7000</v>
          </cell>
          <cell r="AE313">
            <v>0</v>
          </cell>
          <cell r="AH313">
            <v>230</v>
          </cell>
          <cell r="AJ313">
            <v>100.78</v>
          </cell>
          <cell r="AK313">
            <v>776</v>
          </cell>
          <cell r="AM313">
            <v>1.625</v>
          </cell>
          <cell r="AN313">
            <v>34.411999999999999</v>
          </cell>
          <cell r="AO313">
            <v>802.49699999999996</v>
          </cell>
          <cell r="AP313" t="str">
            <v>P.Witkowski</v>
          </cell>
        </row>
        <row r="314">
          <cell r="A314">
            <v>40121</v>
          </cell>
          <cell r="C314">
            <v>849.7</v>
          </cell>
          <cell r="D314">
            <v>849.7</v>
          </cell>
          <cell r="F314">
            <v>590.1</v>
          </cell>
          <cell r="G314">
            <v>97</v>
          </cell>
          <cell r="H314">
            <v>23.2</v>
          </cell>
          <cell r="J314">
            <v>107</v>
          </cell>
          <cell r="L314">
            <v>817.30000000000007</v>
          </cell>
          <cell r="P314">
            <v>0</v>
          </cell>
          <cell r="Q314">
            <v>14945</v>
          </cell>
          <cell r="R314">
            <v>995</v>
          </cell>
          <cell r="S314">
            <v>905.95</v>
          </cell>
          <cell r="U314">
            <v>430</v>
          </cell>
          <cell r="Z314">
            <v>284.3</v>
          </cell>
          <cell r="AC314">
            <v>7000</v>
          </cell>
          <cell r="AE314">
            <v>0</v>
          </cell>
          <cell r="AH314">
            <v>274</v>
          </cell>
          <cell r="AJ314">
            <v>121.26</v>
          </cell>
          <cell r="AK314">
            <v>929</v>
          </cell>
          <cell r="AM314">
            <v>1.395</v>
          </cell>
          <cell r="AN314">
            <v>33.017000000000003</v>
          </cell>
          <cell r="AO314">
            <v>806.57500000000005</v>
          </cell>
          <cell r="AP314" t="str">
            <v>P.Witkowski</v>
          </cell>
        </row>
        <row r="315">
          <cell r="A315">
            <v>40122</v>
          </cell>
          <cell r="C315">
            <v>849.8</v>
          </cell>
          <cell r="D315">
            <v>849.8</v>
          </cell>
          <cell r="F315">
            <v>590.9</v>
          </cell>
          <cell r="H315">
            <v>4.8</v>
          </cell>
          <cell r="J315">
            <v>35.4</v>
          </cell>
          <cell r="K315">
            <v>39.4</v>
          </cell>
          <cell r="L315">
            <v>670.49999999999989</v>
          </cell>
          <cell r="M315">
            <v>0.94</v>
          </cell>
          <cell r="P315">
            <v>0.94</v>
          </cell>
          <cell r="Q315">
            <v>15099</v>
          </cell>
          <cell r="R315">
            <v>996</v>
          </cell>
          <cell r="S315">
            <v>936.07</v>
          </cell>
          <cell r="U315">
            <v>408</v>
          </cell>
          <cell r="AC315">
            <v>7600</v>
          </cell>
          <cell r="AE315">
            <v>0</v>
          </cell>
          <cell r="AH315">
            <v>184.4</v>
          </cell>
          <cell r="AJ315">
            <v>73.42</v>
          </cell>
          <cell r="AK315">
            <v>1040</v>
          </cell>
          <cell r="AM315">
            <v>2.4079999999999999</v>
          </cell>
          <cell r="AN315">
            <v>30.609000000000002</v>
          </cell>
          <cell r="AO315">
            <v>802.846</v>
          </cell>
          <cell r="AP315" t="str">
            <v>M.Szwyd</v>
          </cell>
        </row>
        <row r="316">
          <cell r="A316">
            <v>40123</v>
          </cell>
          <cell r="C316">
            <v>846.4</v>
          </cell>
          <cell r="D316">
            <v>846.4</v>
          </cell>
          <cell r="F316">
            <v>590.9</v>
          </cell>
          <cell r="G316">
            <v>16</v>
          </cell>
          <cell r="H316">
            <v>15.8</v>
          </cell>
          <cell r="K316">
            <v>12</v>
          </cell>
          <cell r="L316">
            <v>634.69999999999993</v>
          </cell>
          <cell r="P316">
            <v>0</v>
          </cell>
          <cell r="Q316">
            <v>15282</v>
          </cell>
          <cell r="R316">
            <v>996</v>
          </cell>
          <cell r="S316">
            <v>936.98</v>
          </cell>
          <cell r="U316">
            <v>519</v>
          </cell>
          <cell r="X316">
            <v>440</v>
          </cell>
          <cell r="Z316">
            <v>102.42</v>
          </cell>
          <cell r="AC316">
            <v>7600</v>
          </cell>
          <cell r="AE316">
            <v>0</v>
          </cell>
          <cell r="AH316">
            <v>181.6</v>
          </cell>
          <cell r="AJ316">
            <v>147.63999999999999</v>
          </cell>
          <cell r="AK316">
            <v>1074</v>
          </cell>
          <cell r="AM316">
            <v>1.714</v>
          </cell>
          <cell r="AN316">
            <v>28.895</v>
          </cell>
          <cell r="AO316">
            <v>805.68600000000004</v>
          </cell>
          <cell r="AP316" t="str">
            <v>M.Trzaskalski</v>
          </cell>
        </row>
        <row r="317">
          <cell r="A317">
            <v>40124</v>
          </cell>
          <cell r="C317">
            <v>846.2</v>
          </cell>
          <cell r="D317">
            <v>846.2</v>
          </cell>
          <cell r="F317">
            <v>591.6</v>
          </cell>
          <cell r="H317">
            <v>22.8</v>
          </cell>
          <cell r="K317">
            <v>52</v>
          </cell>
          <cell r="L317">
            <v>666.4</v>
          </cell>
          <cell r="P317">
            <v>0</v>
          </cell>
          <cell r="Q317">
            <v>15447</v>
          </cell>
          <cell r="R317">
            <v>998</v>
          </cell>
          <cell r="S317">
            <v>938.2</v>
          </cell>
          <cell r="U317">
            <v>557</v>
          </cell>
          <cell r="X317">
            <v>549</v>
          </cell>
          <cell r="AC317">
            <v>7500</v>
          </cell>
          <cell r="AE317">
            <v>0</v>
          </cell>
          <cell r="AH317">
            <v>184</v>
          </cell>
          <cell r="AK317">
            <v>1258</v>
          </cell>
          <cell r="AM317">
            <v>1.7130000000000001</v>
          </cell>
          <cell r="AN317">
            <v>27.181999999999999</v>
          </cell>
          <cell r="AO317">
            <v>809.37400000000002</v>
          </cell>
          <cell r="AP317" t="str">
            <v>M.Trzaskalski</v>
          </cell>
        </row>
        <row r="318">
          <cell r="A318">
            <v>40125</v>
          </cell>
          <cell r="C318">
            <v>846.6</v>
          </cell>
          <cell r="D318">
            <v>846.6</v>
          </cell>
          <cell r="F318">
            <v>592.4</v>
          </cell>
          <cell r="H318">
            <v>6.3</v>
          </cell>
          <cell r="K318">
            <v>55.9</v>
          </cell>
          <cell r="L318">
            <v>654.59999999999991</v>
          </cell>
          <cell r="P318">
            <v>0</v>
          </cell>
          <cell r="Q318">
            <v>15620</v>
          </cell>
          <cell r="R318">
            <v>999</v>
          </cell>
          <cell r="S318">
            <v>999</v>
          </cell>
          <cell r="U318">
            <v>493</v>
          </cell>
          <cell r="AC318">
            <v>8000</v>
          </cell>
          <cell r="AE318">
            <v>0</v>
          </cell>
          <cell r="AJ318">
            <v>46.96</v>
          </cell>
          <cell r="AK318">
            <v>1210</v>
          </cell>
          <cell r="AM318">
            <v>17.13</v>
          </cell>
          <cell r="AN318">
            <v>25.469000000000001</v>
          </cell>
          <cell r="AO318">
            <v>809.24599999999998</v>
          </cell>
          <cell r="AP318" t="str">
            <v>M.Trzaskalski</v>
          </cell>
        </row>
        <row r="319">
          <cell r="A319">
            <v>40126</v>
          </cell>
          <cell r="C319">
            <v>846.8</v>
          </cell>
          <cell r="D319">
            <v>846.8</v>
          </cell>
          <cell r="F319">
            <v>589.79999999999995</v>
          </cell>
          <cell r="J319">
            <v>66.900000000000006</v>
          </cell>
          <cell r="K319">
            <v>61.400000000000006</v>
          </cell>
          <cell r="L319">
            <v>718.09999999999991</v>
          </cell>
          <cell r="M319">
            <v>0.5</v>
          </cell>
          <cell r="P319">
            <v>0.5</v>
          </cell>
          <cell r="Q319">
            <v>15796</v>
          </cell>
          <cell r="R319">
            <v>995</v>
          </cell>
          <cell r="S319">
            <v>949.82500000000005</v>
          </cell>
          <cell r="U319">
            <v>618</v>
          </cell>
          <cell r="Z319">
            <v>305.88</v>
          </cell>
          <cell r="AC319">
            <v>8100</v>
          </cell>
          <cell r="AE319">
            <v>0</v>
          </cell>
          <cell r="AH319">
            <v>139</v>
          </cell>
          <cell r="AJ319">
            <v>24.1</v>
          </cell>
          <cell r="AK319">
            <v>1325</v>
          </cell>
          <cell r="AM319">
            <v>1.169</v>
          </cell>
          <cell r="AN319">
            <v>24.3</v>
          </cell>
          <cell r="AO319">
            <v>807.67899999999997</v>
          </cell>
          <cell r="AP319" t="str">
            <v>B.Bronicki</v>
          </cell>
        </row>
        <row r="320">
          <cell r="A320">
            <v>40127</v>
          </cell>
          <cell r="C320">
            <v>849.6</v>
          </cell>
          <cell r="D320">
            <v>849.6</v>
          </cell>
          <cell r="F320">
            <v>139.4</v>
          </cell>
          <cell r="G320">
            <v>41</v>
          </cell>
          <cell r="H320">
            <v>15.2</v>
          </cell>
          <cell r="J320">
            <v>76.5</v>
          </cell>
          <cell r="K320">
            <v>60</v>
          </cell>
          <cell r="L320">
            <v>332.1</v>
          </cell>
          <cell r="M320">
            <v>1.52</v>
          </cell>
          <cell r="P320">
            <v>1.52</v>
          </cell>
          <cell r="Q320">
            <v>15834</v>
          </cell>
          <cell r="R320">
            <v>994</v>
          </cell>
          <cell r="S320">
            <v>964.36</v>
          </cell>
          <cell r="U320">
            <v>284</v>
          </cell>
          <cell r="X320">
            <v>280</v>
          </cell>
          <cell r="Z320">
            <v>51.02</v>
          </cell>
          <cell r="AB320">
            <v>6.6</v>
          </cell>
          <cell r="AC320">
            <v>8500</v>
          </cell>
          <cell r="AE320">
            <v>0</v>
          </cell>
          <cell r="AH320">
            <v>91.2</v>
          </cell>
          <cell r="AJ320">
            <v>120.68</v>
          </cell>
          <cell r="AK320">
            <v>1296</v>
          </cell>
          <cell r="AL320">
            <v>24</v>
          </cell>
          <cell r="AM320">
            <v>0</v>
          </cell>
          <cell r="AN320">
            <v>48.3</v>
          </cell>
          <cell r="AO320">
            <v>805.59199999999998</v>
          </cell>
          <cell r="AP320" t="str">
            <v>M.Karlewski</v>
          </cell>
        </row>
        <row r="321">
          <cell r="A321">
            <v>40128</v>
          </cell>
          <cell r="C321">
            <v>383.3</v>
          </cell>
          <cell r="D321">
            <v>383.3</v>
          </cell>
          <cell r="F321">
            <v>78.400000000000006</v>
          </cell>
          <cell r="G321">
            <v>61</v>
          </cell>
          <cell r="H321">
            <v>22.1</v>
          </cell>
          <cell r="J321">
            <v>74</v>
          </cell>
          <cell r="K321">
            <v>60</v>
          </cell>
          <cell r="L321">
            <v>295.5</v>
          </cell>
          <cell r="P321">
            <v>0</v>
          </cell>
          <cell r="Q321">
            <v>15890</v>
          </cell>
          <cell r="R321">
            <v>165</v>
          </cell>
          <cell r="S321">
            <v>165</v>
          </cell>
          <cell r="X321">
            <v>717</v>
          </cell>
          <cell r="AB321">
            <v>11.9</v>
          </cell>
          <cell r="AC321">
            <v>7600</v>
          </cell>
          <cell r="AE321">
            <v>0</v>
          </cell>
          <cell r="AJ321">
            <v>24.3</v>
          </cell>
          <cell r="AK321">
            <v>1272</v>
          </cell>
          <cell r="AM321">
            <v>0</v>
          </cell>
          <cell r="AN321">
            <v>48.3</v>
          </cell>
          <cell r="AO321">
            <v>648.41600000000005</v>
          </cell>
          <cell r="AP321" t="str">
            <v>M.Karlewski</v>
          </cell>
        </row>
        <row r="322">
          <cell r="A322">
            <v>40129</v>
          </cell>
          <cell r="G322">
            <v>96</v>
          </cell>
          <cell r="H322">
            <v>17.3</v>
          </cell>
          <cell r="J322">
            <v>54</v>
          </cell>
          <cell r="K322">
            <v>60</v>
          </cell>
          <cell r="L322">
            <v>227.3</v>
          </cell>
          <cell r="P322">
            <v>0</v>
          </cell>
          <cell r="Q322">
            <v>15611</v>
          </cell>
          <cell r="U322">
            <v>262</v>
          </cell>
          <cell r="X322">
            <v>96</v>
          </cell>
          <cell r="Z322">
            <v>50.54</v>
          </cell>
          <cell r="AC322">
            <v>7200</v>
          </cell>
          <cell r="AE322">
            <v>0</v>
          </cell>
          <cell r="AJ322">
            <v>168.8</v>
          </cell>
          <cell r="AK322">
            <v>1103</v>
          </cell>
          <cell r="AN322">
            <v>47.82</v>
          </cell>
          <cell r="AO322">
            <v>18.890999999999998</v>
          </cell>
          <cell r="AP322" t="str">
            <v>M.Karlewski</v>
          </cell>
        </row>
        <row r="323">
          <cell r="A323">
            <v>40130</v>
          </cell>
          <cell r="C323">
            <v>192.5</v>
          </cell>
          <cell r="D323">
            <v>192.5</v>
          </cell>
          <cell r="F323">
            <v>30.2</v>
          </cell>
          <cell r="G323">
            <v>35.200000000000003</v>
          </cell>
          <cell r="H323">
            <v>17.3</v>
          </cell>
          <cell r="J323">
            <v>107</v>
          </cell>
          <cell r="K323">
            <v>38.6</v>
          </cell>
          <cell r="L323">
            <v>228.29999999999998</v>
          </cell>
          <cell r="P323">
            <v>0</v>
          </cell>
          <cell r="Q323">
            <v>15566</v>
          </cell>
          <cell r="S323">
            <v>0</v>
          </cell>
          <cell r="U323">
            <v>417</v>
          </cell>
          <cell r="X323">
            <v>767</v>
          </cell>
          <cell r="AC323">
            <v>6000</v>
          </cell>
          <cell r="AE323">
            <v>0</v>
          </cell>
          <cell r="AJ323">
            <v>75.12</v>
          </cell>
          <cell r="AK323">
            <v>1021</v>
          </cell>
          <cell r="AN323">
            <v>47.82</v>
          </cell>
          <cell r="AO323">
            <v>281.33999999999997</v>
          </cell>
          <cell r="AP323" t="str">
            <v>M.Szwyd</v>
          </cell>
        </row>
        <row r="324">
          <cell r="A324">
            <v>40131</v>
          </cell>
          <cell r="C324">
            <v>820.6</v>
          </cell>
          <cell r="D324">
            <v>820.6</v>
          </cell>
          <cell r="F324">
            <v>549.70000000000005</v>
          </cell>
          <cell r="H324">
            <v>15.1</v>
          </cell>
          <cell r="J324">
            <v>108</v>
          </cell>
          <cell r="K324">
            <v>81.599999999999994</v>
          </cell>
          <cell r="L324">
            <v>754.40000000000009</v>
          </cell>
          <cell r="P324">
            <v>0</v>
          </cell>
          <cell r="Q324">
            <v>15608</v>
          </cell>
          <cell r="R324">
            <v>51</v>
          </cell>
          <cell r="S324">
            <v>51</v>
          </cell>
          <cell r="W324">
            <v>24</v>
          </cell>
          <cell r="X324">
            <v>797</v>
          </cell>
          <cell r="AC324">
            <v>5300</v>
          </cell>
          <cell r="AE324">
            <v>0</v>
          </cell>
          <cell r="AK324">
            <v>1021</v>
          </cell>
          <cell r="AM324">
            <v>1.276</v>
          </cell>
          <cell r="AN324">
            <v>46.543999999999997</v>
          </cell>
          <cell r="AO324">
            <v>732.64</v>
          </cell>
          <cell r="AP324" t="str">
            <v>M.Szwyd</v>
          </cell>
        </row>
        <row r="325">
          <cell r="A325">
            <v>40132</v>
          </cell>
          <cell r="C325">
            <v>823.4</v>
          </cell>
          <cell r="D325">
            <v>823.4</v>
          </cell>
          <cell r="F325">
            <v>591.1</v>
          </cell>
          <cell r="G325">
            <v>37</v>
          </cell>
          <cell r="H325">
            <v>17.100000000000001</v>
          </cell>
          <cell r="J325">
            <v>108</v>
          </cell>
          <cell r="K325">
            <v>125.9</v>
          </cell>
          <cell r="L325">
            <v>879.1</v>
          </cell>
          <cell r="P325">
            <v>0</v>
          </cell>
          <cell r="Q325">
            <v>15522</v>
          </cell>
          <cell r="R325">
            <v>927</v>
          </cell>
          <cell r="S325">
            <v>927</v>
          </cell>
          <cell r="X325">
            <v>445</v>
          </cell>
          <cell r="AC325">
            <v>5700</v>
          </cell>
          <cell r="AE325">
            <v>0</v>
          </cell>
          <cell r="AJ325">
            <v>51.7</v>
          </cell>
          <cell r="AK325">
            <v>970</v>
          </cell>
          <cell r="AM325">
            <v>1.276</v>
          </cell>
          <cell r="AN325">
            <v>45.268000000000001</v>
          </cell>
          <cell r="AO325">
            <v>778.24900000000002</v>
          </cell>
          <cell r="AP325" t="str">
            <v>M.Szwyd</v>
          </cell>
        </row>
        <row r="326">
          <cell r="A326">
            <v>40133</v>
          </cell>
          <cell r="C326">
            <v>855.3</v>
          </cell>
          <cell r="D326">
            <v>855.3</v>
          </cell>
          <cell r="F326">
            <v>592</v>
          </cell>
          <cell r="G326">
            <v>46</v>
          </cell>
          <cell r="H326">
            <v>16.100000000000001</v>
          </cell>
          <cell r="J326">
            <v>53</v>
          </cell>
          <cell r="K326">
            <v>85.6</v>
          </cell>
          <cell r="L326">
            <v>792.7</v>
          </cell>
          <cell r="P326">
            <v>0</v>
          </cell>
          <cell r="Q326">
            <v>15566</v>
          </cell>
          <cell r="R326">
            <v>998</v>
          </cell>
          <cell r="S326">
            <v>998</v>
          </cell>
          <cell r="U326">
            <v>336</v>
          </cell>
          <cell r="Z326">
            <v>308.8</v>
          </cell>
          <cell r="AC326">
            <v>7100</v>
          </cell>
          <cell r="AE326">
            <v>0</v>
          </cell>
          <cell r="AK326">
            <v>970</v>
          </cell>
          <cell r="AM326">
            <v>4.6440000000000001</v>
          </cell>
          <cell r="AN326">
            <v>40.624000000000002</v>
          </cell>
          <cell r="AO326">
            <v>797.38699999999994</v>
          </cell>
          <cell r="AP326" t="str">
            <v>M.Szwyd</v>
          </cell>
        </row>
        <row r="327">
          <cell r="A327">
            <v>40134</v>
          </cell>
          <cell r="C327">
            <v>858.3</v>
          </cell>
          <cell r="D327">
            <v>858.3</v>
          </cell>
          <cell r="F327">
            <v>591.9</v>
          </cell>
          <cell r="G327">
            <v>53</v>
          </cell>
          <cell r="H327">
            <v>14.3</v>
          </cell>
          <cell r="J327">
            <v>113</v>
          </cell>
          <cell r="K327">
            <v>51.7</v>
          </cell>
          <cell r="L327">
            <v>823.9</v>
          </cell>
          <cell r="M327">
            <v>3.4</v>
          </cell>
          <cell r="P327">
            <v>3.4</v>
          </cell>
          <cell r="Q327">
            <v>15573</v>
          </cell>
          <cell r="R327">
            <v>998</v>
          </cell>
          <cell r="S327">
            <v>938.85</v>
          </cell>
          <cell r="U327">
            <v>60</v>
          </cell>
          <cell r="AC327">
            <v>8000</v>
          </cell>
          <cell r="AE327">
            <v>0</v>
          </cell>
          <cell r="AH327">
            <v>182</v>
          </cell>
          <cell r="AJ327">
            <v>49.24</v>
          </cell>
          <cell r="AK327">
            <v>1103</v>
          </cell>
          <cell r="AM327">
            <v>1.286</v>
          </cell>
          <cell r="AN327">
            <v>39.338000000000001</v>
          </cell>
          <cell r="AO327">
            <v>809.99300000000005</v>
          </cell>
          <cell r="AP327" t="str">
            <v>M.Trzaskalski</v>
          </cell>
        </row>
        <row r="328">
          <cell r="A328">
            <v>40135</v>
          </cell>
          <cell r="C328">
            <v>855.9</v>
          </cell>
          <cell r="D328">
            <v>855.9</v>
          </cell>
          <cell r="F328">
            <v>591.79999999999995</v>
          </cell>
          <cell r="H328">
            <v>6.4</v>
          </cell>
          <cell r="J328">
            <v>112</v>
          </cell>
          <cell r="K328">
            <v>51.1</v>
          </cell>
          <cell r="L328">
            <v>761.3</v>
          </cell>
          <cell r="P328">
            <v>0</v>
          </cell>
          <cell r="Q328">
            <v>15649</v>
          </cell>
          <cell r="R328">
            <v>998</v>
          </cell>
          <cell r="S328">
            <v>967.77499999999998</v>
          </cell>
          <cell r="U328">
            <v>72</v>
          </cell>
          <cell r="X328">
            <v>256</v>
          </cell>
          <cell r="AC328">
            <v>8600</v>
          </cell>
          <cell r="AE328">
            <v>0</v>
          </cell>
          <cell r="AH328">
            <v>93</v>
          </cell>
          <cell r="AJ328">
            <v>123.1</v>
          </cell>
          <cell r="AK328">
            <v>1073</v>
          </cell>
          <cell r="AM328">
            <v>1.524</v>
          </cell>
          <cell r="AN328">
            <v>37.814</v>
          </cell>
          <cell r="AO328">
            <v>810.91700000000003</v>
          </cell>
          <cell r="AP328" t="str">
            <v>M.Trzaskalski</v>
          </cell>
        </row>
        <row r="329">
          <cell r="A329">
            <v>40136</v>
          </cell>
          <cell r="C329">
            <v>854.6</v>
          </cell>
          <cell r="D329">
            <v>854.6</v>
          </cell>
          <cell r="F329">
            <v>541.4</v>
          </cell>
          <cell r="G329">
            <v>53.2</v>
          </cell>
          <cell r="J329">
            <v>102</v>
          </cell>
          <cell r="L329">
            <v>696.6</v>
          </cell>
          <cell r="P329">
            <v>0</v>
          </cell>
          <cell r="Q329">
            <v>15783</v>
          </cell>
          <cell r="R329">
            <v>913</v>
          </cell>
          <cell r="S329">
            <v>913</v>
          </cell>
          <cell r="U329">
            <v>131</v>
          </cell>
          <cell r="X329">
            <v>601</v>
          </cell>
          <cell r="Y329">
            <v>163.5</v>
          </cell>
          <cell r="AC329">
            <v>8600</v>
          </cell>
          <cell r="AE329">
            <v>0</v>
          </cell>
          <cell r="AJ329">
            <v>49.36</v>
          </cell>
          <cell r="AK329">
            <v>1024</v>
          </cell>
          <cell r="AL329">
            <v>19</v>
          </cell>
          <cell r="AN329">
            <v>56.814</v>
          </cell>
          <cell r="AO329">
            <v>807.37900000000002</v>
          </cell>
          <cell r="AP329" t="str">
            <v>B.Bronicki</v>
          </cell>
        </row>
        <row r="330">
          <cell r="A330">
            <v>40137</v>
          </cell>
          <cell r="C330">
            <v>854.2</v>
          </cell>
          <cell r="D330">
            <v>854.2</v>
          </cell>
          <cell r="F330">
            <v>526</v>
          </cell>
          <cell r="H330">
            <v>6.8</v>
          </cell>
          <cell r="J330">
            <v>95</v>
          </cell>
          <cell r="K330">
            <v>30</v>
          </cell>
          <cell r="L330">
            <v>657.8</v>
          </cell>
          <cell r="M330">
            <v>2.46</v>
          </cell>
          <cell r="P330">
            <v>2.46</v>
          </cell>
          <cell r="Q330">
            <v>15928</v>
          </cell>
          <cell r="R330">
            <v>887</v>
          </cell>
          <cell r="S330">
            <v>842.15</v>
          </cell>
          <cell r="U330">
            <v>216</v>
          </cell>
          <cell r="X330">
            <v>348</v>
          </cell>
          <cell r="Y330">
            <v>398.4</v>
          </cell>
          <cell r="AB330">
            <v>52.3</v>
          </cell>
          <cell r="AC330">
            <v>8500</v>
          </cell>
          <cell r="AE330">
            <v>0</v>
          </cell>
          <cell r="AH330">
            <v>138</v>
          </cell>
          <cell r="AJ330">
            <v>100.82</v>
          </cell>
          <cell r="AK330">
            <v>923</v>
          </cell>
          <cell r="AM330">
            <v>1.4350000000000001</v>
          </cell>
          <cell r="AN330">
            <v>54.999000000000002</v>
          </cell>
          <cell r="AO330">
            <v>805.94899999999996</v>
          </cell>
          <cell r="AP330" t="str">
            <v>M.Karlewski</v>
          </cell>
        </row>
        <row r="331">
          <cell r="A331">
            <v>40138</v>
          </cell>
          <cell r="C331">
            <v>854.7</v>
          </cell>
          <cell r="D331">
            <v>854.7</v>
          </cell>
          <cell r="F331">
            <v>527</v>
          </cell>
          <cell r="H331">
            <v>15.5</v>
          </cell>
          <cell r="J331">
            <v>60</v>
          </cell>
          <cell r="K331">
            <v>33</v>
          </cell>
          <cell r="L331">
            <v>635.5</v>
          </cell>
          <cell r="P331">
            <v>0</v>
          </cell>
          <cell r="Q331">
            <v>16139</v>
          </cell>
          <cell r="R331">
            <v>889</v>
          </cell>
          <cell r="S331">
            <v>874.375</v>
          </cell>
          <cell r="U331">
            <v>72</v>
          </cell>
          <cell r="X331">
            <v>998</v>
          </cell>
          <cell r="Y331">
            <v>621</v>
          </cell>
          <cell r="AB331">
            <v>84.1</v>
          </cell>
          <cell r="AC331">
            <v>7700</v>
          </cell>
          <cell r="AE331">
            <v>0</v>
          </cell>
          <cell r="AH331">
            <v>45</v>
          </cell>
          <cell r="AK331">
            <v>1061</v>
          </cell>
          <cell r="AM331">
            <v>1.4350000000000001</v>
          </cell>
          <cell r="AN331">
            <v>53.564</v>
          </cell>
          <cell r="AO331">
            <v>805.03899999999999</v>
          </cell>
          <cell r="AP331" t="str">
            <v>M.Karlewski</v>
          </cell>
        </row>
        <row r="332">
          <cell r="A332">
            <v>40139</v>
          </cell>
          <cell r="C332">
            <v>853.4</v>
          </cell>
          <cell r="D332">
            <v>853.4</v>
          </cell>
          <cell r="F332">
            <v>528.20000000000005</v>
          </cell>
          <cell r="H332">
            <v>20.2</v>
          </cell>
          <cell r="K332">
            <v>28</v>
          </cell>
          <cell r="L332">
            <v>576.40000000000009</v>
          </cell>
          <cell r="P332">
            <v>0</v>
          </cell>
          <cell r="Q332">
            <v>16411</v>
          </cell>
          <cell r="R332">
            <v>891</v>
          </cell>
          <cell r="S332">
            <v>891</v>
          </cell>
          <cell r="U332">
            <v>48</v>
          </cell>
          <cell r="X332">
            <v>716</v>
          </cell>
          <cell r="Y332">
            <v>535</v>
          </cell>
          <cell r="AB332">
            <v>96</v>
          </cell>
          <cell r="AC332">
            <v>7300</v>
          </cell>
          <cell r="AE332">
            <v>0</v>
          </cell>
          <cell r="AJ332">
            <v>51.26</v>
          </cell>
          <cell r="AK332">
            <v>1055</v>
          </cell>
          <cell r="AM332">
            <v>1.4350000000000001</v>
          </cell>
          <cell r="AN332">
            <v>52.128999999999998</v>
          </cell>
          <cell r="AO332">
            <v>803.57100000000003</v>
          </cell>
          <cell r="AP332" t="str">
            <v>M.Karlewski</v>
          </cell>
        </row>
        <row r="333">
          <cell r="A333">
            <v>40140</v>
          </cell>
          <cell r="C333">
            <v>852.1</v>
          </cell>
          <cell r="D333">
            <v>852.1</v>
          </cell>
          <cell r="F333">
            <v>527.5</v>
          </cell>
          <cell r="H333">
            <v>23.9</v>
          </cell>
          <cell r="J333">
            <v>52</v>
          </cell>
          <cell r="K333">
            <v>15.9</v>
          </cell>
          <cell r="L333">
            <v>619.29999999999995</v>
          </cell>
          <cell r="P333">
            <v>0</v>
          </cell>
          <cell r="Q333">
            <v>16638</v>
          </cell>
          <cell r="R333">
            <v>890</v>
          </cell>
          <cell r="S333">
            <v>890</v>
          </cell>
          <cell r="U333">
            <v>240</v>
          </cell>
          <cell r="X333">
            <v>48</v>
          </cell>
          <cell r="Y333">
            <v>367.98</v>
          </cell>
          <cell r="AC333">
            <v>7000</v>
          </cell>
          <cell r="AE333">
            <v>0</v>
          </cell>
          <cell r="AK333">
            <v>1055</v>
          </cell>
          <cell r="AM333">
            <v>1.381</v>
          </cell>
          <cell r="AN333">
            <v>50.694000000000003</v>
          </cell>
          <cell r="AO333">
            <v>803.60199999999998</v>
          </cell>
          <cell r="AP333" t="str">
            <v>P.Witkowski</v>
          </cell>
        </row>
        <row r="334">
          <cell r="A334">
            <v>40141</v>
          </cell>
          <cell r="C334">
            <v>827.8</v>
          </cell>
          <cell r="D334">
            <v>827.8</v>
          </cell>
          <cell r="F334">
            <v>527.5</v>
          </cell>
          <cell r="H334">
            <v>17.5</v>
          </cell>
          <cell r="J334">
            <v>110</v>
          </cell>
          <cell r="K334">
            <v>41.5</v>
          </cell>
          <cell r="L334">
            <v>696.5</v>
          </cell>
          <cell r="P334">
            <v>0</v>
          </cell>
          <cell r="Q334">
            <v>16753</v>
          </cell>
          <cell r="R334">
            <v>890</v>
          </cell>
          <cell r="S334">
            <v>845.47500000000002</v>
          </cell>
          <cell r="U334">
            <v>264</v>
          </cell>
          <cell r="X334">
            <v>406</v>
          </cell>
          <cell r="Y334">
            <v>348</v>
          </cell>
          <cell r="Z334">
            <v>152.06</v>
          </cell>
          <cell r="AC334">
            <v>6700</v>
          </cell>
          <cell r="AE334">
            <v>0</v>
          </cell>
          <cell r="AH334">
            <v>137</v>
          </cell>
          <cell r="AJ334">
            <v>96.28</v>
          </cell>
          <cell r="AK334">
            <v>1096</v>
          </cell>
          <cell r="AM334">
            <v>2.3180000000000001</v>
          </cell>
          <cell r="AN334">
            <v>48.43</v>
          </cell>
          <cell r="AO334">
            <v>792.16600000000005</v>
          </cell>
          <cell r="AP334" t="str">
            <v>P.Witkowski</v>
          </cell>
        </row>
        <row r="335">
          <cell r="A335">
            <v>40142</v>
          </cell>
          <cell r="C335">
            <v>808.5</v>
          </cell>
          <cell r="D335">
            <v>808.5</v>
          </cell>
          <cell r="F335">
            <v>527.4</v>
          </cell>
          <cell r="G335">
            <v>115.5</v>
          </cell>
          <cell r="H335">
            <v>17</v>
          </cell>
          <cell r="J335">
            <v>106</v>
          </cell>
          <cell r="K335">
            <v>68.5</v>
          </cell>
          <cell r="L335">
            <v>834.4</v>
          </cell>
          <cell r="P335">
            <v>0</v>
          </cell>
          <cell r="Q335">
            <v>16702</v>
          </cell>
          <cell r="R335">
            <v>889</v>
          </cell>
          <cell r="S335">
            <v>844.47500000000002</v>
          </cell>
          <cell r="U335">
            <v>465</v>
          </cell>
          <cell r="X335">
            <v>518</v>
          </cell>
          <cell r="Y335">
            <v>322.5</v>
          </cell>
          <cell r="Z335">
            <v>1010.86</v>
          </cell>
          <cell r="AC335">
            <v>4800</v>
          </cell>
          <cell r="AE335">
            <v>0</v>
          </cell>
          <cell r="AH335">
            <v>137</v>
          </cell>
          <cell r="AJ335">
            <v>126.04</v>
          </cell>
          <cell r="AK335">
            <v>1107</v>
          </cell>
          <cell r="AM335">
            <v>1.2250000000000001</v>
          </cell>
          <cell r="AN335">
            <v>47.204999999999998</v>
          </cell>
          <cell r="AO335">
            <v>762.53300000000002</v>
          </cell>
          <cell r="AP335" t="str">
            <v>M.Szwyd</v>
          </cell>
        </row>
        <row r="336">
          <cell r="A336">
            <v>40143</v>
          </cell>
          <cell r="C336">
            <v>807.9</v>
          </cell>
          <cell r="D336">
            <v>807.9</v>
          </cell>
          <cell r="F336">
            <v>574.20000000000005</v>
          </cell>
          <cell r="G336">
            <v>110.5</v>
          </cell>
          <cell r="H336">
            <v>6.8</v>
          </cell>
          <cell r="J336">
            <v>108</v>
          </cell>
          <cell r="K336">
            <v>78.3</v>
          </cell>
          <cell r="L336">
            <v>877.8</v>
          </cell>
          <cell r="M336">
            <v>34.4</v>
          </cell>
          <cell r="P336">
            <v>34.4</v>
          </cell>
          <cell r="Q336">
            <v>16590</v>
          </cell>
          <cell r="R336">
            <v>968</v>
          </cell>
          <cell r="S336">
            <v>968</v>
          </cell>
          <cell r="U336">
            <v>512</v>
          </cell>
          <cell r="X336">
            <v>816</v>
          </cell>
          <cell r="Z336">
            <v>608.86</v>
          </cell>
          <cell r="AC336">
            <v>3500</v>
          </cell>
          <cell r="AE336">
            <v>0</v>
          </cell>
          <cell r="AJ336">
            <v>24.28</v>
          </cell>
          <cell r="AK336">
            <v>1082</v>
          </cell>
          <cell r="AM336">
            <v>1.0329999999999999</v>
          </cell>
          <cell r="AN336">
            <v>45.966000000000001</v>
          </cell>
          <cell r="AO336">
            <v>759.91700000000003</v>
          </cell>
          <cell r="AP336" t="str">
            <v>M.Szwyd</v>
          </cell>
        </row>
        <row r="337">
          <cell r="A337">
            <v>40144</v>
          </cell>
          <cell r="C337">
            <v>808.2</v>
          </cell>
          <cell r="D337">
            <v>808.2</v>
          </cell>
          <cell r="F337">
            <v>582.20000000000005</v>
          </cell>
          <cell r="G337">
            <v>40</v>
          </cell>
          <cell r="H337">
            <v>14.1</v>
          </cell>
          <cell r="J337">
            <v>107</v>
          </cell>
          <cell r="K337">
            <v>74</v>
          </cell>
          <cell r="L337">
            <v>817.30000000000007</v>
          </cell>
          <cell r="M337">
            <v>0.9</v>
          </cell>
          <cell r="P337">
            <v>0.9</v>
          </cell>
          <cell r="Q337">
            <v>16555</v>
          </cell>
          <cell r="R337">
            <v>982</v>
          </cell>
          <cell r="S337">
            <v>937.47500000000002</v>
          </cell>
          <cell r="U337">
            <v>380.5</v>
          </cell>
          <cell r="X337">
            <v>776</v>
          </cell>
          <cell r="Y337">
            <v>294</v>
          </cell>
          <cell r="Z337">
            <v>330.54</v>
          </cell>
          <cell r="AC337">
            <v>2700</v>
          </cell>
          <cell r="AE337">
            <v>0</v>
          </cell>
          <cell r="AH337">
            <v>137</v>
          </cell>
          <cell r="AJ337">
            <v>95.04</v>
          </cell>
          <cell r="AK337">
            <v>1124</v>
          </cell>
          <cell r="AM337">
            <v>1.8029999999999999</v>
          </cell>
          <cell r="AN337">
            <v>44.162999999999997</v>
          </cell>
          <cell r="AO337">
            <v>758.60799999999995</v>
          </cell>
          <cell r="AP337" t="str">
            <v>M.Trzaskalski</v>
          </cell>
        </row>
        <row r="338">
          <cell r="A338">
            <v>40145</v>
          </cell>
          <cell r="C338">
            <v>808.8</v>
          </cell>
          <cell r="D338">
            <v>808.8</v>
          </cell>
          <cell r="F338">
            <v>584</v>
          </cell>
          <cell r="G338">
            <v>88</v>
          </cell>
          <cell r="H338">
            <v>19.399999999999999</v>
          </cell>
          <cell r="J338">
            <v>107</v>
          </cell>
          <cell r="K338">
            <v>76.099999999999994</v>
          </cell>
          <cell r="L338">
            <v>874.5</v>
          </cell>
          <cell r="P338">
            <v>0</v>
          </cell>
          <cell r="Q338">
            <v>16462</v>
          </cell>
          <cell r="R338">
            <v>985</v>
          </cell>
          <cell r="S338">
            <v>985</v>
          </cell>
          <cell r="U338">
            <v>384</v>
          </cell>
          <cell r="Y338">
            <v>307</v>
          </cell>
          <cell r="Z338">
            <v>51.14</v>
          </cell>
          <cell r="AA338">
            <v>472.5</v>
          </cell>
          <cell r="AC338">
            <v>2400</v>
          </cell>
          <cell r="AE338">
            <v>0</v>
          </cell>
          <cell r="AK338">
            <v>1264</v>
          </cell>
          <cell r="AM338">
            <v>1.8029999999999999</v>
          </cell>
          <cell r="AN338">
            <v>42.36</v>
          </cell>
          <cell r="AO338">
            <v>761.09199999999998</v>
          </cell>
          <cell r="AP338" t="str">
            <v>M.Trzaskalski</v>
          </cell>
        </row>
        <row r="339">
          <cell r="A339">
            <v>40146</v>
          </cell>
          <cell r="C339">
            <v>809.1</v>
          </cell>
          <cell r="D339">
            <v>809.1</v>
          </cell>
          <cell r="F339">
            <v>885.3</v>
          </cell>
          <cell r="G339">
            <v>79</v>
          </cell>
          <cell r="H339">
            <v>19.8</v>
          </cell>
          <cell r="J339">
            <v>107</v>
          </cell>
          <cell r="K339">
            <v>82.4</v>
          </cell>
          <cell r="L339">
            <v>1173.5</v>
          </cell>
          <cell r="P339">
            <v>0</v>
          </cell>
          <cell r="Q339">
            <v>16371</v>
          </cell>
          <cell r="R339">
            <v>987</v>
          </cell>
          <cell r="S339">
            <v>987</v>
          </cell>
          <cell r="U339">
            <v>48</v>
          </cell>
          <cell r="Z339">
            <v>456.16</v>
          </cell>
          <cell r="AC339">
            <v>3400</v>
          </cell>
          <cell r="AE339">
            <v>0</v>
          </cell>
          <cell r="AK339">
            <v>1264</v>
          </cell>
          <cell r="AM339">
            <v>1.802</v>
          </cell>
          <cell r="AN339">
            <v>40.558</v>
          </cell>
          <cell r="AO339">
            <v>761.65800000000002</v>
          </cell>
          <cell r="AP339" t="str">
            <v>M.Trzaskalski</v>
          </cell>
        </row>
        <row r="340">
          <cell r="A340">
            <v>40147</v>
          </cell>
          <cell r="C340">
            <v>685.4</v>
          </cell>
          <cell r="D340">
            <v>838.4</v>
          </cell>
          <cell r="F340">
            <v>831.2</v>
          </cell>
          <cell r="G340">
            <v>-13</v>
          </cell>
          <cell r="H340">
            <v>19.600000000000001</v>
          </cell>
          <cell r="J340">
            <v>64</v>
          </cell>
          <cell r="K340">
            <v>37.599999999999994</v>
          </cell>
          <cell r="L340">
            <v>939.40000000000009</v>
          </cell>
          <cell r="M340">
            <v>11</v>
          </cell>
          <cell r="P340">
            <v>11</v>
          </cell>
          <cell r="Q340">
            <v>16359</v>
          </cell>
          <cell r="R340">
            <v>2111.2600000000002</v>
          </cell>
          <cell r="S340">
            <v>2067.9700000000003</v>
          </cell>
          <cell r="U340">
            <v>11</v>
          </cell>
          <cell r="X340">
            <v>1099.2</v>
          </cell>
          <cell r="Y340">
            <v>314.62</v>
          </cell>
          <cell r="Z340">
            <v>25.74</v>
          </cell>
          <cell r="AB340">
            <v>698.1</v>
          </cell>
          <cell r="AC340">
            <v>4100</v>
          </cell>
          <cell r="AE340">
            <v>0</v>
          </cell>
          <cell r="AH340">
            <v>133.19999999999999</v>
          </cell>
          <cell r="AJ340">
            <v>73.14</v>
          </cell>
          <cell r="AK340">
            <v>1191</v>
          </cell>
          <cell r="AL340">
            <v>-0.86</v>
          </cell>
          <cell r="AM340">
            <v>-0.7330000000000001</v>
          </cell>
          <cell r="AN340">
            <v>39.290999999999997</v>
          </cell>
          <cell r="AO340">
            <v>775.322</v>
          </cell>
          <cell r="AP340" t="str">
            <v>B.Bronicki</v>
          </cell>
        </row>
        <row r="341">
          <cell r="A341">
            <v>40148</v>
          </cell>
          <cell r="C341">
            <v>737.7</v>
          </cell>
          <cell r="D341">
            <v>737.7</v>
          </cell>
          <cell r="F341">
            <v>389.5</v>
          </cell>
          <cell r="G341">
            <v>37</v>
          </cell>
          <cell r="H341">
            <v>21.5</v>
          </cell>
          <cell r="J341">
            <v>104</v>
          </cell>
          <cell r="K341">
            <v>79.599999999999994</v>
          </cell>
          <cell r="L341">
            <v>631.6</v>
          </cell>
          <cell r="P341">
            <v>0</v>
          </cell>
          <cell r="Q341">
            <v>16441</v>
          </cell>
          <cell r="R341">
            <v>592</v>
          </cell>
          <cell r="S341">
            <v>592</v>
          </cell>
          <cell r="U341">
            <v>96</v>
          </cell>
          <cell r="Z341">
            <v>403.04</v>
          </cell>
          <cell r="AC341">
            <v>4000</v>
          </cell>
          <cell r="AE341">
            <v>0</v>
          </cell>
          <cell r="AJ341">
            <v>75</v>
          </cell>
          <cell r="AK341">
            <v>1115</v>
          </cell>
          <cell r="AM341">
            <v>1.091</v>
          </cell>
          <cell r="AN341">
            <v>38.200000000000003</v>
          </cell>
          <cell r="AO341">
            <v>797.21799999999996</v>
          </cell>
          <cell r="AP341" t="str">
            <v>M.Karlewski</v>
          </cell>
        </row>
        <row r="342">
          <cell r="A342">
            <v>40149</v>
          </cell>
          <cell r="C342">
            <v>854.5</v>
          </cell>
          <cell r="D342">
            <v>854.5</v>
          </cell>
          <cell r="F342">
            <v>648.70000000000005</v>
          </cell>
          <cell r="G342">
            <v>87</v>
          </cell>
          <cell r="H342">
            <v>22.1</v>
          </cell>
          <cell r="J342">
            <v>103</v>
          </cell>
          <cell r="K342">
            <v>57.2</v>
          </cell>
          <cell r="L342">
            <v>918.00000000000011</v>
          </cell>
          <cell r="P342">
            <v>0</v>
          </cell>
          <cell r="Q342">
            <v>16364</v>
          </cell>
          <cell r="R342">
            <v>1094</v>
          </cell>
          <cell r="S342">
            <v>1094</v>
          </cell>
          <cell r="U342">
            <v>108</v>
          </cell>
          <cell r="X342">
            <v>450</v>
          </cell>
          <cell r="Z342">
            <v>100.78</v>
          </cell>
          <cell r="AC342">
            <v>4400</v>
          </cell>
          <cell r="AE342">
            <v>0</v>
          </cell>
          <cell r="AJ342">
            <v>24.16</v>
          </cell>
          <cell r="AK342">
            <v>1137</v>
          </cell>
          <cell r="AM342">
            <v>2.637</v>
          </cell>
          <cell r="AN342">
            <v>35.563000000000002</v>
          </cell>
          <cell r="AO342">
            <v>809.67499999999995</v>
          </cell>
          <cell r="AP342" t="str">
            <v>M.Karlewski</v>
          </cell>
        </row>
        <row r="343">
          <cell r="A343">
            <v>40150</v>
          </cell>
          <cell r="C343">
            <v>854.6</v>
          </cell>
          <cell r="D343">
            <v>854.6</v>
          </cell>
          <cell r="F343">
            <v>690.8</v>
          </cell>
          <cell r="G343">
            <v>91.4</v>
          </cell>
          <cell r="H343">
            <v>43</v>
          </cell>
          <cell r="J343">
            <v>109</v>
          </cell>
          <cell r="K343">
            <v>65.2</v>
          </cell>
          <cell r="L343">
            <v>999.4</v>
          </cell>
          <cell r="M343">
            <v>1.52</v>
          </cell>
          <cell r="P343">
            <v>1.52</v>
          </cell>
          <cell r="Q343">
            <v>16238</v>
          </cell>
          <cell r="R343">
            <v>1165</v>
          </cell>
          <cell r="S343">
            <v>1135.425</v>
          </cell>
          <cell r="U343">
            <v>96</v>
          </cell>
          <cell r="X343">
            <v>607</v>
          </cell>
          <cell r="Z343">
            <v>25.48</v>
          </cell>
          <cell r="AC343">
            <v>4800</v>
          </cell>
          <cell r="AE343">
            <v>0</v>
          </cell>
          <cell r="AH343">
            <v>91</v>
          </cell>
          <cell r="AJ343">
            <v>71.8</v>
          </cell>
          <cell r="AK343">
            <v>1156</v>
          </cell>
          <cell r="AM343">
            <v>1.47</v>
          </cell>
          <cell r="AN343">
            <v>34.093000000000004</v>
          </cell>
          <cell r="AO343">
            <v>809.45699999999999</v>
          </cell>
          <cell r="AP343" t="str">
            <v>P.Witkowski</v>
          </cell>
        </row>
        <row r="344">
          <cell r="A344">
            <v>40151</v>
          </cell>
          <cell r="C344">
            <v>856.5</v>
          </cell>
          <cell r="D344">
            <v>856.5</v>
          </cell>
          <cell r="F344">
            <v>689.5</v>
          </cell>
          <cell r="G344">
            <v>131.6</v>
          </cell>
          <cell r="H344">
            <v>6.8</v>
          </cell>
          <cell r="J344">
            <v>106</v>
          </cell>
          <cell r="K344">
            <v>104.5</v>
          </cell>
          <cell r="L344">
            <v>1038.4000000000001</v>
          </cell>
          <cell r="P344">
            <v>0</v>
          </cell>
          <cell r="Q344">
            <v>16028</v>
          </cell>
          <cell r="R344">
            <v>1163</v>
          </cell>
          <cell r="S344">
            <v>1133.425</v>
          </cell>
          <cell r="U344">
            <v>96</v>
          </cell>
          <cell r="X344">
            <v>607</v>
          </cell>
          <cell r="Z344">
            <v>25.48</v>
          </cell>
          <cell r="AC344">
            <v>5200</v>
          </cell>
          <cell r="AE344">
            <v>0</v>
          </cell>
          <cell r="AH344">
            <v>91</v>
          </cell>
          <cell r="AJ344">
            <v>97.94</v>
          </cell>
          <cell r="AK344">
            <v>1150</v>
          </cell>
          <cell r="AM344">
            <v>1.8029999999999999</v>
          </cell>
          <cell r="AN344">
            <v>32.29</v>
          </cell>
          <cell r="AO344">
            <v>810.65800000000002</v>
          </cell>
          <cell r="AP344" t="str">
            <v>M.Szwyd</v>
          </cell>
        </row>
        <row r="345">
          <cell r="A345">
            <v>40152</v>
          </cell>
          <cell r="C345">
            <v>857.6</v>
          </cell>
          <cell r="D345">
            <v>857.6</v>
          </cell>
          <cell r="F345">
            <v>598.5</v>
          </cell>
          <cell r="G345">
            <v>59.8</v>
          </cell>
          <cell r="H345">
            <v>21.1</v>
          </cell>
          <cell r="J345">
            <v>107</v>
          </cell>
          <cell r="K345">
            <v>66.900000000000006</v>
          </cell>
          <cell r="L345">
            <v>853.3</v>
          </cell>
          <cell r="P345">
            <v>0</v>
          </cell>
          <cell r="Q345">
            <v>16009</v>
          </cell>
          <cell r="R345">
            <v>1009</v>
          </cell>
          <cell r="S345">
            <v>1009</v>
          </cell>
          <cell r="U345">
            <v>324</v>
          </cell>
          <cell r="X345">
            <v>509</v>
          </cell>
          <cell r="Z345">
            <v>128.1</v>
          </cell>
          <cell r="AC345">
            <v>5300</v>
          </cell>
          <cell r="AE345">
            <v>0</v>
          </cell>
          <cell r="AJ345">
            <v>25.76</v>
          </cell>
          <cell r="AK345">
            <v>1124</v>
          </cell>
          <cell r="AM345">
            <v>1.802</v>
          </cell>
          <cell r="AN345">
            <v>30.488</v>
          </cell>
          <cell r="AO345">
            <v>810.30399999999997</v>
          </cell>
          <cell r="AP345" t="str">
            <v>M.Szwyd</v>
          </cell>
        </row>
        <row r="346">
          <cell r="A346">
            <v>40153</v>
          </cell>
          <cell r="C346">
            <v>857</v>
          </cell>
          <cell r="D346">
            <v>857</v>
          </cell>
          <cell r="F346">
            <v>613.29999999999995</v>
          </cell>
          <cell r="G346">
            <v>39</v>
          </cell>
          <cell r="H346">
            <v>17.7</v>
          </cell>
          <cell r="J346">
            <v>103</v>
          </cell>
          <cell r="K346">
            <v>55.1</v>
          </cell>
          <cell r="L346">
            <v>828.1</v>
          </cell>
          <cell r="P346">
            <v>0</v>
          </cell>
          <cell r="Q346">
            <v>16014</v>
          </cell>
          <cell r="R346">
            <v>1034</v>
          </cell>
          <cell r="S346">
            <v>1034</v>
          </cell>
          <cell r="U346">
            <v>48</v>
          </cell>
          <cell r="X346">
            <v>488</v>
          </cell>
          <cell r="Y346">
            <v>575</v>
          </cell>
          <cell r="AC346">
            <v>5200</v>
          </cell>
          <cell r="AE346">
            <v>0</v>
          </cell>
          <cell r="AJ346">
            <v>26.1</v>
          </cell>
          <cell r="AK346">
            <v>1097</v>
          </cell>
          <cell r="AM346">
            <v>1.802</v>
          </cell>
          <cell r="AN346">
            <v>28.686</v>
          </cell>
          <cell r="AO346">
            <v>810.41800000000001</v>
          </cell>
          <cell r="AP346" t="str">
            <v>M.Szwyd</v>
          </cell>
        </row>
        <row r="347">
          <cell r="A347">
            <v>40154</v>
          </cell>
          <cell r="C347">
            <v>858</v>
          </cell>
          <cell r="D347">
            <v>858</v>
          </cell>
          <cell r="F347">
            <v>635.6</v>
          </cell>
          <cell r="G347">
            <v>81</v>
          </cell>
          <cell r="H347">
            <v>15.3</v>
          </cell>
          <cell r="J347">
            <v>101</v>
          </cell>
          <cell r="K347">
            <v>57.9</v>
          </cell>
          <cell r="L347">
            <v>890.8</v>
          </cell>
          <cell r="P347">
            <v>0</v>
          </cell>
          <cell r="Q347">
            <v>15961</v>
          </cell>
          <cell r="R347">
            <v>1072</v>
          </cell>
          <cell r="S347">
            <v>569.375</v>
          </cell>
          <cell r="U347">
            <v>240</v>
          </cell>
          <cell r="Z347">
            <v>101.56</v>
          </cell>
          <cell r="AC347">
            <v>5800</v>
          </cell>
          <cell r="AD347">
            <v>488</v>
          </cell>
          <cell r="AE347">
            <v>488</v>
          </cell>
          <cell r="AH347">
            <v>45</v>
          </cell>
          <cell r="AJ347">
            <v>24.12</v>
          </cell>
          <cell r="AK347">
            <v>1074</v>
          </cell>
          <cell r="AM347">
            <v>0</v>
          </cell>
          <cell r="AN347">
            <v>28.696000000000002</v>
          </cell>
          <cell r="AO347">
            <v>810.15899999999999</v>
          </cell>
          <cell r="AP347" t="str">
            <v>M.Trzaskalski</v>
          </cell>
        </row>
        <row r="348">
          <cell r="A348">
            <v>40155</v>
          </cell>
          <cell r="C348">
            <v>857.9</v>
          </cell>
          <cell r="D348">
            <v>857.9</v>
          </cell>
          <cell r="F348">
            <v>689.7</v>
          </cell>
          <cell r="G348">
            <v>76</v>
          </cell>
          <cell r="J348">
            <v>98</v>
          </cell>
          <cell r="K348">
            <v>34.200000000000003</v>
          </cell>
          <cell r="L348">
            <v>897.90000000000009</v>
          </cell>
          <cell r="P348">
            <v>0</v>
          </cell>
          <cell r="Q348">
            <v>15903</v>
          </cell>
          <cell r="R348">
            <v>1163</v>
          </cell>
          <cell r="S348">
            <v>443.6</v>
          </cell>
          <cell r="U348">
            <v>312</v>
          </cell>
          <cell r="AC348">
            <v>6000</v>
          </cell>
          <cell r="AD348">
            <v>719.4</v>
          </cell>
          <cell r="AE348">
            <v>719.4</v>
          </cell>
          <cell r="AJ348">
            <v>73.28</v>
          </cell>
          <cell r="AK348">
            <v>1000</v>
          </cell>
          <cell r="AM348">
            <v>0</v>
          </cell>
          <cell r="AN348">
            <v>28.686</v>
          </cell>
          <cell r="AO348">
            <v>812.51099999999997</v>
          </cell>
          <cell r="AP348" t="str">
            <v>M.Trzaskalski</v>
          </cell>
        </row>
        <row r="349">
          <cell r="A349">
            <v>40156</v>
          </cell>
          <cell r="C349">
            <v>856.6</v>
          </cell>
          <cell r="D349">
            <v>856.6</v>
          </cell>
          <cell r="F349">
            <v>690.1</v>
          </cell>
          <cell r="G349">
            <v>62</v>
          </cell>
          <cell r="H349">
            <v>16</v>
          </cell>
          <cell r="J349">
            <v>99</v>
          </cell>
          <cell r="K349">
            <v>66.2</v>
          </cell>
          <cell r="L349">
            <v>933.30000000000007</v>
          </cell>
          <cell r="P349">
            <v>0</v>
          </cell>
          <cell r="Q349">
            <v>15810</v>
          </cell>
          <cell r="R349">
            <v>1163</v>
          </cell>
          <cell r="S349">
            <v>437.65</v>
          </cell>
          <cell r="U349">
            <v>551</v>
          </cell>
          <cell r="AC349">
            <v>6100</v>
          </cell>
          <cell r="AD349">
            <v>668.8</v>
          </cell>
          <cell r="AE349">
            <v>668.8</v>
          </cell>
          <cell r="AH349">
            <v>174</v>
          </cell>
          <cell r="AJ349">
            <v>75.14</v>
          </cell>
          <cell r="AK349">
            <v>1110</v>
          </cell>
          <cell r="AM349">
            <v>0</v>
          </cell>
          <cell r="AN349">
            <v>28.686</v>
          </cell>
          <cell r="AO349">
            <v>812.28599999999994</v>
          </cell>
          <cell r="AP349" t="str">
            <v>B.Bronicki</v>
          </cell>
        </row>
        <row r="350">
          <cell r="A350">
            <v>40157</v>
          </cell>
          <cell r="C350">
            <v>344.3</v>
          </cell>
          <cell r="D350">
            <v>344.3</v>
          </cell>
          <cell r="F350">
            <v>228.7</v>
          </cell>
          <cell r="H350">
            <v>22.6</v>
          </cell>
          <cell r="J350">
            <v>101</v>
          </cell>
          <cell r="K350">
            <v>100</v>
          </cell>
          <cell r="L350">
            <v>452.29999999999995</v>
          </cell>
          <cell r="P350">
            <v>0</v>
          </cell>
          <cell r="Q350">
            <v>15675</v>
          </cell>
          <cell r="R350">
            <v>376</v>
          </cell>
          <cell r="S350">
            <v>-146.1</v>
          </cell>
          <cell r="U350">
            <v>452</v>
          </cell>
          <cell r="Z350">
            <v>213.6</v>
          </cell>
          <cell r="AC350">
            <v>4500</v>
          </cell>
          <cell r="AD350">
            <v>463.1</v>
          </cell>
          <cell r="AE350">
            <v>463.1</v>
          </cell>
          <cell r="AJ350">
            <v>50.25</v>
          </cell>
          <cell r="AK350">
            <v>1107</v>
          </cell>
          <cell r="AM350">
            <v>0</v>
          </cell>
          <cell r="AN350">
            <v>28.686</v>
          </cell>
          <cell r="AO350">
            <v>764.45699999999999</v>
          </cell>
          <cell r="AP350" t="str">
            <v>B.Bronicki</v>
          </cell>
        </row>
        <row r="351">
          <cell r="A351">
            <v>40158</v>
          </cell>
          <cell r="C351">
            <v>840.6</v>
          </cell>
          <cell r="D351">
            <v>840.6</v>
          </cell>
          <cell r="F351">
            <v>633.6</v>
          </cell>
          <cell r="H351">
            <v>21.5</v>
          </cell>
          <cell r="J351">
            <v>109</v>
          </cell>
          <cell r="K351">
            <v>47.3</v>
          </cell>
          <cell r="L351">
            <v>811.4</v>
          </cell>
          <cell r="P351">
            <v>0</v>
          </cell>
          <cell r="Q351">
            <v>15686</v>
          </cell>
          <cell r="R351">
            <v>1068</v>
          </cell>
          <cell r="S351">
            <v>1022.0775</v>
          </cell>
          <cell r="U351">
            <v>270</v>
          </cell>
          <cell r="X351">
            <v>567</v>
          </cell>
          <cell r="Y351">
            <v>3.5</v>
          </cell>
          <cell r="AA351">
            <v>702.97</v>
          </cell>
          <cell r="AC351">
            <v>4000</v>
          </cell>
          <cell r="AE351">
            <v>0</v>
          </cell>
          <cell r="AH351">
            <v>141.30000000000001</v>
          </cell>
          <cell r="AJ351">
            <v>48.9</v>
          </cell>
          <cell r="AK351">
            <v>1149</v>
          </cell>
          <cell r="AL351">
            <v>24</v>
          </cell>
          <cell r="AM351">
            <v>0</v>
          </cell>
          <cell r="AN351">
            <v>52.686</v>
          </cell>
          <cell r="AO351">
            <v>778.505</v>
          </cell>
          <cell r="AP351" t="str">
            <v>P.Witkowski</v>
          </cell>
        </row>
        <row r="352">
          <cell r="A352">
            <v>40159</v>
          </cell>
          <cell r="C352">
            <v>857.9</v>
          </cell>
          <cell r="D352">
            <v>857.9</v>
          </cell>
          <cell r="F352">
            <v>691.6</v>
          </cell>
          <cell r="H352">
            <v>19</v>
          </cell>
          <cell r="J352">
            <v>110</v>
          </cell>
          <cell r="K352">
            <v>64.8</v>
          </cell>
          <cell r="L352">
            <v>885.4</v>
          </cell>
          <cell r="P352">
            <v>0</v>
          </cell>
          <cell r="Q352">
            <v>15643</v>
          </cell>
          <cell r="R352">
            <v>1066</v>
          </cell>
          <cell r="S352">
            <v>1066</v>
          </cell>
          <cell r="U352">
            <v>48</v>
          </cell>
          <cell r="X352">
            <v>744</v>
          </cell>
          <cell r="AC352">
            <v>4300</v>
          </cell>
          <cell r="AE352">
            <v>0</v>
          </cell>
          <cell r="AJ352">
            <v>28.14</v>
          </cell>
          <cell r="AK352">
            <v>1124</v>
          </cell>
          <cell r="AM352">
            <v>0</v>
          </cell>
          <cell r="AN352">
            <v>52.686</v>
          </cell>
          <cell r="AO352">
            <v>813</v>
          </cell>
          <cell r="AP352" t="str">
            <v>P.Witkowski</v>
          </cell>
        </row>
        <row r="353">
          <cell r="A353">
            <v>40160</v>
          </cell>
          <cell r="C353">
            <v>857.4</v>
          </cell>
          <cell r="D353">
            <v>857.4</v>
          </cell>
          <cell r="F353">
            <v>692.6</v>
          </cell>
          <cell r="H353">
            <v>9.5</v>
          </cell>
          <cell r="J353">
            <v>108</v>
          </cell>
          <cell r="K353">
            <v>53.8</v>
          </cell>
          <cell r="L353">
            <v>863.9</v>
          </cell>
          <cell r="P353">
            <v>0</v>
          </cell>
          <cell r="Q353">
            <v>15611</v>
          </cell>
          <cell r="R353">
            <v>1168</v>
          </cell>
          <cell r="S353">
            <v>1168</v>
          </cell>
          <cell r="X353">
            <v>594</v>
          </cell>
          <cell r="Y353">
            <v>577.79999999999995</v>
          </cell>
          <cell r="AC353">
            <v>4200</v>
          </cell>
          <cell r="AE353">
            <v>0</v>
          </cell>
          <cell r="AK353">
            <v>1124</v>
          </cell>
          <cell r="AM353">
            <v>0</v>
          </cell>
          <cell r="AN353">
            <v>52.686</v>
          </cell>
          <cell r="AO353">
            <v>810.81899999999996</v>
          </cell>
          <cell r="AP353" t="str">
            <v>P.Witkowski</v>
          </cell>
        </row>
        <row r="354">
          <cell r="A354">
            <v>40161</v>
          </cell>
          <cell r="C354">
            <v>855.9</v>
          </cell>
          <cell r="D354">
            <v>855.9</v>
          </cell>
          <cell r="F354">
            <v>629.70000000000005</v>
          </cell>
          <cell r="J354">
            <v>40</v>
          </cell>
          <cell r="K354">
            <v>62</v>
          </cell>
          <cell r="L354">
            <v>731.7</v>
          </cell>
          <cell r="P354">
            <v>0</v>
          </cell>
          <cell r="Q354">
            <v>15709</v>
          </cell>
          <cell r="R354">
            <v>1062</v>
          </cell>
          <cell r="S354">
            <v>1024.625</v>
          </cell>
          <cell r="U354">
            <v>156</v>
          </cell>
          <cell r="X354">
            <v>413</v>
          </cell>
          <cell r="Y354">
            <v>172.8</v>
          </cell>
          <cell r="Z354">
            <v>418.5</v>
          </cell>
          <cell r="AC354">
            <v>5000</v>
          </cell>
          <cell r="AE354">
            <v>0</v>
          </cell>
          <cell r="AH354">
            <v>115</v>
          </cell>
          <cell r="AJ354">
            <v>47.84</v>
          </cell>
          <cell r="AK354">
            <v>1122</v>
          </cell>
          <cell r="AM354">
            <v>5.4020000000000001</v>
          </cell>
          <cell r="AN354">
            <v>47.286000000000001</v>
          </cell>
          <cell r="AP354" t="str">
            <v>P.Witkowski</v>
          </cell>
        </row>
        <row r="355">
          <cell r="A355">
            <v>40162</v>
          </cell>
          <cell r="C355">
            <v>856.2</v>
          </cell>
          <cell r="D355">
            <v>856.2</v>
          </cell>
          <cell r="F355">
            <v>319</v>
          </cell>
          <cell r="J355">
            <v>32</v>
          </cell>
          <cell r="K355">
            <v>61</v>
          </cell>
          <cell r="L355">
            <v>412</v>
          </cell>
          <cell r="M355">
            <v>10.9</v>
          </cell>
          <cell r="P355">
            <v>10.9</v>
          </cell>
          <cell r="Q355">
            <v>16130</v>
          </cell>
          <cell r="R355">
            <v>525</v>
          </cell>
          <cell r="S355">
            <v>525</v>
          </cell>
          <cell r="U355">
            <v>300</v>
          </cell>
          <cell r="X355">
            <v>501</v>
          </cell>
          <cell r="Z355">
            <v>530.29999999999995</v>
          </cell>
          <cell r="AA355">
            <v>500.18400000000003</v>
          </cell>
          <cell r="AC355">
            <v>3700</v>
          </cell>
          <cell r="AE355">
            <v>0</v>
          </cell>
          <cell r="AJ355">
            <v>147.44</v>
          </cell>
          <cell r="AK355">
            <v>974</v>
          </cell>
          <cell r="AM355">
            <v>0.96199999999999997</v>
          </cell>
          <cell r="AN355">
            <v>45.161999999999999</v>
          </cell>
          <cell r="AO355">
            <v>810.57899999999995</v>
          </cell>
          <cell r="AP355" t="str">
            <v>M.Szwyd</v>
          </cell>
        </row>
        <row r="356">
          <cell r="A356">
            <v>40163</v>
          </cell>
          <cell r="C356">
            <v>856</v>
          </cell>
          <cell r="D356">
            <v>856</v>
          </cell>
          <cell r="F356">
            <v>688.4</v>
          </cell>
          <cell r="J356">
            <v>105</v>
          </cell>
          <cell r="K356">
            <v>48</v>
          </cell>
          <cell r="L356">
            <v>841.4</v>
          </cell>
          <cell r="M356">
            <v>1.48</v>
          </cell>
          <cell r="P356">
            <v>1.48</v>
          </cell>
          <cell r="Q356">
            <v>16127</v>
          </cell>
          <cell r="R356">
            <v>1161</v>
          </cell>
          <cell r="S356">
            <v>1161</v>
          </cell>
          <cell r="U356">
            <v>288</v>
          </cell>
          <cell r="X356">
            <v>279</v>
          </cell>
          <cell r="Z356">
            <v>735.85</v>
          </cell>
          <cell r="AC356">
            <v>3400</v>
          </cell>
          <cell r="AE356">
            <v>0</v>
          </cell>
          <cell r="AJ356">
            <v>125.36</v>
          </cell>
          <cell r="AK356">
            <v>849</v>
          </cell>
          <cell r="AM356">
            <v>6.218</v>
          </cell>
          <cell r="AN356">
            <v>38.944000000000003</v>
          </cell>
          <cell r="AO356">
            <v>809.89400000000001</v>
          </cell>
          <cell r="AP356" t="str">
            <v>M.Szwyd</v>
          </cell>
        </row>
        <row r="357">
          <cell r="A357">
            <v>40164</v>
          </cell>
          <cell r="C357">
            <v>855.2</v>
          </cell>
          <cell r="D357">
            <v>855.2</v>
          </cell>
          <cell r="F357">
            <v>616.6</v>
          </cell>
          <cell r="H357">
            <v>10.3</v>
          </cell>
          <cell r="J357">
            <v>105</v>
          </cell>
          <cell r="K357">
            <v>41.3</v>
          </cell>
          <cell r="L357">
            <v>773.19999999999993</v>
          </cell>
          <cell r="P357">
            <v>0</v>
          </cell>
          <cell r="Q357">
            <v>16187</v>
          </cell>
          <cell r="R357">
            <v>1040</v>
          </cell>
          <cell r="S357">
            <v>1040</v>
          </cell>
          <cell r="U357">
            <v>241</v>
          </cell>
          <cell r="Y357">
            <v>570</v>
          </cell>
          <cell r="Z357">
            <v>549.16</v>
          </cell>
          <cell r="AC357">
            <v>3100</v>
          </cell>
          <cell r="AE357">
            <v>0</v>
          </cell>
          <cell r="AJ357">
            <v>145.4</v>
          </cell>
          <cell r="AK357">
            <v>752</v>
          </cell>
          <cell r="AM357">
            <v>4.9470000000000001</v>
          </cell>
          <cell r="AN357">
            <v>33.997</v>
          </cell>
          <cell r="AO357">
            <v>807.06100000000004</v>
          </cell>
          <cell r="AP357" t="str">
            <v>Utrata R.</v>
          </cell>
        </row>
        <row r="358">
          <cell r="A358">
            <v>40165</v>
          </cell>
          <cell r="C358">
            <v>856.8</v>
          </cell>
          <cell r="D358">
            <v>856.8</v>
          </cell>
          <cell r="F358">
            <v>571.70000000000005</v>
          </cell>
          <cell r="H358">
            <v>17.2</v>
          </cell>
          <cell r="J358">
            <v>109</v>
          </cell>
          <cell r="K358">
            <v>66.599999999999994</v>
          </cell>
          <cell r="L358">
            <v>764.50000000000011</v>
          </cell>
          <cell r="P358">
            <v>0</v>
          </cell>
          <cell r="Q358">
            <v>16256</v>
          </cell>
          <cell r="R358">
            <v>964</v>
          </cell>
          <cell r="S358">
            <v>964</v>
          </cell>
          <cell r="U358">
            <v>263</v>
          </cell>
          <cell r="X358">
            <v>272</v>
          </cell>
          <cell r="Y358">
            <v>161.47999999999999</v>
          </cell>
          <cell r="AC358">
            <v>3400</v>
          </cell>
          <cell r="AE358">
            <v>0</v>
          </cell>
          <cell r="AJ358">
            <v>97.9</v>
          </cell>
          <cell r="AK358">
            <v>653</v>
          </cell>
          <cell r="AL358">
            <v>19</v>
          </cell>
          <cell r="AM358">
            <v>3.077</v>
          </cell>
          <cell r="AN358">
            <v>49.92</v>
          </cell>
          <cell r="AO358">
            <v>808.42</v>
          </cell>
          <cell r="AP358" t="str">
            <v>B.Bronicki</v>
          </cell>
        </row>
        <row r="359">
          <cell r="A359">
            <v>40166</v>
          </cell>
          <cell r="C359">
            <v>856.3</v>
          </cell>
          <cell r="D359">
            <v>856.3</v>
          </cell>
          <cell r="F359">
            <v>546.9</v>
          </cell>
          <cell r="H359">
            <v>17.8</v>
          </cell>
          <cell r="J359">
            <v>115</v>
          </cell>
          <cell r="K359">
            <v>77.900000000000006</v>
          </cell>
          <cell r="L359">
            <v>757.59999999999991</v>
          </cell>
          <cell r="P359">
            <v>0</v>
          </cell>
          <cell r="Q359">
            <v>16332</v>
          </cell>
          <cell r="R359">
            <v>922</v>
          </cell>
          <cell r="S359">
            <v>922</v>
          </cell>
          <cell r="U359">
            <v>192</v>
          </cell>
          <cell r="X359">
            <v>541</v>
          </cell>
          <cell r="Y359">
            <v>284</v>
          </cell>
          <cell r="AC359">
            <v>3300</v>
          </cell>
          <cell r="AE359">
            <v>0</v>
          </cell>
          <cell r="AK359">
            <v>652</v>
          </cell>
          <cell r="AM359">
            <v>3.077</v>
          </cell>
          <cell r="AN359">
            <v>46.843000000000004</v>
          </cell>
          <cell r="AO359">
            <v>808.25099999999998</v>
          </cell>
          <cell r="AP359" t="str">
            <v>B.Bronicki</v>
          </cell>
        </row>
        <row r="360">
          <cell r="A360">
            <v>40167</v>
          </cell>
          <cell r="C360">
            <v>854.2</v>
          </cell>
          <cell r="D360">
            <v>854.2</v>
          </cell>
          <cell r="F360">
            <v>555.20000000000005</v>
          </cell>
          <cell r="G360">
            <v>68</v>
          </cell>
          <cell r="H360">
            <v>17.899999999999999</v>
          </cell>
          <cell r="J360">
            <v>113</v>
          </cell>
          <cell r="K360">
            <v>95.7</v>
          </cell>
          <cell r="L360">
            <v>849.80000000000007</v>
          </cell>
          <cell r="P360">
            <v>0</v>
          </cell>
          <cell r="Q360">
            <v>16293</v>
          </cell>
          <cell r="R360">
            <v>936</v>
          </cell>
          <cell r="S360">
            <v>936</v>
          </cell>
          <cell r="U360">
            <v>24</v>
          </cell>
          <cell r="X360">
            <v>174</v>
          </cell>
          <cell r="Y360">
            <v>609.5</v>
          </cell>
          <cell r="AC360">
            <v>3400</v>
          </cell>
          <cell r="AE360">
            <v>0</v>
          </cell>
          <cell r="AJ360">
            <v>50.5</v>
          </cell>
          <cell r="AK360">
            <v>602</v>
          </cell>
          <cell r="AM360">
            <v>3.077</v>
          </cell>
          <cell r="AN360">
            <v>43.766000000000005</v>
          </cell>
          <cell r="AO360">
            <v>806.12599999999998</v>
          </cell>
          <cell r="AP360" t="str">
            <v>B.Bronicki</v>
          </cell>
        </row>
        <row r="361">
          <cell r="A361">
            <v>40168</v>
          </cell>
          <cell r="C361">
            <v>853.8</v>
          </cell>
          <cell r="D361">
            <v>853.8</v>
          </cell>
          <cell r="F361">
            <v>606.4</v>
          </cell>
          <cell r="G361">
            <v>71</v>
          </cell>
          <cell r="H361">
            <v>18.100000000000001</v>
          </cell>
          <cell r="J361">
            <v>112</v>
          </cell>
          <cell r="K361">
            <v>78.2</v>
          </cell>
          <cell r="L361">
            <v>885.7</v>
          </cell>
          <cell r="P361">
            <v>0</v>
          </cell>
          <cell r="Q361">
            <v>16240</v>
          </cell>
          <cell r="R361">
            <v>1023</v>
          </cell>
          <cell r="S361">
            <v>1023</v>
          </cell>
          <cell r="U361">
            <v>240</v>
          </cell>
          <cell r="Y361">
            <v>102.5</v>
          </cell>
          <cell r="AC361">
            <v>3100</v>
          </cell>
          <cell r="AE361">
            <v>0</v>
          </cell>
          <cell r="AJ361">
            <v>50.08</v>
          </cell>
          <cell r="AK361">
            <v>554</v>
          </cell>
          <cell r="AM361">
            <v>6.1609999999999996</v>
          </cell>
          <cell r="AN361">
            <v>37.604999999999997</v>
          </cell>
          <cell r="AO361">
            <v>804.58500000000004</v>
          </cell>
          <cell r="AP361" t="str">
            <v>M.Karlewski</v>
          </cell>
        </row>
        <row r="362">
          <cell r="A362">
            <v>40169</v>
          </cell>
          <cell r="C362">
            <v>435.5</v>
          </cell>
          <cell r="D362">
            <v>435.5</v>
          </cell>
          <cell r="F362">
            <v>131.5</v>
          </cell>
          <cell r="G362">
            <v>84</v>
          </cell>
          <cell r="H362">
            <v>19.3</v>
          </cell>
          <cell r="J362">
            <v>117</v>
          </cell>
          <cell r="K362">
            <v>59.3</v>
          </cell>
          <cell r="L362">
            <v>411.1</v>
          </cell>
          <cell r="P362">
            <v>0</v>
          </cell>
          <cell r="Q362">
            <v>16145.4</v>
          </cell>
          <cell r="R362">
            <v>222</v>
          </cell>
          <cell r="S362">
            <v>222</v>
          </cell>
          <cell r="U362">
            <v>312</v>
          </cell>
          <cell r="AC362">
            <v>3200</v>
          </cell>
          <cell r="AE362">
            <v>0</v>
          </cell>
          <cell r="AJ362">
            <v>73.239999999999995</v>
          </cell>
          <cell r="AK362">
            <v>480</v>
          </cell>
          <cell r="AL362">
            <v>17.5</v>
          </cell>
          <cell r="AM362">
            <v>1.0660000000000001</v>
          </cell>
          <cell r="AN362">
            <v>52.899000000000001</v>
          </cell>
          <cell r="AO362">
            <v>649.44200000000001</v>
          </cell>
          <cell r="AP362" t="str">
            <v>M.Karlewski</v>
          </cell>
        </row>
        <row r="363">
          <cell r="A363">
            <v>40170</v>
          </cell>
          <cell r="C363">
            <v>0</v>
          </cell>
          <cell r="D363">
            <v>0</v>
          </cell>
          <cell r="F363">
            <v>0</v>
          </cell>
          <cell r="G363">
            <v>85.4</v>
          </cell>
          <cell r="H363">
            <v>19.3</v>
          </cell>
          <cell r="J363">
            <v>109</v>
          </cell>
          <cell r="K363">
            <v>62.5</v>
          </cell>
          <cell r="L363">
            <v>276.2</v>
          </cell>
          <cell r="M363">
            <v>0.42</v>
          </cell>
          <cell r="P363">
            <v>0.42</v>
          </cell>
          <cell r="Q363">
            <v>15844.1</v>
          </cell>
          <cell r="R363">
            <v>0</v>
          </cell>
          <cell r="S363">
            <v>0</v>
          </cell>
          <cell r="U363">
            <v>81</v>
          </cell>
          <cell r="X363">
            <v>282</v>
          </cell>
          <cell r="AC363">
            <v>2800</v>
          </cell>
          <cell r="AE363">
            <v>0</v>
          </cell>
          <cell r="AJ363">
            <v>23.86</v>
          </cell>
          <cell r="AK363">
            <v>456</v>
          </cell>
          <cell r="AN363">
            <v>52.899000000000001</v>
          </cell>
          <cell r="AO363">
            <v>5.3780000000000001</v>
          </cell>
          <cell r="AP363" t="str">
            <v>M.Karlewski</v>
          </cell>
        </row>
        <row r="364">
          <cell r="A364">
            <v>40171</v>
          </cell>
          <cell r="C364">
            <v>0</v>
          </cell>
          <cell r="D364">
            <v>0</v>
          </cell>
          <cell r="F364">
            <v>0</v>
          </cell>
          <cell r="G364">
            <v>93</v>
          </cell>
          <cell r="H364">
            <v>9.3000000000000007</v>
          </cell>
          <cell r="J364">
            <v>113</v>
          </cell>
          <cell r="K364">
            <v>56.1</v>
          </cell>
          <cell r="L364">
            <v>271.40000000000003</v>
          </cell>
          <cell r="P364">
            <v>0</v>
          </cell>
          <cell r="Q364">
            <v>15552.1</v>
          </cell>
          <cell r="R364">
            <v>0</v>
          </cell>
          <cell r="S364">
            <v>0</v>
          </cell>
          <cell r="X364">
            <v>520</v>
          </cell>
          <cell r="AC364">
            <v>2300</v>
          </cell>
          <cell r="AE364">
            <v>0</v>
          </cell>
          <cell r="AK364">
            <v>456</v>
          </cell>
          <cell r="AN364">
            <v>52.899000000000001</v>
          </cell>
          <cell r="AO364">
            <v>5.2850000000000001</v>
          </cell>
          <cell r="AP364" t="str">
            <v>M.Karlewski</v>
          </cell>
        </row>
        <row r="365">
          <cell r="A365">
            <v>40172</v>
          </cell>
          <cell r="C365">
            <v>0</v>
          </cell>
          <cell r="D365">
            <v>0</v>
          </cell>
          <cell r="F365">
            <v>0</v>
          </cell>
          <cell r="G365">
            <v>34.950000000000003</v>
          </cell>
          <cell r="H365">
            <v>16.7</v>
          </cell>
          <cell r="J365">
            <v>109</v>
          </cell>
          <cell r="K365">
            <v>62.4</v>
          </cell>
          <cell r="L365">
            <v>223.05</v>
          </cell>
          <cell r="P365">
            <v>0</v>
          </cell>
          <cell r="Q365">
            <v>15311.9</v>
          </cell>
          <cell r="R365">
            <v>0</v>
          </cell>
          <cell r="S365">
            <v>0</v>
          </cell>
          <cell r="X365">
            <v>136</v>
          </cell>
          <cell r="AC365">
            <v>2200</v>
          </cell>
          <cell r="AE365">
            <v>0</v>
          </cell>
          <cell r="AK365">
            <v>456</v>
          </cell>
          <cell r="AN365">
            <v>52.899000000000001</v>
          </cell>
          <cell r="AO365">
            <v>4.7779999999999996</v>
          </cell>
          <cell r="AP365" t="str">
            <v>M.Karlewski</v>
          </cell>
        </row>
        <row r="366">
          <cell r="A366">
            <v>40173</v>
          </cell>
          <cell r="C366">
            <v>0</v>
          </cell>
          <cell r="D366">
            <v>0</v>
          </cell>
          <cell r="F366">
            <v>0</v>
          </cell>
          <cell r="H366">
            <v>20.5</v>
          </cell>
          <cell r="J366">
            <v>106</v>
          </cell>
          <cell r="K366">
            <v>59.8</v>
          </cell>
          <cell r="L366">
            <v>186.3</v>
          </cell>
          <cell r="P366">
            <v>0</v>
          </cell>
          <cell r="Q366">
            <v>15117.2</v>
          </cell>
          <cell r="R366">
            <v>0</v>
          </cell>
          <cell r="S366">
            <v>0</v>
          </cell>
          <cell r="X366">
            <v>560</v>
          </cell>
          <cell r="AC366">
            <v>1600</v>
          </cell>
          <cell r="AE366">
            <v>0</v>
          </cell>
          <cell r="AK366">
            <v>456</v>
          </cell>
          <cell r="AN366">
            <v>52.899000000000001</v>
          </cell>
          <cell r="AO366">
            <v>207.97800000000001</v>
          </cell>
          <cell r="AP366" t="str">
            <v>M.Karlewski</v>
          </cell>
        </row>
        <row r="367">
          <cell r="A367">
            <v>40174</v>
          </cell>
          <cell r="C367">
            <v>541.79999999999995</v>
          </cell>
          <cell r="D367">
            <v>541.79999999999995</v>
          </cell>
          <cell r="F367">
            <v>258.5</v>
          </cell>
          <cell r="G367">
            <v>48</v>
          </cell>
          <cell r="H367">
            <v>20.8</v>
          </cell>
          <cell r="J367">
            <v>100</v>
          </cell>
          <cell r="K367">
            <v>44.3</v>
          </cell>
          <cell r="L367">
            <v>471.6</v>
          </cell>
          <cell r="P367">
            <v>0</v>
          </cell>
          <cell r="Q367">
            <v>15170.2</v>
          </cell>
          <cell r="R367">
            <v>159</v>
          </cell>
          <cell r="S367">
            <v>159</v>
          </cell>
          <cell r="X367">
            <v>437</v>
          </cell>
          <cell r="AC367">
            <v>1300</v>
          </cell>
          <cell r="AE367">
            <v>0</v>
          </cell>
          <cell r="AK367">
            <v>456</v>
          </cell>
          <cell r="AN367">
            <v>52.899000000000001</v>
          </cell>
          <cell r="AO367">
            <v>525.65099999999995</v>
          </cell>
          <cell r="AP367" t="str">
            <v>M.Karlewski</v>
          </cell>
        </row>
        <row r="368">
          <cell r="A368">
            <v>40175</v>
          </cell>
          <cell r="C368">
            <v>837.1</v>
          </cell>
          <cell r="D368">
            <v>837.1</v>
          </cell>
          <cell r="F368">
            <v>436.2</v>
          </cell>
          <cell r="G368">
            <v>96</v>
          </cell>
          <cell r="H368">
            <v>10.3</v>
          </cell>
          <cell r="J368">
            <v>112</v>
          </cell>
          <cell r="K368">
            <v>63.5</v>
          </cell>
          <cell r="L368">
            <v>718</v>
          </cell>
          <cell r="P368">
            <v>0</v>
          </cell>
          <cell r="Q368">
            <v>15261</v>
          </cell>
          <cell r="R368">
            <v>736</v>
          </cell>
          <cell r="S368">
            <v>736</v>
          </cell>
          <cell r="Z368">
            <v>351.97</v>
          </cell>
          <cell r="AC368">
            <v>2000</v>
          </cell>
          <cell r="AE368">
            <v>0</v>
          </cell>
          <cell r="AJ368">
            <v>115.74</v>
          </cell>
          <cell r="AK368">
            <v>340</v>
          </cell>
          <cell r="AM368">
            <v>2.5659999999999998</v>
          </cell>
          <cell r="AN368">
            <v>50.332999999999998</v>
          </cell>
          <cell r="AO368">
            <v>780.58</v>
          </cell>
          <cell r="AP368" t="str">
            <v>M.Karlewski</v>
          </cell>
        </row>
        <row r="369">
          <cell r="A369">
            <v>40176</v>
          </cell>
          <cell r="C369">
            <v>855</v>
          </cell>
          <cell r="D369">
            <v>855</v>
          </cell>
          <cell r="F369">
            <v>683.3</v>
          </cell>
          <cell r="G369">
            <v>59</v>
          </cell>
          <cell r="H369">
            <v>16.5</v>
          </cell>
          <cell r="J369">
            <v>109</v>
          </cell>
          <cell r="K369">
            <v>100.5</v>
          </cell>
          <cell r="L369">
            <v>955.3</v>
          </cell>
          <cell r="P369">
            <v>0</v>
          </cell>
          <cell r="Q369">
            <v>15116</v>
          </cell>
          <cell r="R369">
            <v>1152</v>
          </cell>
          <cell r="S369">
            <v>1152</v>
          </cell>
          <cell r="U369">
            <v>233</v>
          </cell>
          <cell r="AC369">
            <v>2900</v>
          </cell>
          <cell r="AE369">
            <v>0</v>
          </cell>
          <cell r="AJ369">
            <v>48.14</v>
          </cell>
          <cell r="AK369">
            <v>293</v>
          </cell>
          <cell r="AM369">
            <v>6.1109999999999998</v>
          </cell>
          <cell r="AN369">
            <v>44.222000000000001</v>
          </cell>
          <cell r="AO369">
            <v>812.64300000000003</v>
          </cell>
          <cell r="AP369" t="str">
            <v>B.Bronicki</v>
          </cell>
        </row>
        <row r="370">
          <cell r="A370">
            <v>40177</v>
          </cell>
          <cell r="C370">
            <v>852.3</v>
          </cell>
          <cell r="D370">
            <v>852.3</v>
          </cell>
          <cell r="F370">
            <v>684.9</v>
          </cell>
          <cell r="G370">
            <v>-432.89699999999999</v>
          </cell>
          <cell r="H370">
            <v>19.3</v>
          </cell>
          <cell r="J370">
            <v>106</v>
          </cell>
          <cell r="K370">
            <v>119.6</v>
          </cell>
          <cell r="L370">
            <v>933.2</v>
          </cell>
          <cell r="P370">
            <v>0</v>
          </cell>
          <cell r="Q370">
            <v>14996</v>
          </cell>
          <cell r="R370">
            <v>1155</v>
          </cell>
          <cell r="S370">
            <v>1103.6500000000001</v>
          </cell>
          <cell r="U370">
            <v>240</v>
          </cell>
          <cell r="X370">
            <v>492</v>
          </cell>
          <cell r="AC370">
            <v>3300</v>
          </cell>
          <cell r="AE370">
            <v>0</v>
          </cell>
          <cell r="AH370">
            <v>123.3</v>
          </cell>
          <cell r="AJ370">
            <v>16.48</v>
          </cell>
          <cell r="AK370">
            <v>416</v>
          </cell>
          <cell r="AM370">
            <v>2.1629999999999998</v>
          </cell>
          <cell r="AN370">
            <v>42.058999999999997</v>
          </cell>
          <cell r="AO370">
            <v>810.96900000000005</v>
          </cell>
          <cell r="AP370" t="str">
            <v>M.Karlewski</v>
          </cell>
        </row>
        <row r="371">
          <cell r="A371">
            <v>40178</v>
          </cell>
          <cell r="C371">
            <v>450.9</v>
          </cell>
          <cell r="D371">
            <v>450.9</v>
          </cell>
          <cell r="F371">
            <v>627</v>
          </cell>
          <cell r="H371">
            <v>-33.966999999999999</v>
          </cell>
          <cell r="I371">
            <v>505.00900000000001</v>
          </cell>
          <cell r="J371">
            <v>43.981000000000002</v>
          </cell>
          <cell r="K371">
            <v>629.80899999999997</v>
          </cell>
          <cell r="L371">
            <v>482.2</v>
          </cell>
          <cell r="M371">
            <v>9.1999999999999993</v>
          </cell>
          <cell r="P371">
            <v>0</v>
          </cell>
          <cell r="Q371">
            <v>14925</v>
          </cell>
          <cell r="R371">
            <v>1482</v>
          </cell>
          <cell r="S371">
            <v>1552.2764999999999</v>
          </cell>
          <cell r="U371">
            <v>214</v>
          </cell>
          <cell r="X371">
            <v>-1049.0999999999999</v>
          </cell>
          <cell r="Y371">
            <v>2245.62</v>
          </cell>
          <cell r="AC371">
            <v>3200</v>
          </cell>
          <cell r="AE371">
            <v>0</v>
          </cell>
          <cell r="AI371">
            <v>1066.32</v>
          </cell>
          <cell r="AJ371">
            <v>-1118.29</v>
          </cell>
          <cell r="AK371">
            <v>462</v>
          </cell>
          <cell r="AL371">
            <v>-2.2999999999999998</v>
          </cell>
          <cell r="AM371">
            <v>0</v>
          </cell>
          <cell r="AN371">
            <v>42.058999999999997</v>
          </cell>
          <cell r="AO371">
            <v>776.49099999999999</v>
          </cell>
          <cell r="AP371" t="str">
            <v>M.Karlewski</v>
          </cell>
        </row>
        <row r="372">
          <cell r="A372" t="str">
            <v>Suma</v>
          </cell>
          <cell r="B372">
            <v>147581.4</v>
          </cell>
          <cell r="C372">
            <v>99645.8</v>
          </cell>
          <cell r="D372">
            <v>247494.59999999992</v>
          </cell>
          <cell r="E372">
            <v>0</v>
          </cell>
          <cell r="F372">
            <v>186876.50000000015</v>
          </cell>
          <cell r="G372">
            <v>7424.1409999999996</v>
          </cell>
          <cell r="H372">
            <v>4484.2670000000026</v>
          </cell>
          <cell r="I372">
            <v>2599.3410000000003</v>
          </cell>
          <cell r="J372">
            <v>25295.152000000009</v>
          </cell>
          <cell r="K372">
            <v>16117.336999999994</v>
          </cell>
          <cell r="L372">
            <v>241930.40299999999</v>
          </cell>
          <cell r="M372">
            <v>1903.9120000000021</v>
          </cell>
          <cell r="N372">
            <v>0</v>
          </cell>
          <cell r="O372">
            <v>1124.48</v>
          </cell>
          <cell r="P372">
            <v>3009.202000000003</v>
          </cell>
          <cell r="R372">
            <v>314283.821</v>
          </cell>
          <cell r="S372">
            <v>304490.81699999992</v>
          </cell>
          <cell r="T372">
            <v>0</v>
          </cell>
          <cell r="U372">
            <v>80832.049999999988</v>
          </cell>
          <cell r="V372">
            <v>0</v>
          </cell>
          <cell r="W372">
            <v>10861.355</v>
          </cell>
          <cell r="X372">
            <v>87064.919999999984</v>
          </cell>
          <cell r="Y372">
            <v>48583.700000000019</v>
          </cell>
          <cell r="Z372">
            <v>23159.500000000007</v>
          </cell>
          <cell r="AA372">
            <v>46330.093999999997</v>
          </cell>
          <cell r="AB372">
            <v>9834.5500000000011</v>
          </cell>
          <cell r="AD372">
            <v>6028.3</v>
          </cell>
          <cell r="AE372">
            <v>6028.3</v>
          </cell>
          <cell r="AF372">
            <v>0</v>
          </cell>
          <cell r="AH372">
            <v>11667.6</v>
          </cell>
          <cell r="AI372">
            <v>6834.3999999999987</v>
          </cell>
          <cell r="AJ372">
            <v>5285.7419999999975</v>
          </cell>
          <cell r="AL372">
            <v>520.22</v>
          </cell>
          <cell r="AM372">
            <v>508.22400000000027</v>
          </cell>
          <cell r="AO372">
            <v>242494.00399999978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Dane"/>
      <sheetName val="Bilans"/>
      <sheetName val="RZiSP"/>
      <sheetName val="RZiSK"/>
      <sheetName val="CF"/>
      <sheetName val="ZK"/>
      <sheetName val="N1"/>
      <sheetName val="N2"/>
      <sheetName val="N3"/>
      <sheetName val="N4"/>
      <sheetName val="N5"/>
      <sheetName val="N6"/>
      <sheetName val="N7"/>
      <sheetName val="N8-9"/>
      <sheetName val="N10"/>
      <sheetName val="N11-12"/>
      <sheetName val="N14"/>
      <sheetName val="N13"/>
      <sheetName val="N15-16"/>
      <sheetName val="N17"/>
      <sheetName val="Kontakt"/>
      <sheetName val="Zestaw2_"/>
    </sheetNames>
    <sheetDataSet>
      <sheetData sheetId="0">
        <row r="163">
          <cell r="AX163" t="str">
            <v>Jednostka A Sp. z o.o.</v>
          </cell>
        </row>
        <row r="175">
          <cell r="AX175" t="str">
            <v>01.01-31.12.2005</v>
          </cell>
        </row>
        <row r="176">
          <cell r="AX176" t="str">
            <v>31.12.2005</v>
          </cell>
        </row>
        <row r="179">
          <cell r="AX179" t="str">
            <v>31.12.2004</v>
          </cell>
        </row>
        <row r="184">
          <cell r="AX184" t="str">
            <v>od 01.01 do 31.12.2005</v>
          </cell>
        </row>
        <row r="185">
          <cell r="AX185" t="str">
            <v>od 01.01 do 31.12.2004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Ilości sprzedaży Police"/>
      <sheetName val="Ceny Police"/>
      <sheetName val="CD - Ilości sprzedaż"/>
      <sheetName val="CD - Ceny "/>
      <sheetName val="CD - dostawy"/>
      <sheetName val="Ilości_ceny"/>
      <sheetName val="sprzedaż_suma"/>
      <sheetName val="Przychody waluta"/>
      <sheetName val="Kursy walut"/>
      <sheetName val="Przychody PLN"/>
      <sheetName val="Ilości"/>
      <sheetName val="Przychody indeksy"/>
      <sheetName val="Ceny_Srednie_PLN"/>
      <sheetName val="Ceny średnie waluta"/>
      <sheetName val="Ilości i ceny eksport"/>
      <sheetName val="asortyment"/>
      <sheetName val="Wysyłki do CD"/>
      <sheetName val="przyjęcia w CD"/>
      <sheetName val="Ilości_sprzedaży_Police"/>
      <sheetName val="Ceny_Police"/>
      <sheetName val="CD_-_Ilości_sprzedaż"/>
      <sheetName val="CD_-_Ceny_"/>
      <sheetName val="CD_-_dostawy"/>
      <sheetName val="Przychody_waluta"/>
      <sheetName val="Kursy_walut"/>
      <sheetName val="Przychody_PLN"/>
      <sheetName val="Przychody_indeksy"/>
      <sheetName val="Ceny_średnie_waluta"/>
      <sheetName val="Ilości_i_ceny_eksport"/>
      <sheetName val="Wysyłki_do_CD"/>
      <sheetName val="przyjęcia_w_CD"/>
      <sheetName val="Ilości_sprzedaży_Police1"/>
      <sheetName val="Ceny_Police1"/>
      <sheetName val="CD_-_Ilości_sprzedaż1"/>
      <sheetName val="CD_-_Ceny_1"/>
      <sheetName val="CD_-_dostawy1"/>
      <sheetName val="Przychody_waluta1"/>
      <sheetName val="Kursy_walut1"/>
      <sheetName val="Przychody_PLN1"/>
      <sheetName val="Przychody_indeksy1"/>
      <sheetName val="Ceny_średnie_waluta1"/>
      <sheetName val="Ilości_i_ceny_eksport1"/>
      <sheetName val="Wysyłki_do_CD1"/>
      <sheetName val="przyjęcia_w_C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A6" t="str">
            <v>P-4002</v>
          </cell>
          <cell r="C6" t="str">
            <v>POLIDAP</v>
          </cell>
          <cell r="D6" t="str">
            <v>PLN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10303265.306122448</v>
          </cell>
          <cell r="O6">
            <v>15116000</v>
          </cell>
          <cell r="P6">
            <v>15116000</v>
          </cell>
        </row>
        <row r="7">
          <cell r="A7" t="str">
            <v>P-4145</v>
          </cell>
          <cell r="C7" t="str">
            <v>POLIDAP LIGHT</v>
          </cell>
          <cell r="D7" t="str">
            <v>PLN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P-4118</v>
          </cell>
          <cell r="C8" t="str">
            <v>POLIFOSKA 3</v>
          </cell>
          <cell r="D8" t="str">
            <v>PLN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P-4117</v>
          </cell>
          <cell r="C9" t="str">
            <v>POLIFOSKA 4</v>
          </cell>
          <cell r="D9" t="str">
            <v>PLN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6175162.5</v>
          </cell>
          <cell r="O9">
            <v>10747750</v>
          </cell>
          <cell r="P9">
            <v>11212250</v>
          </cell>
        </row>
        <row r="10">
          <cell r="A10" t="str">
            <v>P-4115</v>
          </cell>
          <cell r="C10" t="str">
            <v>POLIFOSKA 5</v>
          </cell>
          <cell r="D10" t="str">
            <v>PLN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4726320</v>
          </cell>
          <cell r="O10">
            <v>6850000</v>
          </cell>
          <cell r="P10">
            <v>7089000</v>
          </cell>
        </row>
        <row r="11">
          <cell r="A11" t="str">
            <v>P-4111</v>
          </cell>
          <cell r="C11" t="str">
            <v>POLIFOSKA 6</v>
          </cell>
          <cell r="D11" t="str">
            <v>PLN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26881820</v>
          </cell>
          <cell r="O11">
            <v>40860250</v>
          </cell>
          <cell r="P11">
            <v>37624250</v>
          </cell>
        </row>
        <row r="12">
          <cell r="A12" t="str">
            <v>P-4112</v>
          </cell>
          <cell r="C12" t="str">
            <v>POLIFOSKA 8</v>
          </cell>
          <cell r="D12" t="str">
            <v>PLN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15656830</v>
          </cell>
          <cell r="O12">
            <v>24197500</v>
          </cell>
          <cell r="P12">
            <v>23052500</v>
          </cell>
        </row>
        <row r="13">
          <cell r="A13" t="str">
            <v>P-4113</v>
          </cell>
          <cell r="C13" t="str">
            <v>POLIFOSKA M</v>
          </cell>
          <cell r="D13" t="str">
            <v>PLN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4225065</v>
          </cell>
          <cell r="O13">
            <v>8099500</v>
          </cell>
          <cell r="P13">
            <v>8693000</v>
          </cell>
        </row>
        <row r="14">
          <cell r="A14" t="str">
            <v>P-4221</v>
          </cell>
          <cell r="C14" t="str">
            <v>POLIFOSKA 12</v>
          </cell>
          <cell r="D14" t="str">
            <v>PLN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132480</v>
          </cell>
          <cell r="O14">
            <v>0</v>
          </cell>
          <cell r="P14">
            <v>0</v>
          </cell>
        </row>
        <row r="15">
          <cell r="A15" t="str">
            <v>P-4256</v>
          </cell>
          <cell r="C15" t="str">
            <v>POLIFOSKA PETROPLON</v>
          </cell>
          <cell r="D15" t="str">
            <v>PLN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P-4220</v>
          </cell>
          <cell r="C16" t="str">
            <v>POLIMAG S</v>
          </cell>
          <cell r="D16" t="str">
            <v>PLN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13055</v>
          </cell>
          <cell r="O16">
            <v>0</v>
          </cell>
          <cell r="P16">
            <v>0</v>
          </cell>
        </row>
        <row r="17">
          <cell r="A17" t="str">
            <v>P-4271</v>
          </cell>
          <cell r="C17" t="str">
            <v>POLIFOSKA 21</v>
          </cell>
          <cell r="D17" t="str">
            <v>PLN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5715800</v>
          </cell>
          <cell r="O17">
            <v>8078500</v>
          </cell>
          <cell r="P17">
            <v>9028500</v>
          </cell>
        </row>
        <row r="18">
          <cell r="A18" t="str">
            <v>P-7012</v>
          </cell>
          <cell r="C18" t="str">
            <v>KWAS SIARKOWY</v>
          </cell>
          <cell r="D18" t="str">
            <v>PLN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70000</v>
          </cell>
          <cell r="O18">
            <v>70000</v>
          </cell>
          <cell r="P18">
            <v>70000</v>
          </cell>
        </row>
        <row r="19">
          <cell r="A19" t="str">
            <v>W-6031</v>
          </cell>
          <cell r="C19" t="str">
            <v>KWAS FOSFOROWY</v>
          </cell>
          <cell r="D19" t="str">
            <v>PLN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 t="str">
            <v>PLN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 refreshError="1"/>
      <sheetData sheetId="9" refreshError="1"/>
      <sheetData sheetId="10">
        <row r="6">
          <cell r="A6" t="str">
            <v>P-4002</v>
          </cell>
          <cell r="C6" t="str">
            <v>POLIDAP</v>
          </cell>
          <cell r="D6" t="str">
            <v>t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5105.7142857142862</v>
          </cell>
          <cell r="O6">
            <v>7000</v>
          </cell>
          <cell r="P6">
            <v>7000</v>
          </cell>
        </row>
        <row r="7">
          <cell r="A7" t="str">
            <v>P-4145</v>
          </cell>
          <cell r="C7" t="str">
            <v>POLIDAP LIGHT</v>
          </cell>
          <cell r="D7" t="str">
            <v>t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P-4118</v>
          </cell>
          <cell r="C8" t="str">
            <v>POLIFOSKA 3</v>
          </cell>
          <cell r="D8" t="str">
            <v>t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P-4117</v>
          </cell>
          <cell r="C9" t="str">
            <v>POLIFOSKA 4</v>
          </cell>
          <cell r="D9" t="str">
            <v>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3803</v>
          </cell>
          <cell r="O9">
            <v>6500</v>
          </cell>
          <cell r="P9">
            <v>6700</v>
          </cell>
        </row>
        <row r="10">
          <cell r="A10" t="str">
            <v>P-4115</v>
          </cell>
          <cell r="C10" t="str">
            <v>POLIFOSKA 5</v>
          </cell>
          <cell r="D10" t="str">
            <v>t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2820</v>
          </cell>
          <cell r="O10">
            <v>4000</v>
          </cell>
          <cell r="P10">
            <v>4100</v>
          </cell>
        </row>
        <row r="11">
          <cell r="A11" t="str">
            <v>P-4111</v>
          </cell>
          <cell r="C11" t="str">
            <v>POLIFOSKA 6</v>
          </cell>
          <cell r="D11" t="str">
            <v>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14365</v>
          </cell>
          <cell r="O11">
            <v>21500</v>
          </cell>
          <cell r="P11">
            <v>19600</v>
          </cell>
        </row>
        <row r="12">
          <cell r="A12" t="str">
            <v>P-4112</v>
          </cell>
          <cell r="C12" t="str">
            <v>POLIFOSKA 8</v>
          </cell>
          <cell r="D12" t="str">
            <v>t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8274</v>
          </cell>
          <cell r="O12">
            <v>12500</v>
          </cell>
          <cell r="P12">
            <v>11900</v>
          </cell>
        </row>
        <row r="13">
          <cell r="A13" t="str">
            <v>P-4113</v>
          </cell>
          <cell r="C13" t="str">
            <v>POLIFOSKA M</v>
          </cell>
          <cell r="D13" t="str">
            <v>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2665</v>
          </cell>
          <cell r="O13">
            <v>5000</v>
          </cell>
          <cell r="P13">
            <v>5300</v>
          </cell>
        </row>
        <row r="14">
          <cell r="A14" t="str">
            <v>P-4221</v>
          </cell>
          <cell r="C14" t="str">
            <v>POLIFOSKA 12</v>
          </cell>
          <cell r="D14" t="str">
            <v>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96</v>
          </cell>
          <cell r="O14">
            <v>0</v>
          </cell>
          <cell r="P14">
            <v>0</v>
          </cell>
        </row>
        <row r="15">
          <cell r="A15" t="str">
            <v>P-4256</v>
          </cell>
          <cell r="C15" t="str">
            <v>POLIFOSKA PETROPLON</v>
          </cell>
          <cell r="D15" t="str">
            <v>t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P-4220</v>
          </cell>
          <cell r="C16" t="str">
            <v>POLIMAG S</v>
          </cell>
          <cell r="D16" t="str">
            <v>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7</v>
          </cell>
          <cell r="O16">
            <v>0</v>
          </cell>
          <cell r="P16">
            <v>0</v>
          </cell>
        </row>
        <row r="17">
          <cell r="A17" t="str">
            <v>P-4271</v>
          </cell>
          <cell r="C17" t="str">
            <v>POLIFOSKA 21</v>
          </cell>
          <cell r="D17" t="str">
            <v>t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6212</v>
          </cell>
          <cell r="O17">
            <v>8500</v>
          </cell>
          <cell r="P17">
            <v>9300</v>
          </cell>
        </row>
        <row r="18">
          <cell r="A18" t="str">
            <v>P-7012</v>
          </cell>
          <cell r="C18" t="str">
            <v>KWAS SIARKOWY</v>
          </cell>
          <cell r="D18" t="str">
            <v>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280</v>
          </cell>
          <cell r="O18">
            <v>280</v>
          </cell>
          <cell r="P18">
            <v>280</v>
          </cell>
        </row>
        <row r="19">
          <cell r="A19" t="str">
            <v>W-6031</v>
          </cell>
          <cell r="C19" t="str">
            <v>KWAS FOSFOROWY</v>
          </cell>
          <cell r="D19" t="str">
            <v>t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>
        <row r="6">
          <cell r="A6" t="str">
            <v>P-4002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A6" t="str">
            <v>P-4002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Rachunek zysków i strat"/>
      <sheetName val="Bilans"/>
      <sheetName val="CF"/>
      <sheetName val="Produkcja"/>
      <sheetName val="Sprzedaż"/>
      <sheetName val="Sprzedaż-wartościowo"/>
      <sheetName val="WYNIK"/>
      <sheetName val="SPRZEDAZ"/>
      <sheetName val="KOSZTY"/>
      <sheetName val="Anal. odchyleń na sprzed."/>
      <sheetName val="Anal. ilości wyrobów"/>
      <sheetName val="Anal. cen wyrobów"/>
      <sheetName val="Anal.odchyl. cen zakupu sur."/>
      <sheetName val="Anal. ilości zakupu surowców"/>
      <sheetName val="Anal. cen zak. surow."/>
      <sheetName val="Anal.dynam.rent.plan"/>
      <sheetName val="Anal. dynam. rent.sprzed."/>
      <sheetName val="Kapitał obrotowy i zapasy"/>
      <sheetName val="An.Nal.wg tytułów"/>
      <sheetName val="An.Należności"/>
      <sheetName val="Wykres zarząd"/>
      <sheetName val="Najwięksi dłużnicy"/>
      <sheetName val="An.Zob.wg tytułów"/>
      <sheetName val="koszty w ukł.rodz.miesiąc"/>
      <sheetName val="Koszty w ukł.rodz. narastaj."/>
      <sheetName val="Poz. przych. oper. i finans."/>
      <sheetName val="Poz. koszty oper. i finans."/>
      <sheetName val="koszty wg kont ukł. rodz."/>
      <sheetName val="Arkusz1"/>
      <sheetName val="Arkusz3"/>
      <sheetName val="Arkusz2"/>
      <sheetName val="koszty wg kont ukł_ rodz_"/>
      <sheetName val="Rachunek_zysków_i_strat"/>
      <sheetName val="Anal__odchyleń_na_sprzed_"/>
      <sheetName val="Anal__ilości_wyrobów"/>
      <sheetName val="Anal__cen_wyrobów"/>
      <sheetName val="Anal_odchyl__cen_zakupu_sur_"/>
      <sheetName val="Anal__ilości_zakupu_surowców"/>
      <sheetName val="Anal__cen_zak__surow_"/>
      <sheetName val="Anal_dynam_rent_plan"/>
      <sheetName val="Anal__dynam__rent_sprzed_"/>
      <sheetName val="Kapitał_obrotowy_i_zapasy"/>
      <sheetName val="An_Nal_wg_tytułów"/>
      <sheetName val="An_Należności"/>
      <sheetName val="Wykres_zarząd"/>
      <sheetName val="Najwięksi_dłużnicy"/>
      <sheetName val="An_Zob_wg_tytułów"/>
      <sheetName val="koszty_w_ukł_rodz_miesiąc"/>
      <sheetName val="Koszty_w_ukł_rodz__narastaj_"/>
      <sheetName val="Poz__przych__oper__i_finans_"/>
      <sheetName val="Poz__koszty_oper__i_finans_"/>
      <sheetName val="koszty_wg_kont_ukł__rodz_"/>
      <sheetName val="koszty_wg_kont_ukł__rodz_1"/>
      <sheetName val="Rachunek_zysków_i_strat1"/>
      <sheetName val="Anal__odchyleń_na_sprzed_1"/>
      <sheetName val="Anal__ilości_wyrobów1"/>
      <sheetName val="Anal__cen_wyrobów1"/>
      <sheetName val="Anal_odchyl__cen_zakupu_sur_1"/>
      <sheetName val="Anal__ilości_zakupu_surowców1"/>
      <sheetName val="Anal__cen_zak__surow_1"/>
      <sheetName val="Anal_dynam_rent_plan1"/>
      <sheetName val="Anal__dynam__rent_sprzed_1"/>
      <sheetName val="Kapitał_obrotowy_i_zapasy1"/>
      <sheetName val="An_Nal_wg_tytułów1"/>
      <sheetName val="An_Należności1"/>
      <sheetName val="Wykres_zarząd1"/>
      <sheetName val="Najwięksi_dłużnicy1"/>
      <sheetName val="An_Zob_wg_tytułów1"/>
      <sheetName val="koszty_w_ukł_rodz_miesiąc1"/>
      <sheetName val="Koszty_w_ukł_rodz__narastaj_1"/>
      <sheetName val="Poz__przych__oper__i_finans_1"/>
      <sheetName val="Poz__koszty_oper__i_finans_1"/>
      <sheetName val="koszty_wg_kont_ukł__rodz_2"/>
      <sheetName val="koszty_wg_kont_ukł__rodz_3"/>
      <sheetName val="Rachunek_zysków_i_strat2"/>
      <sheetName val="Anal__odchyleń_na_sprzed_2"/>
      <sheetName val="Anal__ilości_wyrobów2"/>
      <sheetName val="Anal__cen_wyrobów2"/>
      <sheetName val="Anal_odchyl__cen_zakupu_sur_2"/>
      <sheetName val="Anal__ilości_zakupu_surowców2"/>
      <sheetName val="Anal__cen_zak__surow_2"/>
      <sheetName val="Anal_dynam_rent_plan2"/>
      <sheetName val="Anal__dynam__rent_sprzed_2"/>
      <sheetName val="Kapitał_obrotowy_i_zapasy2"/>
      <sheetName val="An_Nal_wg_tytułów2"/>
      <sheetName val="An_Należności2"/>
      <sheetName val="Wykres_zarząd2"/>
      <sheetName val="Najwięksi_dłużnicy2"/>
      <sheetName val="An_Zob_wg_tytułów2"/>
      <sheetName val="koszty_w_ukł_rodz_miesiąc2"/>
      <sheetName val="Koszty_w_ukł_rodz__narastaj_2"/>
      <sheetName val="Poz__przych__oper__i_finans_2"/>
      <sheetName val="Poz__koszty_oper__i_finans_2"/>
      <sheetName val="koszty_wg_kont_ukł__rodz_4"/>
      <sheetName val="koszty_wg_kont_ukł__rodz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Ałtomat"/>
      <sheetName val="indeks"/>
      <sheetName val="rencista"/>
      <sheetName val="mokro"/>
      <sheetName val="roboczy"/>
      <sheetName val="chwilowy"/>
      <sheetName val="Centrum Tworzyw Sztucznych"/>
      <sheetName val="Centrum Nawozów"/>
      <sheetName val="Centrum Kaprolaktamu"/>
      <sheetName val="Centrum Elektorociepłowni"/>
      <sheetName val="Wydział Energo-Wodny"/>
      <sheetName val="Zestaw1"/>
      <sheetName val="Zestaw1 (2)"/>
      <sheetName val="Zestaw2 "/>
      <sheetName val="Zestaw2  (2)"/>
      <sheetName val="zysko"/>
      <sheetName val="Zestaw3"/>
      <sheetName val="Zestaw4"/>
      <sheetName val="dane1"/>
      <sheetName val="dane2"/>
      <sheetName val="dane3"/>
      <sheetName val="dane4"/>
      <sheetName val="dane5"/>
      <sheetName val="dane6"/>
      <sheetName val="dane7"/>
      <sheetName val="dane8"/>
      <sheetName val="dane9"/>
      <sheetName val="dane10"/>
      <sheetName val="dane11"/>
      <sheetName val="dane12"/>
      <sheetName val="MałyCzołg"/>
      <sheetName val="MiesDoDodania"/>
      <sheetName val="Narastająco"/>
      <sheetName val="WynikDoWklejenia"/>
      <sheetName val="tabela"/>
      <sheetName val="Centrum_Tworzyw_Sztucznych"/>
      <sheetName val="Centrum_Nawozów"/>
      <sheetName val="Centrum_Kaprolaktamu"/>
      <sheetName val="Centrum_Elektorociepłowni"/>
      <sheetName val="Wydział_Energo-Wodny"/>
      <sheetName val="Zestaw1_(2)"/>
      <sheetName val="Zestaw2_"/>
      <sheetName val="Zestaw2__(2)"/>
      <sheetName val="Centrum_Tworzyw_Sztucznych1"/>
      <sheetName val="Centrum_Nawozów1"/>
      <sheetName val="Centrum_Kaprolaktamu1"/>
      <sheetName val="Centrum_Elektorociepłowni1"/>
      <sheetName val="Wydział_Energo-Wodny1"/>
      <sheetName val="Zestaw1_(2)1"/>
      <sheetName val="Zestaw2_1"/>
      <sheetName val="Zestaw2__(2)1"/>
      <sheetName val="Centrum_Tworzyw_Sztucznych2"/>
      <sheetName val="Centrum_Nawozów2"/>
      <sheetName val="Centrum_Kaprolaktamu2"/>
      <sheetName val="Centrum_Elektorociepłowni2"/>
      <sheetName val="Wydział_Energo-Wodny2"/>
      <sheetName val="Zestaw1_(2)2"/>
      <sheetName val="Zestaw2_2"/>
      <sheetName val="Zestaw2__(2)2"/>
      <sheetName val="Centrum_Tworzyw_Sztucznych3"/>
      <sheetName val="Centrum_Nawozów3"/>
      <sheetName val="Centrum_Kaprolaktamu3"/>
      <sheetName val="Centrum_Elektorociepłowni3"/>
      <sheetName val="Wydział_Energo-Wodny3"/>
      <sheetName val="Zestaw1_(2)3"/>
      <sheetName val="Zestaw2_3"/>
      <sheetName val="Zestaw2__(2)3"/>
      <sheetName val="Centrum_Tworzyw_Sztucznych4"/>
      <sheetName val="Centrum_Nawozów4"/>
      <sheetName val="Centrum_Kaprolaktamu4"/>
      <sheetName val="Centrum_Elektorociepłowni4"/>
      <sheetName val="Wydział_Energo-Wodny4"/>
      <sheetName val="Zestaw1_(2)4"/>
      <sheetName val="Zestaw2_4"/>
      <sheetName val="Zestaw2__(2)4"/>
    </sheetNames>
    <sheetDataSet>
      <sheetData sheetId="0">
        <row r="16">
          <cell r="D16">
            <v>3333511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6">
          <cell r="D16">
            <v>3333511</v>
          </cell>
        </row>
        <row r="20">
          <cell r="D20">
            <v>48036</v>
          </cell>
        </row>
        <row r="24">
          <cell r="D24">
            <v>8711572</v>
          </cell>
        </row>
        <row r="28">
          <cell r="D28">
            <v>37188443</v>
          </cell>
        </row>
        <row r="32">
          <cell r="D32">
            <v>0</v>
          </cell>
        </row>
        <row r="36">
          <cell r="D36">
            <v>0</v>
          </cell>
        </row>
        <row r="40">
          <cell r="D40">
            <v>0</v>
          </cell>
        </row>
        <row r="44">
          <cell r="D44">
            <v>0</v>
          </cell>
        </row>
        <row r="45">
          <cell r="D45">
            <v>582949</v>
          </cell>
        </row>
        <row r="48">
          <cell r="E48">
            <v>1065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6">
          <cell r="D16">
            <v>3333511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>
        <row r="16">
          <cell r="D16">
            <v>3333511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>
        <row r="16">
          <cell r="D16">
            <v>3333511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>
        <row r="16">
          <cell r="D16">
            <v>3333511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16">
          <cell r="D16">
            <v>3333511</v>
          </cell>
        </row>
      </sheetData>
      <sheetData sheetId="74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pis treści (2)"/>
      <sheetName val="Dane"/>
      <sheetName val="Wybrane dane finansowe"/>
      <sheetName val="rachunek zysków i strat"/>
      <sheetName val="Bilans aktywa"/>
      <sheetName val="bilans pasywa"/>
      <sheetName val="zestawienie"/>
      <sheetName val="przepływy"/>
      <sheetName val="segmenty operacyjne "/>
      <sheetName val="segmenty geograficzne"/>
      <sheetName val="noty przychody,koszty rachunek"/>
      <sheetName val="podatek dochodowy"/>
      <sheetName val="Działalność zaniechana"/>
      <sheetName val="rzeczowe aktywa trwałe"/>
      <sheetName val="Nieruchomości inwestycyjne"/>
      <sheetName val="wartości niematerialne"/>
      <sheetName val="Aktywa finansowe"/>
      <sheetName val="Pozostałe aktywa"/>
      <sheetName val="ZAPASY"/>
      <sheetName val="Należ z tyt dostaw i usług i po"/>
      <sheetName val="Środki pieniężne"/>
      <sheetName val="Umowy o usługę budowlaną"/>
      <sheetName val="Kapitał własny"/>
      <sheetName val="Kredyty, Pożyczki"/>
      <sheetName val="rezerwa świadczenia pracownicze"/>
      <sheetName val="Rezerwy"/>
      <sheetName val="Dotacje"/>
      <sheetName val="Zobowiązania"/>
      <sheetName val="Zobowiązania finansowe"/>
      <sheetName val="Przychody przyszłych okresów"/>
      <sheetName val="Instrumenty Finansowe"/>
      <sheetName val="Leasing operacyjny"/>
      <sheetName val="Zobowiązania inwestycyjne"/>
      <sheetName val="warunkowe"/>
      <sheetName val="powiązane"/>
      <sheetName val="Szacunki"/>
      <sheetName val="skutki przejścia na MSSF"/>
      <sheetName val="Spis_treści_(2)"/>
      <sheetName val="Wybrane_dane_finansowe"/>
      <sheetName val="rachunek_zysków_i_strat"/>
      <sheetName val="Bilans_aktywa"/>
      <sheetName val="bilans_pasywa"/>
      <sheetName val="segmenty_operacyjne_"/>
      <sheetName val="segmenty_geograficzne"/>
      <sheetName val="noty_przychody,koszty_rachunek"/>
      <sheetName val="podatek_dochodowy"/>
      <sheetName val="Działalność_zaniechana"/>
      <sheetName val="rzeczowe_aktywa_trwałe"/>
      <sheetName val="Nieruchomości_inwestycyjne"/>
      <sheetName val="wartości_niematerialne"/>
      <sheetName val="Aktywa_finansowe"/>
      <sheetName val="Pozostałe_aktywa"/>
      <sheetName val="Należ_z_tyt_dostaw_i_usług_i_po"/>
      <sheetName val="Środki_pieniężne"/>
      <sheetName val="Umowy_o_usługę_budowlaną"/>
      <sheetName val="Kapitał_własny"/>
      <sheetName val="Kredyty,_Pożyczki"/>
      <sheetName val="rezerwa_świadczenia_pracownicze"/>
      <sheetName val="Zobowiązania_finansowe"/>
      <sheetName val="Przychody_przyszłych_okresów"/>
      <sheetName val="Instrumenty_Finansowe"/>
      <sheetName val="Leasing_operacyjny"/>
      <sheetName val="Zobowiązania_inwestycyjne"/>
      <sheetName val="skutki_przejścia_na_MSSF"/>
      <sheetName val="Spis_treści_(2)1"/>
      <sheetName val="Wybrane_dane_finansowe1"/>
      <sheetName val="rachunek_zysków_i_strat1"/>
      <sheetName val="Bilans_aktywa1"/>
      <sheetName val="bilans_pasywa1"/>
      <sheetName val="segmenty_operacyjne_1"/>
      <sheetName val="segmenty_geograficzne1"/>
      <sheetName val="noty_przychody,koszty_rachunek1"/>
      <sheetName val="podatek_dochodowy1"/>
      <sheetName val="Działalność_zaniechana1"/>
      <sheetName val="rzeczowe_aktywa_trwałe1"/>
      <sheetName val="Nieruchomości_inwestycyjne1"/>
      <sheetName val="wartości_niematerialne1"/>
      <sheetName val="Aktywa_finansowe1"/>
      <sheetName val="Pozostałe_aktywa1"/>
      <sheetName val="Należ_z_tyt_dostaw_i_usług_i_p1"/>
      <sheetName val="Środki_pieniężne1"/>
      <sheetName val="Umowy_o_usługę_budowlaną1"/>
      <sheetName val="Kapitał_własny1"/>
      <sheetName val="Kredyty,_Pożyczki1"/>
      <sheetName val="rezerwa_świadczenia_pracownicz1"/>
      <sheetName val="Zobowiązania_finansowe1"/>
      <sheetName val="Przychody_przyszłych_okresów1"/>
      <sheetName val="Instrumenty_Finansowe1"/>
      <sheetName val="Leasing_operacyjny1"/>
      <sheetName val="Zobowiązania_inwestycyjne1"/>
      <sheetName val="skutki_przejścia_na_MSSF1"/>
    </sheetNames>
    <sheetDataSet>
      <sheetData sheetId="0" refreshError="1"/>
      <sheetData sheetId="1" refreshError="1">
        <row r="79">
          <cell r="BB79" t="str">
            <v xml:space="preserve"> Stan na dzień 31.12.2010 roku</v>
          </cell>
        </row>
        <row r="80">
          <cell r="BB80" t="str">
            <v xml:space="preserve"> Stan na dzień 31.12.2009 roku</v>
          </cell>
        </row>
        <row r="81">
          <cell r="BB81" t="str">
            <v xml:space="preserve"> Stan na dzień 01.01.2010 roku</v>
          </cell>
        </row>
        <row r="82">
          <cell r="BB82" t="str">
            <v xml:space="preserve"> Stan na dzień 01.01.2009 roku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Odbiorcy nawozy kraj VII. 2007"/>
      <sheetName val="Ranking lipiec 2007"/>
      <sheetName val="Arkusz2 (4)"/>
      <sheetName val="Arkusz2 (3)"/>
      <sheetName val="Arkusz2 (2)"/>
      <sheetName val="Arkusz2"/>
      <sheetName val="bez EC"/>
      <sheetName val="nawozy"/>
      <sheetName val="Odbiorcy_nawozy_kraj_VII__2007"/>
      <sheetName val="Ranking_lipiec_2007"/>
      <sheetName val="Arkusz2_(4)"/>
      <sheetName val="Arkusz2_(3)"/>
      <sheetName val="Arkusz2_(2)"/>
      <sheetName val="bez_EC"/>
      <sheetName val="Odbiorcy_nawozy_kraj_VII__20071"/>
      <sheetName val="Ranking_lipiec_20071"/>
      <sheetName val="Arkusz2_(4)1"/>
      <sheetName val="Arkusz2_(3)1"/>
      <sheetName val="Arkusz2_(2)1"/>
      <sheetName val="bez_EC1"/>
      <sheetName val="Arkusz1"/>
      <sheetName val="Odbiorcy_nawozy_kraj_VII__20072"/>
      <sheetName val="Ranking_lipiec_20072"/>
      <sheetName val="Arkusz2_(4)2"/>
      <sheetName val="Arkusz2_(3)2"/>
      <sheetName val="Arkusz2_(2)2"/>
      <sheetName val="bez_EC2"/>
      <sheetName val="Odbiorcy_nawozy_kraj_VII__20073"/>
      <sheetName val="Ranking_lipiec_20073"/>
      <sheetName val="Arkusz2_(4)3"/>
      <sheetName val="Arkusz2_(3)3"/>
      <sheetName val="Arkusz2_(2)3"/>
      <sheetName val="bez_EC3"/>
      <sheetName val="Odbiorcy_nawozy_kraj_VII__20075"/>
      <sheetName val="Ranking_lipiec_20075"/>
      <sheetName val="Arkusz2_(4)5"/>
      <sheetName val="Arkusz2_(3)5"/>
      <sheetName val="Arkusz2_(2)5"/>
      <sheetName val="bez_EC5"/>
      <sheetName val="Odbiorcy_nawozy_kraj_VII__20074"/>
      <sheetName val="Ranking_lipiec_20074"/>
      <sheetName val="Arkusz2_(4)4"/>
      <sheetName val="Arkusz2_(3)4"/>
      <sheetName val="Arkusz2_(2)4"/>
      <sheetName val="bez_EC4"/>
      <sheetName val="Odbiorcy_nawozy_kraj_VII__20076"/>
      <sheetName val="Ranking_lipiec_20076"/>
      <sheetName val="Arkusz2_(4)6"/>
      <sheetName val="Arkusz2_(3)6"/>
      <sheetName val="Arkusz2_(2)6"/>
      <sheetName val="bez_EC6"/>
      <sheetName val="Odbiorcy_nawozy_kraj_VII__20077"/>
      <sheetName val="Ranking_lipiec_20077"/>
      <sheetName val="Arkusz2_(4)7"/>
      <sheetName val="Arkusz2_(3)7"/>
      <sheetName val="Arkusz2_(2)7"/>
      <sheetName val="bez_EC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Odbiorcy nawozy kraj IX.2006"/>
      <sheetName val="Arkusz2"/>
      <sheetName val="Arkusz1"/>
      <sheetName val="BEZ mOCZNIKA"/>
      <sheetName val="Arkusz2 sort(2)"/>
      <sheetName val="Arkusz2 sort(3)"/>
      <sheetName val="Arkusz2 sort(4)"/>
      <sheetName val="Arkusz2 sort(5)"/>
      <sheetName val="Arkusz2 sort(6)"/>
      <sheetName val="Arkusz2 sort(7)"/>
      <sheetName val="Arkusz2 sort(8)"/>
      <sheetName val="Arkusz2 sort(9)"/>
      <sheetName val="Arkusz2 sort(10)"/>
      <sheetName val="szablon z danymi (11)"/>
      <sheetName val="szablon z danymi (12)"/>
      <sheetName val="Odbiorcy_nawozy_kraj_IX_2006"/>
      <sheetName val="BEZ_mOCZNIKA"/>
      <sheetName val="Arkusz2_sort(2)"/>
      <sheetName val="Arkusz2_sort(3)"/>
      <sheetName val="Arkusz2_sort(4)"/>
      <sheetName val="Arkusz2_sort(5)"/>
      <sheetName val="Arkusz2_sort(6)"/>
      <sheetName val="Arkusz2_sort(7)"/>
      <sheetName val="Arkusz2_sort(8)"/>
      <sheetName val="Arkusz2_sort(9)"/>
      <sheetName val="Arkusz2_sort(10)"/>
      <sheetName val="szablon_z_danymi_(11)"/>
      <sheetName val="szablon_z_danymi_(12)"/>
      <sheetName val="Odbiorcy_nawozy_kraj_IX_20061"/>
      <sheetName val="BEZ_mOCZNIKA1"/>
      <sheetName val="Arkusz2_sort(2)1"/>
      <sheetName val="Arkusz2_sort(3)1"/>
      <sheetName val="Arkusz2_sort(4)1"/>
      <sheetName val="Arkusz2_sort(5)1"/>
      <sheetName val="Arkusz2_sort(6)1"/>
      <sheetName val="Arkusz2_sort(7)1"/>
      <sheetName val="Arkusz2_sort(8)1"/>
      <sheetName val="Arkusz2_sort(9)1"/>
      <sheetName val="Arkusz2_sort(10)1"/>
      <sheetName val="szablon_z_danymi_(11)1"/>
      <sheetName val="szablon_z_danymi_(12)1"/>
      <sheetName val="Odbiorcy_nawozy_kraj_IX_20062"/>
      <sheetName val="BEZ_mOCZNIKA2"/>
      <sheetName val="Arkusz2_sort(2)2"/>
      <sheetName val="Arkusz2_sort(3)2"/>
      <sheetName val="Arkusz2_sort(4)2"/>
      <sheetName val="Arkusz2_sort(5)2"/>
      <sheetName val="Arkusz2_sort(6)2"/>
      <sheetName val="Arkusz2_sort(7)2"/>
      <sheetName val="Arkusz2_sort(8)2"/>
      <sheetName val="Arkusz2_sort(9)2"/>
      <sheetName val="Arkusz2_sort(10)2"/>
      <sheetName val="szablon_z_danymi_(11)2"/>
      <sheetName val="szablon_z_danymi_(12)2"/>
      <sheetName val="Odbiorcy_nawozy_kraj_IX_20063"/>
      <sheetName val="BEZ_mOCZNIKA3"/>
      <sheetName val="Arkusz2_sort(2)3"/>
      <sheetName val="Arkusz2_sort(3)3"/>
      <sheetName val="Arkusz2_sort(4)3"/>
      <sheetName val="Arkusz2_sort(5)3"/>
      <sheetName val="Arkusz2_sort(6)3"/>
      <sheetName val="Arkusz2_sort(7)3"/>
      <sheetName val="Arkusz2_sort(8)3"/>
      <sheetName val="Arkusz2_sort(9)3"/>
      <sheetName val="Arkusz2_sort(10)3"/>
      <sheetName val="szablon_z_danymi_(11)3"/>
      <sheetName val="szablon_z_danymi_(12)3"/>
      <sheetName val="Odbiorcy_nawozy_kraj_IX_20065"/>
      <sheetName val="BEZ_mOCZNIKA5"/>
      <sheetName val="Arkusz2_sort(2)5"/>
      <sheetName val="Arkusz2_sort(3)5"/>
      <sheetName val="Arkusz2_sort(4)5"/>
      <sheetName val="Arkusz2_sort(5)5"/>
      <sheetName val="Arkusz2_sort(6)5"/>
      <sheetName val="Arkusz2_sort(7)5"/>
      <sheetName val="Arkusz2_sort(8)5"/>
      <sheetName val="Arkusz2_sort(9)5"/>
      <sheetName val="Arkusz2_sort(10)5"/>
      <sheetName val="szablon_z_danymi_(11)5"/>
      <sheetName val="szablon_z_danymi_(12)5"/>
      <sheetName val="Odbiorcy_nawozy_kraj_IX_20064"/>
      <sheetName val="BEZ_mOCZNIKA4"/>
      <sheetName val="Arkusz2_sort(2)4"/>
      <sheetName val="Arkusz2_sort(3)4"/>
      <sheetName val="Arkusz2_sort(4)4"/>
      <sheetName val="Arkusz2_sort(5)4"/>
      <sheetName val="Arkusz2_sort(6)4"/>
      <sheetName val="Arkusz2_sort(7)4"/>
      <sheetName val="Arkusz2_sort(8)4"/>
      <sheetName val="Arkusz2_sort(9)4"/>
      <sheetName val="Arkusz2_sort(10)4"/>
      <sheetName val="szablon_z_danymi_(11)4"/>
      <sheetName val="szablon_z_danymi_(12)4"/>
      <sheetName val="Odbiorcy_nawozy_kraj_IX_20066"/>
      <sheetName val="BEZ_mOCZNIKA6"/>
      <sheetName val="Arkusz2_sort(2)6"/>
      <sheetName val="Arkusz2_sort(3)6"/>
      <sheetName val="Arkusz2_sort(4)6"/>
      <sheetName val="Arkusz2_sort(5)6"/>
      <sheetName val="Arkusz2_sort(6)6"/>
      <sheetName val="Arkusz2_sort(7)6"/>
      <sheetName val="Arkusz2_sort(8)6"/>
      <sheetName val="Arkusz2_sort(9)6"/>
      <sheetName val="Arkusz2_sort(10)6"/>
      <sheetName val="szablon_z_danymi_(11)6"/>
      <sheetName val="szablon_z_danymi_(12)6"/>
      <sheetName val="Odbiorcy_nawozy_kraj_IX_20067"/>
      <sheetName val="BEZ_mOCZNIKA7"/>
      <sheetName val="Arkusz2_sort(2)7"/>
      <sheetName val="Arkusz2_sort(3)7"/>
      <sheetName val="Arkusz2_sort(4)7"/>
      <sheetName val="Arkusz2_sort(5)7"/>
      <sheetName val="Arkusz2_sort(6)7"/>
      <sheetName val="Arkusz2_sort(7)7"/>
      <sheetName val="Arkusz2_sort(8)7"/>
      <sheetName val="Arkusz2_sort(9)7"/>
      <sheetName val="Arkusz2_sort(10)7"/>
      <sheetName val="szablon_z_danymi_(11)7"/>
      <sheetName val="szablon_z_danymi_(12)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Nawozy"/>
      <sheetName val="Kwasy"/>
      <sheetName val="przyjęcia_wydania"/>
      <sheetName val="specyfikacje"/>
      <sheetName val="Centra Dystrybucji-pakowanie"/>
      <sheetName val="TKW_koszty"/>
      <sheetName val="zużycia"/>
      <sheetName val="TKW"/>
      <sheetName val="Ceny półproduktów"/>
      <sheetName val="Pakowanie"/>
      <sheetName val="TKW_koszty_zapas"/>
      <sheetName val="TKW_zapas"/>
      <sheetName val="Ceny półproduktów_zapas"/>
      <sheetName val="TKW_jedn_zapas"/>
      <sheetName val="półprodukty_stan mag"/>
      <sheetName val="zapotrzebowania"/>
      <sheetName val="Ceny"/>
      <sheetName val="Koszty"/>
      <sheetName val="Dostawy"/>
      <sheetName val="sprzedaż kwasu "/>
      <sheetName val="Stan magazynowy"/>
      <sheetName val="Arkusz1"/>
      <sheetName val="Arkusz2"/>
      <sheetName val="Arkusz3"/>
      <sheetName val="Sterowanie"/>
      <sheetName val="Centra_Dystrybucji-pakowanie"/>
      <sheetName val="Ceny_półproduktów"/>
      <sheetName val="Ceny_półproduktów_zapas"/>
      <sheetName val="półprodukty_stan_mag"/>
      <sheetName val="sprzedaż_kwasu_"/>
      <sheetName val="Stan_magazynowy"/>
      <sheetName val="Centra_Dystrybucji-pakowanie1"/>
      <sheetName val="Ceny_półproduktów1"/>
      <sheetName val="Ceny_półproduktów_zapas1"/>
      <sheetName val="półprodukty_stan_mag1"/>
      <sheetName val="sprzedaż_kwasu_1"/>
      <sheetName val="Stan_magazynow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</row>
        <row r="2">
          <cell r="C2" t="str">
            <v>Materiał</v>
          </cell>
          <cell r="D2" t="str">
            <v>MPK</v>
          </cell>
          <cell r="E2" t="str">
            <v>Opis</v>
          </cell>
          <cell r="F2">
            <v>1</v>
          </cell>
          <cell r="G2">
            <v>2</v>
          </cell>
          <cell r="H2">
            <v>3</v>
          </cell>
          <cell r="I2">
            <v>4</v>
          </cell>
          <cell r="J2">
            <v>5</v>
          </cell>
          <cell r="K2">
            <v>6</v>
          </cell>
          <cell r="L2">
            <v>7</v>
          </cell>
          <cell r="M2">
            <v>8</v>
          </cell>
          <cell r="N2">
            <v>9</v>
          </cell>
          <cell r="O2">
            <v>10</v>
          </cell>
          <cell r="P2">
            <v>11</v>
          </cell>
          <cell r="Q2">
            <v>12</v>
          </cell>
        </row>
        <row r="3">
          <cell r="B3" t="str">
            <v>PP-081000000</v>
          </cell>
          <cell r="C3" t="str">
            <v>PP-081000000</v>
          </cell>
          <cell r="D3">
            <v>12</v>
          </cell>
          <cell r="E3" t="str">
            <v>Siarka</v>
          </cell>
          <cell r="F3">
            <v>0</v>
          </cell>
          <cell r="G3">
            <v>0</v>
          </cell>
          <cell r="H3">
            <v>10367.2035</v>
          </cell>
          <cell r="I3">
            <v>10308.056999999999</v>
          </cell>
          <cell r="J3">
            <v>12095.409041999999</v>
          </cell>
          <cell r="K3">
            <v>20628.545858999998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</row>
        <row r="4">
          <cell r="B4" t="str">
            <v>PP-081100000</v>
          </cell>
          <cell r="C4" t="str">
            <v>PP-081100000</v>
          </cell>
          <cell r="D4">
            <v>0</v>
          </cell>
          <cell r="E4" t="str">
            <v>Kwas siarkowy</v>
          </cell>
          <cell r="F4">
            <v>0</v>
          </cell>
          <cell r="G4">
            <v>0</v>
          </cell>
          <cell r="H4">
            <v>35141.364635999998</v>
          </cell>
          <cell r="I4">
            <v>40068.524582576007</v>
          </cell>
          <cell r="J4">
            <v>56383.445022576008</v>
          </cell>
          <cell r="K4">
            <v>44370.514410847994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B5" t="str">
            <v>PP-081200000</v>
          </cell>
          <cell r="C5" t="str">
            <v>PP-081200000</v>
          </cell>
          <cell r="E5" t="str">
            <v>KWAS SIARKOWY KONTAKTOWY PROCESOWY</v>
          </cell>
          <cell r="F5">
            <v>0</v>
          </cell>
          <cell r="G5">
            <v>0</v>
          </cell>
          <cell r="H5">
            <v>3780</v>
          </cell>
          <cell r="I5">
            <v>3780</v>
          </cell>
          <cell r="J5">
            <v>3750</v>
          </cell>
          <cell r="K5">
            <v>3750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B6" t="str">
            <v>PP-081300000</v>
          </cell>
          <cell r="C6" t="str">
            <v>PP-081300000</v>
          </cell>
          <cell r="D6">
            <v>0</v>
          </cell>
          <cell r="E6" t="str">
            <v>kwas siarkowy procesowy</v>
          </cell>
          <cell r="F6">
            <v>0</v>
          </cell>
          <cell r="G6">
            <v>0</v>
          </cell>
          <cell r="H6">
            <v>38551.893386000003</v>
          </cell>
          <cell r="I6">
            <v>43413.520832576003</v>
          </cell>
          <cell r="J6">
            <v>62851.846272576004</v>
          </cell>
          <cell r="K6">
            <v>41972.159410847999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8">
          <cell r="B8" t="str">
            <v>PP-079000000</v>
          </cell>
          <cell r="C8" t="str">
            <v>PP-079000000</v>
          </cell>
          <cell r="D8">
            <v>0</v>
          </cell>
          <cell r="E8" t="str">
            <v>Kwas fosforowy 25</v>
          </cell>
          <cell r="F8">
            <v>0</v>
          </cell>
          <cell r="G8">
            <v>0</v>
          </cell>
          <cell r="H8">
            <v>9875.2439905451392</v>
          </cell>
          <cell r="I8">
            <v>13283.68404146435</v>
          </cell>
          <cell r="J8">
            <v>27162.383393065113</v>
          </cell>
          <cell r="K8">
            <v>16296.492248355906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B9" t="str">
            <v>PP-079100002</v>
          </cell>
          <cell r="C9" t="str">
            <v>PP-079100002</v>
          </cell>
          <cell r="D9">
            <v>0</v>
          </cell>
          <cell r="E9" t="str">
            <v>kw fosforowy sur odfluorowany 25 fosfor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</row>
        <row r="10">
          <cell r="B10" t="str">
            <v>PP-079100004</v>
          </cell>
          <cell r="C10" t="str">
            <v>PP-079100004</v>
          </cell>
          <cell r="D10">
            <v>0</v>
          </cell>
          <cell r="E10" t="str">
            <v>kw fosforowy sur odfluorowany 54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B11" t="str">
            <v>PP-079500000</v>
          </cell>
          <cell r="C11" t="str">
            <v>PP-079500000</v>
          </cell>
          <cell r="D11">
            <v>0</v>
          </cell>
          <cell r="E11" t="str">
            <v>Kwas fosforowy 48</v>
          </cell>
          <cell r="F11">
            <v>0</v>
          </cell>
          <cell r="G11">
            <v>0</v>
          </cell>
          <cell r="H11">
            <v>1996.0740000000001</v>
          </cell>
          <cell r="I11">
            <v>3205.0820479999998</v>
          </cell>
          <cell r="J11">
            <v>3205.1025599999998</v>
          </cell>
          <cell r="K11">
            <v>3846.1230719999994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B12" t="str">
            <v>PP-079600000</v>
          </cell>
          <cell r="C12" t="str">
            <v>PP-079600000</v>
          </cell>
          <cell r="D12">
            <v>0</v>
          </cell>
          <cell r="E12" t="str">
            <v>kwas fosforowy 42</v>
          </cell>
          <cell r="F12">
            <v>0</v>
          </cell>
          <cell r="G12">
            <v>0</v>
          </cell>
          <cell r="H12">
            <v>9826.1134234279998</v>
          </cell>
          <cell r="I12">
            <v>13217.59606115856</v>
          </cell>
          <cell r="J12">
            <v>27027.247157278722</v>
          </cell>
          <cell r="K12">
            <v>16215.41517249344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</row>
        <row r="13">
          <cell r="B13" t="str">
            <v>PP-079700000</v>
          </cell>
          <cell r="C13" t="str">
            <v>PP-079700000</v>
          </cell>
          <cell r="D13">
            <v>0</v>
          </cell>
          <cell r="E13" t="str">
            <v>kwas fosforowy 50MAP</v>
          </cell>
          <cell r="F13">
            <v>0</v>
          </cell>
          <cell r="G13">
            <v>0</v>
          </cell>
          <cell r="H13">
            <v>7434.5988880000004</v>
          </cell>
          <cell r="I13">
            <v>9545.9664517599995</v>
          </cell>
          <cell r="J13">
            <v>20600.519237119999</v>
          </cell>
          <cell r="K13">
            <v>11765.96982624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B14" t="str">
            <v>PP-080000000</v>
          </cell>
          <cell r="C14" t="str">
            <v>PP-080000000</v>
          </cell>
          <cell r="D14">
            <v>0</v>
          </cell>
          <cell r="E14" t="str">
            <v>pulpa MSP30</v>
          </cell>
          <cell r="F14">
            <v>0</v>
          </cell>
          <cell r="G14">
            <v>0</v>
          </cell>
          <cell r="H14">
            <v>1624.8751000000002</v>
          </cell>
          <cell r="I14">
            <v>1906.0165119999997</v>
          </cell>
          <cell r="J14">
            <v>2229.8165119999994</v>
          </cell>
          <cell r="K14">
            <v>2487.2209759999996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B15" t="str">
            <v>PP-080000001</v>
          </cell>
          <cell r="C15" t="str">
            <v>PP-080000001</v>
          </cell>
          <cell r="D15">
            <v>0</v>
          </cell>
          <cell r="E15" t="str">
            <v>pulpa MSP36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B16" t="str">
            <v>PP-080000003</v>
          </cell>
          <cell r="C16" t="str">
            <v>PP-080000003</v>
          </cell>
          <cell r="D16">
            <v>0</v>
          </cell>
          <cell r="E16" t="str">
            <v>pulpa SSP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B17" t="str">
            <v>PP-080000002</v>
          </cell>
          <cell r="C17" t="str">
            <v>PP-080000002</v>
          </cell>
          <cell r="E17" t="str">
            <v>PULPA TSP48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5100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9">
          <cell r="B19" t="str">
            <v>PP-077100000</v>
          </cell>
          <cell r="C19" t="str">
            <v>PP-077100000</v>
          </cell>
          <cell r="D19">
            <v>0</v>
          </cell>
          <cell r="E19" t="str">
            <v>Mlewo Jordan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B20" t="str">
            <v>PP-077200000</v>
          </cell>
          <cell r="C20" t="str">
            <v>PP-077200000</v>
          </cell>
          <cell r="D20">
            <v>0</v>
          </cell>
          <cell r="E20" t="str">
            <v>Mlewo Maroko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B21" t="str">
            <v>PP-077300000</v>
          </cell>
          <cell r="C21" t="str">
            <v>PP-077300000</v>
          </cell>
          <cell r="D21">
            <v>0</v>
          </cell>
          <cell r="E21" t="str">
            <v>Mlewo Tunezja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B22" t="str">
            <v>PP-077400000</v>
          </cell>
          <cell r="C22" t="str">
            <v>PP-077400000</v>
          </cell>
          <cell r="D22">
            <v>0</v>
          </cell>
          <cell r="E22" t="str">
            <v>Mlewo Togo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B23" t="str">
            <v>PP-077500000</v>
          </cell>
          <cell r="C23" t="str">
            <v>PP-077500000</v>
          </cell>
          <cell r="D23">
            <v>0</v>
          </cell>
          <cell r="E23" t="str">
            <v>Mlewo Syria</v>
          </cell>
          <cell r="F23">
            <v>0</v>
          </cell>
          <cell r="G23">
            <v>0</v>
          </cell>
          <cell r="H23">
            <v>10789.980894</v>
          </cell>
          <cell r="I23">
            <v>14571.084087939997</v>
          </cell>
          <cell r="J23">
            <v>5978.1984739399995</v>
          </cell>
          <cell r="K23">
            <v>16888.400580439989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B24" t="str">
            <v>PP-077700000</v>
          </cell>
          <cell r="C24" t="str">
            <v>PP-077700000</v>
          </cell>
          <cell r="D24">
            <v>0</v>
          </cell>
          <cell r="E24" t="str">
            <v>Mlewo Algier</v>
          </cell>
          <cell r="F24">
            <v>0</v>
          </cell>
          <cell r="G24">
            <v>0</v>
          </cell>
          <cell r="H24">
            <v>16449.602999999999</v>
          </cell>
          <cell r="I24">
            <v>14368.327320000002</v>
          </cell>
          <cell r="J24">
            <v>32085.17105999999</v>
          </cell>
          <cell r="K24">
            <v>8795.3004000000001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B25" t="str">
            <v>PP-077800000</v>
          </cell>
          <cell r="C25" t="str">
            <v>PP-077800000</v>
          </cell>
          <cell r="D25">
            <v>0</v>
          </cell>
          <cell r="E25" t="str">
            <v>Mlewo Egipt</v>
          </cell>
          <cell r="F25">
            <v>0</v>
          </cell>
          <cell r="G25">
            <v>0</v>
          </cell>
          <cell r="H25">
            <v>6024.7458034000001</v>
          </cell>
          <cell r="I25">
            <v>10858.449199999999</v>
          </cell>
          <cell r="J25">
            <v>34382.137650000011</v>
          </cell>
          <cell r="K25">
            <v>20776.424600000006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7">
          <cell r="B27" t="str">
            <v>PP-070000000</v>
          </cell>
          <cell r="C27" t="str">
            <v>PP-070000000</v>
          </cell>
          <cell r="D27">
            <v>0</v>
          </cell>
          <cell r="E27" t="str">
            <v>MAP 10 - 54</v>
          </cell>
          <cell r="F27">
            <v>0</v>
          </cell>
          <cell r="G27">
            <v>0</v>
          </cell>
          <cell r="H27">
            <v>4231.45694</v>
          </cell>
          <cell r="I27">
            <v>5813.0904259999988</v>
          </cell>
          <cell r="J27">
            <v>15310.397312000001</v>
          </cell>
          <cell r="K27">
            <v>1350.5864239999999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B28" t="str">
            <v>PP-070400000</v>
          </cell>
          <cell r="C28" t="str">
            <v>PP-070400000</v>
          </cell>
          <cell r="D28">
            <v>0</v>
          </cell>
          <cell r="E28" t="str">
            <v>Siarczan amonu mieszany 19%N - 24%S</v>
          </cell>
          <cell r="F28">
            <v>0</v>
          </cell>
          <cell r="G28">
            <v>0</v>
          </cell>
          <cell r="H28">
            <v>11450.339999999998</v>
          </cell>
          <cell r="I28">
            <v>13044.160479999995</v>
          </cell>
          <cell r="J28">
            <v>3287.6261940000004</v>
          </cell>
          <cell r="K28">
            <v>11281.177799999998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B29" t="str">
            <v>PP-070500000</v>
          </cell>
          <cell r="C29" t="str">
            <v>PP-070500000</v>
          </cell>
          <cell r="E29" t="str">
            <v>SÓL POTASOWA</v>
          </cell>
          <cell r="F29">
            <v>0</v>
          </cell>
          <cell r="G29">
            <v>0</v>
          </cell>
          <cell r="H29">
            <v>10283.229127000002</v>
          </cell>
          <cell r="I29">
            <v>18885.176377999996</v>
          </cell>
          <cell r="J29">
            <v>39651.004686</v>
          </cell>
          <cell r="K29">
            <v>23839.416712000002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B30">
            <v>0</v>
          </cell>
        </row>
        <row r="32">
          <cell r="B32" t="str">
            <v>PP-063600000</v>
          </cell>
          <cell r="C32" t="str">
            <v>PP-063600000</v>
          </cell>
          <cell r="D32">
            <v>0</v>
          </cell>
          <cell r="E32" t="str">
            <v>Amoniak gazowy</v>
          </cell>
          <cell r="F32">
            <v>0</v>
          </cell>
          <cell r="G32">
            <v>0</v>
          </cell>
          <cell r="H32">
            <v>5003.5387820000005</v>
          </cell>
          <cell r="I32">
            <v>5685.8616739999989</v>
          </cell>
          <cell r="J32">
            <v>5211.7578979999998</v>
          </cell>
          <cell r="K32">
            <v>5420.9446159999998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B33" t="str">
            <v>PP-063700000</v>
          </cell>
          <cell r="C33" t="str">
            <v>PP-063700000</v>
          </cell>
          <cell r="D33">
            <v>0</v>
          </cell>
          <cell r="E33" t="str">
            <v>Amoniak ciekły</v>
          </cell>
          <cell r="F33">
            <v>0</v>
          </cell>
          <cell r="G33">
            <v>0</v>
          </cell>
          <cell r="H33">
            <v>897.60699999999997</v>
          </cell>
          <cell r="I33">
            <v>1160.5684729539998</v>
          </cell>
          <cell r="J33">
            <v>2385.7210612480003</v>
          </cell>
          <cell r="K33">
            <v>892.915312696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E34" t="str">
            <v>Suma amoniaku</v>
          </cell>
          <cell r="F34">
            <v>0</v>
          </cell>
          <cell r="G34">
            <v>0</v>
          </cell>
          <cell r="H34">
            <v>5901.1457820000005</v>
          </cell>
          <cell r="I34">
            <v>6846.4301469539987</v>
          </cell>
          <cell r="J34">
            <v>7597.4789592480001</v>
          </cell>
          <cell r="K34">
            <v>6313.8599286959998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B35" t="str">
            <v>PP-063000000</v>
          </cell>
          <cell r="C35" t="str">
            <v>PP-063000000</v>
          </cell>
          <cell r="D35">
            <v>0</v>
          </cell>
          <cell r="E35" t="str">
            <v>Mocznik N 46 %</v>
          </cell>
          <cell r="F35">
            <v>0</v>
          </cell>
          <cell r="G35">
            <v>0</v>
          </cell>
          <cell r="H35">
            <v>4474.5337200000004</v>
          </cell>
          <cell r="I35">
            <v>3944.0584799999992</v>
          </cell>
          <cell r="J35">
            <v>493.00203999999997</v>
          </cell>
          <cell r="K35">
            <v>3451.0741199999998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7">
          <cell r="B37" t="str">
            <v>PP-061700001</v>
          </cell>
          <cell r="C37" t="str">
            <v>PP-061700001</v>
          </cell>
          <cell r="D37">
            <v>0</v>
          </cell>
          <cell r="E37" t="str">
            <v>Kwas pohydr. pokrys. do utylizacji na FP</v>
          </cell>
          <cell r="F37">
            <v>0</v>
          </cell>
          <cell r="G37">
            <v>0</v>
          </cell>
          <cell r="H37">
            <v>2670.4412000000002</v>
          </cell>
          <cell r="I37">
            <v>2927.881676</v>
          </cell>
          <cell r="J37">
            <v>408.16845999999998</v>
          </cell>
          <cell r="K37">
            <v>1195.5946799999997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B38" t="str">
            <v>PP-061800001</v>
          </cell>
          <cell r="C38" t="str">
            <v>PP-061800001</v>
          </cell>
          <cell r="D38">
            <v>0</v>
          </cell>
          <cell r="E38" t="str">
            <v>Kwas pohydrolityczny 60% do utylizacji</v>
          </cell>
          <cell r="F38">
            <v>0</v>
          </cell>
          <cell r="G38">
            <v>0</v>
          </cell>
          <cell r="H38">
            <v>1317.7060000000001</v>
          </cell>
          <cell r="I38">
            <v>1406.2116640000002</v>
          </cell>
          <cell r="J38">
            <v>1406.2116640000002</v>
          </cell>
          <cell r="K38">
            <v>2460.8704120000002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40">
          <cell r="B40" t="str">
            <v>ME-088100001</v>
          </cell>
          <cell r="C40" t="str">
            <v>ME-088100001</v>
          </cell>
          <cell r="D40">
            <v>0</v>
          </cell>
          <cell r="E40" t="str">
            <v>Energia elektryczna</v>
          </cell>
          <cell r="F40">
            <v>0</v>
          </cell>
          <cell r="G40">
            <v>0</v>
          </cell>
          <cell r="H40">
            <v>6920709.5375692239</v>
          </cell>
          <cell r="I40">
            <v>7884301.1362778461</v>
          </cell>
          <cell r="J40">
            <v>11076265.257942135</v>
          </cell>
          <cell r="K40">
            <v>10049710.992010137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B41" t="str">
            <v>ME-087000001</v>
          </cell>
          <cell r="C41" t="str">
            <v>ME-087000001</v>
          </cell>
          <cell r="D41">
            <v>0</v>
          </cell>
          <cell r="E41" t="str">
            <v>Ciepło w parze</v>
          </cell>
          <cell r="F41">
            <v>0</v>
          </cell>
          <cell r="G41">
            <v>0</v>
          </cell>
          <cell r="H41">
            <v>86475.9636604548</v>
          </cell>
          <cell r="I41">
            <v>108536.8866365381</v>
          </cell>
          <cell r="J41">
            <v>191823.60341189872</v>
          </cell>
          <cell r="K41">
            <v>140138.7888059351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B42" t="str">
            <v>E-1023</v>
          </cell>
          <cell r="C42" t="str">
            <v>E-1023</v>
          </cell>
          <cell r="D42">
            <v>0</v>
          </cell>
          <cell r="E42" t="str">
            <v>Ciepło w parze uzysk</v>
          </cell>
          <cell r="F42">
            <v>0</v>
          </cell>
          <cell r="G42">
            <v>0</v>
          </cell>
          <cell r="H42">
            <v>-101589.18</v>
          </cell>
          <cell r="I42">
            <v>-101194.86</v>
          </cell>
          <cell r="J42">
            <v>-117632.78615999999</v>
          </cell>
          <cell r="K42">
            <v>-200271.97931999998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B43" t="str">
            <v>ME-089000001</v>
          </cell>
          <cell r="C43" t="str">
            <v>ME-089000001</v>
          </cell>
          <cell r="D43">
            <v>0</v>
          </cell>
          <cell r="E43" t="str">
            <v>Woda zasilająca</v>
          </cell>
          <cell r="F43">
            <v>0</v>
          </cell>
          <cell r="G43">
            <v>0</v>
          </cell>
          <cell r="H43">
            <v>34607.78</v>
          </cell>
          <cell r="I43">
            <v>34726.684999999998</v>
          </cell>
          <cell r="J43">
            <v>38855.020359999995</v>
          </cell>
          <cell r="K43">
            <v>65670.662719999993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B44" t="str">
            <v>2707I10032613</v>
          </cell>
          <cell r="C44" t="str">
            <v>2707I</v>
          </cell>
          <cell r="D44" t="str">
            <v>10032613</v>
          </cell>
          <cell r="E44" t="str">
            <v>Sieci en.elekt. SN</v>
          </cell>
          <cell r="F44">
            <v>0</v>
          </cell>
          <cell r="G44">
            <v>0</v>
          </cell>
          <cell r="H44">
            <v>101949.92996269594</v>
          </cell>
          <cell r="I44">
            <v>115822.22359890588</v>
          </cell>
          <cell r="J44">
            <v>161272.50008050515</v>
          </cell>
          <cell r="K44">
            <v>144735.5771197484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7">
          <cell r="B47" t="str">
            <v>ME-089900001</v>
          </cell>
          <cell r="C47" t="str">
            <v>ME-089900001</v>
          </cell>
          <cell r="D47">
            <v>0</v>
          </cell>
          <cell r="E47" t="str">
            <v>Gaz ziemny procesowy</v>
          </cell>
          <cell r="F47">
            <v>0</v>
          </cell>
          <cell r="G47">
            <v>0</v>
          </cell>
          <cell r="H47">
            <v>1481643.7490000001</v>
          </cell>
          <cell r="I47">
            <v>1656718.7539999997</v>
          </cell>
          <cell r="J47">
            <v>1927613.74</v>
          </cell>
          <cell r="K47">
            <v>1526323.3279999997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50">
          <cell r="B50" t="str">
            <v>SU-000001222</v>
          </cell>
          <cell r="C50" t="str">
            <v>SU-000001222</v>
          </cell>
          <cell r="D50">
            <v>0</v>
          </cell>
          <cell r="E50" t="str">
            <v>FOSFORYT TUNEZJA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 t="str">
            <v>SU-000001223</v>
          </cell>
          <cell r="C51" t="str">
            <v>SU-000001223</v>
          </cell>
          <cell r="D51">
            <v>0</v>
          </cell>
          <cell r="E51" t="str">
            <v>FOSFORYT MAROKO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 t="str">
            <v>SU-000001224</v>
          </cell>
          <cell r="C52" t="str">
            <v>SU-000001224</v>
          </cell>
          <cell r="D52">
            <v>0</v>
          </cell>
          <cell r="E52" t="str">
            <v>FOSFORYT TOGO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 t="str">
            <v>SU-000001225</v>
          </cell>
          <cell r="C53" t="str">
            <v>SU-000001225</v>
          </cell>
          <cell r="D53">
            <v>0</v>
          </cell>
          <cell r="E53" t="str">
            <v>FOSFORYT SYRIA</v>
          </cell>
          <cell r="F53">
            <v>0</v>
          </cell>
          <cell r="G53">
            <v>0</v>
          </cell>
          <cell r="H53">
            <v>10822.350836681999</v>
          </cell>
          <cell r="I53">
            <v>14614.797340203815</v>
          </cell>
          <cell r="J53">
            <v>5996.1330693618193</v>
          </cell>
          <cell r="K53">
            <v>16939.065782181307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 t="str">
            <v>SU-000001226</v>
          </cell>
          <cell r="C54" t="str">
            <v>SU-000001226</v>
          </cell>
          <cell r="D54">
            <v>0</v>
          </cell>
          <cell r="E54" t="str">
            <v>FOSFORYT ALGERIA</v>
          </cell>
          <cell r="F54">
            <v>0</v>
          </cell>
          <cell r="G54">
            <v>0</v>
          </cell>
          <cell r="H54">
            <v>16498.951808999998</v>
          </cell>
          <cell r="I54">
            <v>14411.432301960001</v>
          </cell>
          <cell r="J54">
            <v>32181.426573179986</v>
          </cell>
          <cell r="K54">
            <v>8821.6863011999994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 t="str">
            <v>SU-000001227</v>
          </cell>
          <cell r="C55" t="str">
            <v>SU-000001227</v>
          </cell>
          <cell r="D55">
            <v>0</v>
          </cell>
          <cell r="E55" t="str">
            <v>FOSFORYT EGIPT</v>
          </cell>
          <cell r="F55">
            <v>0</v>
          </cell>
          <cell r="G55">
            <v>0</v>
          </cell>
          <cell r="H55">
            <v>6054.8695324169994</v>
          </cell>
          <cell r="I55">
            <v>10912.741445999998</v>
          </cell>
          <cell r="J55">
            <v>34554.04833825001</v>
          </cell>
          <cell r="K55">
            <v>20880.306723000005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E56" t="str">
            <v>Suma fosforytów</v>
          </cell>
          <cell r="F56">
            <v>0</v>
          </cell>
          <cell r="G56">
            <v>0</v>
          </cell>
          <cell r="H56">
            <v>33376.172178098997</v>
          </cell>
          <cell r="I56">
            <v>39938.971088163817</v>
          </cell>
          <cell r="J56">
            <v>72731.607980791814</v>
          </cell>
          <cell r="K56">
            <v>46641.058806381312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8">
          <cell r="B58" t="str">
            <v>SU-000001228</v>
          </cell>
          <cell r="C58" t="str">
            <v>SU-000001228</v>
          </cell>
          <cell r="D58">
            <v>0</v>
          </cell>
          <cell r="E58" t="str">
            <v>SIARKA  PŁYNNA</v>
          </cell>
          <cell r="F58">
            <v>0</v>
          </cell>
          <cell r="G58">
            <v>0</v>
          </cell>
          <cell r="H58">
            <v>10369.2769407</v>
          </cell>
          <cell r="I58">
            <v>10310.118611399999</v>
          </cell>
          <cell r="J58">
            <v>12097.828123808398</v>
          </cell>
          <cell r="K58">
            <v>20632.671568171798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60">
          <cell r="B60" t="str">
            <v>SU-000001293</v>
          </cell>
          <cell r="C60" t="str">
            <v>SU-000001293</v>
          </cell>
          <cell r="D60">
            <v>0</v>
          </cell>
          <cell r="E60" t="str">
            <v>SÓL POTASOWA</v>
          </cell>
          <cell r="F60">
            <v>0</v>
          </cell>
          <cell r="G60">
            <v>0</v>
          </cell>
          <cell r="H60">
            <v>1349.26</v>
          </cell>
          <cell r="I60">
            <v>1500</v>
          </cell>
          <cell r="J60">
            <v>1500</v>
          </cell>
          <cell r="K60">
            <v>1500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 t="str">
            <v>SU-000001294</v>
          </cell>
          <cell r="C61" t="str">
            <v>SU-000001294</v>
          </cell>
          <cell r="E61" t="str">
            <v>SÓL POTASOWA-BIAŁORUŚ</v>
          </cell>
          <cell r="F61">
            <v>0</v>
          </cell>
          <cell r="G61">
            <v>0</v>
          </cell>
          <cell r="H61">
            <v>4466.9845635000011</v>
          </cell>
          <cell r="I61">
            <v>8692.5881889999982</v>
          </cell>
          <cell r="J61">
            <v>19075.502343</v>
          </cell>
          <cell r="K61">
            <v>11169.708356000001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 t="str">
            <v>SU-000001295</v>
          </cell>
          <cell r="C62" t="str">
            <v>SU-000001295</v>
          </cell>
          <cell r="E62" t="str">
            <v>SÓL POTASOWA-ROSJA</v>
          </cell>
          <cell r="F62">
            <v>0</v>
          </cell>
          <cell r="G62">
            <v>0</v>
          </cell>
          <cell r="H62">
            <v>4466.9845635000011</v>
          </cell>
          <cell r="I62">
            <v>8692.5881889999982</v>
          </cell>
          <cell r="J62">
            <v>19075.502343</v>
          </cell>
          <cell r="K62">
            <v>11169.708356000001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E63" t="str">
            <v>Suma sól potasowa</v>
          </cell>
          <cell r="F63">
            <v>0</v>
          </cell>
          <cell r="G63">
            <v>0</v>
          </cell>
          <cell r="H63">
            <v>10283.229127000002</v>
          </cell>
          <cell r="I63">
            <v>18885.176377999996</v>
          </cell>
          <cell r="J63">
            <v>39651.004686</v>
          </cell>
          <cell r="K63">
            <v>23839.416712000002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 t="str">
            <v>SU-000001291</v>
          </cell>
          <cell r="C64" t="str">
            <v>SU-000001291</v>
          </cell>
          <cell r="D64">
            <v>0</v>
          </cell>
          <cell r="E64" t="str">
            <v>SIARCZAN AMONU</v>
          </cell>
          <cell r="F64">
            <v>0</v>
          </cell>
          <cell r="G64">
            <v>0</v>
          </cell>
          <cell r="H64">
            <v>2897.2341799999999</v>
          </cell>
          <cell r="I64">
            <v>7150</v>
          </cell>
          <cell r="J64">
            <v>4400</v>
          </cell>
          <cell r="K64">
            <v>4750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 t="str">
            <v>SU-000001292</v>
          </cell>
          <cell r="C65" t="str">
            <v>SU-000001292</v>
          </cell>
          <cell r="E65" t="str">
            <v>SIARCZAN AMONU-BIAŁORUŚ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 t="str">
            <v>SU-000001252</v>
          </cell>
          <cell r="C66" t="str">
            <v>SU-000001252</v>
          </cell>
          <cell r="D66">
            <v>0</v>
          </cell>
          <cell r="E66" t="str">
            <v>KWAS SIARKOWY OBCY</v>
          </cell>
          <cell r="F66">
            <v>0</v>
          </cell>
          <cell r="G66">
            <v>0</v>
          </cell>
          <cell r="H66">
            <v>20000</v>
          </cell>
          <cell r="I66">
            <v>20000</v>
          </cell>
          <cell r="J66">
            <v>20000</v>
          </cell>
          <cell r="K66">
            <v>15000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 t="str">
            <v>SU-000001231</v>
          </cell>
          <cell r="C67" t="str">
            <v>SU-000001231</v>
          </cell>
          <cell r="D67">
            <v>0</v>
          </cell>
          <cell r="E67" t="str">
            <v>MAGNEZYT - MIELONY R-30</v>
          </cell>
          <cell r="F67">
            <v>0</v>
          </cell>
          <cell r="G67">
            <v>0</v>
          </cell>
          <cell r="H67">
            <v>4139.4750170000007</v>
          </cell>
          <cell r="I67">
            <v>5938.0759579999976</v>
          </cell>
          <cell r="J67">
            <v>5013.9301700000005</v>
          </cell>
          <cell r="K67">
            <v>6047.3115239999988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 t="str">
            <v>SU-000001233</v>
          </cell>
          <cell r="C68" t="str">
            <v>SU-000001233</v>
          </cell>
          <cell r="D68">
            <v>0</v>
          </cell>
          <cell r="E68" t="str">
            <v>MAGNEZYT - MIELONY R-40</v>
          </cell>
          <cell r="F68">
            <v>0</v>
          </cell>
          <cell r="G68">
            <v>0</v>
          </cell>
          <cell r="H68">
            <v>1439.546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 t="str">
            <v>SU-000001286</v>
          </cell>
          <cell r="C69" t="str">
            <v>SU-000001286</v>
          </cell>
          <cell r="D69">
            <v>0</v>
          </cell>
          <cell r="E69" t="str">
            <v>ŚRODEK DO POWLEKANIA NAWOZÓW NPK-2</v>
          </cell>
          <cell r="F69">
            <v>0</v>
          </cell>
          <cell r="G69">
            <v>0</v>
          </cell>
          <cell r="H69">
            <v>95483.62</v>
          </cell>
          <cell r="I69">
            <v>108201.19559999998</v>
          </cell>
          <cell r="J69">
            <v>102661.21400000001</v>
          </cell>
          <cell r="K69">
            <v>74096.686399999991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 t="str">
            <v>SU-000001288</v>
          </cell>
          <cell r="C70" t="str">
            <v>SU-000001288</v>
          </cell>
          <cell r="D70">
            <v>0</v>
          </cell>
          <cell r="E70" t="str">
            <v>OLEJ PARAFINOWY</v>
          </cell>
          <cell r="F70">
            <v>0</v>
          </cell>
          <cell r="G70">
            <v>0</v>
          </cell>
          <cell r="H70">
            <v>75449.372999999992</v>
          </cell>
          <cell r="I70">
            <v>98201.167999999976</v>
          </cell>
          <cell r="J70">
            <v>149200.704</v>
          </cell>
          <cell r="K70">
            <v>162901.79999999999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 t="str">
            <v>SU-000001263</v>
          </cell>
          <cell r="C71" t="str">
            <v>SU-000001263</v>
          </cell>
          <cell r="D71">
            <v>0</v>
          </cell>
          <cell r="E71" t="str">
            <v>SIARCZAN POTASU</v>
          </cell>
          <cell r="F71">
            <v>0</v>
          </cell>
          <cell r="G71">
            <v>0</v>
          </cell>
          <cell r="H71">
            <v>6392.5499999999993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 t="str">
            <v>SU-000001218</v>
          </cell>
          <cell r="C72" t="str">
            <v>SU-000001218</v>
          </cell>
          <cell r="D72">
            <v>0</v>
          </cell>
          <cell r="E72" t="str">
            <v>MĄCZKA SZKLARSKA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300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 t="str">
            <v>SU-000001246</v>
          </cell>
          <cell r="C73" t="str">
            <v>SU-000001246</v>
          </cell>
          <cell r="D73">
            <v>0</v>
          </cell>
          <cell r="E73" t="str">
            <v>MIESZANKA MIKROELEMENTÓW MM-XI</v>
          </cell>
          <cell r="F73">
            <v>0</v>
          </cell>
          <cell r="G73">
            <v>0</v>
          </cell>
          <cell r="H73">
            <v>232.58800000000002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 t="str">
            <v>SU-000001281</v>
          </cell>
          <cell r="C74" t="str">
            <v>SU-000001281</v>
          </cell>
          <cell r="D74">
            <v>0</v>
          </cell>
          <cell r="E74" t="str">
            <v>ODPIENIACZ</v>
          </cell>
          <cell r="F74">
            <v>0</v>
          </cell>
          <cell r="G74">
            <v>0</v>
          </cell>
          <cell r="H74">
            <v>10315.73775</v>
          </cell>
          <cell r="I74">
            <v>12227.048326399998</v>
          </cell>
          <cell r="J74">
            <v>33734.185726399999</v>
          </cell>
          <cell r="K74">
            <v>18792.427747199996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 t="str">
            <v>SU-000001301</v>
          </cell>
          <cell r="C75" t="str">
            <v>SU-000001301</v>
          </cell>
          <cell r="D75">
            <v>0</v>
          </cell>
          <cell r="E75" t="str">
            <v>FLOKULANT   A-100 HMW</v>
          </cell>
          <cell r="F75">
            <v>0</v>
          </cell>
          <cell r="G75">
            <v>0</v>
          </cell>
          <cell r="H75">
            <v>884.48618742342796</v>
          </cell>
          <cell r="I75">
            <v>1140.3404381091584</v>
          </cell>
          <cell r="J75">
            <v>1786.6091097172791</v>
          </cell>
          <cell r="K75">
            <v>1244.5650582444937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 t="str">
            <v>SU-000001218</v>
          </cell>
          <cell r="C76" t="str">
            <v>SU-000001218</v>
          </cell>
          <cell r="D76">
            <v>0</v>
          </cell>
          <cell r="E76" t="str">
            <v>MĄCZKA SZKLARSKA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300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 t="str">
            <v>SU-000001255</v>
          </cell>
          <cell r="C77" t="str">
            <v>SU-000001255</v>
          </cell>
          <cell r="D77">
            <v>0</v>
          </cell>
          <cell r="E77" t="str">
            <v>WODOROTLENEK SODU W 100%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 t="str">
            <v>SU-000001229</v>
          </cell>
          <cell r="C78" t="str">
            <v>SU-000001229</v>
          </cell>
          <cell r="D78">
            <v>0</v>
          </cell>
          <cell r="E78" t="str">
            <v>SÓL WARZONA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 t="str">
            <v>SU-000001230</v>
          </cell>
          <cell r="C79" t="str">
            <v>SU-000001230</v>
          </cell>
          <cell r="D79">
            <v>0</v>
          </cell>
          <cell r="E79" t="str">
            <v>ZIEMIA OKRZEMKOWA "CELITE 535"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1">
          <cell r="B81" t="str">
            <v>3050E10038004</v>
          </cell>
          <cell r="C81" t="str">
            <v>3050E</v>
          </cell>
          <cell r="D81">
            <v>10038004</v>
          </cell>
          <cell r="E81" t="str">
            <v>Emisja do atmosfery</v>
          </cell>
          <cell r="F81">
            <v>0</v>
          </cell>
          <cell r="G81">
            <v>0</v>
          </cell>
          <cell r="H81">
            <v>50399.275656383848</v>
          </cell>
          <cell r="I81">
            <v>53690.99491819962</v>
          </cell>
          <cell r="J81">
            <v>59386.326148019121</v>
          </cell>
          <cell r="K81">
            <v>77384.581988362756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4">
          <cell r="B84" t="str">
            <v>ME-086500001</v>
          </cell>
          <cell r="C84" t="str">
            <v>ME-086500001</v>
          </cell>
          <cell r="D84">
            <v>0</v>
          </cell>
          <cell r="E84" t="str">
            <v>Woda chłodnicza</v>
          </cell>
          <cell r="F84">
            <v>0</v>
          </cell>
          <cell r="G84">
            <v>0</v>
          </cell>
          <cell r="H84">
            <v>657956.64920141594</v>
          </cell>
          <cell r="I84">
            <v>607744.80529376818</v>
          </cell>
          <cell r="J84">
            <v>2267516.0149378921</v>
          </cell>
          <cell r="K84">
            <v>2968887.1713735755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 t="str">
            <v>ME-086600001</v>
          </cell>
          <cell r="C85" t="str">
            <v>ME-086600001</v>
          </cell>
          <cell r="D85">
            <v>0</v>
          </cell>
          <cell r="E85" t="str">
            <v>Woda technologiczna</v>
          </cell>
          <cell r="F85">
            <v>0</v>
          </cell>
          <cell r="G85">
            <v>0</v>
          </cell>
          <cell r="H85">
            <v>78605.203961355714</v>
          </cell>
          <cell r="I85">
            <v>73846.646114187897</v>
          </cell>
          <cell r="J85">
            <v>183788.66391616379</v>
          </cell>
          <cell r="K85">
            <v>225722.71614884661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 t="str">
            <v>ME-086800001</v>
          </cell>
          <cell r="C86" t="str">
            <v>ME-086800001</v>
          </cell>
          <cell r="D86">
            <v>0</v>
          </cell>
          <cell r="E86" t="str">
            <v>Woda TCW 2</v>
          </cell>
          <cell r="F86">
            <v>0</v>
          </cell>
          <cell r="G86">
            <v>0</v>
          </cell>
          <cell r="H86">
            <v>1921.5000000000002</v>
          </cell>
          <cell r="I86">
            <v>2199.75</v>
          </cell>
          <cell r="J86">
            <v>850.50000000000011</v>
          </cell>
          <cell r="K86">
            <v>905.62500000000011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 t="str">
            <v>ME-087200001</v>
          </cell>
          <cell r="C87" t="str">
            <v>ME-087200001</v>
          </cell>
          <cell r="D87">
            <v>0</v>
          </cell>
          <cell r="E87" t="str">
            <v>POWIETRZE TECHNOLOGICZNE</v>
          </cell>
          <cell r="F87">
            <v>0</v>
          </cell>
          <cell r="G87">
            <v>0</v>
          </cell>
          <cell r="H87">
            <v>4287846.81059206</v>
          </cell>
          <cell r="I87">
            <v>5379461.3463407373</v>
          </cell>
          <cell r="J87">
            <v>5136432.2856845371</v>
          </cell>
          <cell r="K87">
            <v>5728542.3678111527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 t="str">
            <v>2001O10038704</v>
          </cell>
          <cell r="C88" t="str">
            <v>2001O</v>
          </cell>
          <cell r="D88">
            <v>10038704</v>
          </cell>
          <cell r="E88" t="str">
            <v>Obciążenie hydrauliczne</v>
          </cell>
          <cell r="F88">
            <v>0</v>
          </cell>
          <cell r="G88">
            <v>0</v>
          </cell>
          <cell r="H88">
            <v>470067</v>
          </cell>
          <cell r="I88">
            <v>561597.19199999992</v>
          </cell>
          <cell r="J88">
            <v>994629.94800000009</v>
          </cell>
          <cell r="K88">
            <v>651269.73599999992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B89" t="str">
            <v>2002O10038704</v>
          </cell>
          <cell r="C89" t="str">
            <v>2002O</v>
          </cell>
          <cell r="D89">
            <v>10038704</v>
          </cell>
          <cell r="E89" t="str">
            <v>Zużycie wapna</v>
          </cell>
          <cell r="F89">
            <v>0</v>
          </cell>
          <cell r="G89">
            <v>0</v>
          </cell>
          <cell r="H89">
            <v>325.43100000000004</v>
          </cell>
          <cell r="I89">
            <v>388.79805599999997</v>
          </cell>
          <cell r="J89">
            <v>688.58996400000012</v>
          </cell>
          <cell r="K89">
            <v>450.87904800000001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B90" t="str">
            <v>2002E10038705</v>
          </cell>
          <cell r="C90" t="str">
            <v>2002E</v>
          </cell>
          <cell r="D90">
            <v>10038705</v>
          </cell>
          <cell r="E90" t="str">
            <v>Ewakuacja i składowanie fosfogipsu</v>
          </cell>
          <cell r="F90">
            <v>0</v>
          </cell>
          <cell r="G90">
            <v>0</v>
          </cell>
          <cell r="H90">
            <v>50990.095100000006</v>
          </cell>
          <cell r="I90">
            <v>61035.499851999994</v>
          </cell>
          <cell r="J90">
            <v>108487.84781000001</v>
          </cell>
          <cell r="K90">
            <v>70983.481440000003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B91" t="str">
            <v>2702I10032718</v>
          </cell>
          <cell r="C91" t="str">
            <v>2702I</v>
          </cell>
          <cell r="D91" t="str">
            <v>10032718</v>
          </cell>
          <cell r="E91" t="str">
            <v>Sieci pary 0,8  MPa k.st.</v>
          </cell>
          <cell r="F91">
            <v>0</v>
          </cell>
          <cell r="G91">
            <v>0</v>
          </cell>
          <cell r="H91">
            <v>63930.63270859421</v>
          </cell>
          <cell r="I91">
            <v>74459.751268029431</v>
          </cell>
          <cell r="J91">
            <v>112963.60480436012</v>
          </cell>
          <cell r="K91">
            <v>104797.98431825364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B92" t="str">
            <v>2703I10032719</v>
          </cell>
          <cell r="C92" t="str">
            <v>2703I</v>
          </cell>
          <cell r="D92">
            <v>10032719</v>
          </cell>
          <cell r="E92" t="str">
            <v>Pozostała sieć pary k.st.</v>
          </cell>
          <cell r="F92">
            <v>0</v>
          </cell>
          <cell r="G92">
            <v>0</v>
          </cell>
          <cell r="H92">
            <v>7730.6577157024394</v>
          </cell>
          <cell r="I92">
            <v>10364.792608527749</v>
          </cell>
          <cell r="J92">
            <v>21274.929367597466</v>
          </cell>
          <cell r="K92">
            <v>12719.700812888212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B93" t="str">
            <v>2704I10032718</v>
          </cell>
          <cell r="C93" t="str">
            <v>2704I</v>
          </cell>
          <cell r="D93">
            <v>10032718</v>
          </cell>
          <cell r="E93" t="str">
            <v>Sieci pary 0,8  MPa k.zm.</v>
          </cell>
          <cell r="F93">
            <v>0</v>
          </cell>
          <cell r="G93">
            <v>0</v>
          </cell>
          <cell r="H93">
            <v>15713.993800181439</v>
          </cell>
          <cell r="I93">
            <v>20068.508254404431</v>
          </cell>
          <cell r="J93">
            <v>33981.586908981917</v>
          </cell>
          <cell r="K93">
            <v>22737.550046239507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>2705I10032719</v>
          </cell>
          <cell r="C94" t="str">
            <v>2705I</v>
          </cell>
          <cell r="D94" t="str">
            <v>10032719</v>
          </cell>
          <cell r="E94" t="str">
            <v>Pozostała sieć pary k. zm.</v>
          </cell>
          <cell r="F94">
            <v>0</v>
          </cell>
          <cell r="G94">
            <v>0</v>
          </cell>
          <cell r="H94">
            <v>2647.5944336913199</v>
          </cell>
          <cell r="I94">
            <v>3513.6697290549264</v>
          </cell>
          <cell r="J94">
            <v>7298.2314797805566</v>
          </cell>
          <cell r="K94">
            <v>4316.3557145289533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6">
          <cell r="B96" t="str">
            <v>2351I10032502</v>
          </cell>
          <cell r="C96" t="str">
            <v>2351I</v>
          </cell>
          <cell r="D96" t="str">
            <v>10032502</v>
          </cell>
          <cell r="E96" t="str">
            <v>Laboratorium KJEC</v>
          </cell>
          <cell r="F96">
            <v>0</v>
          </cell>
          <cell r="G96">
            <v>0</v>
          </cell>
          <cell r="H96">
            <v>237.58142857142855</v>
          </cell>
          <cell r="I96">
            <v>224.4842857142857</v>
          </cell>
          <cell r="J96">
            <v>333.67183428571423</v>
          </cell>
          <cell r="K96">
            <v>591.1944542857143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B97" t="str">
            <v>2352I10032505</v>
          </cell>
          <cell r="C97" t="str">
            <v>2352I</v>
          </cell>
          <cell r="D97" t="str">
            <v>10032505</v>
          </cell>
          <cell r="E97" t="str">
            <v>Laboratorium KJF</v>
          </cell>
          <cell r="F97">
            <v>0</v>
          </cell>
          <cell r="G97">
            <v>0</v>
          </cell>
          <cell r="H97">
            <v>5648.368786294609</v>
          </cell>
          <cell r="I97">
            <v>6630.5297808145478</v>
          </cell>
          <cell r="J97">
            <v>9121.9759645203758</v>
          </cell>
          <cell r="K97">
            <v>7555.6448415910399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B98" t="str">
            <v>2353I10032506</v>
          </cell>
          <cell r="C98" t="str">
            <v>2353I</v>
          </cell>
          <cell r="D98" t="str">
            <v>10032506</v>
          </cell>
          <cell r="E98" t="str">
            <v>Laboratorium KJA</v>
          </cell>
          <cell r="F98">
            <v>0</v>
          </cell>
          <cell r="G98">
            <v>0</v>
          </cell>
          <cell r="H98">
            <v>2852.5081384282744</v>
          </cell>
          <cell r="I98">
            <v>2890.9892210345497</v>
          </cell>
          <cell r="J98">
            <v>3610.2660891651608</v>
          </cell>
          <cell r="K98">
            <v>1933.6036434726955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102">
          <cell r="B102" t="str">
            <v>MS11010032802</v>
          </cell>
          <cell r="C102" t="str">
            <v>MS110</v>
          </cell>
          <cell r="D102" t="str">
            <v>10032802</v>
          </cell>
          <cell r="E102" t="str">
            <v>Magazyn kwasu siarkowego</v>
          </cell>
          <cell r="F102">
            <v>0</v>
          </cell>
          <cell r="G102">
            <v>0</v>
          </cell>
          <cell r="H102">
            <v>371.71564570030171</v>
          </cell>
          <cell r="I102">
            <v>404.93315030013241</v>
          </cell>
          <cell r="J102">
            <v>514.92393392934389</v>
          </cell>
          <cell r="K102">
            <v>400.22761658239119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B103" t="str">
            <v>MS11310031115</v>
          </cell>
          <cell r="C103" t="str">
            <v>MS113</v>
          </cell>
          <cell r="D103" t="str">
            <v>10031115</v>
          </cell>
          <cell r="E103" t="str">
            <v>SP-2 Ciągi 3-4</v>
          </cell>
          <cell r="F103">
            <v>0</v>
          </cell>
          <cell r="G103">
            <v>0</v>
          </cell>
          <cell r="H103">
            <v>166</v>
          </cell>
          <cell r="I103">
            <v>0.04</v>
          </cell>
          <cell r="J103">
            <v>656.93991999999992</v>
          </cell>
          <cell r="K103">
            <v>1331.9924799999999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B104" t="str">
            <v>MS11410031116</v>
          </cell>
          <cell r="C104" t="str">
            <v>MS114</v>
          </cell>
          <cell r="D104" t="str">
            <v>10031116</v>
          </cell>
          <cell r="E104" t="str">
            <v>SP-3 Ciąg 5</v>
          </cell>
          <cell r="F104">
            <v>0</v>
          </cell>
          <cell r="G104">
            <v>0</v>
          </cell>
          <cell r="H104">
            <v>0.04</v>
          </cell>
          <cell r="I104">
            <v>0.04</v>
          </cell>
          <cell r="J104">
            <v>330.60455999999999</v>
          </cell>
          <cell r="K104">
            <v>663.14247999999998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MS11610031117</v>
          </cell>
          <cell r="C105" t="str">
            <v>MS116</v>
          </cell>
          <cell r="D105" t="str">
            <v>10031117</v>
          </cell>
          <cell r="E105" t="str">
            <v>SP - 3 Ciąg 7</v>
          </cell>
          <cell r="F105">
            <v>0</v>
          </cell>
          <cell r="G105">
            <v>0</v>
          </cell>
          <cell r="H105">
            <v>470.57142857142861</v>
          </cell>
          <cell r="I105">
            <v>538.71428571428578</v>
          </cell>
          <cell r="J105">
            <v>208.28571428571431</v>
          </cell>
          <cell r="K105">
            <v>221.78571428571431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B106" t="str">
            <v>MS12010031122</v>
          </cell>
          <cell r="C106" t="str">
            <v>MS120</v>
          </cell>
          <cell r="D106" t="str">
            <v>10031122</v>
          </cell>
          <cell r="E106" t="str">
            <v>Klarowanie kwasu odfluorowanego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B107" t="str">
            <v>MS12110031123</v>
          </cell>
          <cell r="C107" t="str">
            <v>MS121</v>
          </cell>
          <cell r="D107" t="str">
            <v>10031123</v>
          </cell>
          <cell r="E107" t="str">
            <v>Oddział PF2AB</v>
          </cell>
          <cell r="F107">
            <v>0</v>
          </cell>
          <cell r="G107">
            <v>0</v>
          </cell>
          <cell r="H107">
            <v>589.97290909090907</v>
          </cell>
          <cell r="I107">
            <v>620.07017272727262</v>
          </cell>
          <cell r="J107">
            <v>1108.1136999999994</v>
          </cell>
          <cell r="K107">
            <v>712.08058545454514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B108" t="str">
            <v>MS12210032803</v>
          </cell>
          <cell r="C108" t="str">
            <v>MS122</v>
          </cell>
          <cell r="D108" t="str">
            <v>10032803</v>
          </cell>
          <cell r="E108" t="str">
            <v>magazyn fosforytów 2300M</v>
          </cell>
          <cell r="F108">
            <v>0</v>
          </cell>
          <cell r="G108">
            <v>0</v>
          </cell>
          <cell r="H108">
            <v>33376.172178098997</v>
          </cell>
          <cell r="I108">
            <v>39938.971088163817</v>
          </cell>
          <cell r="J108">
            <v>72731.607980791814</v>
          </cell>
          <cell r="K108">
            <v>46641.058806381305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B109" t="str">
            <v>MS12310031125</v>
          </cell>
          <cell r="C109" t="str">
            <v>MS123</v>
          </cell>
          <cell r="D109" t="str">
            <v>10031125</v>
          </cell>
          <cell r="E109" t="str">
            <v>Oddział PF2C</v>
          </cell>
          <cell r="F109">
            <v>0</v>
          </cell>
          <cell r="G109">
            <v>0</v>
          </cell>
          <cell r="H109">
            <v>268.94484413793106</v>
          </cell>
          <cell r="I109">
            <v>315.47859508965513</v>
          </cell>
          <cell r="J109">
            <v>631.35879213399005</v>
          </cell>
          <cell r="K109">
            <v>411.67795464827577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B110" t="str">
            <v>MS12410031126</v>
          </cell>
          <cell r="C110" t="str">
            <v>MS124</v>
          </cell>
          <cell r="D110" t="str">
            <v>10031126</v>
          </cell>
          <cell r="E110" t="str">
            <v>Oddział PF3D</v>
          </cell>
          <cell r="F110">
            <v>0</v>
          </cell>
          <cell r="G110">
            <v>0</v>
          </cell>
          <cell r="H110">
            <v>0</v>
          </cell>
          <cell r="I110">
            <v>4.3999999999999997E-2</v>
          </cell>
          <cell r="J110">
            <v>546.01092000000017</v>
          </cell>
          <cell r="K110">
            <v>200.00400000000005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B111" t="str">
            <v>MS12510031127</v>
          </cell>
          <cell r="C111" t="str">
            <v>MS125</v>
          </cell>
          <cell r="D111" t="str">
            <v>10031127</v>
          </cell>
          <cell r="E111" t="str">
            <v>Oddział PF4E</v>
          </cell>
          <cell r="F111">
            <v>0</v>
          </cell>
          <cell r="G111">
            <v>0</v>
          </cell>
          <cell r="H111">
            <v>266.26764285714285</v>
          </cell>
          <cell r="I111">
            <v>344.00521428571426</v>
          </cell>
          <cell r="J111">
            <v>178.00012714285714</v>
          </cell>
          <cell r="K111">
            <v>244.00433714285714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B112" t="str">
            <v>MS12610031128</v>
          </cell>
          <cell r="C112" t="str">
            <v>MS126</v>
          </cell>
          <cell r="D112" t="str">
            <v>10031128</v>
          </cell>
          <cell r="E112" t="str">
            <v>Mielenie Fosforytów</v>
          </cell>
          <cell r="F112">
            <v>0</v>
          </cell>
          <cell r="G112">
            <v>0</v>
          </cell>
          <cell r="H112">
            <v>446.70668350638459</v>
          </cell>
          <cell r="I112">
            <v>534.4454701040263</v>
          </cell>
          <cell r="J112">
            <v>972.87071597313025</v>
          </cell>
          <cell r="K112">
            <v>623.91302641972879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 t="str">
            <v>MS12710031129</v>
          </cell>
          <cell r="C113" t="str">
            <v>MS127</v>
          </cell>
          <cell r="D113" t="str">
            <v>10031129</v>
          </cell>
          <cell r="E113" t="str">
            <v>Zatężanie i szlamowanie</v>
          </cell>
          <cell r="F113">
            <v>0</v>
          </cell>
          <cell r="G113">
            <v>0</v>
          </cell>
          <cell r="H113">
            <v>344.22928621906124</v>
          </cell>
          <cell r="I113">
            <v>451.32050616011651</v>
          </cell>
          <cell r="J113">
            <v>939.22430539434276</v>
          </cell>
          <cell r="K113">
            <v>554.97261670498494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B114" t="str">
            <v>MS14110031105</v>
          </cell>
          <cell r="C114" t="str">
            <v>MS141</v>
          </cell>
          <cell r="D114" t="str">
            <v>10031105</v>
          </cell>
          <cell r="E114" t="str">
            <v>NP Ciągi X,Y</v>
          </cell>
          <cell r="F114">
            <v>0</v>
          </cell>
          <cell r="G114">
            <v>0</v>
          </cell>
          <cell r="H114">
            <v>725.59831578947376</v>
          </cell>
          <cell r="I114">
            <v>902.79353936842097</v>
          </cell>
          <cell r="J114">
            <v>316.80768</v>
          </cell>
          <cell r="K114">
            <v>470.42380800000001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B115" t="str">
            <v>MS14210031106</v>
          </cell>
          <cell r="C115" t="str">
            <v>MS142</v>
          </cell>
          <cell r="D115" t="str">
            <v>10031106</v>
          </cell>
          <cell r="E115" t="str">
            <v>NPK I Ciągi X,Y</v>
          </cell>
          <cell r="F115">
            <v>0</v>
          </cell>
          <cell r="G115">
            <v>0</v>
          </cell>
          <cell r="H115">
            <v>619.45712186665219</v>
          </cell>
          <cell r="I115">
            <v>723.9922969895872</v>
          </cell>
          <cell r="J115">
            <v>1506.4145817620133</v>
          </cell>
          <cell r="K115">
            <v>1319.4299647415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B116" t="str">
            <v>MS15010031108</v>
          </cell>
          <cell r="C116" t="str">
            <v>MS150</v>
          </cell>
          <cell r="D116" t="str">
            <v>10031108</v>
          </cell>
          <cell r="E116" t="str">
            <v>Kwas siarkowy do SA</v>
          </cell>
          <cell r="F116">
            <v>0</v>
          </cell>
          <cell r="G116">
            <v>0</v>
          </cell>
          <cell r="H116">
            <v>82.463999999999999</v>
          </cell>
          <cell r="I116">
            <v>88.00281600000001</v>
          </cell>
          <cell r="J116">
            <v>88.00281600000001</v>
          </cell>
          <cell r="K116">
            <v>154.00492800000001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B117" t="str">
            <v>MS15110031109</v>
          </cell>
          <cell r="C117" t="str">
            <v>MS151</v>
          </cell>
          <cell r="D117" t="str">
            <v>10031109</v>
          </cell>
          <cell r="E117" t="str">
            <v>Rozliczemie maszynog. przygot. kwasu fos</v>
          </cell>
          <cell r="F117">
            <v>0</v>
          </cell>
          <cell r="G117">
            <v>0</v>
          </cell>
          <cell r="H117">
            <v>97.166666666666671</v>
          </cell>
          <cell r="I117">
            <v>142.09776596888887</v>
          </cell>
          <cell r="J117">
            <v>374.25415651555562</v>
          </cell>
          <cell r="K117">
            <v>33.01433480888889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B118" t="str">
            <v>MS15210031110</v>
          </cell>
          <cell r="C118" t="str">
            <v>MS152</v>
          </cell>
          <cell r="D118" t="str">
            <v>10031110</v>
          </cell>
          <cell r="E118" t="str">
            <v>NPK II Ciągi A,B</v>
          </cell>
          <cell r="F118">
            <v>0</v>
          </cell>
          <cell r="G118">
            <v>0</v>
          </cell>
          <cell r="H118">
            <v>1079.779925987526</v>
          </cell>
          <cell r="I118">
            <v>1050.1664619323669</v>
          </cell>
          <cell r="J118">
            <v>1180.994697070636</v>
          </cell>
          <cell r="K118">
            <v>693.00656173913035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B119" t="str">
            <v>MS15410031111</v>
          </cell>
          <cell r="C119" t="str">
            <v>MS154</v>
          </cell>
          <cell r="D119" t="str">
            <v>10031111</v>
          </cell>
          <cell r="E119" t="str">
            <v>Produkcja MAP</v>
          </cell>
          <cell r="F119">
            <v>0</v>
          </cell>
          <cell r="G119">
            <v>0</v>
          </cell>
          <cell r="H119">
            <v>188.464</v>
          </cell>
          <cell r="I119">
            <v>243.01856069333331</v>
          </cell>
          <cell r="J119">
            <v>496.28007765333336</v>
          </cell>
          <cell r="K119">
            <v>190.02056597333333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B120" t="str">
            <v>RB12610032803</v>
          </cell>
          <cell r="C120" t="str">
            <v>RB126</v>
          </cell>
          <cell r="D120" t="str">
            <v>10032803</v>
          </cell>
          <cell r="E120" t="str">
            <v>Mielenie Fosforytów</v>
          </cell>
          <cell r="F120">
            <v>0</v>
          </cell>
          <cell r="G120">
            <v>0</v>
          </cell>
          <cell r="H120">
            <v>1399.3959389940692</v>
          </cell>
          <cell r="I120">
            <v>1674.2548255754068</v>
          </cell>
          <cell r="J120">
            <v>3047.7075436002347</v>
          </cell>
          <cell r="K120">
            <v>1954.5294209702342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B121" t="str">
            <v>RB14110031105</v>
          </cell>
          <cell r="C121" t="str">
            <v>RB141</v>
          </cell>
          <cell r="D121" t="str">
            <v>10031105</v>
          </cell>
          <cell r="E121" t="str">
            <v>NP Ciągi X,Y</v>
          </cell>
          <cell r="F121">
            <v>0</v>
          </cell>
          <cell r="G121">
            <v>0</v>
          </cell>
          <cell r="H121">
            <v>2640.0606315789473</v>
          </cell>
          <cell r="I121">
            <v>3323.0137027368419</v>
          </cell>
          <cell r="J121">
            <v>1167.2275199999999</v>
          </cell>
          <cell r="K121">
            <v>1761.691392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>RB14210031106</v>
          </cell>
          <cell r="C122" t="str">
            <v>RB142</v>
          </cell>
          <cell r="D122" t="str">
            <v>10031106</v>
          </cell>
          <cell r="E122" t="str">
            <v>NPK I Ciągi X,Y</v>
          </cell>
          <cell r="F122">
            <v>0</v>
          </cell>
          <cell r="G122">
            <v>0</v>
          </cell>
          <cell r="H122">
            <v>2968.2320422777079</v>
          </cell>
          <cell r="I122">
            <v>3469.1297564084389</v>
          </cell>
          <cell r="J122">
            <v>7218.236537609645</v>
          </cell>
          <cell r="K122">
            <v>6322.2685810530184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>RB15210031110</v>
          </cell>
          <cell r="C123" t="str">
            <v>RB152</v>
          </cell>
          <cell r="D123" t="str">
            <v>10031110</v>
          </cell>
          <cell r="E123" t="str">
            <v>NPK II Ciągi A,B</v>
          </cell>
          <cell r="F123">
            <v>0</v>
          </cell>
          <cell r="G123">
            <v>0</v>
          </cell>
          <cell r="H123">
            <v>7460.9265135135138</v>
          </cell>
          <cell r="I123">
            <v>7884.9371940919791</v>
          </cell>
          <cell r="J123">
            <v>9313.2046119406914</v>
          </cell>
          <cell r="K123">
            <v>5262.5873623814496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>RB21010031118</v>
          </cell>
          <cell r="C124" t="str">
            <v>RB210</v>
          </cell>
          <cell r="D124" t="str">
            <v>10031118</v>
          </cell>
          <cell r="E124" t="str">
            <v>K. osobowe SPW 1-2</v>
          </cell>
          <cell r="F124">
            <v>0</v>
          </cell>
          <cell r="G124">
            <v>0</v>
          </cell>
          <cell r="H124">
            <v>4751.6824457245712</v>
          </cell>
          <cell r="I124">
            <v>4725.0695605625651</v>
          </cell>
          <cell r="J124">
            <v>7090.1473766882791</v>
          </cell>
          <cell r="K124">
            <v>9100.0660117251555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>RB22010031131</v>
          </cell>
          <cell r="C125" t="str">
            <v>RB220</v>
          </cell>
          <cell r="D125" t="str">
            <v>10031131</v>
          </cell>
          <cell r="E125" t="str">
            <v>K.osobowe PF1-4</v>
          </cell>
          <cell r="F125">
            <v>0</v>
          </cell>
          <cell r="G125">
            <v>0</v>
          </cell>
          <cell r="H125">
            <v>3634.0517568410155</v>
          </cell>
          <cell r="I125">
            <v>4421.036373839047</v>
          </cell>
          <cell r="J125">
            <v>8471.2330654656016</v>
          </cell>
          <cell r="K125">
            <v>5406.6333444986158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8">
          <cell r="B128" t="str">
            <v>2300M10032801</v>
          </cell>
          <cell r="C128" t="str">
            <v>2300M</v>
          </cell>
          <cell r="D128" t="str">
            <v>10032801</v>
          </cell>
          <cell r="E128" t="str">
            <v>Magazyn siarki</v>
          </cell>
          <cell r="F128">
            <v>0</v>
          </cell>
          <cell r="G128">
            <v>0</v>
          </cell>
          <cell r="H128">
            <v>10369.2769407</v>
          </cell>
          <cell r="I128">
            <v>10310.118611399999</v>
          </cell>
          <cell r="J128">
            <v>12097.828123808398</v>
          </cell>
          <cell r="K128">
            <v>20632.671568171798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>2300M10032806</v>
          </cell>
          <cell r="C129" t="str">
            <v>2300M</v>
          </cell>
          <cell r="D129" t="str">
            <v>10032806</v>
          </cell>
          <cell r="E129" t="str">
            <v>Magazyn soli potasowej i innych surowców</v>
          </cell>
          <cell r="F129">
            <v>0</v>
          </cell>
          <cell r="G129">
            <v>0</v>
          </cell>
          <cell r="H129">
            <v>33915.36340508108</v>
          </cell>
          <cell r="I129">
            <v>38017.416655999994</v>
          </cell>
          <cell r="J129">
            <v>48182.566057999997</v>
          </cell>
          <cell r="K129">
            <v>41347.911796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B130" t="str">
            <v>2300M10032802</v>
          </cell>
          <cell r="C130" t="str">
            <v>2300M</v>
          </cell>
          <cell r="D130" t="str">
            <v>10032802</v>
          </cell>
          <cell r="E130" t="str">
            <v>Magazyn kwasu siarkowego</v>
          </cell>
          <cell r="F130">
            <v>0</v>
          </cell>
          <cell r="G130">
            <v>0</v>
          </cell>
          <cell r="H130">
            <v>7762.3891215675676</v>
          </cell>
          <cell r="I130">
            <v>9450.0201997599979</v>
          </cell>
          <cell r="J130">
            <v>18723.868261120002</v>
          </cell>
          <cell r="K130">
            <v>6858.9292502399985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>2300M10032804</v>
          </cell>
          <cell r="C131" t="str">
            <v>2300M</v>
          </cell>
          <cell r="D131" t="str">
            <v>10032804</v>
          </cell>
          <cell r="E131" t="str">
            <v>Magazyn kwasu fosforowego</v>
          </cell>
          <cell r="F131">
            <v>0</v>
          </cell>
          <cell r="G131">
            <v>0</v>
          </cell>
          <cell r="H131">
            <v>6394.1028880000003</v>
          </cell>
          <cell r="I131">
            <v>8308.0991360000007</v>
          </cell>
          <cell r="J131">
            <v>12144.71904</v>
          </cell>
          <cell r="K131">
            <v>14555.646255999998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</row>
        <row r="132">
          <cell r="B132" t="str">
            <v>2300M10032905</v>
          </cell>
          <cell r="C132" t="str">
            <v>2300M</v>
          </cell>
          <cell r="D132" t="str">
            <v>10032905</v>
          </cell>
          <cell r="E132" t="str">
            <v>Koszty Zakupu Soli Potasowej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B133" t="str">
            <v>2300M10032906</v>
          </cell>
          <cell r="C133" t="str">
            <v>2300M</v>
          </cell>
          <cell r="D133" t="str">
            <v>10032906</v>
          </cell>
          <cell r="E133" t="str">
            <v>Koszt Zakupu Pozostałych Surowców PWN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B134" t="str">
            <v>2300M10032851</v>
          </cell>
          <cell r="C134" t="str">
            <v>2300M</v>
          </cell>
          <cell r="D134" t="str">
            <v>10032851</v>
          </cell>
          <cell r="E134" t="str">
            <v xml:space="preserve">Magazyn  mocznika </v>
          </cell>
          <cell r="F134">
            <v>0</v>
          </cell>
          <cell r="G134">
            <v>0</v>
          </cell>
          <cell r="H134">
            <v>4134.5337200000004</v>
          </cell>
          <cell r="I134">
            <v>3196.0285599999993</v>
          </cell>
          <cell r="J134">
            <v>221.00203999999999</v>
          </cell>
          <cell r="K134">
            <v>2805.0224399999997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</row>
        <row r="135">
          <cell r="B135" t="str">
            <v>2300M10032811</v>
          </cell>
          <cell r="C135" t="str">
            <v>2300M</v>
          </cell>
          <cell r="D135" t="str">
            <v>10032811</v>
          </cell>
          <cell r="E135" t="str">
            <v>Magazyn amoniaku ciekłego (SKM 15631)</v>
          </cell>
          <cell r="F135">
            <v>0</v>
          </cell>
          <cell r="G135">
            <v>0</v>
          </cell>
          <cell r="H135">
            <v>897.60699999999997</v>
          </cell>
          <cell r="I135">
            <v>1160.5684729539998</v>
          </cell>
          <cell r="J135">
            <v>2385.7210612480003</v>
          </cell>
          <cell r="K135">
            <v>892.915312696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B136" t="str">
            <v>2301M10032900</v>
          </cell>
          <cell r="C136" t="str">
            <v>2301M</v>
          </cell>
          <cell r="D136" t="str">
            <v>10032900</v>
          </cell>
          <cell r="E136" t="str">
            <v>K.Zak. Siarki</v>
          </cell>
          <cell r="F136">
            <v>0</v>
          </cell>
          <cell r="G136">
            <v>0</v>
          </cell>
          <cell r="H136">
            <v>10369.2769407</v>
          </cell>
          <cell r="I136">
            <v>10310.118611399999</v>
          </cell>
          <cell r="J136">
            <v>12097.828123808398</v>
          </cell>
          <cell r="K136">
            <v>20632.671568171798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</row>
        <row r="137">
          <cell r="B137" t="str">
            <v>2301M10032903</v>
          </cell>
          <cell r="C137" t="str">
            <v>2301M</v>
          </cell>
          <cell r="D137" t="str">
            <v>10032903</v>
          </cell>
          <cell r="E137" t="str">
            <v>Koszty Zakupu Fosf.Maroko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B138" t="str">
            <v>2301M10032901</v>
          </cell>
          <cell r="C138" t="str">
            <v>2301M</v>
          </cell>
          <cell r="D138" t="str">
            <v>10032901</v>
          </cell>
          <cell r="E138" t="str">
            <v>Koszty Zakupu Fosf.Syria</v>
          </cell>
          <cell r="F138">
            <v>0</v>
          </cell>
          <cell r="G138">
            <v>0</v>
          </cell>
          <cell r="H138">
            <v>10789.980894</v>
          </cell>
          <cell r="I138">
            <v>14571.084087939997</v>
          </cell>
          <cell r="J138">
            <v>5978.1984739399995</v>
          </cell>
          <cell r="K138">
            <v>16888.400580439989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</row>
        <row r="139">
          <cell r="B139" t="str">
            <v>2301M10032913</v>
          </cell>
          <cell r="C139" t="str">
            <v>2301M</v>
          </cell>
          <cell r="D139" t="str">
            <v>10032913</v>
          </cell>
          <cell r="E139" t="str">
            <v>Koszty Zakupu Fosforytu Egipt</v>
          </cell>
          <cell r="F139">
            <v>0</v>
          </cell>
          <cell r="G139">
            <v>0</v>
          </cell>
          <cell r="H139">
            <v>6024.7458034000001</v>
          </cell>
          <cell r="I139">
            <v>10858.449199999999</v>
          </cell>
          <cell r="J139">
            <v>34382.137650000011</v>
          </cell>
          <cell r="K139">
            <v>20776.424600000006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B140" t="str">
            <v>2301M10032905</v>
          </cell>
          <cell r="C140" t="str">
            <v>2301M</v>
          </cell>
          <cell r="D140" t="str">
            <v>10032905</v>
          </cell>
          <cell r="E140" t="str">
            <v>Koszty Zakupu Soli Potasowej</v>
          </cell>
          <cell r="F140">
            <v>0</v>
          </cell>
          <cell r="G140">
            <v>0</v>
          </cell>
          <cell r="H140">
            <v>10480.458047000002</v>
          </cell>
          <cell r="I140">
            <v>18885.176377999996</v>
          </cell>
          <cell r="J140">
            <v>39651.004686</v>
          </cell>
          <cell r="K140">
            <v>23839.416711999998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B141" t="str">
            <v>2301M10032906</v>
          </cell>
          <cell r="C141" t="str">
            <v>2301M</v>
          </cell>
          <cell r="D141" t="str">
            <v>10032906</v>
          </cell>
          <cell r="E141" t="str">
            <v>Koszt Zakupu Pozostałych Surowców PWN</v>
          </cell>
          <cell r="F141">
            <v>0</v>
          </cell>
          <cell r="G141">
            <v>0</v>
          </cell>
          <cell r="H141">
            <v>6653.9920102972974</v>
          </cell>
          <cell r="I141">
            <v>206.40236359999997</v>
          </cell>
          <cell r="J141">
            <v>631.86212599999999</v>
          </cell>
          <cell r="K141">
            <v>236.99848639999999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</row>
        <row r="142">
          <cell r="B142" t="str">
            <v>2301M10032911</v>
          </cell>
          <cell r="C142" t="str">
            <v>2301M</v>
          </cell>
          <cell r="D142" t="str">
            <v>10032911</v>
          </cell>
          <cell r="E142" t="str">
            <v>Koszty Zakupu Magnezytu Mielonego R-30</v>
          </cell>
          <cell r="F142">
            <v>0</v>
          </cell>
          <cell r="G142">
            <v>0</v>
          </cell>
          <cell r="H142">
            <v>5665.7323683513514</v>
          </cell>
          <cell r="I142">
            <v>6088.0797979999988</v>
          </cell>
          <cell r="J142">
            <v>5163.9349700000002</v>
          </cell>
          <cell r="K142">
            <v>6227.3172839999988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B143" t="str">
            <v>2301M10032910</v>
          </cell>
          <cell r="C143" t="str">
            <v>2301M</v>
          </cell>
          <cell r="D143" t="str">
            <v>10032910</v>
          </cell>
          <cell r="E143" t="str">
            <v>Koszty Zakupu Siarczanu Amonu</v>
          </cell>
          <cell r="F143">
            <v>0</v>
          </cell>
          <cell r="G143">
            <v>0</v>
          </cell>
          <cell r="H143">
            <v>11770.301477297297</v>
          </cell>
          <cell r="I143">
            <v>13044.160479999995</v>
          </cell>
          <cell r="J143">
            <v>3287.6261940000004</v>
          </cell>
          <cell r="K143">
            <v>11281.177799999998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B144" t="str">
            <v>2301M10032904</v>
          </cell>
          <cell r="C144" t="str">
            <v>2301M</v>
          </cell>
          <cell r="D144" t="str">
            <v>10032904</v>
          </cell>
          <cell r="E144" t="str">
            <v>Koszty Zakupu Fosf. Tunezja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B145" t="str">
            <v>2301M10032902</v>
          </cell>
          <cell r="C145" t="str">
            <v>2301M</v>
          </cell>
          <cell r="D145" t="str">
            <v>10032902</v>
          </cell>
          <cell r="E145" t="str">
            <v>Koszty Zakupu Fosf.Togo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B146" t="str">
            <v>2301M10032912</v>
          </cell>
          <cell r="C146" t="str">
            <v>2301M</v>
          </cell>
          <cell r="D146" t="str">
            <v>10032912</v>
          </cell>
          <cell r="E146" t="str">
            <v>Koszty Zakupu Fosforytu Algieria</v>
          </cell>
          <cell r="F146">
            <v>0</v>
          </cell>
          <cell r="G146">
            <v>0</v>
          </cell>
          <cell r="H146">
            <v>16449.602999999999</v>
          </cell>
          <cell r="I146">
            <v>14368.327320000002</v>
          </cell>
          <cell r="J146">
            <v>32085.17105999999</v>
          </cell>
          <cell r="K146">
            <v>8795.3004000000001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9">
          <cell r="B149" t="str">
            <v>portPAK1</v>
          </cell>
          <cell r="C149" t="str">
            <v>port</v>
          </cell>
          <cell r="D149" t="str">
            <v>PAK1</v>
          </cell>
          <cell r="F149">
            <v>0</v>
          </cell>
          <cell r="G149">
            <v>0</v>
          </cell>
          <cell r="H149">
            <v>2000</v>
          </cell>
          <cell r="I149">
            <v>4400</v>
          </cell>
          <cell r="J149">
            <v>0</v>
          </cell>
          <cell r="K149">
            <v>3800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B150" t="str">
            <v>luzPAK1</v>
          </cell>
          <cell r="C150" t="str">
            <v>luz</v>
          </cell>
          <cell r="D150" t="str">
            <v>PAK1</v>
          </cell>
          <cell r="F150">
            <v>0</v>
          </cell>
          <cell r="G150">
            <v>0</v>
          </cell>
          <cell r="H150">
            <v>25.48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 t="str">
            <v>workiPAK1</v>
          </cell>
          <cell r="C151" t="str">
            <v>worki</v>
          </cell>
          <cell r="D151" t="str">
            <v>PAK1</v>
          </cell>
          <cell r="F151">
            <v>0</v>
          </cell>
          <cell r="G151">
            <v>0</v>
          </cell>
          <cell r="H151">
            <v>271.3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B152" t="str">
            <v>bbPAK1</v>
          </cell>
          <cell r="C152" t="str">
            <v>bb</v>
          </cell>
          <cell r="D152" t="str">
            <v>PAK1</v>
          </cell>
          <cell r="F152">
            <v>0</v>
          </cell>
          <cell r="G152">
            <v>0</v>
          </cell>
          <cell r="H152">
            <v>723</v>
          </cell>
          <cell r="I152">
            <v>500</v>
          </cell>
          <cell r="J152">
            <v>2500</v>
          </cell>
          <cell r="K152">
            <v>1500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B153" t="str">
            <v>palPAK1</v>
          </cell>
          <cell r="C153" t="str">
            <v>pal</v>
          </cell>
          <cell r="D153" t="str">
            <v>PAK1</v>
          </cell>
          <cell r="F153">
            <v>0</v>
          </cell>
          <cell r="G153">
            <v>0</v>
          </cell>
          <cell r="H153">
            <v>3049.2</v>
          </cell>
          <cell r="I153">
            <v>3500</v>
          </cell>
          <cell r="J153">
            <v>3500</v>
          </cell>
          <cell r="K153">
            <v>3500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</row>
        <row r="154">
          <cell r="B154" t="str">
            <v>portPAK2</v>
          </cell>
          <cell r="C154" t="str">
            <v>port</v>
          </cell>
          <cell r="D154" t="str">
            <v>PAK2</v>
          </cell>
          <cell r="F154">
            <v>0</v>
          </cell>
          <cell r="G154">
            <v>0</v>
          </cell>
          <cell r="H154">
            <v>717.45100000000002</v>
          </cell>
          <cell r="I154">
            <v>1500</v>
          </cell>
          <cell r="J154">
            <v>16000</v>
          </cell>
          <cell r="K154">
            <v>500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B155" t="str">
            <v>luzPAK2</v>
          </cell>
          <cell r="C155" t="str">
            <v>luz</v>
          </cell>
          <cell r="D155" t="str">
            <v>PAK2</v>
          </cell>
          <cell r="F155">
            <v>0</v>
          </cell>
          <cell r="G155">
            <v>0</v>
          </cell>
          <cell r="H155">
            <v>3171.0790000000002</v>
          </cell>
          <cell r="I155">
            <v>1000</v>
          </cell>
          <cell r="J155">
            <v>2300</v>
          </cell>
          <cell r="K155">
            <v>1800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B156" t="str">
            <v>workiPAK2</v>
          </cell>
          <cell r="C156" t="str">
            <v>worki</v>
          </cell>
          <cell r="D156" t="str">
            <v>PAK2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B157" t="str">
            <v>bbPAK2</v>
          </cell>
          <cell r="C157" t="str">
            <v>bb</v>
          </cell>
          <cell r="D157" t="str">
            <v>PAK2</v>
          </cell>
          <cell r="F157">
            <v>0</v>
          </cell>
          <cell r="G157">
            <v>0</v>
          </cell>
          <cell r="H157">
            <v>5480.5</v>
          </cell>
          <cell r="I157">
            <v>6400</v>
          </cell>
          <cell r="J157">
            <v>6030</v>
          </cell>
          <cell r="K157">
            <v>21130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B158" t="str">
            <v>palPAK2</v>
          </cell>
          <cell r="C158" t="str">
            <v>pal</v>
          </cell>
          <cell r="D158" t="str">
            <v>PAK2</v>
          </cell>
          <cell r="F158">
            <v>0</v>
          </cell>
          <cell r="G158">
            <v>0</v>
          </cell>
          <cell r="H158">
            <v>13831.199999999999</v>
          </cell>
          <cell r="I158">
            <v>17130</v>
          </cell>
          <cell r="J158">
            <v>15170</v>
          </cell>
          <cell r="K158">
            <v>20670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</row>
        <row r="159">
          <cell r="B159" t="str">
            <v>portPAK3</v>
          </cell>
          <cell r="C159" t="str">
            <v>port</v>
          </cell>
          <cell r="D159" t="str">
            <v>PAK3</v>
          </cell>
          <cell r="F159">
            <v>0</v>
          </cell>
          <cell r="G159">
            <v>0</v>
          </cell>
          <cell r="H159">
            <v>16767.135999999999</v>
          </cell>
          <cell r="I159">
            <v>17600</v>
          </cell>
          <cell r="J159">
            <v>3250</v>
          </cell>
          <cell r="K159">
            <v>17200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B160" t="str">
            <v>luzPAK3</v>
          </cell>
          <cell r="C160" t="str">
            <v>luz</v>
          </cell>
          <cell r="D160" t="str">
            <v>PAK3</v>
          </cell>
          <cell r="F160">
            <v>0</v>
          </cell>
          <cell r="G160">
            <v>0</v>
          </cell>
          <cell r="H160">
            <v>2036.2710000000002</v>
          </cell>
          <cell r="I160">
            <v>2650</v>
          </cell>
          <cell r="J160">
            <v>2300</v>
          </cell>
          <cell r="K160">
            <v>2300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B161" t="str">
            <v>workiPAK3</v>
          </cell>
          <cell r="C161" t="str">
            <v>worki</v>
          </cell>
          <cell r="D161" t="str">
            <v>PAK3</v>
          </cell>
          <cell r="F161">
            <v>0</v>
          </cell>
          <cell r="G161">
            <v>0</v>
          </cell>
          <cell r="H161">
            <v>728.8</v>
          </cell>
          <cell r="I161">
            <v>500</v>
          </cell>
          <cell r="J161">
            <v>300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B162" t="str">
            <v>bbPAK3</v>
          </cell>
          <cell r="C162" t="str">
            <v>bb</v>
          </cell>
          <cell r="D162" t="str">
            <v>PAK3</v>
          </cell>
          <cell r="F162">
            <v>0</v>
          </cell>
          <cell r="G162">
            <v>0</v>
          </cell>
          <cell r="H162">
            <v>1336.5</v>
          </cell>
          <cell r="I162">
            <v>11500</v>
          </cell>
          <cell r="J162">
            <v>14400</v>
          </cell>
          <cell r="K162">
            <v>2200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B163" t="str">
            <v>palPAK3</v>
          </cell>
          <cell r="C163" t="str">
            <v>pal</v>
          </cell>
          <cell r="D163" t="str">
            <v>PAK3</v>
          </cell>
          <cell r="F163">
            <v>0</v>
          </cell>
          <cell r="G163">
            <v>0</v>
          </cell>
          <cell r="H163">
            <v>1970</v>
          </cell>
          <cell r="I163">
            <v>470</v>
          </cell>
          <cell r="J163">
            <v>5800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</sheetData>
      <sheetData sheetId="16">
        <row r="4">
          <cell r="A4" t="str">
            <v>SU-000001228</v>
          </cell>
          <cell r="B4" t="str">
            <v>SU-000001228</v>
          </cell>
          <cell r="C4" t="str">
            <v>SIARKA  PŁYNNA</v>
          </cell>
          <cell r="E4">
            <v>414.04892154744795</v>
          </cell>
          <cell r="F4">
            <v>428.36720178665541</v>
          </cell>
          <cell r="G4">
            <v>435.81149895703874</v>
          </cell>
          <cell r="H4">
            <v>420.63154476059429</v>
          </cell>
          <cell r="I4">
            <v>409.73473198436949</v>
          </cell>
          <cell r="J4">
            <v>404.51503384275998</v>
          </cell>
          <cell r="K4">
            <v>409.26430662237766</v>
          </cell>
          <cell r="L4">
            <v>409.26430662237772</v>
          </cell>
          <cell r="M4">
            <v>409.26430662237772</v>
          </cell>
          <cell r="N4">
            <v>409.26430662237772</v>
          </cell>
          <cell r="O4">
            <v>409.26430662237772</v>
          </cell>
          <cell r="P4">
            <v>409.26430662237772</v>
          </cell>
          <cell r="Q4">
            <v>409.26430662237772</v>
          </cell>
        </row>
        <row r="5">
          <cell r="A5" t="str">
            <v>SU-000001293</v>
          </cell>
          <cell r="B5" t="str">
            <v>SU-000001293</v>
          </cell>
          <cell r="C5" t="str">
            <v>SÓL POTASOWA</v>
          </cell>
          <cell r="E5">
            <v>1208.0473444703023</v>
          </cell>
          <cell r="F5">
            <v>1198.904262861234</v>
          </cell>
          <cell r="G5">
            <v>1194.0743850678045</v>
          </cell>
          <cell r="H5">
            <v>1197.6506361488462</v>
          </cell>
          <cell r="I5">
            <v>1198.0754771116347</v>
          </cell>
          <cell r="J5">
            <v>1198.3941078337259</v>
          </cell>
          <cell r="K5">
            <v>1198.6330808752946</v>
          </cell>
          <cell r="L5">
            <v>1198.6330808752946</v>
          </cell>
          <cell r="M5">
            <v>1198.6330808752946</v>
          </cell>
          <cell r="N5">
            <v>1198.6330808752946</v>
          </cell>
          <cell r="O5">
            <v>1198.6330808752946</v>
          </cell>
          <cell r="P5">
            <v>1198.6330808752946</v>
          </cell>
          <cell r="Q5">
            <v>1198.6330808752946</v>
          </cell>
        </row>
        <row r="6">
          <cell r="A6" t="str">
            <v>SU-000001294</v>
          </cell>
          <cell r="B6" t="str">
            <v>SU-000001294</v>
          </cell>
          <cell r="C6" t="str">
            <v>SÓL POTASOWA-BIAŁORUŚ</v>
          </cell>
          <cell r="E6">
            <v>1309.5041681127345</v>
          </cell>
          <cell r="F6">
            <v>1309.8214737165877</v>
          </cell>
          <cell r="G6">
            <v>1307.8580848109455</v>
          </cell>
          <cell r="H6">
            <v>1309.1670970810335</v>
          </cell>
          <cell r="I6">
            <v>1310.13369076241</v>
          </cell>
          <cell r="J6">
            <v>1312.7264866064047</v>
          </cell>
          <cell r="K6">
            <v>1314.4601818728845</v>
          </cell>
          <cell r="L6">
            <v>1314.4601818728845</v>
          </cell>
          <cell r="M6">
            <v>1314.4601818728845</v>
          </cell>
          <cell r="N6">
            <v>1314.4601818728845</v>
          </cell>
          <cell r="O6">
            <v>1314.4601818728845</v>
          </cell>
          <cell r="P6">
            <v>1314.4601818728845</v>
          </cell>
          <cell r="Q6">
            <v>1314.4601818728845</v>
          </cell>
        </row>
        <row r="7">
          <cell r="A7" t="str">
            <v>SU-000001295</v>
          </cell>
          <cell r="B7" t="str">
            <v>SU-000001295</v>
          </cell>
          <cell r="C7" t="str">
            <v>SÓL POTASOWA-ROSJA</v>
          </cell>
          <cell r="E7">
            <v>1326.0800490861736</v>
          </cell>
          <cell r="F7">
            <v>1314.6389154873664</v>
          </cell>
          <cell r="G7">
            <v>1310.1066011651051</v>
          </cell>
          <cell r="H7">
            <v>1310.1066011651051</v>
          </cell>
          <cell r="I7">
            <v>1311.3089442791895</v>
          </cell>
          <cell r="J7">
            <v>1314.2906603341519</v>
          </cell>
          <cell r="K7">
            <v>1316.1380573611873</v>
          </cell>
          <cell r="L7">
            <v>1316.1380573611875</v>
          </cell>
          <cell r="M7">
            <v>1316.1380573611875</v>
          </cell>
          <cell r="N7">
            <v>1316.1380573611875</v>
          </cell>
          <cell r="O7">
            <v>1316.1380573611875</v>
          </cell>
          <cell r="P7">
            <v>1316.1380573611875</v>
          </cell>
          <cell r="Q7">
            <v>1316.1380573611875</v>
          </cell>
        </row>
        <row r="8">
          <cell r="A8" t="str">
            <v>SU-000001223</v>
          </cell>
          <cell r="B8" t="str">
            <v>SU-000001223</v>
          </cell>
          <cell r="C8" t="str">
            <v>fosforyt Maroko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SU-000001225</v>
          </cell>
          <cell r="B9" t="str">
            <v>SU-000001225</v>
          </cell>
          <cell r="C9" t="str">
            <v>fosforyt Syria grade 4</v>
          </cell>
          <cell r="E9">
            <v>0</v>
          </cell>
          <cell r="F9">
            <v>0</v>
          </cell>
          <cell r="G9">
            <v>507.16</v>
          </cell>
          <cell r="H9">
            <v>513.35957894736839</v>
          </cell>
          <cell r="I9">
            <v>507.73221285460033</v>
          </cell>
          <cell r="J9">
            <v>507.73221285460033</v>
          </cell>
          <cell r="K9">
            <v>505.47967650249177</v>
          </cell>
          <cell r="L9">
            <v>505.47967650249177</v>
          </cell>
          <cell r="M9">
            <v>505.47967650249177</v>
          </cell>
          <cell r="N9">
            <v>505.47967650249177</v>
          </cell>
          <cell r="O9">
            <v>505.47967650249177</v>
          </cell>
          <cell r="P9">
            <v>505.47967650249177</v>
          </cell>
          <cell r="Q9">
            <v>505.47967650249177</v>
          </cell>
        </row>
        <row r="10">
          <cell r="A10" t="str">
            <v>SU-000001222</v>
          </cell>
          <cell r="B10" t="str">
            <v>SU-000001222</v>
          </cell>
          <cell r="C10" t="str">
            <v>fosforyt Tunezja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SU-000001227</v>
          </cell>
          <cell r="B11" t="str">
            <v>SU-000001227</v>
          </cell>
          <cell r="C11" t="str">
            <v>fosforyt Egipt</v>
          </cell>
          <cell r="E11">
            <v>522.81215430888722</v>
          </cell>
          <cell r="F11">
            <v>548.89798151153218</v>
          </cell>
          <cell r="G11">
            <v>529.68466073933757</v>
          </cell>
          <cell r="H11">
            <v>519.74188193695534</v>
          </cell>
          <cell r="I11">
            <v>512.1798753149352</v>
          </cell>
          <cell r="J11">
            <v>506.62488401828631</v>
          </cell>
          <cell r="K11">
            <v>501.55287217596634</v>
          </cell>
          <cell r="L11">
            <v>501.55287217596634</v>
          </cell>
          <cell r="M11">
            <v>501.55287217596634</v>
          </cell>
          <cell r="N11">
            <v>501.55287217596634</v>
          </cell>
          <cell r="O11">
            <v>501.55287217596634</v>
          </cell>
          <cell r="P11">
            <v>501.55287217596634</v>
          </cell>
          <cell r="Q11">
            <v>501.55287217596634</v>
          </cell>
        </row>
        <row r="12">
          <cell r="A12" t="str">
            <v>SU-000001224</v>
          </cell>
          <cell r="B12" t="str">
            <v>SU-000001224</v>
          </cell>
          <cell r="C12" t="str">
            <v>fosforyt Togo</v>
          </cell>
          <cell r="E12">
            <v>0</v>
          </cell>
          <cell r="F12">
            <v>650.05360000000007</v>
          </cell>
          <cell r="G12">
            <v>650.05360000000007</v>
          </cell>
          <cell r="H12">
            <v>650.05360000000007</v>
          </cell>
          <cell r="I12">
            <v>650.05360000000007</v>
          </cell>
          <cell r="J12">
            <v>650.05360000000007</v>
          </cell>
          <cell r="K12">
            <v>650.05360000000007</v>
          </cell>
          <cell r="L12">
            <v>650.05360000000007</v>
          </cell>
          <cell r="M12">
            <v>650.05360000000007</v>
          </cell>
          <cell r="N12">
            <v>650.05360000000007</v>
          </cell>
          <cell r="O12">
            <v>650.05360000000007</v>
          </cell>
          <cell r="P12">
            <v>650.05360000000007</v>
          </cell>
          <cell r="Q12">
            <v>650.05360000000007</v>
          </cell>
        </row>
        <row r="13">
          <cell r="A13" t="str">
            <v>SU-000001226</v>
          </cell>
          <cell r="B13" t="str">
            <v>SU-000001226</v>
          </cell>
          <cell r="C13" t="str">
            <v>fosforyt Algier</v>
          </cell>
          <cell r="E13">
            <v>416.11167321098145</v>
          </cell>
          <cell r="F13">
            <v>436.82764410908504</v>
          </cell>
          <cell r="G13">
            <v>424.89229014119758</v>
          </cell>
          <cell r="H13">
            <v>424.30581880892805</v>
          </cell>
          <cell r="I13">
            <v>422.67298030055264</v>
          </cell>
          <cell r="J13">
            <v>425.17155054108616</v>
          </cell>
          <cell r="K13">
            <v>425.17155054108616</v>
          </cell>
          <cell r="L13">
            <v>425.17155054108616</v>
          </cell>
          <cell r="M13">
            <v>425.17155054108616</v>
          </cell>
          <cell r="N13">
            <v>425.17155054108616</v>
          </cell>
          <cell r="O13">
            <v>425.17155054108616</v>
          </cell>
          <cell r="P13">
            <v>425.17155054108616</v>
          </cell>
          <cell r="Q13">
            <v>425.17155054108616</v>
          </cell>
        </row>
        <row r="14">
          <cell r="A14" t="str">
            <v>SU-000001231</v>
          </cell>
          <cell r="B14" t="str">
            <v>SU-000001231</v>
          </cell>
          <cell r="C14" t="str">
            <v>MAGNEZYT - MIELONY R-30</v>
          </cell>
          <cell r="E14">
            <v>136.23382963071157</v>
          </cell>
          <cell r="F14">
            <v>146.57888133776663</v>
          </cell>
          <cell r="G14">
            <v>149.67157694121292</v>
          </cell>
          <cell r="H14">
            <v>150.64436991822546</v>
          </cell>
          <cell r="I14">
            <v>151.54359543352859</v>
          </cell>
          <cell r="J14">
            <v>152.23669738582231</v>
          </cell>
          <cell r="K14">
            <v>152.69785390523751</v>
          </cell>
          <cell r="L14">
            <v>152.69785390523748</v>
          </cell>
          <cell r="M14">
            <v>152.69785390523748</v>
          </cell>
          <cell r="N14">
            <v>152.69785390523748</v>
          </cell>
          <cell r="O14">
            <v>152.69785390523748</v>
          </cell>
          <cell r="P14">
            <v>152.69785390523748</v>
          </cell>
          <cell r="Q14">
            <v>152.69785390523748</v>
          </cell>
        </row>
        <row r="15">
          <cell r="A15" t="str">
            <v>SU-000001233</v>
          </cell>
          <cell r="B15" t="str">
            <v>SU-000001233</v>
          </cell>
          <cell r="C15" t="str">
            <v>MAGNEZYT - MIELONY R-40</v>
          </cell>
          <cell r="E15">
            <v>323.16969856333515</v>
          </cell>
          <cell r="F15">
            <v>326.25845426543964</v>
          </cell>
          <cell r="G15">
            <v>327.65270835454174</v>
          </cell>
          <cell r="H15">
            <v>328.97065110778044</v>
          </cell>
          <cell r="I15">
            <v>328.97065110778038</v>
          </cell>
          <cell r="J15">
            <v>328.97065110778038</v>
          </cell>
          <cell r="K15">
            <v>328.97065110778038</v>
          </cell>
          <cell r="L15">
            <v>328.97065110778038</v>
          </cell>
          <cell r="M15">
            <v>328.97065110778038</v>
          </cell>
          <cell r="N15">
            <v>328.97065110778038</v>
          </cell>
          <cell r="O15">
            <v>328.97065110778038</v>
          </cell>
          <cell r="P15">
            <v>328.97065110778038</v>
          </cell>
          <cell r="Q15">
            <v>328.97065110778038</v>
          </cell>
        </row>
        <row r="16">
          <cell r="A16" t="str">
            <v>SU-000001252</v>
          </cell>
          <cell r="B16" t="str">
            <v>SU-000001252</v>
          </cell>
          <cell r="C16" t="str">
            <v>KWAS SIARKOWY OBCY</v>
          </cell>
          <cell r="E16">
            <v>0</v>
          </cell>
          <cell r="F16">
            <v>138</v>
          </cell>
          <cell r="G16">
            <v>138</v>
          </cell>
          <cell r="H16">
            <v>138</v>
          </cell>
          <cell r="I16">
            <v>114.34146341463415</v>
          </cell>
          <cell r="J16">
            <v>89.407471931862176</v>
          </cell>
          <cell r="K16">
            <v>89.407471931862162</v>
          </cell>
          <cell r="L16">
            <v>89.407471931862176</v>
          </cell>
          <cell r="M16">
            <v>89.407471931862176</v>
          </cell>
          <cell r="N16">
            <v>89.407471931862176</v>
          </cell>
          <cell r="O16">
            <v>89.407471931862176</v>
          </cell>
          <cell r="P16">
            <v>89.407471931862176</v>
          </cell>
          <cell r="Q16">
            <v>89.407471931862176</v>
          </cell>
        </row>
        <row r="17">
          <cell r="A17" t="str">
            <v>SU-000001281</v>
          </cell>
          <cell r="B17" t="str">
            <v>SU-000001281</v>
          </cell>
          <cell r="C17" t="str">
            <v>ODPIENIACZ</v>
          </cell>
          <cell r="E17">
            <v>5.5256227059309477</v>
          </cell>
          <cell r="F17">
            <v>5.5256227059309477</v>
          </cell>
          <cell r="G17">
            <v>5.517585260441483</v>
          </cell>
          <cell r="H17">
            <v>5.5143117569563627</v>
          </cell>
          <cell r="I17">
            <v>5.5126088570363017</v>
          </cell>
          <cell r="J17">
            <v>5.5126088570363017</v>
          </cell>
          <cell r="K17">
            <v>5.5126088570363025</v>
          </cell>
          <cell r="L17">
            <v>5.5126088570363034</v>
          </cell>
          <cell r="M17">
            <v>5.5126088570363034</v>
          </cell>
          <cell r="N17">
            <v>5.5126088570363034</v>
          </cell>
          <cell r="O17">
            <v>5.5126088570363034</v>
          </cell>
          <cell r="P17">
            <v>5.5126088570363034</v>
          </cell>
          <cell r="Q17">
            <v>5.5126088570363034</v>
          </cell>
        </row>
        <row r="18">
          <cell r="A18" t="str">
            <v>SU-000001286</v>
          </cell>
          <cell r="B18" t="str">
            <v>SU-000001286</v>
          </cell>
          <cell r="C18" t="str">
            <v>ŚRODEK DO POWLEKANIA NAWOZÓW NPK-2</v>
          </cell>
          <cell r="E18">
            <v>4.4999999065249909</v>
          </cell>
          <cell r="F18">
            <v>4.4999999430367863</v>
          </cell>
          <cell r="G18">
            <v>4.4999999680199299</v>
          </cell>
          <cell r="H18">
            <v>4.6416403947794578</v>
          </cell>
          <cell r="I18">
            <v>4.7269538834095197</v>
          </cell>
          <cell r="J18">
            <v>4.7537545289476499</v>
          </cell>
          <cell r="K18">
            <v>4.753754528947649</v>
          </cell>
          <cell r="L18">
            <v>4.7537545289476482</v>
          </cell>
          <cell r="M18">
            <v>4.7537545289476482</v>
          </cell>
          <cell r="N18">
            <v>4.7537545289476482</v>
          </cell>
          <cell r="O18">
            <v>4.7537545289476482</v>
          </cell>
          <cell r="P18">
            <v>4.7537545289476482</v>
          </cell>
          <cell r="Q18">
            <v>4.7537545289476482</v>
          </cell>
        </row>
        <row r="19">
          <cell r="A19" t="str">
            <v>SU-000001288</v>
          </cell>
          <cell r="B19" t="str">
            <v>SU-000001288</v>
          </cell>
          <cell r="C19" t="str">
            <v>olej parafinowy ANPOL</v>
          </cell>
          <cell r="E19">
            <v>4.4999999413587668</v>
          </cell>
          <cell r="F19">
            <v>3.032195276846382</v>
          </cell>
          <cell r="G19">
            <v>2.3901978946499822</v>
          </cell>
          <cell r="H19">
            <v>1.4033016458705116</v>
          </cell>
          <cell r="I19">
            <v>0.98693835424888954</v>
          </cell>
          <cell r="J19">
            <v>0.84902509093532441</v>
          </cell>
          <cell r="K19">
            <v>0.84902509093532441</v>
          </cell>
          <cell r="L19">
            <v>0.84902509093532441</v>
          </cell>
          <cell r="M19">
            <v>0.84902509093532441</v>
          </cell>
          <cell r="N19">
            <v>0.84902509093532441</v>
          </cell>
          <cell r="O19">
            <v>0.84902509093532441</v>
          </cell>
          <cell r="P19">
            <v>0.84902509093532441</v>
          </cell>
          <cell r="Q19">
            <v>0.84902509093532441</v>
          </cell>
        </row>
        <row r="20">
          <cell r="A20" t="str">
            <v>SU-000001301</v>
          </cell>
          <cell r="B20" t="str">
            <v>SU-000001301</v>
          </cell>
          <cell r="C20" t="str">
            <v>FLOKULANT   A-100 HMW</v>
          </cell>
          <cell r="E20">
            <v>9.6352990107207681</v>
          </cell>
          <cell r="F20">
            <v>9.6352990107207681</v>
          </cell>
          <cell r="G20">
            <v>9.6352990107207681</v>
          </cell>
          <cell r="H20">
            <v>9.6352990107207681</v>
          </cell>
          <cell r="I20">
            <v>9.6352990107207699</v>
          </cell>
          <cell r="J20">
            <v>9.6352990107207681</v>
          </cell>
          <cell r="K20">
            <v>9.6352990107207699</v>
          </cell>
          <cell r="L20">
            <v>9.6352990107207699</v>
          </cell>
          <cell r="M20">
            <v>9.6352990107207699</v>
          </cell>
          <cell r="N20">
            <v>9.6352990107207699</v>
          </cell>
          <cell r="O20">
            <v>9.6352990107207699</v>
          </cell>
          <cell r="P20">
            <v>9.6352990107207699</v>
          </cell>
          <cell r="Q20">
            <v>9.6352990107207699</v>
          </cell>
        </row>
        <row r="21">
          <cell r="A21" t="str">
            <v>SU-000001278</v>
          </cell>
          <cell r="B21" t="str">
            <v>SU-000001278</v>
          </cell>
          <cell r="C21" t="str">
            <v>CZTEROBORAN SODU PIĘCIOWODNY</v>
          </cell>
          <cell r="E21">
            <v>1721.0577464788735</v>
          </cell>
          <cell r="F21">
            <v>1721.0577464788735</v>
          </cell>
          <cell r="G21">
            <v>1721.0577464788735</v>
          </cell>
          <cell r="H21">
            <v>1721.0577464788735</v>
          </cell>
          <cell r="I21">
            <v>1721.0577464788735</v>
          </cell>
          <cell r="J21">
            <v>283.51531322505798</v>
          </cell>
          <cell r="K21">
            <v>283.51531322505798</v>
          </cell>
          <cell r="L21">
            <v>283.51531322505798</v>
          </cell>
          <cell r="M21">
            <v>283.51531322505798</v>
          </cell>
          <cell r="N21">
            <v>283.51531322505798</v>
          </cell>
          <cell r="O21">
            <v>283.51531322505798</v>
          </cell>
          <cell r="P21">
            <v>283.51531322505798</v>
          </cell>
          <cell r="Q21">
            <v>283.51531322505798</v>
          </cell>
        </row>
        <row r="22">
          <cell r="A22" t="str">
            <v>SU-000001291</v>
          </cell>
          <cell r="B22" t="str">
            <v>SU-000001291</v>
          </cell>
          <cell r="C22" t="str">
            <v>Siarczan amonu</v>
          </cell>
          <cell r="E22">
            <v>810.05624837511209</v>
          </cell>
          <cell r="F22">
            <v>793.80134786721646</v>
          </cell>
          <cell r="G22">
            <v>808.88426885961701</v>
          </cell>
          <cell r="H22">
            <v>796.94437490577002</v>
          </cell>
          <cell r="I22">
            <v>711.24546071504312</v>
          </cell>
          <cell r="J22">
            <v>709.67078759051583</v>
          </cell>
          <cell r="K22">
            <v>710.09594647329686</v>
          </cell>
          <cell r="L22">
            <v>710.09594647329698</v>
          </cell>
          <cell r="M22">
            <v>710.09594647329698</v>
          </cell>
          <cell r="N22">
            <v>710.09594647329698</v>
          </cell>
          <cell r="O22">
            <v>710.09594647329698</v>
          </cell>
          <cell r="P22">
            <v>710.09594647329698</v>
          </cell>
          <cell r="Q22">
            <v>710.09594647329698</v>
          </cell>
        </row>
        <row r="23">
          <cell r="A23" t="str">
            <v>SU-000001292</v>
          </cell>
          <cell r="B23" t="str">
            <v>SU-000001292</v>
          </cell>
          <cell r="C23" t="str">
            <v>SIARCZAN AMONU-BIAŁORUŚ</v>
          </cell>
          <cell r="E23">
            <v>0</v>
          </cell>
          <cell r="F23">
            <v>734.16000000000008</v>
          </cell>
          <cell r="G23">
            <v>720.40915444397058</v>
          </cell>
          <cell r="H23">
            <v>747.28423593956086</v>
          </cell>
          <cell r="I23">
            <v>747.28423593956086</v>
          </cell>
          <cell r="J23">
            <v>747.28423593956086</v>
          </cell>
          <cell r="K23">
            <v>747.28423593956086</v>
          </cell>
          <cell r="L23">
            <v>747.28423593956086</v>
          </cell>
          <cell r="M23">
            <v>747.28423593956086</v>
          </cell>
          <cell r="N23">
            <v>747.28423593956086</v>
          </cell>
          <cell r="O23">
            <v>747.28423593956086</v>
          </cell>
          <cell r="P23">
            <v>747.28423593956086</v>
          </cell>
          <cell r="Q23">
            <v>747.28423593956086</v>
          </cell>
        </row>
        <row r="24">
          <cell r="A24" t="str">
            <v>SU-000001347</v>
          </cell>
          <cell r="B24" t="str">
            <v>SU-000001347</v>
          </cell>
          <cell r="C24" t="str">
            <v>Siarczan amonu – Puławy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A25" t="str">
            <v>SU-000001263</v>
          </cell>
          <cell r="B25" t="str">
            <v>SU-000001263</v>
          </cell>
          <cell r="C25" t="str">
            <v>siarczan potasu</v>
          </cell>
          <cell r="E25">
            <v>1499.2314174828814</v>
          </cell>
          <cell r="F25">
            <v>1499.2314174828814</v>
          </cell>
          <cell r="G25">
            <v>1515.6758870516708</v>
          </cell>
          <cell r="H25">
            <v>1558.8046787014046</v>
          </cell>
          <cell r="I25">
            <v>1558.8046787014046</v>
          </cell>
          <cell r="J25">
            <v>1558.8046787014046</v>
          </cell>
          <cell r="K25">
            <v>1558.8046787014046</v>
          </cell>
          <cell r="L25">
            <v>1558.8046787014046</v>
          </cell>
          <cell r="M25">
            <v>1558.8046787014046</v>
          </cell>
          <cell r="N25">
            <v>1558.8046787014046</v>
          </cell>
          <cell r="O25">
            <v>1558.8046787014046</v>
          </cell>
          <cell r="P25">
            <v>1558.8046787014046</v>
          </cell>
          <cell r="Q25">
            <v>1558.8046787014046</v>
          </cell>
        </row>
        <row r="26">
          <cell r="A26" t="str">
            <v>SU-000001218</v>
          </cell>
          <cell r="B26" t="str">
            <v>SU-000001218</v>
          </cell>
          <cell r="C26" t="str">
            <v>MĄCZKA SZKLARSKA</v>
          </cell>
          <cell r="E26">
            <v>170.01957760956918</v>
          </cell>
          <cell r="F26">
            <v>170.01957760956918</v>
          </cell>
          <cell r="G26">
            <v>176.51538109232473</v>
          </cell>
          <cell r="H26">
            <v>176.51538109232473</v>
          </cell>
          <cell r="I26">
            <v>176.51538109232473</v>
          </cell>
          <cell r="J26">
            <v>148.22856639210281</v>
          </cell>
          <cell r="K26">
            <v>148.22856639210283</v>
          </cell>
          <cell r="L26">
            <v>148.22856639210283</v>
          </cell>
          <cell r="M26">
            <v>148.22856639210283</v>
          </cell>
          <cell r="N26">
            <v>148.22856639210283</v>
          </cell>
          <cell r="O26">
            <v>148.22856639210283</v>
          </cell>
          <cell r="P26">
            <v>148.22856639210283</v>
          </cell>
          <cell r="Q26">
            <v>148.22856639210283</v>
          </cell>
        </row>
        <row r="27">
          <cell r="A27" t="str">
            <v>SU-000001246</v>
          </cell>
          <cell r="B27" t="str">
            <v>SU-000001246</v>
          </cell>
          <cell r="C27" t="str">
            <v>mieszanka mikroelementowa</v>
          </cell>
          <cell r="E27">
            <v>7980.5184879157214</v>
          </cell>
          <cell r="F27">
            <v>7980.5184879157214</v>
          </cell>
          <cell r="G27">
            <v>6722.201604408071</v>
          </cell>
          <cell r="H27">
            <v>6523.388409522061</v>
          </cell>
          <cell r="I27">
            <v>6523.3884095220601</v>
          </cell>
          <cell r="J27">
            <v>6523.3884095220601</v>
          </cell>
          <cell r="K27">
            <v>6523.3884095220601</v>
          </cell>
          <cell r="L27">
            <v>6523.3884095220601</v>
          </cell>
          <cell r="M27">
            <v>6523.3884095220601</v>
          </cell>
          <cell r="N27">
            <v>6523.3884095220601</v>
          </cell>
          <cell r="O27">
            <v>6523.3884095220601</v>
          </cell>
          <cell r="P27">
            <v>6523.3884095220601</v>
          </cell>
          <cell r="Q27">
            <v>6523.3884095220601</v>
          </cell>
        </row>
        <row r="28">
          <cell r="A28" t="str">
            <v>0</v>
          </cell>
          <cell r="B28">
            <v>0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A29" t="str">
            <v>0</v>
          </cell>
          <cell r="B29">
            <v>0</v>
          </cell>
          <cell r="C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0</v>
          </cell>
          <cell r="B30">
            <v>0</v>
          </cell>
          <cell r="C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A31" t="str">
            <v>0</v>
          </cell>
          <cell r="B31">
            <v>0</v>
          </cell>
          <cell r="C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A32" t="str">
            <v>0</v>
          </cell>
          <cell r="B32">
            <v>0</v>
          </cell>
          <cell r="C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A33" t="str">
            <v>0</v>
          </cell>
          <cell r="B33">
            <v>0</v>
          </cell>
          <cell r="C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A34" t="str">
            <v>0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A35" t="str">
            <v>0</v>
          </cell>
          <cell r="B35">
            <v>0</v>
          </cell>
          <cell r="C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A36" t="str">
            <v>0</v>
          </cell>
          <cell r="B36">
            <v>0</v>
          </cell>
          <cell r="C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0</v>
          </cell>
          <cell r="B37">
            <v>0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A38" t="str">
            <v>0</v>
          </cell>
          <cell r="B38">
            <v>0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A39" t="str">
            <v>0</v>
          </cell>
          <cell r="B39">
            <v>0</v>
          </cell>
          <cell r="C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3">
          <cell r="A43" t="str">
            <v>ME-089900001</v>
          </cell>
          <cell r="B43" t="str">
            <v>ME-089900001</v>
          </cell>
          <cell r="C43" t="str">
            <v>Gaz ziemny procesowy</v>
          </cell>
          <cell r="E43">
            <v>1.33</v>
          </cell>
          <cell r="F43">
            <v>1.33</v>
          </cell>
          <cell r="G43">
            <v>1.3376999999999999</v>
          </cell>
          <cell r="H43">
            <v>1.3249</v>
          </cell>
          <cell r="I43">
            <v>1.3219000000000001</v>
          </cell>
          <cell r="J43">
            <v>1.3207</v>
          </cell>
          <cell r="K43">
            <v>1.33</v>
          </cell>
          <cell r="L43">
            <v>1.33</v>
          </cell>
          <cell r="M43">
            <v>1.33</v>
          </cell>
          <cell r="N43">
            <v>1.33</v>
          </cell>
          <cell r="O43">
            <v>1.33</v>
          </cell>
          <cell r="P43">
            <v>1.33</v>
          </cell>
          <cell r="Q43">
            <v>1.33</v>
          </cell>
        </row>
        <row r="45">
          <cell r="B45" t="str">
            <v>Ceny mediów z CE</v>
          </cell>
        </row>
        <row r="46">
          <cell r="A46" t="str">
            <v>ME-088100001</v>
          </cell>
          <cell r="B46" t="str">
            <v>ME-088100001</v>
          </cell>
          <cell r="C46" t="str">
            <v>Energia elektryczna</v>
          </cell>
          <cell r="E46">
            <v>0.28999999999999998</v>
          </cell>
          <cell r="F46">
            <v>0.28999999999999998</v>
          </cell>
          <cell r="G46">
            <v>0.28687999999999997</v>
          </cell>
          <cell r="H46">
            <v>0.28729000000000005</v>
          </cell>
          <cell r="I46">
            <v>0.27698</v>
          </cell>
          <cell r="J46">
            <v>0.27627999999999997</v>
          </cell>
          <cell r="K46">
            <v>0.27826000000000001</v>
          </cell>
          <cell r="L46">
            <v>0.28999999999999998</v>
          </cell>
          <cell r="M46">
            <v>0.28999999999999998</v>
          </cell>
          <cell r="N46">
            <v>0.28999999999999998</v>
          </cell>
          <cell r="O46">
            <v>0.28999999999999998</v>
          </cell>
          <cell r="P46">
            <v>0.28999999999999998</v>
          </cell>
          <cell r="Q46">
            <v>0.28999999999999998</v>
          </cell>
        </row>
        <row r="47">
          <cell r="A47" t="str">
            <v>ME-087000001</v>
          </cell>
          <cell r="B47" t="str">
            <v>ME-087000001</v>
          </cell>
          <cell r="C47" t="str">
            <v>Ciepło w parze</v>
          </cell>
          <cell r="E47">
            <v>24.85</v>
          </cell>
          <cell r="F47">
            <v>24.85</v>
          </cell>
          <cell r="G47">
            <v>24.09</v>
          </cell>
          <cell r="H47">
            <v>23.94</v>
          </cell>
          <cell r="I47">
            <v>27.67</v>
          </cell>
          <cell r="J47">
            <v>27.19</v>
          </cell>
          <cell r="K47">
            <v>29.62</v>
          </cell>
          <cell r="L47">
            <v>24.85</v>
          </cell>
          <cell r="M47">
            <v>24.85</v>
          </cell>
          <cell r="N47">
            <v>24.85</v>
          </cell>
          <cell r="O47">
            <v>24.85</v>
          </cell>
          <cell r="P47">
            <v>24.85</v>
          </cell>
          <cell r="Q47">
            <v>24.85</v>
          </cell>
        </row>
        <row r="48">
          <cell r="A48" t="str">
            <v>E-1023</v>
          </cell>
          <cell r="B48" t="str">
            <v>E-1023</v>
          </cell>
          <cell r="C48" t="str">
            <v>Ciepło w parze uzysk</v>
          </cell>
          <cell r="E48">
            <v>24.85</v>
          </cell>
          <cell r="F48">
            <v>24.09</v>
          </cell>
          <cell r="G48">
            <v>23.94</v>
          </cell>
          <cell r="H48">
            <v>27.67</v>
          </cell>
          <cell r="I48">
            <v>27.19</v>
          </cell>
          <cell r="J48">
            <v>29.62</v>
          </cell>
          <cell r="K48">
            <v>24.85</v>
          </cell>
          <cell r="L48">
            <v>24.85</v>
          </cell>
          <cell r="M48">
            <v>24.85</v>
          </cell>
          <cell r="N48">
            <v>24.85</v>
          </cell>
          <cell r="O48">
            <v>24.85</v>
          </cell>
          <cell r="P48">
            <v>24.85</v>
          </cell>
          <cell r="Q48">
            <v>0</v>
          </cell>
        </row>
        <row r="49">
          <cell r="A49" t="str">
            <v>ME-089000001</v>
          </cell>
          <cell r="B49" t="str">
            <v>ME-089000001</v>
          </cell>
          <cell r="C49" t="str">
            <v>Woda zasilająca</v>
          </cell>
          <cell r="E49">
            <v>15.1</v>
          </cell>
          <cell r="F49">
            <v>15.1</v>
          </cell>
          <cell r="G49">
            <v>16.88</v>
          </cell>
          <cell r="H49">
            <v>16.579999999999998</v>
          </cell>
          <cell r="I49">
            <v>18.079999999999998</v>
          </cell>
          <cell r="J49">
            <v>18.309999999999999</v>
          </cell>
          <cell r="K49">
            <v>18.52</v>
          </cell>
          <cell r="L49">
            <v>15.1</v>
          </cell>
          <cell r="M49">
            <v>15.1</v>
          </cell>
          <cell r="N49">
            <v>15.1</v>
          </cell>
          <cell r="O49">
            <v>15.1</v>
          </cell>
          <cell r="P49">
            <v>15.1</v>
          </cell>
          <cell r="Q49">
            <v>15.1</v>
          </cell>
        </row>
        <row r="50">
          <cell r="A50" t="str">
            <v>2707I10032613</v>
          </cell>
          <cell r="B50" t="str">
            <v>2707I</v>
          </cell>
          <cell r="C50" t="str">
            <v>Sieci en.elekt. SN</v>
          </cell>
          <cell r="D50" t="str">
            <v>10032613</v>
          </cell>
          <cell r="E50">
            <v>1.5163892931237102</v>
          </cell>
          <cell r="F50">
            <v>1.5163892931237102</v>
          </cell>
          <cell r="G50">
            <v>1.355711768265164</v>
          </cell>
          <cell r="H50">
            <v>1.4790310269932365</v>
          </cell>
          <cell r="I50">
            <v>1.6194149246150327</v>
          </cell>
          <cell r="J50">
            <v>1.7325969606961835</v>
          </cell>
          <cell r="K50">
            <v>1.5163892931237102</v>
          </cell>
          <cell r="L50">
            <v>1.5163892931237102</v>
          </cell>
          <cell r="M50">
            <v>1.5163892931237102</v>
          </cell>
          <cell r="N50">
            <v>1.5163892931237102</v>
          </cell>
          <cell r="O50">
            <v>1.5163892931237102</v>
          </cell>
          <cell r="P50">
            <v>1.5163892931237102</v>
          </cell>
          <cell r="Q50">
            <v>1.5163892931237102</v>
          </cell>
        </row>
        <row r="53">
          <cell r="A53" t="str">
            <v>PP-063600000</v>
          </cell>
          <cell r="B53" t="str">
            <v>PP-063600000</v>
          </cell>
          <cell r="C53" t="str">
            <v>Amoniak gazowy</v>
          </cell>
          <cell r="E53">
            <v>1560</v>
          </cell>
          <cell r="F53">
            <v>1560</v>
          </cell>
          <cell r="G53">
            <v>1484</v>
          </cell>
          <cell r="H53">
            <v>1480</v>
          </cell>
          <cell r="I53">
            <v>1484</v>
          </cell>
          <cell r="J53">
            <v>1489</v>
          </cell>
          <cell r="K53">
            <v>1489</v>
          </cell>
          <cell r="L53">
            <v>1489</v>
          </cell>
          <cell r="M53">
            <v>1489</v>
          </cell>
          <cell r="N53">
            <v>1489</v>
          </cell>
          <cell r="O53">
            <v>1489</v>
          </cell>
          <cell r="P53">
            <v>1489</v>
          </cell>
          <cell r="Q53">
            <v>1489</v>
          </cell>
        </row>
        <row r="54">
          <cell r="A54" t="str">
            <v>PP-063700000</v>
          </cell>
          <cell r="B54" t="str">
            <v>PP-063700000</v>
          </cell>
          <cell r="C54" t="str">
            <v>Amoniak ciekły</v>
          </cell>
          <cell r="E54">
            <v>1530</v>
          </cell>
          <cell r="F54">
            <v>1530</v>
          </cell>
          <cell r="G54">
            <v>1453</v>
          </cell>
          <cell r="H54">
            <v>1450</v>
          </cell>
          <cell r="I54">
            <v>1449</v>
          </cell>
          <cell r="J54">
            <v>1450</v>
          </cell>
          <cell r="K54">
            <v>1450</v>
          </cell>
          <cell r="L54">
            <v>1450</v>
          </cell>
          <cell r="M54">
            <v>1450</v>
          </cell>
          <cell r="N54">
            <v>1450</v>
          </cell>
          <cell r="O54">
            <v>1450</v>
          </cell>
          <cell r="P54">
            <v>1450</v>
          </cell>
          <cell r="Q54">
            <v>1450</v>
          </cell>
        </row>
        <row r="55">
          <cell r="A55" t="str">
            <v>PP-063000000</v>
          </cell>
          <cell r="B55" t="str">
            <v>PP-063000000</v>
          </cell>
          <cell r="C55" t="str">
            <v>Mocznik N 46 %</v>
          </cell>
          <cell r="E55">
            <v>1150</v>
          </cell>
          <cell r="F55">
            <v>1150</v>
          </cell>
          <cell r="G55">
            <v>1107</v>
          </cell>
          <cell r="H55">
            <v>1086</v>
          </cell>
          <cell r="I55">
            <v>1089</v>
          </cell>
          <cell r="J55">
            <v>1090</v>
          </cell>
          <cell r="K55">
            <v>1090</v>
          </cell>
          <cell r="L55">
            <v>1090</v>
          </cell>
          <cell r="M55">
            <v>1090</v>
          </cell>
          <cell r="N55">
            <v>1090</v>
          </cell>
          <cell r="O55">
            <v>1090</v>
          </cell>
          <cell r="P55">
            <v>1090</v>
          </cell>
          <cell r="Q55">
            <v>1090</v>
          </cell>
        </row>
        <row r="57">
          <cell r="A57" t="str">
            <v>PP-061700001</v>
          </cell>
          <cell r="B57" t="str">
            <v>PP-061700001</v>
          </cell>
          <cell r="C57" t="str">
            <v>Kwas pohydr. pokrys. do utylizacji na FP</v>
          </cell>
          <cell r="E57">
            <v>7.33</v>
          </cell>
          <cell r="F57">
            <v>7.33</v>
          </cell>
          <cell r="G57">
            <v>7.33</v>
          </cell>
          <cell r="H57">
            <v>7.33</v>
          </cell>
          <cell r="I57">
            <v>7.33</v>
          </cell>
          <cell r="J57">
            <v>7.33</v>
          </cell>
          <cell r="K57">
            <v>7.33</v>
          </cell>
          <cell r="L57">
            <v>7.33</v>
          </cell>
          <cell r="M57">
            <v>7.33</v>
          </cell>
          <cell r="N57">
            <v>7.33</v>
          </cell>
          <cell r="O57">
            <v>7.33</v>
          </cell>
          <cell r="P57">
            <v>7.33</v>
          </cell>
          <cell r="Q57">
            <v>7.33</v>
          </cell>
        </row>
        <row r="58">
          <cell r="A58" t="str">
            <v>PP-061800001</v>
          </cell>
          <cell r="B58" t="str">
            <v>PP-061800001</v>
          </cell>
          <cell r="C58" t="str">
            <v>Kwas pohydrolityczny 60% do utylizacji</v>
          </cell>
          <cell r="E58">
            <v>136.79</v>
          </cell>
          <cell r="F58">
            <v>136.79</v>
          </cell>
          <cell r="G58">
            <v>136.79</v>
          </cell>
          <cell r="H58">
            <v>136.79</v>
          </cell>
          <cell r="I58">
            <v>136.79</v>
          </cell>
          <cell r="J58">
            <v>136.79</v>
          </cell>
          <cell r="K58">
            <v>136.79</v>
          </cell>
          <cell r="L58">
            <v>136.79</v>
          </cell>
          <cell r="M58">
            <v>136.79</v>
          </cell>
          <cell r="N58">
            <v>136.79</v>
          </cell>
          <cell r="O58">
            <v>136.79</v>
          </cell>
          <cell r="P58">
            <v>136.79</v>
          </cell>
          <cell r="Q58">
            <v>136.79</v>
          </cell>
        </row>
        <row r="60">
          <cell r="A60" t="str">
            <v>ME-086500001</v>
          </cell>
          <cell r="B60" t="str">
            <v>ME-086500001</v>
          </cell>
          <cell r="C60" t="str">
            <v>Woda chłodnicza</v>
          </cell>
          <cell r="E60">
            <v>8.2464183230767735E-2</v>
          </cell>
          <cell r="F60">
            <v>8.2464183230767735E-2</v>
          </cell>
          <cell r="G60">
            <v>0.08</v>
          </cell>
          <cell r="H60">
            <v>0.09</v>
          </cell>
          <cell r="I60">
            <v>0.1</v>
          </cell>
          <cell r="J60">
            <v>0.1</v>
          </cell>
          <cell r="K60">
            <v>8.2464183230767735E-2</v>
          </cell>
          <cell r="L60">
            <v>8.2464183230767735E-2</v>
          </cell>
          <cell r="M60">
            <v>8.2464183230767735E-2</v>
          </cell>
          <cell r="N60">
            <v>8.2464183230767735E-2</v>
          </cell>
          <cell r="O60">
            <v>8.2464183230767735E-2</v>
          </cell>
          <cell r="P60">
            <v>8.2464183230767735E-2</v>
          </cell>
          <cell r="Q60">
            <v>8.2464183230767735E-2</v>
          </cell>
        </row>
        <row r="61">
          <cell r="A61" t="str">
            <v>ME-086600001</v>
          </cell>
          <cell r="B61" t="str">
            <v>ME-086600001</v>
          </cell>
          <cell r="C61" t="str">
            <v>Woda technologiczna</v>
          </cell>
          <cell r="E61">
            <v>0.68774527597774593</v>
          </cell>
          <cell r="F61">
            <v>0.68774527597774593</v>
          </cell>
          <cell r="G61">
            <v>0.69</v>
          </cell>
          <cell r="H61">
            <v>0.63</v>
          </cell>
          <cell r="I61">
            <v>0.69954818531460006</v>
          </cell>
          <cell r="J61">
            <v>0.71995733881666146</v>
          </cell>
          <cell r="K61">
            <v>5.6877452759777496</v>
          </cell>
          <cell r="L61">
            <v>6.6877452759777496</v>
          </cell>
          <cell r="M61">
            <v>7.6877452759777496</v>
          </cell>
          <cell r="N61">
            <v>8.6877452759777505</v>
          </cell>
          <cell r="O61">
            <v>9.6877452759777505</v>
          </cell>
          <cell r="P61">
            <v>10.687745275977701</v>
          </cell>
          <cell r="Q61">
            <v>11.687745275977701</v>
          </cell>
        </row>
        <row r="62">
          <cell r="A62" t="str">
            <v>ME-086800001</v>
          </cell>
          <cell r="B62" t="str">
            <v>ME-086800001</v>
          </cell>
          <cell r="C62" t="str">
            <v>Woda TCW 2</v>
          </cell>
          <cell r="E62">
            <v>106.55</v>
          </cell>
          <cell r="F62">
            <v>106.55</v>
          </cell>
          <cell r="G62">
            <v>107.52</v>
          </cell>
          <cell r="H62">
            <v>117.55</v>
          </cell>
          <cell r="I62">
            <v>119.85</v>
          </cell>
          <cell r="J62">
            <v>119.85</v>
          </cell>
          <cell r="K62">
            <v>106.55</v>
          </cell>
          <cell r="L62">
            <v>106.55</v>
          </cell>
          <cell r="M62">
            <v>106.55</v>
          </cell>
          <cell r="N62">
            <v>106.55</v>
          </cell>
          <cell r="O62">
            <v>106.55</v>
          </cell>
          <cell r="P62">
            <v>106.55</v>
          </cell>
          <cell r="Q62">
            <v>106.55</v>
          </cell>
        </row>
        <row r="63">
          <cell r="A63" t="str">
            <v>ME-087200001</v>
          </cell>
          <cell r="B63" t="str">
            <v>ME-087200001</v>
          </cell>
          <cell r="C63" t="str">
            <v>POWIETRZE TECHNOLOGICZNE</v>
          </cell>
          <cell r="E63">
            <v>9.2739747844835782E-2</v>
          </cell>
          <cell r="F63">
            <v>9.2739747844835782E-2</v>
          </cell>
          <cell r="G63">
            <v>9.2739747844835782E-2</v>
          </cell>
          <cell r="H63">
            <v>0.10075873341198736</v>
          </cell>
          <cell r="I63">
            <v>0.11122929716831259</v>
          </cell>
          <cell r="J63">
            <v>0.11320866790810971</v>
          </cell>
          <cell r="K63">
            <v>9.2739747844835782E-2</v>
          </cell>
          <cell r="L63">
            <v>9.2739747844835782E-2</v>
          </cell>
          <cell r="M63">
            <v>9.2739747844835782E-2</v>
          </cell>
          <cell r="N63">
            <v>9.2739747844835782E-2</v>
          </cell>
          <cell r="O63">
            <v>9.2739747844835782E-2</v>
          </cell>
          <cell r="P63">
            <v>9.2739747844835782E-2</v>
          </cell>
          <cell r="Q63">
            <v>9.2739747844835782E-2</v>
          </cell>
        </row>
        <row r="64">
          <cell r="A64" t="str">
            <v>2001O10038704</v>
          </cell>
          <cell r="B64" t="str">
            <v>2001O</v>
          </cell>
          <cell r="C64" t="str">
            <v>Obciążenie hydrauliczne</v>
          </cell>
          <cell r="D64">
            <v>10038704</v>
          </cell>
          <cell r="E64">
            <v>0.46</v>
          </cell>
          <cell r="F64">
            <v>0.46</v>
          </cell>
          <cell r="G64">
            <v>0.46</v>
          </cell>
          <cell r="H64">
            <v>0.65</v>
          </cell>
          <cell r="I64">
            <v>0.65</v>
          </cell>
          <cell r="J64">
            <v>0.65</v>
          </cell>
          <cell r="K64">
            <v>0.46</v>
          </cell>
          <cell r="L64">
            <v>0.46</v>
          </cell>
          <cell r="M64">
            <v>0.46</v>
          </cell>
          <cell r="N64">
            <v>0.46</v>
          </cell>
          <cell r="O64">
            <v>0.46</v>
          </cell>
          <cell r="P64">
            <v>0.46</v>
          </cell>
          <cell r="Q64">
            <v>0.46</v>
          </cell>
        </row>
        <row r="65">
          <cell r="A65" t="str">
            <v>2002O10038704</v>
          </cell>
          <cell r="B65" t="str">
            <v>2002O</v>
          </cell>
          <cell r="C65" t="str">
            <v>Zużycie wapna</v>
          </cell>
          <cell r="D65">
            <v>10038704</v>
          </cell>
          <cell r="E65">
            <v>710</v>
          </cell>
          <cell r="F65">
            <v>710</v>
          </cell>
          <cell r="G65">
            <v>710</v>
          </cell>
          <cell r="H65">
            <v>710</v>
          </cell>
          <cell r="I65">
            <v>710</v>
          </cell>
          <cell r="J65">
            <v>710</v>
          </cell>
          <cell r="K65">
            <v>710</v>
          </cell>
          <cell r="L65">
            <v>710</v>
          </cell>
          <cell r="M65">
            <v>710</v>
          </cell>
          <cell r="N65">
            <v>710</v>
          </cell>
          <cell r="O65">
            <v>710</v>
          </cell>
          <cell r="P65">
            <v>710</v>
          </cell>
          <cell r="Q65">
            <v>710</v>
          </cell>
        </row>
        <row r="66">
          <cell r="A66" t="str">
            <v>2002E10038705</v>
          </cell>
          <cell r="B66" t="str">
            <v>2002E</v>
          </cell>
          <cell r="C66" t="str">
            <v>Ewakuacja i składowanie fosfogipsu</v>
          </cell>
          <cell r="D66">
            <v>10038705</v>
          </cell>
          <cell r="E66">
            <v>25.524883756021758</v>
          </cell>
          <cell r="F66">
            <v>25.524883756021758</v>
          </cell>
          <cell r="G66">
            <v>34.781087670054994</v>
          </cell>
          <cell r="H66">
            <v>39.774179903895828</v>
          </cell>
          <cell r="I66">
            <v>36.79435497221673</v>
          </cell>
          <cell r="J66">
            <v>28.43</v>
          </cell>
          <cell r="K66">
            <v>25.524883756021758</v>
          </cell>
          <cell r="L66">
            <v>25.524883756021758</v>
          </cell>
          <cell r="M66">
            <v>25.524883756021758</v>
          </cell>
          <cell r="N66">
            <v>25.524883756021758</v>
          </cell>
          <cell r="O66">
            <v>25.524883756021758</v>
          </cell>
          <cell r="P66">
            <v>25.524883756021758</v>
          </cell>
          <cell r="Q66">
            <v>25.524883756021758</v>
          </cell>
        </row>
        <row r="67">
          <cell r="A67" t="str">
            <v>2702I10032718</v>
          </cell>
          <cell r="B67" t="str">
            <v>2702I</v>
          </cell>
          <cell r="C67" t="str">
            <v>Sieci pary 0,8  MPa k.st.</v>
          </cell>
          <cell r="D67" t="str">
            <v>10032718</v>
          </cell>
          <cell r="E67">
            <v>0.18</v>
          </cell>
          <cell r="F67">
            <v>0.18</v>
          </cell>
          <cell r="G67">
            <v>1.74</v>
          </cell>
          <cell r="H67">
            <v>1.74</v>
          </cell>
          <cell r="I67">
            <v>1.74</v>
          </cell>
          <cell r="J67">
            <v>1.74</v>
          </cell>
          <cell r="K67">
            <v>0.18</v>
          </cell>
          <cell r="L67">
            <v>0.18</v>
          </cell>
          <cell r="M67">
            <v>0.18</v>
          </cell>
          <cell r="N67">
            <v>0.18</v>
          </cell>
          <cell r="O67">
            <v>0.18</v>
          </cell>
          <cell r="P67">
            <v>0.18</v>
          </cell>
          <cell r="Q67">
            <v>0.18</v>
          </cell>
        </row>
        <row r="68">
          <cell r="A68" t="str">
            <v>2703I10032719</v>
          </cell>
          <cell r="B68" t="str">
            <v>2703I</v>
          </cell>
          <cell r="C68" t="str">
            <v>Pozostała sieć pary k.st.</v>
          </cell>
          <cell r="D68">
            <v>10032719</v>
          </cell>
          <cell r="E68">
            <v>1.18</v>
          </cell>
          <cell r="F68">
            <v>1.18</v>
          </cell>
          <cell r="G68">
            <v>1.1499999999999999</v>
          </cell>
          <cell r="H68">
            <v>2.88</v>
          </cell>
          <cell r="I68">
            <v>2.88</v>
          </cell>
          <cell r="J68">
            <v>2.88</v>
          </cell>
          <cell r="K68">
            <v>1.18</v>
          </cell>
          <cell r="L68">
            <v>1.18</v>
          </cell>
          <cell r="M68">
            <v>1.18</v>
          </cell>
          <cell r="N68">
            <v>1.18</v>
          </cell>
          <cell r="O68">
            <v>1.18</v>
          </cell>
          <cell r="P68">
            <v>1.18</v>
          </cell>
          <cell r="Q68">
            <v>1.18</v>
          </cell>
        </row>
        <row r="69">
          <cell r="A69" t="str">
            <v>2704I10032718</v>
          </cell>
          <cell r="B69" t="str">
            <v>2704I</v>
          </cell>
          <cell r="C69" t="str">
            <v>Sieci pary 0,8  MPa k.zm.</v>
          </cell>
          <cell r="D69">
            <v>10032718</v>
          </cell>
          <cell r="E69">
            <v>23.967069387755103</v>
          </cell>
          <cell r="F69">
            <v>23.967069387755103</v>
          </cell>
          <cell r="G69">
            <v>23.82</v>
          </cell>
          <cell r="H69">
            <v>24.62</v>
          </cell>
          <cell r="I69">
            <v>24.87</v>
          </cell>
          <cell r="J69">
            <v>24.92</v>
          </cell>
          <cell r="K69">
            <v>23.967069387755103</v>
          </cell>
          <cell r="L69">
            <v>23.967069387755103</v>
          </cell>
          <cell r="M69">
            <v>23.967069387755103</v>
          </cell>
          <cell r="N69">
            <v>23.967069387755103</v>
          </cell>
          <cell r="O69">
            <v>23.967069387755103</v>
          </cell>
          <cell r="P69">
            <v>23.967069387755103</v>
          </cell>
          <cell r="Q69">
            <v>23.967069387755103</v>
          </cell>
        </row>
        <row r="70">
          <cell r="A70" t="str">
            <v>2705I10032719</v>
          </cell>
          <cell r="B70" t="str">
            <v>2705I</v>
          </cell>
          <cell r="C70" t="str">
            <v>Pozostała sieć pary k. zm.</v>
          </cell>
          <cell r="D70" t="str">
            <v>10032719</v>
          </cell>
          <cell r="E70">
            <v>23.967069387755103</v>
          </cell>
          <cell r="F70">
            <v>23.967069387755103</v>
          </cell>
          <cell r="G70">
            <v>23.82</v>
          </cell>
          <cell r="H70">
            <v>24.62</v>
          </cell>
          <cell r="I70">
            <v>24.87</v>
          </cell>
          <cell r="J70">
            <v>24.92</v>
          </cell>
          <cell r="K70">
            <v>23.967069387755103</v>
          </cell>
          <cell r="L70">
            <v>23.967069387755103</v>
          </cell>
          <cell r="M70">
            <v>23.967069387755103</v>
          </cell>
          <cell r="N70">
            <v>23.967069387755103</v>
          </cell>
          <cell r="O70">
            <v>23.967069387755103</v>
          </cell>
          <cell r="P70">
            <v>23.967069387755103</v>
          </cell>
          <cell r="Q70">
            <v>23.967069387755103</v>
          </cell>
        </row>
        <row r="72">
          <cell r="A72" t="str">
            <v>2351I10032502</v>
          </cell>
          <cell r="B72" t="str">
            <v>2351I</v>
          </cell>
          <cell r="C72" t="str">
            <v>Laboratorium KJEC</v>
          </cell>
          <cell r="D72" t="str">
            <v>10032502</v>
          </cell>
          <cell r="E72">
            <v>47.6</v>
          </cell>
          <cell r="F72">
            <v>47.6</v>
          </cell>
          <cell r="G72">
            <v>47.6</v>
          </cell>
          <cell r="H72">
            <v>47.6</v>
          </cell>
          <cell r="I72">
            <v>47.6</v>
          </cell>
          <cell r="J72">
            <v>47.6</v>
          </cell>
          <cell r="K72">
            <v>47.6</v>
          </cell>
          <cell r="L72">
            <v>47.6</v>
          </cell>
          <cell r="M72">
            <v>47.6</v>
          </cell>
          <cell r="N72">
            <v>47.6</v>
          </cell>
          <cell r="O72">
            <v>47.6</v>
          </cell>
          <cell r="P72">
            <v>47.6</v>
          </cell>
          <cell r="Q72">
            <v>47.6</v>
          </cell>
        </row>
        <row r="73">
          <cell r="A73" t="str">
            <v>2352I10032505</v>
          </cell>
          <cell r="B73" t="str">
            <v>2352I</v>
          </cell>
          <cell r="C73" t="str">
            <v>Laboratorium KJF</v>
          </cell>
          <cell r="D73" t="str">
            <v>10032505</v>
          </cell>
          <cell r="E73">
            <v>43.62</v>
          </cell>
          <cell r="F73">
            <v>43.62</v>
          </cell>
          <cell r="G73">
            <v>43.62</v>
          </cell>
          <cell r="H73">
            <v>43.62</v>
          </cell>
          <cell r="I73">
            <v>43.62</v>
          </cell>
          <cell r="J73">
            <v>43.62</v>
          </cell>
          <cell r="K73">
            <v>43.62</v>
          </cell>
          <cell r="L73">
            <v>43.62</v>
          </cell>
          <cell r="M73">
            <v>43.62</v>
          </cell>
          <cell r="N73">
            <v>43.62</v>
          </cell>
          <cell r="O73">
            <v>43.62</v>
          </cell>
          <cell r="P73">
            <v>43.62</v>
          </cell>
          <cell r="Q73">
            <v>43.62</v>
          </cell>
        </row>
        <row r="74">
          <cell r="A74" t="str">
            <v>2353I10032506</v>
          </cell>
          <cell r="B74" t="str">
            <v>2353I</v>
          </cell>
          <cell r="C74" t="str">
            <v>Laboratorium KJA</v>
          </cell>
          <cell r="D74" t="str">
            <v>10032506</v>
          </cell>
          <cell r="E74">
            <v>44.4</v>
          </cell>
          <cell r="F74">
            <v>44.4</v>
          </cell>
          <cell r="G74">
            <v>44.4</v>
          </cell>
          <cell r="H74">
            <v>44.4</v>
          </cell>
          <cell r="I74">
            <v>44.4</v>
          </cell>
          <cell r="J74">
            <v>44.4</v>
          </cell>
          <cell r="K74">
            <v>44.4</v>
          </cell>
          <cell r="L74">
            <v>44.4</v>
          </cell>
          <cell r="M74">
            <v>44.4</v>
          </cell>
          <cell r="N74">
            <v>44.4</v>
          </cell>
          <cell r="O74">
            <v>44.4</v>
          </cell>
          <cell r="P74">
            <v>44.4</v>
          </cell>
          <cell r="Q74">
            <v>44.4</v>
          </cell>
        </row>
        <row r="78">
          <cell r="A78" t="str">
            <v>MS11010032802</v>
          </cell>
          <cell r="B78" t="str">
            <v>MS110</v>
          </cell>
          <cell r="C78" t="str">
            <v>Magazyn kwasu siarkowego</v>
          </cell>
          <cell r="D78" t="str">
            <v>10032802</v>
          </cell>
          <cell r="E78">
            <v>0</v>
          </cell>
          <cell r="F78">
            <v>0</v>
          </cell>
          <cell r="G78">
            <v>0</v>
          </cell>
          <cell r="H78">
            <v>495.40981472472146</v>
          </cell>
          <cell r="I78">
            <v>456.93174053427498</v>
          </cell>
          <cell r="J78">
            <v>345.54072445015004</v>
          </cell>
          <cell r="K78">
            <v>479.48472622993359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A79" t="str">
            <v>MS11310031115</v>
          </cell>
          <cell r="B79" t="str">
            <v>MS113</v>
          </cell>
          <cell r="C79" t="str">
            <v>SP-2 Ciągi 3-4</v>
          </cell>
          <cell r="D79" t="str">
            <v>10031115</v>
          </cell>
          <cell r="E79">
            <v>0</v>
          </cell>
          <cell r="F79">
            <v>0</v>
          </cell>
          <cell r="G79">
            <v>0</v>
          </cell>
          <cell r="H79">
            <v>4708.0817294997842</v>
          </cell>
          <cell r="I79">
            <v>24095151.677424107</v>
          </cell>
          <cell r="J79">
            <v>605.79338381044704</v>
          </cell>
          <cell r="K79">
            <v>297.7170840311083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A80" t="str">
            <v>MS11410031116</v>
          </cell>
          <cell r="B80" t="str">
            <v>MS114</v>
          </cell>
          <cell r="C80" t="str">
            <v>SP-3 Ciąg 5</v>
          </cell>
          <cell r="D80" t="str">
            <v>10031116</v>
          </cell>
          <cell r="E80">
            <v>0</v>
          </cell>
          <cell r="F80">
            <v>0</v>
          </cell>
          <cell r="G80">
            <v>0</v>
          </cell>
          <cell r="H80">
            <v>7013574.5493439566</v>
          </cell>
          <cell r="I80">
            <v>6860458.2993439557</v>
          </cell>
          <cell r="J80">
            <v>807.27380763821964</v>
          </cell>
          <cell r="K80">
            <v>355.35490347980465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A81" t="str">
            <v>MS11610031117</v>
          </cell>
          <cell r="B81" t="str">
            <v>MS116</v>
          </cell>
          <cell r="C81" t="str">
            <v>SP - 3 Ciąg 7</v>
          </cell>
          <cell r="D81" t="str">
            <v>10031117</v>
          </cell>
          <cell r="E81">
            <v>0</v>
          </cell>
          <cell r="F81">
            <v>0</v>
          </cell>
          <cell r="G81">
            <v>0</v>
          </cell>
          <cell r="H81">
            <v>915.24102087792551</v>
          </cell>
          <cell r="I81">
            <v>793.85267111426322</v>
          </cell>
          <cell r="J81">
            <v>4081.2343640410741</v>
          </cell>
          <cell r="K81">
            <v>4217.8653286775434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A82" t="str">
            <v>MS12010031122</v>
          </cell>
          <cell r="B82" t="str">
            <v>MS120</v>
          </cell>
          <cell r="C82" t="str">
            <v>Klarowanie kwasu odfluorowanego</v>
          </cell>
          <cell r="D82" t="str">
            <v>10031122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 t="str">
            <v>MS12110031123</v>
          </cell>
          <cell r="B83" t="str">
            <v>MS121</v>
          </cell>
          <cell r="C83" t="str">
            <v>Oddział PF2AB</v>
          </cell>
          <cell r="D83" t="str">
            <v>10031123</v>
          </cell>
          <cell r="E83">
            <v>0</v>
          </cell>
          <cell r="F83">
            <v>0</v>
          </cell>
          <cell r="G83">
            <v>0</v>
          </cell>
          <cell r="H83">
            <v>464.7003545000988</v>
          </cell>
          <cell r="I83">
            <v>432.11335068982447</v>
          </cell>
          <cell r="J83">
            <v>240.89853775835468</v>
          </cell>
          <cell r="K83">
            <v>372.08587821681749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A84" t="str">
            <v>MS12210032803</v>
          </cell>
          <cell r="B84" t="str">
            <v>MS122</v>
          </cell>
          <cell r="C84" t="str">
            <v>magazyn fosforytów 2300M</v>
          </cell>
          <cell r="D84" t="str">
            <v>10032803</v>
          </cell>
          <cell r="E84">
            <v>0</v>
          </cell>
          <cell r="F84">
            <v>0</v>
          </cell>
          <cell r="G84">
            <v>0</v>
          </cell>
          <cell r="H84">
            <v>14.834764705986066</v>
          </cell>
          <cell r="I84">
            <v>12.374818068236308</v>
          </cell>
          <cell r="J84">
            <v>6.7561767805044406</v>
          </cell>
          <cell r="K84">
            <v>10.520781551842489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A85" t="str">
            <v>MS12310031125</v>
          </cell>
          <cell r="B85" t="str">
            <v>MS123</v>
          </cell>
          <cell r="C85" t="str">
            <v>Oddział PF2C</v>
          </cell>
          <cell r="D85" t="str">
            <v>10031125</v>
          </cell>
          <cell r="E85">
            <v>0</v>
          </cell>
          <cell r="F85">
            <v>0</v>
          </cell>
          <cell r="G85">
            <v>0</v>
          </cell>
          <cell r="H85">
            <v>589.51747497974395</v>
          </cell>
          <cell r="I85">
            <v>438.76100496034201</v>
          </cell>
          <cell r="J85">
            <v>181.83168881989732</v>
          </cell>
          <cell r="K85">
            <v>229.50355820178876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A86" t="str">
            <v>MS12410031126</v>
          </cell>
          <cell r="B86" t="str">
            <v>MS124</v>
          </cell>
          <cell r="C86" t="str">
            <v>Oddział PF3D</v>
          </cell>
          <cell r="D86" t="str">
            <v>10031126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7661688.6366347941</v>
          </cell>
          <cell r="J86">
            <v>596.89971037929229</v>
          </cell>
          <cell r="K86">
            <v>1730.6209376409017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A87" t="str">
            <v>MS12510031127</v>
          </cell>
          <cell r="B87" t="str">
            <v>MS125</v>
          </cell>
          <cell r="C87" t="str">
            <v>Oddział PF4E</v>
          </cell>
          <cell r="D87" t="str">
            <v>10031127</v>
          </cell>
          <cell r="E87">
            <v>0</v>
          </cell>
          <cell r="F87">
            <v>0</v>
          </cell>
          <cell r="G87">
            <v>0</v>
          </cell>
          <cell r="H87">
            <v>1588.953137345612</v>
          </cell>
          <cell r="I87">
            <v>1229.8848648848748</v>
          </cell>
          <cell r="J87">
            <v>2376.8904735215287</v>
          </cell>
          <cell r="K87">
            <v>1733.9315007494049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A88" t="str">
            <v>MS12610031128</v>
          </cell>
          <cell r="B88" t="str">
            <v>MS126</v>
          </cell>
          <cell r="C88" t="str">
            <v>Mielenie Fosforytów</v>
          </cell>
          <cell r="D88" t="str">
            <v>10031128</v>
          </cell>
          <cell r="E88">
            <v>0</v>
          </cell>
          <cell r="F88">
            <v>0</v>
          </cell>
          <cell r="G88">
            <v>0</v>
          </cell>
          <cell r="H88">
            <v>317.50780402197461</v>
          </cell>
          <cell r="I88">
            <v>262.62641555317396</v>
          </cell>
          <cell r="J88">
            <v>143.24612287528285</v>
          </cell>
          <cell r="K88">
            <v>223.59604979332761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A89" t="str">
            <v>MS12710031129</v>
          </cell>
          <cell r="B89" t="str">
            <v>MS127</v>
          </cell>
          <cell r="C89" t="str">
            <v>Zatężanie i szlamowanie</v>
          </cell>
          <cell r="D89" t="str">
            <v>10031129</v>
          </cell>
          <cell r="E89">
            <v>0</v>
          </cell>
          <cell r="F89">
            <v>0</v>
          </cell>
          <cell r="G89">
            <v>0</v>
          </cell>
          <cell r="H89">
            <v>2603.5375300028013</v>
          </cell>
          <cell r="I89">
            <v>1890.8840036057222</v>
          </cell>
          <cell r="J89">
            <v>889.32629915992527</v>
          </cell>
          <cell r="K89">
            <v>1508.0831925844541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 t="str">
            <v>MS14110031105</v>
          </cell>
          <cell r="B90" t="str">
            <v>MS141</v>
          </cell>
          <cell r="C90" t="str">
            <v>NP Ciągi X,Y</v>
          </cell>
          <cell r="D90" t="str">
            <v>10031105</v>
          </cell>
          <cell r="E90">
            <v>0</v>
          </cell>
          <cell r="F90">
            <v>0</v>
          </cell>
          <cell r="G90">
            <v>0</v>
          </cell>
          <cell r="H90">
            <v>690.3269794696339</v>
          </cell>
          <cell r="I90">
            <v>554.83349382143592</v>
          </cell>
          <cell r="J90">
            <v>1581.0857036268849</v>
          </cell>
          <cell r="K90">
            <v>1064.7847433078919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A91" t="str">
            <v>MS14210031106</v>
          </cell>
          <cell r="B91" t="str">
            <v>MS142</v>
          </cell>
          <cell r="C91" t="str">
            <v>NPK I Ciągi X,Y</v>
          </cell>
          <cell r="D91" t="str">
            <v>10031106</v>
          </cell>
          <cell r="E91">
            <v>0</v>
          </cell>
          <cell r="F91">
            <v>0</v>
          </cell>
          <cell r="G91">
            <v>0</v>
          </cell>
          <cell r="H91">
            <v>1491.8797617448863</v>
          </cell>
          <cell r="I91">
            <v>1215.415215107254</v>
          </cell>
          <cell r="J91">
            <v>595.53512973317959</v>
          </cell>
          <cell r="K91">
            <v>679.12184604443712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A92" t="str">
            <v>MS15010031108</v>
          </cell>
          <cell r="B92" t="str">
            <v>MS150</v>
          </cell>
          <cell r="C92" t="str">
            <v>Kwas siarkowy do SA</v>
          </cell>
          <cell r="D92" t="str">
            <v>10031108</v>
          </cell>
          <cell r="E92">
            <v>0</v>
          </cell>
          <cell r="F92">
            <v>0</v>
          </cell>
          <cell r="G92">
            <v>0</v>
          </cell>
          <cell r="H92">
            <v>731.66458458330555</v>
          </cell>
          <cell r="I92">
            <v>684.29206064357868</v>
          </cell>
          <cell r="J92">
            <v>684.6875025348927</v>
          </cell>
          <cell r="K92">
            <v>395.17143440421404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</row>
        <row r="93">
          <cell r="A93" t="str">
            <v>MS15110031109</v>
          </cell>
          <cell r="B93" t="str">
            <v>MS151</v>
          </cell>
          <cell r="C93" t="str">
            <v>Rozliczemie maszynog. przygot. kwasu fos</v>
          </cell>
          <cell r="D93" t="str">
            <v>10031109</v>
          </cell>
          <cell r="E93">
            <v>0</v>
          </cell>
          <cell r="F93">
            <v>0</v>
          </cell>
          <cell r="G93">
            <v>0</v>
          </cell>
          <cell r="H93">
            <v>484.26139081712876</v>
          </cell>
          <cell r="I93">
            <v>329.90740439457812</v>
          </cell>
          <cell r="J93">
            <v>125.39800647241097</v>
          </cell>
          <cell r="K93">
            <v>1448.9513545547727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A94" t="str">
            <v>MS15210031110</v>
          </cell>
          <cell r="B94" t="str">
            <v>MS152</v>
          </cell>
          <cell r="C94" t="str">
            <v>NPK II Ciągi A,B</v>
          </cell>
          <cell r="D94" t="str">
            <v>10031110</v>
          </cell>
          <cell r="E94">
            <v>0</v>
          </cell>
          <cell r="F94">
            <v>0</v>
          </cell>
          <cell r="G94">
            <v>0</v>
          </cell>
          <cell r="H94">
            <v>1447.140723872488</v>
          </cell>
          <cell r="I94">
            <v>1384.6667899114639</v>
          </cell>
          <cell r="J94">
            <v>1205.0723150973204</v>
          </cell>
          <cell r="K94">
            <v>1990.6681550814446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A95" t="str">
            <v>MS15410031111</v>
          </cell>
          <cell r="B95" t="str">
            <v>MS154</v>
          </cell>
          <cell r="C95" t="str">
            <v>Produkcja MAP</v>
          </cell>
          <cell r="D95" t="str">
            <v>10031111</v>
          </cell>
          <cell r="E95">
            <v>0</v>
          </cell>
          <cell r="F95">
            <v>0</v>
          </cell>
          <cell r="G95">
            <v>0</v>
          </cell>
          <cell r="H95">
            <v>1089.7163804832287</v>
          </cell>
          <cell r="I95">
            <v>837.6955132586952</v>
          </cell>
          <cell r="J95">
            <v>414.49606219148535</v>
          </cell>
          <cell r="K95">
            <v>1078.198230186006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A96" t="str">
            <v>RB12610032803</v>
          </cell>
          <cell r="B96" t="str">
            <v>RB126</v>
          </cell>
          <cell r="C96" t="str">
            <v>Mielenie Fosforytów</v>
          </cell>
          <cell r="D96" t="str">
            <v>10032803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</row>
        <row r="97">
          <cell r="A97" t="str">
            <v>RB14110031105</v>
          </cell>
          <cell r="B97" t="str">
            <v>RB141</v>
          </cell>
          <cell r="C97" t="str">
            <v>NP Ciągi X,Y</v>
          </cell>
          <cell r="D97" t="str">
            <v>10031105</v>
          </cell>
          <cell r="E97">
            <v>0</v>
          </cell>
          <cell r="F97">
            <v>0</v>
          </cell>
          <cell r="G97">
            <v>0</v>
          </cell>
          <cell r="H97">
            <v>62.782989912193401</v>
          </cell>
          <cell r="I97">
            <v>50.968853923324566</v>
          </cell>
          <cell r="J97">
            <v>145.86359307224012</v>
          </cell>
          <cell r="K97">
            <v>94.436801335066065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8">
          <cell r="A98" t="str">
            <v>RB14210031106</v>
          </cell>
          <cell r="B98" t="str">
            <v>RB142</v>
          </cell>
          <cell r="C98" t="str">
            <v>NPK I Ciągi X,Y</v>
          </cell>
          <cell r="D98" t="str">
            <v>10031106</v>
          </cell>
          <cell r="E98">
            <v>0</v>
          </cell>
          <cell r="F98">
            <v>0</v>
          </cell>
          <cell r="G98">
            <v>0</v>
          </cell>
          <cell r="H98">
            <v>71.643216221336147</v>
          </cell>
          <cell r="I98">
            <v>62.260334771568701</v>
          </cell>
          <cell r="J98">
            <v>29.600538703149205</v>
          </cell>
          <cell r="K98">
            <v>32.900166662226098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</row>
        <row r="99">
          <cell r="A99" t="str">
            <v>RB15210031110</v>
          </cell>
          <cell r="B99" t="str">
            <v>RB152</v>
          </cell>
          <cell r="C99" t="str">
            <v>NPK II Ciągi A,B</v>
          </cell>
          <cell r="D99" t="str">
            <v>10031110</v>
          </cell>
          <cell r="E99">
            <v>0</v>
          </cell>
          <cell r="F99">
            <v>0</v>
          </cell>
          <cell r="G99">
            <v>0</v>
          </cell>
          <cell r="H99">
            <v>46.86104860659632</v>
          </cell>
          <cell r="I99">
            <v>44.289741491113546</v>
          </cell>
          <cell r="J99">
            <v>38.867936986576019</v>
          </cell>
          <cell r="K99">
            <v>66.988102187147575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A100" t="str">
            <v>RB21010031118</v>
          </cell>
          <cell r="B100" t="str">
            <v>RB210</v>
          </cell>
          <cell r="C100" t="str">
            <v>K. osobowe SPW 1-2</v>
          </cell>
          <cell r="D100" t="str">
            <v>10031118</v>
          </cell>
          <cell r="E100">
            <v>0</v>
          </cell>
          <cell r="F100">
            <v>0</v>
          </cell>
          <cell r="G100">
            <v>0</v>
          </cell>
          <cell r="H100">
            <v>77.053065768196461</v>
          </cell>
          <cell r="I100">
            <v>77.449890485089369</v>
          </cell>
          <cell r="J100">
            <v>50.487899754659523</v>
          </cell>
          <cell r="K100">
            <v>39.177410311160244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A101" t="str">
            <v>RB22010031131</v>
          </cell>
          <cell r="B101" t="str">
            <v>RB220</v>
          </cell>
          <cell r="C101" t="str">
            <v>K.osobowe PF1-4</v>
          </cell>
          <cell r="D101" t="str">
            <v>10031131</v>
          </cell>
          <cell r="E101">
            <v>0</v>
          </cell>
          <cell r="F101">
            <v>0</v>
          </cell>
          <cell r="G101">
            <v>0</v>
          </cell>
          <cell r="H101">
            <v>167.02994360422784</v>
          </cell>
          <cell r="I101">
            <v>138.98124739164822</v>
          </cell>
          <cell r="J101">
            <v>72.778925480562734</v>
          </cell>
          <cell r="K101">
            <v>115.30708673528761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6">
          <cell r="A106" t="str">
            <v>2300M10032801</v>
          </cell>
          <cell r="B106" t="str">
            <v>2300M</v>
          </cell>
          <cell r="C106" t="str">
            <v>Magazyn siarki</v>
          </cell>
          <cell r="D106" t="str">
            <v>10032801</v>
          </cell>
          <cell r="E106">
            <v>0</v>
          </cell>
          <cell r="F106">
            <v>0</v>
          </cell>
          <cell r="G106">
            <v>0</v>
          </cell>
          <cell r="H106">
            <v>27.746577095957495</v>
          </cell>
          <cell r="I106">
            <v>26.705283657942275</v>
          </cell>
          <cell r="J106">
            <v>28.738728018481577</v>
          </cell>
          <cell r="K106">
            <v>13.046735667509051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A107" t="str">
            <v>2300M10032806</v>
          </cell>
          <cell r="B107" t="str">
            <v>2300M</v>
          </cell>
          <cell r="C107" t="str">
            <v>Magazyn soli potasowej i innych surowców</v>
          </cell>
          <cell r="D107" t="str">
            <v>10032806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A108" t="str">
            <v>2300M10032802</v>
          </cell>
          <cell r="B108" t="str">
            <v>2300M</v>
          </cell>
          <cell r="C108" t="str">
            <v>Magazyn kwasu siarkowego</v>
          </cell>
          <cell r="D108" t="str">
            <v>10032802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A109" t="str">
            <v>2300M10032804</v>
          </cell>
          <cell r="B109" t="str">
            <v>2300M</v>
          </cell>
          <cell r="C109" t="str">
            <v>Magazyn kwasu fosforowego</v>
          </cell>
          <cell r="D109" t="str">
            <v>10032804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</row>
        <row r="110">
          <cell r="A110" t="str">
            <v>2300M10032905</v>
          </cell>
          <cell r="B110" t="str">
            <v>2300M</v>
          </cell>
          <cell r="C110" t="str">
            <v>Koszty Zakupu Soli Potasowej</v>
          </cell>
          <cell r="D110" t="str">
            <v>10032905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2300M10032906</v>
          </cell>
          <cell r="B111" t="str">
            <v>2300M</v>
          </cell>
          <cell r="C111" t="str">
            <v>Koszt Zakupu Pozostałych Surowców PWN</v>
          </cell>
          <cell r="D111" t="str">
            <v>10032906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A112" t="str">
            <v>2300M10032851</v>
          </cell>
          <cell r="B112" t="str">
            <v>2300M</v>
          </cell>
          <cell r="C112" t="str">
            <v xml:space="preserve">Magazyn  mocznika </v>
          </cell>
          <cell r="D112" t="str">
            <v>10032851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A113" t="str">
            <v>2300M10032811</v>
          </cell>
          <cell r="B113" t="str">
            <v>2300M</v>
          </cell>
          <cell r="C113" t="str">
            <v>Magazyn amoniaku ciekłego (SKM 15631)</v>
          </cell>
          <cell r="D113" t="str">
            <v>10032811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</row>
        <row r="114">
          <cell r="A114" t="str">
            <v>2301M10032900</v>
          </cell>
          <cell r="B114" t="str">
            <v>2301M</v>
          </cell>
          <cell r="C114" t="str">
            <v>K.Zak. Siarki</v>
          </cell>
          <cell r="D114" t="str">
            <v>10032900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</row>
        <row r="115">
          <cell r="A115" t="str">
            <v>2301M10032903</v>
          </cell>
          <cell r="B115" t="str">
            <v>2301M</v>
          </cell>
          <cell r="C115" t="str">
            <v>Koszty Zakupu Fosf.Maroko</v>
          </cell>
          <cell r="D115" t="str">
            <v>10032903</v>
          </cell>
          <cell r="E115">
            <v>8.7040000000000006</v>
          </cell>
          <cell r="F115">
            <v>8.7040000000000006</v>
          </cell>
          <cell r="G115">
            <v>8.7040000000000006</v>
          </cell>
          <cell r="H115">
            <v>8.7040000000000006</v>
          </cell>
          <cell r="I115">
            <v>8.7040000000000006</v>
          </cell>
          <cell r="J115">
            <v>8.7040000000000006</v>
          </cell>
          <cell r="K115">
            <v>8.7040000000000006</v>
          </cell>
          <cell r="L115">
            <v>8.7040000000000006</v>
          </cell>
          <cell r="M115">
            <v>8.7040000000000006</v>
          </cell>
          <cell r="N115">
            <v>8.7040000000000006</v>
          </cell>
          <cell r="O115">
            <v>8.7040000000000006</v>
          </cell>
          <cell r="P115">
            <v>0</v>
          </cell>
          <cell r="Q115">
            <v>0</v>
          </cell>
        </row>
        <row r="116">
          <cell r="A116" t="str">
            <v>2301M10032901</v>
          </cell>
          <cell r="B116" t="str">
            <v>2301M</v>
          </cell>
          <cell r="C116" t="str">
            <v>Koszty Zakupu Fosf.Syria</v>
          </cell>
          <cell r="D116" t="str">
            <v>10032901</v>
          </cell>
          <cell r="E116">
            <v>8.7040000000000006</v>
          </cell>
          <cell r="F116">
            <v>8.7040000000000006</v>
          </cell>
          <cell r="G116">
            <v>8.7040000000000006</v>
          </cell>
          <cell r="H116">
            <v>8.7040000000000006</v>
          </cell>
          <cell r="I116">
            <v>8.7040000000000006</v>
          </cell>
          <cell r="J116">
            <v>8.7040000000000006</v>
          </cell>
          <cell r="K116">
            <v>8.7040000000000006</v>
          </cell>
          <cell r="L116">
            <v>8.7040000000000006</v>
          </cell>
          <cell r="M116">
            <v>8.7040000000000006</v>
          </cell>
          <cell r="N116">
            <v>8.7040000000000006</v>
          </cell>
          <cell r="O116">
            <v>8.7040000000000006</v>
          </cell>
          <cell r="P116">
            <v>0</v>
          </cell>
          <cell r="Q116">
            <v>0</v>
          </cell>
        </row>
        <row r="117">
          <cell r="A117" t="str">
            <v>2301M10032913</v>
          </cell>
          <cell r="B117" t="str">
            <v>2301M</v>
          </cell>
          <cell r="C117" t="str">
            <v>Koszty Zakupu Fosforytu Egipt</v>
          </cell>
          <cell r="D117" t="str">
            <v>10032913</v>
          </cell>
          <cell r="E117">
            <v>8.7040000000000006</v>
          </cell>
          <cell r="F117">
            <v>8.7040000000000006</v>
          </cell>
          <cell r="G117">
            <v>8.7040000000000006</v>
          </cell>
          <cell r="H117">
            <v>8.7040000000000006</v>
          </cell>
          <cell r="I117">
            <v>8.7040000000000006</v>
          </cell>
          <cell r="J117">
            <v>8.7040000000000006</v>
          </cell>
          <cell r="K117">
            <v>8.7040000000000006</v>
          </cell>
          <cell r="L117">
            <v>8.7040000000000006</v>
          </cell>
          <cell r="M117">
            <v>8.7040000000000006</v>
          </cell>
          <cell r="N117">
            <v>8.7040000000000006</v>
          </cell>
          <cell r="O117">
            <v>8.7040000000000006</v>
          </cell>
          <cell r="P117">
            <v>0</v>
          </cell>
          <cell r="Q117">
            <v>0</v>
          </cell>
        </row>
        <row r="118">
          <cell r="A118" t="str">
            <v>2301M10032905</v>
          </cell>
          <cell r="B118" t="str">
            <v>2301M</v>
          </cell>
          <cell r="C118" t="str">
            <v>Koszty Zakupu Soli Potasowej</v>
          </cell>
          <cell r="D118" t="str">
            <v>10032905</v>
          </cell>
          <cell r="E118">
            <v>7.8689999999999998</v>
          </cell>
          <cell r="F118">
            <v>7.8689999999999998</v>
          </cell>
          <cell r="G118">
            <v>7.8689999999999998</v>
          </cell>
          <cell r="H118">
            <v>7.8689999999999998</v>
          </cell>
          <cell r="I118">
            <v>7.8689999999999998</v>
          </cell>
          <cell r="J118">
            <v>7.8689999999999998</v>
          </cell>
          <cell r="K118">
            <v>7.8689999999999998</v>
          </cell>
          <cell r="L118">
            <v>7.8689999999999998</v>
          </cell>
          <cell r="M118">
            <v>7.8689999999999998</v>
          </cell>
          <cell r="N118">
            <v>7.8689999999999998</v>
          </cell>
          <cell r="O118">
            <v>7.8689999999999998</v>
          </cell>
          <cell r="P118">
            <v>0</v>
          </cell>
          <cell r="Q118">
            <v>0</v>
          </cell>
        </row>
        <row r="119">
          <cell r="A119" t="str">
            <v>2301M10032906</v>
          </cell>
          <cell r="B119" t="str">
            <v>2301M</v>
          </cell>
          <cell r="C119" t="str">
            <v>Koszt Zakupu Pozostałych Surowców PWN</v>
          </cell>
          <cell r="D119" t="str">
            <v>10032906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</row>
        <row r="120">
          <cell r="A120" t="str">
            <v>2301M10032911</v>
          </cell>
          <cell r="B120" t="str">
            <v>2301M</v>
          </cell>
          <cell r="C120" t="str">
            <v>Koszty Zakupu Magnezytu Mielonego R-30</v>
          </cell>
          <cell r="D120" t="str">
            <v>10032911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</row>
        <row r="121">
          <cell r="A121" t="str">
            <v>2301M10032910</v>
          </cell>
          <cell r="B121" t="str">
            <v>2301M</v>
          </cell>
          <cell r="C121" t="str">
            <v>Koszty Zakupu Siarczanu Amonu</v>
          </cell>
          <cell r="D121" t="str">
            <v>10032910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A122" t="str">
            <v>2301M10032904</v>
          </cell>
          <cell r="B122" t="str">
            <v>2301M</v>
          </cell>
          <cell r="C122" t="str">
            <v>Koszty Zakupu Fosf. Tunezja</v>
          </cell>
          <cell r="D122" t="str">
            <v>10032904</v>
          </cell>
          <cell r="E122">
            <v>8.7040000000000006</v>
          </cell>
          <cell r="F122">
            <v>8.7040000000000006</v>
          </cell>
          <cell r="G122">
            <v>8.7040000000000006</v>
          </cell>
          <cell r="H122">
            <v>8.7040000000000006</v>
          </cell>
          <cell r="I122">
            <v>8.7040000000000006</v>
          </cell>
          <cell r="J122">
            <v>8.7040000000000006</v>
          </cell>
          <cell r="K122">
            <v>8.7040000000000006</v>
          </cell>
          <cell r="L122">
            <v>8.7040000000000006</v>
          </cell>
          <cell r="M122">
            <v>8.7040000000000006</v>
          </cell>
          <cell r="N122">
            <v>8.7040000000000006</v>
          </cell>
          <cell r="O122">
            <v>8.7040000000000006</v>
          </cell>
          <cell r="P122">
            <v>0</v>
          </cell>
          <cell r="Q122">
            <v>0</v>
          </cell>
        </row>
        <row r="123">
          <cell r="A123" t="str">
            <v>2301M10032902</v>
          </cell>
          <cell r="B123" t="str">
            <v>2301M</v>
          </cell>
          <cell r="C123" t="str">
            <v>Koszty Zakupu Fosf.Togo</v>
          </cell>
          <cell r="D123" t="str">
            <v>10032902</v>
          </cell>
          <cell r="E123">
            <v>8.7040000000000006</v>
          </cell>
          <cell r="F123">
            <v>8.7040000000000006</v>
          </cell>
          <cell r="G123">
            <v>8.7040000000000006</v>
          </cell>
          <cell r="H123">
            <v>8.7040000000000006</v>
          </cell>
          <cell r="I123">
            <v>8.7040000000000006</v>
          </cell>
          <cell r="J123">
            <v>8.7040000000000006</v>
          </cell>
          <cell r="K123">
            <v>8.7040000000000006</v>
          </cell>
          <cell r="L123">
            <v>8.7040000000000006</v>
          </cell>
          <cell r="M123">
            <v>8.7040000000000006</v>
          </cell>
          <cell r="N123">
            <v>8.7040000000000006</v>
          </cell>
          <cell r="O123">
            <v>8.7040000000000006</v>
          </cell>
          <cell r="P123">
            <v>0</v>
          </cell>
          <cell r="Q123">
            <v>0</v>
          </cell>
        </row>
        <row r="124">
          <cell r="A124" t="str">
            <v>2301M10032912</v>
          </cell>
          <cell r="B124" t="str">
            <v>2301M</v>
          </cell>
          <cell r="C124" t="str">
            <v>Koszty Zakupu Fosforytu Algieria</v>
          </cell>
          <cell r="D124" t="str">
            <v>10032912</v>
          </cell>
          <cell r="E124">
            <v>8.7040000000000006</v>
          </cell>
          <cell r="F124">
            <v>8.7040000000000006</v>
          </cell>
          <cell r="G124">
            <v>8.7040000000000006</v>
          </cell>
          <cell r="H124">
            <v>8.7040000000000006</v>
          </cell>
          <cell r="I124">
            <v>8.7040000000000006</v>
          </cell>
          <cell r="J124">
            <v>8.7040000000000006</v>
          </cell>
          <cell r="K124">
            <v>8.7040000000000006</v>
          </cell>
          <cell r="L124">
            <v>8.7040000000000006</v>
          </cell>
          <cell r="M124">
            <v>8.7040000000000006</v>
          </cell>
          <cell r="N124">
            <v>8.7040000000000006</v>
          </cell>
          <cell r="O124">
            <v>8.7040000000000006</v>
          </cell>
          <cell r="P124">
            <v>0</v>
          </cell>
          <cell r="Q124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rkusz1"/>
      <sheetName val="prognozowane kursy walut"/>
      <sheetName val="plan roczny"/>
      <sheetName val="plan do 2022"/>
      <sheetName val="plan w podz. na kampanie"/>
      <sheetName val="prognozowane_kursy_walut"/>
      <sheetName val="plan_roczny"/>
      <sheetName val="plan_do_2022"/>
      <sheetName val="plan_w_podz__na_kampanie"/>
    </sheetNames>
    <sheetDataSet>
      <sheetData sheetId="0">
        <row r="3">
          <cell r="A3" t="str">
            <v>EUR</v>
          </cell>
        </row>
        <row r="4">
          <cell r="A4" t="str">
            <v xml:space="preserve">USD </v>
          </cell>
        </row>
        <row r="5">
          <cell r="A5" t="str">
            <v>PLN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rkusz1"/>
      <sheetName val="test"/>
      <sheetName val="SUROWCE"/>
      <sheetName val="#ADR"/>
      <sheetName val="Analiza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test"/>
      <sheetName val="Analiza"/>
      <sheetName val="SUROWCE"/>
      <sheetName val="#ADR"/>
      <sheetName val="Arkusz1"/>
      <sheetName val="Arkusz2"/>
      <sheetName val="Arkusz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Ogólny"/>
      <sheetName val="PWA"/>
      <sheetName val="PWB"/>
      <sheetName val="NPKI"/>
      <sheetName val="PF"/>
      <sheetName val="NPKII"/>
      <sheetName val="PWS"/>
      <sheetName val="TEC"/>
      <sheetName val="TWO"/>
      <sheetName val="TEW"/>
      <sheetName val="Zdol_prod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SP-1</v>
          </cell>
          <cell r="C7">
            <v>0.32806560000000001</v>
          </cell>
          <cell r="D7">
            <v>5.3999999999999999E-2</v>
          </cell>
          <cell r="E7">
            <v>2.95</v>
          </cell>
          <cell r="F7">
            <v>0.13524</v>
          </cell>
          <cell r="G7">
            <v>1.1000000000000001</v>
          </cell>
          <cell r="H7">
            <v>41.16</v>
          </cell>
          <cell r="I7">
            <v>7.4999999999999997E-2</v>
          </cell>
          <cell r="J7">
            <v>5.4100000000000003E-4</v>
          </cell>
        </row>
        <row r="8">
          <cell r="B8" t="str">
            <v>SP-2</v>
          </cell>
          <cell r="C8">
            <v>0.32806560000000001</v>
          </cell>
          <cell r="I8">
            <v>0.68599999999999994</v>
          </cell>
        </row>
        <row r="9">
          <cell r="B9" t="str">
            <v>SP-3</v>
          </cell>
          <cell r="C9">
            <v>0.32806560000000001</v>
          </cell>
          <cell r="D9">
            <v>5.3999999999999999E-2</v>
          </cell>
          <cell r="E9">
            <v>2.95</v>
          </cell>
          <cell r="F9">
            <v>0.33809999999999996</v>
          </cell>
          <cell r="G9">
            <v>1.1000000000000001</v>
          </cell>
        </row>
        <row r="10">
          <cell r="B10" t="str">
            <v>Kwas siarkowy</v>
          </cell>
          <cell r="C10">
            <v>0.32806560000000001</v>
          </cell>
        </row>
        <row r="11">
          <cell r="B11" t="str">
            <v>H2SO4 usluga</v>
          </cell>
          <cell r="C11">
            <v>0.33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2026 v 04.03.2026"/>
      <sheetName val="Sprzedaż"/>
      <sheetName val="Bilans zapasów"/>
      <sheetName val="Plan - formuły oblicz"/>
      <sheetName val="Średniodobowe"/>
      <sheetName val="Średniodobowe (2)"/>
      <sheetName val="Plan - 2026 (2)"/>
      <sheetName val="Zapasy początkowe"/>
      <sheetName val="Wykres1"/>
      <sheetName val="Gaz ziemny"/>
      <sheetName val="Bilans NH3"/>
      <sheetName val="Wykres2"/>
      <sheetName val="Bilans HNO3"/>
      <sheetName val="Wykres3"/>
      <sheetName val="Bilans mocznika"/>
      <sheetName val="Wykres4"/>
      <sheetName val="Bilans H2SO4"/>
      <sheetName val="Wykres5"/>
      <sheetName val="Wolne moce"/>
      <sheetName val="plan II półr 2026"/>
      <sheetName val="Wskaźniki "/>
      <sheetName val="2025 rzeczywiste stary układ"/>
      <sheetName val="W NH3"/>
      <sheetName val="W Gaz ziemny"/>
      <sheetName val="W mocznik"/>
      <sheetName val="W HNO3"/>
      <sheetName val="W HNO3 stęż."/>
      <sheetName val="W NH4NO3"/>
      <sheetName val="W RSM"/>
      <sheetName val="W H2SO4"/>
      <sheetName val="W Oleum"/>
      <sheetName val="W H2SO4 pohydr"/>
      <sheetName val="W Kwas fosforowy"/>
      <sheetName val="W H2"/>
      <sheetName val="W Kaprolaktam"/>
      <sheetName val="W (NH4)2SO4"/>
      <sheetName val="Zdolności produkcyjne"/>
      <sheetName val="Produktowo"/>
      <sheetName val="Bilans zapasów ZAP"/>
      <sheetName val="Wskaźniki"/>
      <sheetName val="Zapasy - zakres"/>
      <sheetName val="Wolne zdolności"/>
    </sheetNames>
    <sheetDataSet>
      <sheetData sheetId="0"/>
      <sheetData sheetId="1"/>
      <sheetData sheetId="2"/>
      <sheetData sheetId="3">
        <row r="2">
          <cell r="B2" t="str">
            <v>Rok 2027</v>
          </cell>
        </row>
      </sheetData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Ilosc"/>
      <sheetName val="CenyBonus"/>
      <sheetName val="WartoscBonus"/>
      <sheetName val="Ceny"/>
      <sheetName val="Wartosc"/>
      <sheetName val="1Q"/>
      <sheetName val="2Q"/>
      <sheetName val="3Q"/>
      <sheetName val="4Q"/>
      <sheetName val="Rok"/>
      <sheetName val="STM"/>
      <sheetName val="SU"/>
      <sheetName val="Wynagrodzenia k sprzed"/>
      <sheetName val="Wysyłki"/>
      <sheetName val="WartoscBonusWaluta"/>
      <sheetName val="WartoscWaluta"/>
      <sheetName val="Sprawdzenie"/>
    </sheetNames>
    <sheetDataSet>
      <sheetData sheetId="0">
        <row r="5">
          <cell r="D5">
            <v>40</v>
          </cell>
          <cell r="E5">
            <v>40</v>
          </cell>
          <cell r="F5">
            <v>40</v>
          </cell>
          <cell r="G5">
            <v>40</v>
          </cell>
          <cell r="H5">
            <v>40</v>
          </cell>
          <cell r="I5">
            <v>40</v>
          </cell>
          <cell r="J5">
            <v>40</v>
          </cell>
          <cell r="K5">
            <v>40</v>
          </cell>
          <cell r="L5">
            <v>40</v>
          </cell>
          <cell r="M5">
            <v>40</v>
          </cell>
          <cell r="N5">
            <v>40</v>
          </cell>
          <cell r="O5">
            <v>40</v>
          </cell>
        </row>
        <row r="8">
          <cell r="D8">
            <v>3800</v>
          </cell>
          <cell r="E8">
            <v>3800</v>
          </cell>
          <cell r="F8">
            <v>3500</v>
          </cell>
          <cell r="G8">
            <v>4500</v>
          </cell>
          <cell r="H8">
            <v>3500</v>
          </cell>
          <cell r="I8">
            <v>3500</v>
          </cell>
          <cell r="J8">
            <v>4000</v>
          </cell>
          <cell r="K8">
            <v>4000</v>
          </cell>
          <cell r="L8">
            <v>4500</v>
          </cell>
          <cell r="M8">
            <v>4100</v>
          </cell>
          <cell r="N8">
            <v>3800</v>
          </cell>
          <cell r="O8">
            <v>4000</v>
          </cell>
        </row>
        <row r="14">
          <cell r="D14">
            <v>13000</v>
          </cell>
          <cell r="E14">
            <v>14500</v>
          </cell>
          <cell r="F14">
            <v>16500</v>
          </cell>
          <cell r="G14">
            <v>14200</v>
          </cell>
          <cell r="H14">
            <v>14500</v>
          </cell>
          <cell r="I14">
            <v>15000</v>
          </cell>
          <cell r="J14">
            <v>15000</v>
          </cell>
          <cell r="K14">
            <v>800</v>
          </cell>
          <cell r="L14">
            <v>13900</v>
          </cell>
          <cell r="M14">
            <v>14000</v>
          </cell>
          <cell r="N14">
            <v>12600</v>
          </cell>
          <cell r="O14">
            <v>12000</v>
          </cell>
        </row>
        <row r="20">
          <cell r="D20">
            <v>2000</v>
          </cell>
          <cell r="E20">
            <v>2000</v>
          </cell>
          <cell r="F20">
            <v>2000</v>
          </cell>
          <cell r="G20">
            <v>2000</v>
          </cell>
          <cell r="H20">
            <v>2000</v>
          </cell>
          <cell r="I20">
            <v>2000</v>
          </cell>
          <cell r="J20">
            <v>2000</v>
          </cell>
          <cell r="K20">
            <v>2000</v>
          </cell>
          <cell r="L20">
            <v>2000</v>
          </cell>
          <cell r="M20">
            <v>2000</v>
          </cell>
          <cell r="N20">
            <v>2000</v>
          </cell>
          <cell r="O20">
            <v>2000</v>
          </cell>
        </row>
        <row r="23">
          <cell r="D23">
            <v>50</v>
          </cell>
          <cell r="E23">
            <v>75</v>
          </cell>
          <cell r="F23">
            <v>75</v>
          </cell>
          <cell r="G23">
            <v>75</v>
          </cell>
          <cell r="H23">
            <v>75</v>
          </cell>
          <cell r="I23">
            <v>75</v>
          </cell>
          <cell r="J23">
            <v>75</v>
          </cell>
          <cell r="K23">
            <v>75</v>
          </cell>
          <cell r="L23">
            <v>75</v>
          </cell>
          <cell r="M23">
            <v>75</v>
          </cell>
          <cell r="N23">
            <v>75</v>
          </cell>
          <cell r="O23">
            <v>75</v>
          </cell>
        </row>
        <row r="26">
          <cell r="D26">
            <v>4500</v>
          </cell>
          <cell r="E26">
            <v>8000</v>
          </cell>
          <cell r="F26">
            <v>7500</v>
          </cell>
          <cell r="G26">
            <v>4000</v>
          </cell>
          <cell r="H26">
            <v>6500</v>
          </cell>
          <cell r="I26">
            <v>6000</v>
          </cell>
          <cell r="J26">
            <v>8500</v>
          </cell>
          <cell r="K26">
            <v>7500</v>
          </cell>
          <cell r="L26">
            <v>5500</v>
          </cell>
          <cell r="M26">
            <v>5500</v>
          </cell>
          <cell r="N26">
            <v>5500</v>
          </cell>
          <cell r="O26">
            <v>4000</v>
          </cell>
        </row>
        <row r="33">
          <cell r="D33">
            <v>25000</v>
          </cell>
          <cell r="E33">
            <v>20500</v>
          </cell>
          <cell r="F33">
            <v>21000</v>
          </cell>
          <cell r="G33">
            <v>8000</v>
          </cell>
          <cell r="H33">
            <v>12000</v>
          </cell>
          <cell r="I33">
            <v>23000</v>
          </cell>
          <cell r="J33">
            <v>25000</v>
          </cell>
          <cell r="K33">
            <v>14000</v>
          </cell>
          <cell r="L33">
            <v>20000</v>
          </cell>
          <cell r="M33">
            <v>20000</v>
          </cell>
          <cell r="N33">
            <v>21000</v>
          </cell>
          <cell r="O33">
            <v>20000</v>
          </cell>
        </row>
        <row r="47">
          <cell r="D47">
            <v>14000</v>
          </cell>
          <cell r="E47">
            <v>11000</v>
          </cell>
          <cell r="F47">
            <v>15000</v>
          </cell>
          <cell r="G47">
            <v>17000</v>
          </cell>
          <cell r="H47">
            <v>17000</v>
          </cell>
          <cell r="I47">
            <v>12000</v>
          </cell>
          <cell r="J47">
            <v>16000</v>
          </cell>
          <cell r="K47">
            <v>23000</v>
          </cell>
          <cell r="L47">
            <v>19000</v>
          </cell>
          <cell r="M47">
            <v>20000</v>
          </cell>
          <cell r="N47">
            <v>18000</v>
          </cell>
          <cell r="O47">
            <v>25000</v>
          </cell>
        </row>
        <row r="54">
          <cell r="D54">
            <v>4000</v>
          </cell>
          <cell r="E54">
            <v>8000</v>
          </cell>
          <cell r="F54">
            <v>8000</v>
          </cell>
          <cell r="G54">
            <v>6000</v>
          </cell>
          <cell r="H54">
            <v>8000</v>
          </cell>
          <cell r="I54">
            <v>6000</v>
          </cell>
          <cell r="J54">
            <v>5.0000000000000001E-188</v>
          </cell>
          <cell r="K54">
            <v>5.0000000000000001E-188</v>
          </cell>
          <cell r="L54">
            <v>8000</v>
          </cell>
          <cell r="M54">
            <v>6000</v>
          </cell>
          <cell r="N54">
            <v>6000</v>
          </cell>
          <cell r="O54">
            <v>5.0000000000000001E-188</v>
          </cell>
        </row>
        <row r="61">
          <cell r="D61">
            <v>6.0000000000000003E-188</v>
          </cell>
          <cell r="E61">
            <v>5000</v>
          </cell>
          <cell r="F61">
            <v>5000</v>
          </cell>
          <cell r="G61">
            <v>6.0000000000000003E-188</v>
          </cell>
          <cell r="H61">
            <v>6.0000000000000003E-188</v>
          </cell>
          <cell r="I61">
            <v>6.0000000000000003E-188</v>
          </cell>
          <cell r="J61">
            <v>6.0000000000000003E-188</v>
          </cell>
          <cell r="K61">
            <v>6.0000000000000003E-188</v>
          </cell>
          <cell r="L61">
            <v>6.0000000000000003E-188</v>
          </cell>
          <cell r="M61">
            <v>3.9999999999999998E-188</v>
          </cell>
          <cell r="N61">
            <v>6.0000000000000003E-188</v>
          </cell>
          <cell r="O61">
            <v>6.0000000000000003E-188</v>
          </cell>
        </row>
        <row r="68">
          <cell r="D68">
            <v>2000</v>
          </cell>
          <cell r="E68">
            <v>3000</v>
          </cell>
          <cell r="F68">
            <v>3000</v>
          </cell>
          <cell r="G68">
            <v>1000</v>
          </cell>
          <cell r="H68">
            <v>3000</v>
          </cell>
          <cell r="I68">
            <v>3000</v>
          </cell>
          <cell r="J68">
            <v>3000</v>
          </cell>
          <cell r="K68">
            <v>2000</v>
          </cell>
          <cell r="L68">
            <v>2000</v>
          </cell>
          <cell r="M68">
            <v>3000</v>
          </cell>
          <cell r="N68">
            <v>3000</v>
          </cell>
          <cell r="O68">
            <v>2000</v>
          </cell>
        </row>
        <row r="138">
          <cell r="D138">
            <v>200</v>
          </cell>
          <cell r="E138">
            <v>200</v>
          </cell>
          <cell r="F138">
            <v>200</v>
          </cell>
          <cell r="G138">
            <v>200</v>
          </cell>
          <cell r="H138">
            <v>200</v>
          </cell>
          <cell r="I138">
            <v>200</v>
          </cell>
          <cell r="J138">
            <v>200</v>
          </cell>
          <cell r="K138">
            <v>200</v>
          </cell>
          <cell r="L138">
            <v>200</v>
          </cell>
          <cell r="M138">
            <v>200</v>
          </cell>
          <cell r="N138">
            <v>200</v>
          </cell>
          <cell r="O138">
            <v>200</v>
          </cell>
        </row>
        <row r="145">
          <cell r="D145">
            <v>9000</v>
          </cell>
          <cell r="E145">
            <v>9000</v>
          </cell>
          <cell r="F145">
            <v>14000</v>
          </cell>
          <cell r="G145">
            <v>9000</v>
          </cell>
          <cell r="H145">
            <v>8000</v>
          </cell>
          <cell r="I145">
            <v>8000</v>
          </cell>
          <cell r="J145">
            <v>8000</v>
          </cell>
          <cell r="K145">
            <v>6000</v>
          </cell>
          <cell r="L145">
            <v>8000</v>
          </cell>
          <cell r="M145">
            <v>8000</v>
          </cell>
          <cell r="N145">
            <v>8000</v>
          </cell>
          <cell r="O145">
            <v>5000</v>
          </cell>
        </row>
        <row r="151">
          <cell r="D151">
            <v>2500</v>
          </cell>
          <cell r="E151">
            <v>3100</v>
          </cell>
          <cell r="F151">
            <v>3000</v>
          </cell>
          <cell r="G151">
            <v>2000</v>
          </cell>
          <cell r="H151">
            <v>800</v>
          </cell>
          <cell r="I151">
            <v>1000</v>
          </cell>
          <cell r="J151">
            <v>1000</v>
          </cell>
          <cell r="K151">
            <v>300</v>
          </cell>
          <cell r="L151">
            <v>1000</v>
          </cell>
          <cell r="M151">
            <v>1000</v>
          </cell>
          <cell r="N151">
            <v>500</v>
          </cell>
          <cell r="O151">
            <v>2700</v>
          </cell>
        </row>
        <row r="160">
          <cell r="D160">
            <v>7000</v>
          </cell>
          <cell r="E160">
            <v>5000</v>
          </cell>
          <cell r="F160">
            <v>5000</v>
          </cell>
          <cell r="G160">
            <v>7000</v>
          </cell>
          <cell r="H160">
            <v>7000</v>
          </cell>
          <cell r="I160">
            <v>7000</v>
          </cell>
          <cell r="J160">
            <v>7000</v>
          </cell>
          <cell r="K160">
            <v>3000</v>
          </cell>
          <cell r="L160">
            <v>2000</v>
          </cell>
          <cell r="M160">
            <v>7000</v>
          </cell>
          <cell r="N160">
            <v>7000</v>
          </cell>
          <cell r="O160">
            <v>6000</v>
          </cell>
        </row>
        <row r="168">
          <cell r="D168">
            <v>468</v>
          </cell>
          <cell r="E168">
            <v>414</v>
          </cell>
          <cell r="F168">
            <v>468</v>
          </cell>
          <cell r="G168">
            <v>450</v>
          </cell>
          <cell r="H168">
            <v>450</v>
          </cell>
          <cell r="I168">
            <v>432</v>
          </cell>
          <cell r="J168">
            <v>450</v>
          </cell>
          <cell r="K168">
            <v>176</v>
          </cell>
          <cell r="L168">
            <v>270</v>
          </cell>
          <cell r="M168">
            <v>450</v>
          </cell>
          <cell r="N168">
            <v>432</v>
          </cell>
          <cell r="O168">
            <v>450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8">
          <cell r="D28">
            <v>4000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Produkcja"/>
      <sheetName val="pakowane"/>
      <sheetName val="KZP"/>
      <sheetName val="katalizator"/>
      <sheetName val="PM"/>
      <sheetName val="PE"/>
      <sheetName val="Pozostale"/>
      <sheetName val="cena_ilosc_wart"/>
      <sheetName val="GS_1"/>
      <sheetName val="GS_2"/>
      <sheetName val="GS_W"/>
      <sheetName val="Pow_pom"/>
      <sheetName val="GS_sprez"/>
      <sheetName val="wodor_memb"/>
      <sheetName val="amoniak"/>
      <sheetName val="woda_amoniak"/>
      <sheetName val="kwasTKIV"/>
      <sheetName val="kwasTKV"/>
      <sheetName val="kwas_laczny"/>
      <sheetName val="azotan_amonu"/>
      <sheetName val="ZAKsan"/>
      <sheetName val="MegAN"/>
      <sheetName val="Salmag"/>
      <sheetName val="Salmag_siarka"/>
      <sheetName val="Salmag_borem"/>
      <sheetName val="eNpluS"/>
      <sheetName val="Miksal"/>
      <sheetName val="ZAKsan_BB"/>
      <sheetName val="ZAKsan_pal"/>
      <sheetName val="MegAN_BB"/>
      <sheetName val="MegAN_pal"/>
      <sheetName val="Salmag_BB"/>
      <sheetName val="Salmag_pal"/>
      <sheetName val="Salmag_Siarka_BB"/>
      <sheetName val="Salmag_Siarka_pal"/>
      <sheetName val="Salmag_Borem_BB"/>
      <sheetName val="Salmag_Borem_pal"/>
      <sheetName val="eNpluS_BB"/>
      <sheetName val="eNpluS_pal"/>
      <sheetName val="maczka_dolomit"/>
      <sheetName val="maczka_anhydryt"/>
      <sheetName val="maczka_magnezyt"/>
      <sheetName val="maczka_X1"/>
      <sheetName val="maczka_X2"/>
      <sheetName val="maczka_dolomit_BB"/>
      <sheetName val="maczka_dolomit_pal"/>
      <sheetName val="maczka_anhydryt_BB"/>
      <sheetName val="maczka_anhydryt_pal"/>
      <sheetName val="maczka_X1_BB"/>
      <sheetName val="maczka_X1_pal"/>
      <sheetName val="maczka_X2_BB"/>
      <sheetName val="maczka_X2_pal"/>
      <sheetName val="RSM28"/>
      <sheetName val="RSM30"/>
      <sheetName val="RSM32"/>
      <sheetName val="RSM_S"/>
      <sheetName val="RSM_S_28-5"/>
      <sheetName val="RSM_X2"/>
      <sheetName val="RSM_X3"/>
      <sheetName val="lugi_mocznika"/>
      <sheetName val="mocznik_BB"/>
      <sheetName val="mocznik_pal"/>
      <sheetName val="mocznik"/>
      <sheetName val="NOxy"/>
      <sheetName val="Pulnox35"/>
      <sheetName val="Pulnox40"/>
      <sheetName val="Pulnox45"/>
      <sheetName val="RSM_mocznika"/>
      <sheetName val="Azotan_mocznika"/>
      <sheetName val="Chł NH3"/>
      <sheetName val="Chł H2O"/>
      <sheetName val="ZAKsan_X2"/>
      <sheetName val="Salmag20_Mg"/>
      <sheetName val="Salmag20_X1"/>
      <sheetName val="Salmag20_X2"/>
      <sheetName val="ZAKsan_X2_BB"/>
      <sheetName val="ZAKsan_X2_pal"/>
      <sheetName val="Salmag20_Mg_BB"/>
      <sheetName val="Salmag20_X1_BB"/>
      <sheetName val="Salmag20_X2_BB"/>
      <sheetName val="Salmag20_Mg_pal"/>
      <sheetName val="Salmag20_X1_pal"/>
      <sheetName val="Salmag20_X2_pal"/>
      <sheetName val="Nawozy_NPK_X1"/>
      <sheetName val="Nawozy_NPK_X2"/>
      <sheetName val="Nawozy_NPK_X3"/>
      <sheetName val="Nawozy_NPK_X4"/>
      <sheetName val="Nawozy_NPK_X5"/>
      <sheetName val="Nawozy_NPK_X6"/>
      <sheetName val="Nawozy_NPK_X1_BB"/>
      <sheetName val="Nawozy_NPK_X2_BB"/>
      <sheetName val="Nawozy_NPK_X3_BB"/>
      <sheetName val="Nawozy_NPK_X1_pal"/>
      <sheetName val="Nawozy_NPK_X2_pal"/>
      <sheetName val="Nawozy_NPK_X3_pal"/>
      <sheetName val="Nawozy_NPK_X4_BB"/>
      <sheetName val="Nawozy_NPK_X5_BB"/>
      <sheetName val="Nawozy_NPK_X6_BB"/>
      <sheetName val="Nawozy_NPK_X4_pal"/>
      <sheetName val="Nawozy_NPK_X5_pal"/>
      <sheetName val="Nawozy_NPK_X6_pal"/>
      <sheetName val="Ostatni"/>
      <sheetName val="marze przer"/>
    </sheetNames>
    <sheetDataSet>
      <sheetData sheetId="0">
        <row r="75">
          <cell r="E75">
            <v>1270.79</v>
          </cell>
          <cell r="F75">
            <v>1145.4199999999998</v>
          </cell>
          <cell r="G75">
            <v>1261.69</v>
          </cell>
          <cell r="H75">
            <v>1220.42</v>
          </cell>
          <cell r="I75">
            <v>1261.69</v>
          </cell>
          <cell r="J75">
            <v>1220.42</v>
          </cell>
          <cell r="K75">
            <v>1261.69</v>
          </cell>
          <cell r="L75">
            <v>662.01</v>
          </cell>
          <cell r="M75">
            <v>796.28</v>
          </cell>
          <cell r="N75">
            <v>1255.19</v>
          </cell>
          <cell r="O75">
            <v>1220.42</v>
          </cell>
          <cell r="P75">
            <v>1268.19</v>
          </cell>
        </row>
        <row r="76">
          <cell r="E76">
            <v>2033.7489999999998</v>
          </cell>
          <cell r="F76">
            <v>1833.202</v>
          </cell>
          <cell r="G76">
            <v>2019.539</v>
          </cell>
          <cell r="H76">
            <v>1953.502</v>
          </cell>
          <cell r="I76">
            <v>2019.539</v>
          </cell>
          <cell r="J76">
            <v>1953.502</v>
          </cell>
          <cell r="K76">
            <v>2019.539</v>
          </cell>
          <cell r="L76">
            <v>1059.231</v>
          </cell>
          <cell r="M76">
            <v>1275.268</v>
          </cell>
          <cell r="N76">
            <v>2009.3889999999999</v>
          </cell>
          <cell r="O76">
            <v>1953.502</v>
          </cell>
          <cell r="P76">
            <v>2029.6889999999999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45">
          <cell r="E445">
            <v>1315.5</v>
          </cell>
          <cell r="F445">
            <v>2192.5</v>
          </cell>
          <cell r="G445">
            <v>1315.5</v>
          </cell>
          <cell r="H445">
            <v>1315.5</v>
          </cell>
          <cell r="I445">
            <v>1754</v>
          </cell>
          <cell r="J445">
            <v>1754</v>
          </cell>
          <cell r="K445">
            <v>1754</v>
          </cell>
          <cell r="L445">
            <v>613.9</v>
          </cell>
          <cell r="M445">
            <v>1315.5</v>
          </cell>
          <cell r="N445">
            <v>1315.5</v>
          </cell>
          <cell r="O445">
            <v>1754</v>
          </cell>
          <cell r="P445">
            <v>1140.0999999999999</v>
          </cell>
        </row>
      </sheetData>
      <sheetData sheetId="53">
        <row r="445">
          <cell r="E445">
            <v>1875</v>
          </cell>
          <cell r="F445">
            <v>2343.75</v>
          </cell>
          <cell r="G445">
            <v>2343.75</v>
          </cell>
          <cell r="H445">
            <v>1875</v>
          </cell>
          <cell r="I445">
            <v>1875</v>
          </cell>
          <cell r="J445">
            <v>1875</v>
          </cell>
          <cell r="K445">
            <v>1875</v>
          </cell>
          <cell r="L445">
            <v>468.75</v>
          </cell>
          <cell r="M445">
            <v>1875</v>
          </cell>
          <cell r="N445">
            <v>2343.75</v>
          </cell>
          <cell r="O445">
            <v>2343.75</v>
          </cell>
          <cell r="P445">
            <v>2343.75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Plan produkcji"/>
      <sheetName val="wskaźniki"/>
      <sheetName val="Plan_2024_2030"/>
      <sheetName val="zmiana stanu"/>
    </sheetNames>
    <sheetDataSet>
      <sheetData sheetId="0" refreshError="1">
        <row r="5">
          <cell r="D5">
            <v>2476</v>
          </cell>
          <cell r="E5">
            <v>2596</v>
          </cell>
          <cell r="F5">
            <v>2781</v>
          </cell>
          <cell r="G5">
            <v>2658</v>
          </cell>
          <cell r="H5">
            <v>2692</v>
          </cell>
          <cell r="I5">
            <v>2664</v>
          </cell>
          <cell r="J5">
            <v>2487</v>
          </cell>
          <cell r="K5">
            <v>1816</v>
          </cell>
          <cell r="L5">
            <v>2836</v>
          </cell>
          <cell r="M5">
            <v>2740</v>
          </cell>
          <cell r="N5">
            <v>2860</v>
          </cell>
          <cell r="O5">
            <v>1820</v>
          </cell>
        </row>
        <row r="44">
          <cell r="D44">
            <v>24</v>
          </cell>
          <cell r="E44">
            <v>24</v>
          </cell>
          <cell r="F44">
            <v>24</v>
          </cell>
          <cell r="G44">
            <v>24</v>
          </cell>
          <cell r="H44">
            <v>24</v>
          </cell>
          <cell r="I44">
            <v>24</v>
          </cell>
          <cell r="J44">
            <v>24</v>
          </cell>
          <cell r="K44">
            <v>24</v>
          </cell>
          <cell r="L44">
            <v>24</v>
          </cell>
          <cell r="M44">
            <v>24</v>
          </cell>
          <cell r="N44">
            <v>24</v>
          </cell>
          <cell r="O44">
            <v>24</v>
          </cell>
        </row>
        <row r="59">
          <cell r="D59">
            <v>4380</v>
          </cell>
          <cell r="E59">
            <v>3510</v>
          </cell>
          <cell r="F59">
            <v>3682</v>
          </cell>
          <cell r="G59">
            <v>4210</v>
          </cell>
          <cell r="H59">
            <v>3682</v>
          </cell>
          <cell r="I59">
            <v>4260</v>
          </cell>
          <cell r="J59">
            <v>3426</v>
          </cell>
          <cell r="K59">
            <v>3100</v>
          </cell>
          <cell r="L59">
            <v>4480</v>
          </cell>
          <cell r="M59">
            <v>3582</v>
          </cell>
          <cell r="N59">
            <v>4456</v>
          </cell>
          <cell r="O59">
            <v>3100</v>
          </cell>
        </row>
        <row r="75">
          <cell r="D75">
            <v>1244</v>
          </cell>
          <cell r="E75">
            <v>1540</v>
          </cell>
          <cell r="F75">
            <v>1244</v>
          </cell>
          <cell r="G75">
            <v>1616</v>
          </cell>
          <cell r="H75">
            <v>1268</v>
          </cell>
          <cell r="I75">
            <v>1516</v>
          </cell>
          <cell r="J75">
            <v>1100</v>
          </cell>
          <cell r="K75">
            <v>930</v>
          </cell>
          <cell r="L75">
            <v>1568</v>
          </cell>
          <cell r="M75">
            <v>1516</v>
          </cell>
          <cell r="N75">
            <v>1444</v>
          </cell>
          <cell r="O75">
            <v>880</v>
          </cell>
        </row>
        <row r="83">
          <cell r="D83">
            <v>96</v>
          </cell>
          <cell r="E83">
            <v>96</v>
          </cell>
          <cell r="F83">
            <v>120</v>
          </cell>
          <cell r="G83">
            <v>96</v>
          </cell>
          <cell r="H83">
            <v>96</v>
          </cell>
          <cell r="I83">
            <v>120</v>
          </cell>
          <cell r="J83">
            <v>96</v>
          </cell>
          <cell r="K83">
            <v>96</v>
          </cell>
          <cell r="L83">
            <v>120</v>
          </cell>
          <cell r="M83">
            <v>96</v>
          </cell>
          <cell r="N83">
            <v>96</v>
          </cell>
          <cell r="O83">
            <v>120</v>
          </cell>
        </row>
        <row r="91">
          <cell r="D91">
            <v>336</v>
          </cell>
          <cell r="E91">
            <v>360</v>
          </cell>
          <cell r="F91">
            <v>384</v>
          </cell>
          <cell r="G91">
            <v>408</v>
          </cell>
          <cell r="H91">
            <v>408</v>
          </cell>
          <cell r="I91">
            <v>408</v>
          </cell>
          <cell r="J91">
            <v>384</v>
          </cell>
          <cell r="K91">
            <v>360</v>
          </cell>
          <cell r="L91">
            <v>408</v>
          </cell>
          <cell r="M91">
            <v>408</v>
          </cell>
          <cell r="N91">
            <v>408</v>
          </cell>
          <cell r="O91">
            <v>384</v>
          </cell>
        </row>
        <row r="99">
          <cell r="D99">
            <v>360</v>
          </cell>
          <cell r="E99">
            <v>400</v>
          </cell>
          <cell r="F99">
            <v>360</v>
          </cell>
          <cell r="G99">
            <v>400</v>
          </cell>
          <cell r="H99">
            <v>360</v>
          </cell>
          <cell r="I99">
            <v>400</v>
          </cell>
          <cell r="J99">
            <v>360</v>
          </cell>
          <cell r="K99">
            <v>380</v>
          </cell>
          <cell r="L99">
            <v>380</v>
          </cell>
          <cell r="M99">
            <v>380</v>
          </cell>
          <cell r="N99">
            <v>380</v>
          </cell>
          <cell r="O99">
            <v>380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 fitToPage="1"/>
  </sheetPr>
  <dimension ref="A1:U138"/>
  <sheetViews>
    <sheetView showGridLines="0" tabSelected="1" zoomScale="130" zoomScaleNormal="130" zoomScaleSheetLayoutView="100" workbookViewId="0">
      <pane xSplit="2" ySplit="4" topLeftCell="C5" activePane="bottomRight" state="frozen"/>
      <selection activeCell="D107" sqref="D107"/>
      <selection pane="topRight" activeCell="D107" sqref="D107"/>
      <selection pane="bottomLeft" activeCell="D107" sqref="D107"/>
      <selection pane="bottomRight" activeCell="Q13" sqref="Q13"/>
    </sheetView>
  </sheetViews>
  <sheetFormatPr baseColWidth="8" defaultColWidth="9.28515625" defaultRowHeight="11.25"/>
  <cols>
    <col width="10.28515625" bestFit="1" customWidth="1" style="5" min="1" max="1"/>
    <col width="32.28515625" customWidth="1" style="40" min="2" max="2"/>
    <col width="8.7109375" customWidth="1" style="3" min="3" max="4"/>
    <col width="7.7109375" customWidth="1" style="3" min="5" max="5"/>
    <col width="8.7109375" customWidth="1" style="3" min="6" max="10"/>
    <col width="8.28515625" customWidth="1" style="3" min="11" max="11"/>
    <col width="8.7109375" customWidth="1" style="3" min="12" max="14"/>
    <col width="8.28515625" customWidth="1" style="4" min="15" max="15"/>
    <col width="9.28515625" customWidth="1" style="5" min="16" max="16"/>
    <col width="23" customWidth="1" style="5" min="17" max="17"/>
    <col width="9.28515625" customWidth="1" style="5" min="18" max="20"/>
    <col width="16.5703125" customWidth="1" style="5" min="21" max="21"/>
    <col width="9.28515625" customWidth="1" style="5" min="22" max="16384"/>
  </cols>
  <sheetData>
    <row r="1" ht="15" customHeight="1">
      <c r="A1" s="1" t="n"/>
      <c r="B1" s="2" t="inlineStr">
        <is>
          <t>Sprzedaż GK GA</t>
        </is>
      </c>
      <c r="D1" s="62" t="inlineStr">
        <is>
          <t>Wolumen sprzedaży - Plan 2027r.</t>
        </is>
      </c>
      <c r="I1" s="3" t="inlineStr">
        <is>
          <t>.</t>
        </is>
      </c>
      <c r="P1" s="18" t="n"/>
    </row>
    <row r="2">
      <c r="B2" s="2">
        <f>'[47]Plan - formuły oblicz'!B2</f>
        <v/>
      </c>
      <c r="M2" s="6" t="n"/>
    </row>
    <row r="3" ht="12" customHeight="1" thickBot="1">
      <c r="B3" s="2" t="n"/>
      <c r="M3" s="6" t="n"/>
    </row>
    <row r="4" ht="25.5" customHeight="1">
      <c r="B4" s="7" t="n"/>
      <c r="C4" s="8" t="inlineStr">
        <is>
          <t>styczeń</t>
        </is>
      </c>
      <c r="D4" s="9" t="inlineStr">
        <is>
          <t>luty</t>
        </is>
      </c>
      <c r="E4" s="9" t="inlineStr">
        <is>
          <t>marzec</t>
        </is>
      </c>
      <c r="F4" s="9" t="inlineStr">
        <is>
          <t>kwiecień</t>
        </is>
      </c>
      <c r="G4" s="9" t="inlineStr">
        <is>
          <t>maj</t>
        </is>
      </c>
      <c r="H4" s="9" t="inlineStr">
        <is>
          <t>czerwiec</t>
        </is>
      </c>
      <c r="I4" s="10" t="inlineStr">
        <is>
          <t>lipiec</t>
        </is>
      </c>
      <c r="J4" s="9" t="inlineStr">
        <is>
          <t xml:space="preserve">sierpień </t>
        </is>
      </c>
      <c r="K4" s="9" t="inlineStr">
        <is>
          <t>wrzesień</t>
        </is>
      </c>
      <c r="L4" s="9" t="inlineStr">
        <is>
          <t>październik</t>
        </is>
      </c>
      <c r="M4" s="9" t="inlineStr">
        <is>
          <t>listopad</t>
        </is>
      </c>
      <c r="N4" s="11" t="inlineStr">
        <is>
          <t xml:space="preserve">grudzień </t>
        </is>
      </c>
      <c r="O4" s="12" t="inlineStr">
        <is>
          <t>∑</t>
        </is>
      </c>
      <c r="Q4" s="13" t="n"/>
    </row>
    <row r="5" ht="11.25" customHeight="1">
      <c r="A5" s="14" t="inlineStr">
        <is>
          <t>ZAP</t>
        </is>
      </c>
      <c r="B5" s="15" t="inlineStr">
        <is>
          <t>ONECON ®</t>
        </is>
      </c>
      <c r="C5" s="16" t="n">
        <v>6200</v>
      </c>
      <c r="D5" s="17" t="n">
        <v>6200</v>
      </c>
      <c r="E5" s="17" t="n">
        <v>8700</v>
      </c>
      <c r="F5" s="17" t="n">
        <v>9500</v>
      </c>
      <c r="G5" s="17" t="n">
        <v>10200</v>
      </c>
      <c r="H5" s="17" t="n">
        <v>10200</v>
      </c>
      <c r="I5" s="17" t="n">
        <v>10200</v>
      </c>
      <c r="J5" s="17" t="n">
        <v>10200</v>
      </c>
      <c r="K5" s="17" t="n">
        <v>9400</v>
      </c>
      <c r="L5" s="17" t="n">
        <v>8400</v>
      </c>
      <c r="M5" s="17" t="n">
        <v>7000</v>
      </c>
      <c r="N5" s="17" t="n">
        <v>7000</v>
      </c>
      <c r="O5" s="41">
        <f>SUM(C5:N5)</f>
        <v/>
      </c>
      <c r="P5" s="18" t="inlineStr">
        <is>
          <t>aktualne na 16.10.2026</t>
        </is>
      </c>
      <c r="Q5" s="18" t="n"/>
      <c r="U5" s="19" t="n"/>
    </row>
    <row r="6" ht="11.25" customHeight="1">
      <c r="A6" s="14" t="inlineStr">
        <is>
          <t>ZAP</t>
        </is>
      </c>
      <c r="B6" s="20" t="inlineStr">
        <is>
          <t>WODÓR [m3]</t>
        </is>
      </c>
      <c r="C6" s="21" t="n">
        <v>215</v>
      </c>
      <c r="D6" s="22" t="n">
        <v>215</v>
      </c>
      <c r="E6" s="22" t="n">
        <v>215</v>
      </c>
      <c r="F6" s="22" t="n">
        <v>215</v>
      </c>
      <c r="G6" s="22" t="n">
        <v>215</v>
      </c>
      <c r="H6" s="22" t="n">
        <v>215</v>
      </c>
      <c r="I6" s="22" t="n">
        <v>225</v>
      </c>
      <c r="J6" s="22" t="n">
        <v>225</v>
      </c>
      <c r="K6" s="22" t="n">
        <v>135</v>
      </c>
      <c r="L6" s="22" t="n">
        <v>215</v>
      </c>
      <c r="M6" s="22" t="n">
        <v>215</v>
      </c>
      <c r="N6" s="22" t="n">
        <v>215</v>
      </c>
      <c r="O6" s="42">
        <f>SUM(C6:N6)</f>
        <v/>
      </c>
      <c r="P6" s="18" t="n"/>
      <c r="Q6" s="18" t="n"/>
      <c r="U6" s="19" t="n"/>
    </row>
    <row r="7" ht="11.25" customHeight="1">
      <c r="A7" s="14" t="inlineStr">
        <is>
          <t>ZAP</t>
        </is>
      </c>
      <c r="B7" s="15" t="inlineStr">
        <is>
          <t>LIKAM ®</t>
        </is>
      </c>
      <c r="C7" s="16" t="n">
        <v>4200</v>
      </c>
      <c r="D7" s="17" t="n">
        <v>4000</v>
      </c>
      <c r="E7" s="17" t="n">
        <v>3800</v>
      </c>
      <c r="F7" s="17" t="n">
        <v>3300</v>
      </c>
      <c r="G7" s="17" t="n">
        <v>2500</v>
      </c>
      <c r="H7" s="17" t="n">
        <v>2500</v>
      </c>
      <c r="I7" s="17" t="n">
        <v>2500</v>
      </c>
      <c r="J7" s="17" t="n">
        <v>2500</v>
      </c>
      <c r="K7" s="17" t="n">
        <v>3200</v>
      </c>
      <c r="L7" s="17" t="n">
        <v>3800</v>
      </c>
      <c r="M7" s="17" t="n">
        <v>3800</v>
      </c>
      <c r="N7" s="17" t="n">
        <v>4000</v>
      </c>
      <c r="O7" s="42">
        <f>SUM(C7:N7)</f>
        <v/>
      </c>
      <c r="P7" s="18" t="n"/>
      <c r="Q7" s="18" t="n"/>
      <c r="U7" s="19" t="n"/>
    </row>
    <row r="8" ht="11.25" customHeight="1">
      <c r="A8" s="14" t="inlineStr">
        <is>
          <t>ZAP</t>
        </is>
      </c>
      <c r="B8" s="15" t="inlineStr">
        <is>
          <t>PULAN ®</t>
        </is>
      </c>
      <c r="C8" s="16" t="n">
        <v>40000</v>
      </c>
      <c r="D8" s="17" t="n">
        <v>38000</v>
      </c>
      <c r="E8" s="17" t="n">
        <v>48000</v>
      </c>
      <c r="F8" s="17" t="n">
        <v>45000</v>
      </c>
      <c r="G8" s="17" t="n">
        <v>34000</v>
      </c>
      <c r="H8" s="17" t="n">
        <v>28000</v>
      </c>
      <c r="I8" s="17" t="n">
        <v>30000</v>
      </c>
      <c r="J8" s="17" t="n">
        <v>24000</v>
      </c>
      <c r="K8" s="17" t="n">
        <v>36000</v>
      </c>
      <c r="L8" s="17" t="n">
        <v>40000</v>
      </c>
      <c r="M8" s="17" t="n">
        <v>42000</v>
      </c>
      <c r="N8" s="17" t="n">
        <v>41000</v>
      </c>
      <c r="O8" s="43">
        <f>SUM(C8:N8)</f>
        <v/>
      </c>
      <c r="P8" s="18" t="n"/>
      <c r="Q8" s="18" t="n"/>
      <c r="R8" s="18" t="n"/>
      <c r="U8" s="19" t="n"/>
    </row>
    <row r="9" ht="11.25" customHeight="1">
      <c r="A9" s="14" t="inlineStr">
        <is>
          <t>ZAP</t>
        </is>
      </c>
      <c r="B9" s="15" t="inlineStr">
        <is>
          <t>MEGAN</t>
        </is>
      </c>
      <c r="C9" s="16" t="n">
        <v>40000</v>
      </c>
      <c r="D9" s="17" t="n">
        <v>34000</v>
      </c>
      <c r="E9" s="17" t="n">
        <v>41000</v>
      </c>
      <c r="F9" s="17" t="n">
        <v>22000</v>
      </c>
      <c r="G9" s="17" t="n">
        <v>19500</v>
      </c>
      <c r="H9" s="17" t="n">
        <v>18000</v>
      </c>
      <c r="I9" s="17" t="n">
        <v>23000</v>
      </c>
      <c r="J9" s="17" t="n">
        <v>37000</v>
      </c>
      <c r="K9" s="17" t="n">
        <v>38000</v>
      </c>
      <c r="L9" s="17" t="n">
        <v>39000</v>
      </c>
      <c r="M9" s="17" t="n">
        <v>35000</v>
      </c>
      <c r="N9" s="17" t="n">
        <v>36000</v>
      </c>
      <c r="O9" s="43">
        <f>SUM(C9:N9)</f>
        <v/>
      </c>
      <c r="P9" s="18" t="n"/>
      <c r="Q9" s="18" t="n"/>
      <c r="U9" s="19" t="n"/>
    </row>
    <row r="10" ht="11.25" customHeight="1">
      <c r="A10" s="14" t="inlineStr">
        <is>
          <t>ZAP</t>
        </is>
      </c>
      <c r="B10" s="15" t="inlineStr">
        <is>
          <t>PULAN ® MAKRO</t>
        </is>
      </c>
      <c r="C10" s="16" t="n">
        <v>2000</v>
      </c>
      <c r="D10" s="17" t="n">
        <v>1000</v>
      </c>
      <c r="E10" s="17" t="n">
        <v>1000</v>
      </c>
      <c r="F10" s="17" t="n">
        <v>1000</v>
      </c>
      <c r="G10" s="17" t="n">
        <v>1000</v>
      </c>
      <c r="H10" s="17" t="n">
        <v>1000</v>
      </c>
      <c r="I10" s="17" t="n">
        <v>1000</v>
      </c>
      <c r="J10" s="17" t="n">
        <v>2000</v>
      </c>
      <c r="K10" s="17" t="n">
        <v>1000</v>
      </c>
      <c r="L10" s="17" t="n">
        <v>1000</v>
      </c>
      <c r="M10" s="17" t="n">
        <v>1000</v>
      </c>
      <c r="N10" s="17" t="n">
        <v>2000</v>
      </c>
      <c r="O10" s="43">
        <f>SUM(C10:N10)</f>
        <v/>
      </c>
      <c r="P10" s="18" t="n"/>
      <c r="Q10" s="18" t="n"/>
      <c r="U10" s="19" t="n"/>
    </row>
    <row r="11" ht="11.25" customHeight="1">
      <c r="A11" s="14" t="inlineStr">
        <is>
          <t>ZAP</t>
        </is>
      </c>
      <c r="B11" s="15" t="inlineStr">
        <is>
          <t>PULMIX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43">
        <f>SUM(C11:N11)</f>
        <v/>
      </c>
      <c r="P11" s="18" t="n"/>
      <c r="Q11" s="23" t="n"/>
    </row>
    <row r="12" ht="11.25" customHeight="1">
      <c r="A12" s="14" t="inlineStr">
        <is>
          <t>ZAP</t>
        </is>
      </c>
      <c r="B12" s="15" t="inlineStr">
        <is>
          <t>SALMAG</t>
        </is>
      </c>
      <c r="C12" s="16" t="n">
        <v>3000</v>
      </c>
      <c r="D12" s="17" t="n">
        <v>4000</v>
      </c>
      <c r="E12" s="17" t="n">
        <v>4000</v>
      </c>
      <c r="F12" s="17" t="n">
        <v>4000</v>
      </c>
      <c r="G12" s="17" t="n">
        <v>1000</v>
      </c>
      <c r="H12" s="17" t="n">
        <v>4000</v>
      </c>
      <c r="I12" s="17" t="n">
        <v>4000</v>
      </c>
      <c r="J12" s="17" t="n">
        <v>9000</v>
      </c>
      <c r="K12" s="17" t="n">
        <v>8000</v>
      </c>
      <c r="L12" s="17" t="n">
        <v>8000</v>
      </c>
      <c r="M12" s="17" t="n">
        <v>8000</v>
      </c>
      <c r="N12" s="17" t="n">
        <v>8000</v>
      </c>
      <c r="O12" s="43">
        <f>SUM(C12:N12)</f>
        <v/>
      </c>
      <c r="P12" s="18" t="n"/>
      <c r="Q12" s="18" t="n"/>
      <c r="U12" s="19" t="n"/>
    </row>
    <row r="13" ht="11.25" customHeight="1">
      <c r="A13" s="14" t="inlineStr">
        <is>
          <t>ZAP</t>
        </is>
      </c>
      <c r="B13" s="15" t="inlineStr">
        <is>
          <t>eNpluS</t>
        </is>
      </c>
      <c r="C13" s="16" t="n">
        <v>5200</v>
      </c>
      <c r="D13" s="17" t="n">
        <v>5200</v>
      </c>
      <c r="E13" s="17" t="n">
        <v>5200</v>
      </c>
      <c r="F13" s="17" t="n">
        <v>5200</v>
      </c>
      <c r="G13" s="17" t="n">
        <v>5200</v>
      </c>
      <c r="H13" s="17" t="n">
        <v>5200</v>
      </c>
      <c r="I13" s="17" t="n">
        <v>5200</v>
      </c>
      <c r="J13" s="17" t="n">
        <v>5200</v>
      </c>
      <c r="K13" s="17" t="n">
        <v>5200</v>
      </c>
      <c r="L13" s="17" t="n">
        <v>5200</v>
      </c>
      <c r="M13" s="17" t="n">
        <v>5200</v>
      </c>
      <c r="N13" s="17" t="n">
        <v>5200</v>
      </c>
      <c r="O13" s="43">
        <f>SUM(C13:N13)</f>
        <v/>
      </c>
      <c r="P13" s="18" t="n"/>
      <c r="Q13" s="18" t="n"/>
      <c r="U13" s="19" t="n"/>
    </row>
    <row r="14" ht="11.25" customHeight="1">
      <c r="A14" s="14" t="inlineStr">
        <is>
          <t>ZAP</t>
        </is>
      </c>
      <c r="B14" s="15" t="inlineStr">
        <is>
          <t xml:space="preserve"> RSM ® do sprzedaży</t>
        </is>
      </c>
      <c r="C14" s="16" t="n">
        <v>50000</v>
      </c>
      <c r="D14" s="17" t="n">
        <v>43000</v>
      </c>
      <c r="E14" s="17" t="n">
        <v>52000</v>
      </c>
      <c r="F14" s="17" t="n">
        <v>50000</v>
      </c>
      <c r="G14" s="17" t="n">
        <v>60200</v>
      </c>
      <c r="H14" s="17" t="n">
        <v>45000</v>
      </c>
      <c r="I14" s="17" t="n">
        <v>37400</v>
      </c>
      <c r="J14" s="17" t="n">
        <v>52200</v>
      </c>
      <c r="K14" s="17" t="n">
        <v>50000</v>
      </c>
      <c r="L14" s="17" t="n">
        <v>57900</v>
      </c>
      <c r="M14" s="17" t="n">
        <v>54000</v>
      </c>
      <c r="N14" s="24" t="n">
        <v>51000</v>
      </c>
      <c r="O14" s="43">
        <f>SUM(C14:N14)</f>
        <v/>
      </c>
      <c r="P14" s="18" t="n"/>
      <c r="Q14" s="18" t="n"/>
      <c r="U14" s="19" t="n"/>
    </row>
    <row r="15" ht="11.25" customHeight="1">
      <c r="A15" s="14" t="inlineStr">
        <is>
          <t>ZAP</t>
        </is>
      </c>
      <c r="B15" s="15" t="inlineStr">
        <is>
          <t>RSMS ®</t>
        </is>
      </c>
      <c r="C15" s="16" t="n">
        <v>10000</v>
      </c>
      <c r="D15" s="17" t="n">
        <v>10000</v>
      </c>
      <c r="E15" s="17" t="n">
        <v>8000</v>
      </c>
      <c r="F15" s="17" t="n">
        <v>10000</v>
      </c>
      <c r="G15" s="17" t="n">
        <v>5000</v>
      </c>
      <c r="H15" s="17" t="n">
        <v>5000</v>
      </c>
      <c r="I15" s="17" t="n">
        <v>5000</v>
      </c>
      <c r="J15" s="17" t="n">
        <v>5000</v>
      </c>
      <c r="K15" s="17" t="n">
        <v>8000</v>
      </c>
      <c r="L15" s="17" t="n">
        <v>10000</v>
      </c>
      <c r="M15" s="17" t="n">
        <v>10000</v>
      </c>
      <c r="N15" s="17" t="n">
        <v>10000</v>
      </c>
      <c r="O15" s="43">
        <f>SUM(C15:N15)</f>
        <v/>
      </c>
      <c r="P15" s="18" t="n"/>
      <c r="Q15" s="18" t="n"/>
      <c r="U15" s="19" t="n"/>
    </row>
    <row r="16" ht="11.25" customHeight="1">
      <c r="A16" s="14" t="inlineStr">
        <is>
          <t>ZAP</t>
        </is>
      </c>
      <c r="B16" s="15" t="inlineStr">
        <is>
          <t>PULREA ®(sprzedaż chemia)</t>
        </is>
      </c>
      <c r="C16" s="16" t="n">
        <v>7500</v>
      </c>
      <c r="D16" s="17" t="n">
        <v>7500</v>
      </c>
      <c r="E16" s="17" t="n">
        <v>9000</v>
      </c>
      <c r="F16" s="17" t="n">
        <v>10500</v>
      </c>
      <c r="G16" s="17" t="n">
        <v>13500</v>
      </c>
      <c r="H16" s="17" t="n">
        <v>13500</v>
      </c>
      <c r="I16" s="17" t="n">
        <v>13500</v>
      </c>
      <c r="J16" s="17" t="n">
        <v>13500</v>
      </c>
      <c r="K16" s="17" t="n">
        <v>11500</v>
      </c>
      <c r="L16" s="17" t="n">
        <v>8500</v>
      </c>
      <c r="M16" s="17" t="n">
        <v>7000</v>
      </c>
      <c r="N16" s="17" t="n">
        <v>4500</v>
      </c>
      <c r="O16" s="43">
        <f>SUM(C16:N16)</f>
        <v/>
      </c>
      <c r="P16" s="18" t="n"/>
      <c r="Q16" s="18" t="n"/>
      <c r="U16" s="19" t="n"/>
    </row>
    <row r="17" ht="11.25" customHeight="1">
      <c r="A17" s="14" t="inlineStr">
        <is>
          <t>ZAP</t>
        </is>
      </c>
      <c r="B17" s="15" t="inlineStr">
        <is>
          <t>PULREA ® +Inu (sprzedaż agro)</t>
        </is>
      </c>
      <c r="C17" s="16" t="n">
        <v>24000</v>
      </c>
      <c r="D17" s="17" t="n">
        <v>22000</v>
      </c>
      <c r="E17" s="17" t="n">
        <v>23600</v>
      </c>
      <c r="F17" s="17" t="n">
        <v>20000</v>
      </c>
      <c r="G17" s="17" t="n">
        <v>12200</v>
      </c>
      <c r="H17" s="17" t="n">
        <v>0</v>
      </c>
      <c r="I17" s="17" t="n">
        <v>0</v>
      </c>
      <c r="J17" s="17" t="n">
        <v>13000</v>
      </c>
      <c r="K17" s="17" t="n">
        <v>14000</v>
      </c>
      <c r="L17" s="17" t="n">
        <v>23000</v>
      </c>
      <c r="M17" s="17" t="n">
        <v>23500</v>
      </c>
      <c r="N17" s="17" t="n">
        <v>26600</v>
      </c>
      <c r="O17" s="43">
        <f>SUM(C17:N17)</f>
        <v/>
      </c>
      <c r="P17" s="18" t="n"/>
      <c r="Q17" s="18" t="n"/>
      <c r="U17" s="19" t="n"/>
    </row>
    <row r="18" ht="11.25" customHeight="1">
      <c r="A18" s="14" t="inlineStr">
        <is>
          <t>ZAP</t>
        </is>
      </c>
      <c r="B18" s="15" t="inlineStr">
        <is>
          <t>PULREA razem</t>
        </is>
      </c>
      <c r="C18" s="63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  <c r="M18" s="17">
        <f>M16+M17</f>
        <v/>
      </c>
      <c r="N18" s="64">
        <f>N16+N17</f>
        <v/>
      </c>
      <c r="O18" s="43">
        <f>SUM(C18:N18)</f>
        <v/>
      </c>
      <c r="P18" s="18" t="n"/>
      <c r="Q18" s="18" t="n"/>
      <c r="R18" s="18" t="n"/>
      <c r="U18" s="19" t="n"/>
    </row>
    <row r="19" ht="11.25" customFormat="1" customHeight="1" s="25">
      <c r="A19" s="14" t="inlineStr">
        <is>
          <t>ZAP</t>
        </is>
      </c>
      <c r="B19" s="15" t="inlineStr">
        <is>
          <t xml:space="preserve">PULGRAN ® </t>
        </is>
      </c>
      <c r="C19" s="16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42">
        <f>SUM(C19:N19)</f>
        <v/>
      </c>
      <c r="P19" s="18" t="n"/>
      <c r="Q19" s="23" t="n"/>
      <c r="S19" s="5" t="n"/>
      <c r="T19" s="5" t="n"/>
      <c r="U19" s="19" t="n"/>
    </row>
    <row r="20" ht="11.25" customFormat="1" customHeight="1" s="25">
      <c r="A20" s="14" t="inlineStr">
        <is>
          <t>ZAP</t>
        </is>
      </c>
      <c r="B20" s="15" t="inlineStr">
        <is>
          <t>Folires</t>
        </is>
      </c>
      <c r="C20" s="16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43">
        <f>SUM(C20:N20)</f>
        <v/>
      </c>
      <c r="P20" s="18" t="n"/>
      <c r="Q20" s="23" t="n"/>
      <c r="S20" s="5" t="n"/>
      <c r="T20" s="5" t="n"/>
      <c r="U20" s="19" t="n"/>
    </row>
    <row r="21" ht="11.25" customFormat="1" customHeight="1" s="25">
      <c r="A21" s="14" t="inlineStr">
        <is>
          <t>ZAP</t>
        </is>
      </c>
      <c r="B21" s="15" t="inlineStr">
        <is>
          <t>eNTop</t>
        </is>
      </c>
      <c r="C21" s="16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43">
        <f>SUM(C21:N21)</f>
        <v/>
      </c>
      <c r="P21" s="18" t="n"/>
      <c r="Q21" s="23" t="n"/>
      <c r="S21" s="5" t="n"/>
      <c r="T21" s="5" t="n"/>
      <c r="U21" s="19" t="n"/>
    </row>
    <row r="22" ht="11.25" customFormat="1" customHeight="1" s="25">
      <c r="A22" s="14" t="inlineStr">
        <is>
          <t>ZAP</t>
        </is>
      </c>
      <c r="B22" s="15" t="inlineStr">
        <is>
          <t>PULGRAN ® S 40N</t>
        </is>
      </c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42">
        <f>SUM(C22:N22)</f>
        <v/>
      </c>
      <c r="P22" s="18" t="n"/>
      <c r="Q22" s="23" t="n"/>
      <c r="S22" s="5" t="n"/>
      <c r="T22" s="5" t="n"/>
      <c r="U22" s="19" t="n"/>
    </row>
    <row r="23" ht="11.25" customFormat="1" customHeight="1" s="25">
      <c r="A23" s="14" t="inlineStr">
        <is>
          <t>ZAP</t>
        </is>
      </c>
      <c r="B23" s="15" t="inlineStr">
        <is>
          <t>PULGRAN ® S 36N</t>
        </is>
      </c>
      <c r="C23" s="16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42">
        <f>SUM(C23:N23)</f>
        <v/>
      </c>
      <c r="P23" s="18" t="n"/>
      <c r="Q23" s="23" t="n"/>
      <c r="S23" s="5" t="n"/>
      <c r="T23" s="5" t="n"/>
      <c r="U23" s="19" t="n"/>
    </row>
    <row r="24" ht="11.25" customHeight="1">
      <c r="A24" s="14" t="inlineStr">
        <is>
          <t>ZAP</t>
        </is>
      </c>
      <c r="B24" s="15" t="inlineStr">
        <is>
          <t>NOXy ®</t>
        </is>
      </c>
      <c r="C24" s="16" t="n">
        <v>14600</v>
      </c>
      <c r="D24" s="17" t="n">
        <v>14600</v>
      </c>
      <c r="E24" s="17" t="n">
        <v>16700</v>
      </c>
      <c r="F24" s="17" t="n">
        <v>17700</v>
      </c>
      <c r="G24" s="17" t="n">
        <v>17700</v>
      </c>
      <c r="H24" s="17" t="n">
        <v>17700</v>
      </c>
      <c r="I24" s="17" t="n">
        <v>20000</v>
      </c>
      <c r="J24" s="17" t="n">
        <v>20000</v>
      </c>
      <c r="K24" s="17" t="n">
        <v>20000</v>
      </c>
      <c r="L24" s="17" t="n">
        <v>19200</v>
      </c>
      <c r="M24" s="17" t="n">
        <v>17700</v>
      </c>
      <c r="N24" s="17" t="n">
        <v>14600</v>
      </c>
      <c r="O24" s="42">
        <f>SUM(C24:N24)</f>
        <v/>
      </c>
      <c r="P24" s="18" t="n"/>
      <c r="Q24" s="23" t="n"/>
      <c r="U24" s="19" t="n"/>
    </row>
    <row r="25" ht="11.25" customHeight="1">
      <c r="A25" s="14" t="inlineStr">
        <is>
          <t>ZAP</t>
        </is>
      </c>
      <c r="B25" s="15" t="inlineStr">
        <is>
          <t>PULNOX ®</t>
        </is>
      </c>
      <c r="C25" s="16" t="n">
        <v>1500</v>
      </c>
      <c r="D25" s="17" t="n">
        <v>1500</v>
      </c>
      <c r="E25" s="17" t="n">
        <v>1500</v>
      </c>
      <c r="F25" s="17" t="n">
        <v>2000</v>
      </c>
      <c r="G25" s="17" t="n">
        <v>2000</v>
      </c>
      <c r="H25" s="17" t="n">
        <v>1500</v>
      </c>
      <c r="I25" s="17" t="n">
        <v>1500</v>
      </c>
      <c r="J25" s="17" t="n">
        <v>1500</v>
      </c>
      <c r="K25" s="17" t="n">
        <v>1500</v>
      </c>
      <c r="L25" s="17" t="n">
        <v>1500</v>
      </c>
      <c r="M25" s="17" t="n">
        <v>1500</v>
      </c>
      <c r="N25" s="17" t="n">
        <v>1500</v>
      </c>
      <c r="O25" s="42">
        <f>SUM(C25:N25)</f>
        <v/>
      </c>
      <c r="P25" s="18" t="n"/>
      <c r="Q25" s="23" t="n"/>
      <c r="R25" s="26" t="n"/>
      <c r="U25" s="19" t="n"/>
    </row>
    <row r="26" ht="11.25" customHeight="1">
      <c r="A26" s="14" t="inlineStr">
        <is>
          <t>ZAP</t>
        </is>
      </c>
      <c r="B26" s="15" t="inlineStr">
        <is>
          <t>MELAMINA ogółem</t>
        </is>
      </c>
      <c r="C26" s="16">
        <f>C27+C28+C29</f>
        <v/>
      </c>
      <c r="D26" s="17">
        <f>D27+D28+D29</f>
        <v/>
      </c>
      <c r="E26" s="17">
        <f>E27+E28+E29</f>
        <v/>
      </c>
      <c r="F26" s="17">
        <f>F27+F28+F29</f>
        <v/>
      </c>
      <c r="G26" s="17">
        <f>G27+G28+G29</f>
        <v/>
      </c>
      <c r="H26" s="17">
        <f>H27+H28+H29</f>
        <v/>
      </c>
      <c r="I26" s="17">
        <f>I27+I28+I29</f>
        <v/>
      </c>
      <c r="J26" s="17">
        <f>J27+J28+J29</f>
        <v/>
      </c>
      <c r="K26" s="17">
        <f>K27+K28+K29</f>
        <v/>
      </c>
      <c r="L26" s="17">
        <f>L27+L28+L29</f>
        <v/>
      </c>
      <c r="M26" s="17">
        <f>M27+M28+M29</f>
        <v/>
      </c>
      <c r="N26" s="24">
        <f>N27+N28+N29</f>
        <v/>
      </c>
      <c r="O26" s="43">
        <f>SUM(C26:N26)</f>
        <v/>
      </c>
      <c r="P26" s="65" t="inlineStr">
        <is>
          <t>uzupełniono: suma Melaminy I+II+III</t>
        </is>
      </c>
      <c r="Q26" s="23" t="n"/>
      <c r="U26" s="19" t="n"/>
    </row>
    <row r="27" ht="11.25" customHeight="1">
      <c r="A27" s="14" t="inlineStr">
        <is>
          <t>ZAP</t>
        </is>
      </c>
      <c r="B27" s="15" t="inlineStr">
        <is>
          <t>MELAMINA I</t>
        </is>
      </c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43">
        <f>SUM(C27:N27)</f>
        <v/>
      </c>
      <c r="P27" s="18" t="n"/>
      <c r="Q27" s="23" t="n"/>
      <c r="U27" s="19" t="n"/>
    </row>
    <row r="28" ht="11.25" customHeight="1">
      <c r="A28" s="14" t="inlineStr">
        <is>
          <t>ZAP</t>
        </is>
      </c>
      <c r="B28" s="15" t="inlineStr">
        <is>
          <t>MELAMINA II</t>
        </is>
      </c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43">
        <f>SUM(C28:N28)</f>
        <v/>
      </c>
      <c r="P28" s="18" t="n"/>
      <c r="Q28" s="23" t="n"/>
      <c r="U28" s="27" t="n"/>
    </row>
    <row r="29" ht="11.25" customHeight="1">
      <c r="A29" s="14" t="inlineStr">
        <is>
          <t>ZAP</t>
        </is>
      </c>
      <c r="B29" s="15" t="inlineStr">
        <is>
          <t>MELAMINA III</t>
        </is>
      </c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43">
        <f>SUM(C29:N29)</f>
        <v/>
      </c>
      <c r="P29" s="18" t="n"/>
      <c r="Q29" s="23" t="n"/>
      <c r="U29" s="19" t="n"/>
    </row>
    <row r="30" ht="11.25" customHeight="1">
      <c r="A30" s="14" t="inlineStr">
        <is>
          <t>ZAP</t>
        </is>
      </c>
      <c r="B30" s="15" t="inlineStr">
        <is>
          <t>KAPROLAKTAM</t>
        </is>
      </c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43">
        <f>SUM(C30:N30)</f>
        <v/>
      </c>
      <c r="P30" s="18" t="n"/>
      <c r="Q30" s="23" t="n"/>
      <c r="U30" s="19" t="n"/>
    </row>
    <row r="31" ht="11.25" customHeight="1">
      <c r="A31" s="14" t="inlineStr">
        <is>
          <t>ZAP</t>
        </is>
      </c>
      <c r="B31" s="15" t="inlineStr">
        <is>
          <t>PULSAR ®</t>
        </is>
      </c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24" t="n"/>
      <c r="O31" s="43">
        <f>SUM(C31:N31)</f>
        <v/>
      </c>
      <c r="P31" s="18" t="n"/>
      <c r="Q31" s="23" t="n"/>
      <c r="U31" s="19" t="n"/>
    </row>
    <row r="32" ht="11.25" customHeight="1">
      <c r="A32" s="14" t="inlineStr">
        <is>
          <t>ZAP</t>
        </is>
      </c>
      <c r="B32" s="15" t="inlineStr">
        <is>
          <t>NADTLENEK WODORU</t>
        </is>
      </c>
      <c r="C32" s="16" t="n">
        <v>750</v>
      </c>
      <c r="D32" s="17" t="n">
        <v>750</v>
      </c>
      <c r="E32" s="17" t="n">
        <v>870</v>
      </c>
      <c r="F32" s="17" t="n">
        <v>870</v>
      </c>
      <c r="G32" s="17" t="n">
        <v>870</v>
      </c>
      <c r="H32" s="17" t="n">
        <v>870</v>
      </c>
      <c r="I32" s="17" t="n">
        <v>900</v>
      </c>
      <c r="J32" s="17" t="n">
        <v>900</v>
      </c>
      <c r="K32" s="17" t="n">
        <v>600</v>
      </c>
      <c r="L32" s="17" t="n">
        <v>800</v>
      </c>
      <c r="M32" s="17" t="n">
        <v>800</v>
      </c>
      <c r="N32" s="17" t="n">
        <v>800</v>
      </c>
      <c r="O32" s="43">
        <f>SUM(C32:N32)</f>
        <v/>
      </c>
      <c r="P32" s="18" t="n"/>
      <c r="Q32" s="23" t="n"/>
      <c r="U32" s="27" t="n"/>
    </row>
    <row r="33" ht="11.25" customHeight="1">
      <c r="A33" s="14" t="inlineStr">
        <is>
          <t>ZAP</t>
        </is>
      </c>
      <c r="B33" s="28" t="inlineStr">
        <is>
          <t>KWAS SIARKOWY - DO SPRZEDAŻY</t>
        </is>
      </c>
      <c r="C33" s="16" t="n">
        <v>5200</v>
      </c>
      <c r="D33" s="17" t="n">
        <v>5800</v>
      </c>
      <c r="E33" s="17" t="n">
        <v>6000</v>
      </c>
      <c r="F33" s="17" t="n">
        <v>6000</v>
      </c>
      <c r="G33" s="17" t="n">
        <v>6000</v>
      </c>
      <c r="H33" s="17" t="n">
        <v>6000</v>
      </c>
      <c r="I33" s="17" t="n">
        <v>6000</v>
      </c>
      <c r="J33" s="17" t="n">
        <v>6000</v>
      </c>
      <c r="K33" s="17" t="n">
        <v>6000</v>
      </c>
      <c r="L33" s="17" t="n">
        <v>6000</v>
      </c>
      <c r="M33" s="17" t="n">
        <v>6000</v>
      </c>
      <c r="N33" s="17" t="n">
        <v>5200</v>
      </c>
      <c r="O33" s="43">
        <f>SUM(C33:N33)</f>
        <v/>
      </c>
      <c r="P33" s="18" t="n"/>
      <c r="Q33" s="23" t="n"/>
    </row>
    <row r="34" ht="11.25" customHeight="1">
      <c r="A34" s="14" t="inlineStr">
        <is>
          <t>ZAP</t>
        </is>
      </c>
      <c r="B34" s="15" t="inlineStr">
        <is>
          <t>IOS - SIARCZAN AMONU</t>
        </is>
      </c>
      <c r="C34" s="17" t="n">
        <v>800</v>
      </c>
      <c r="D34" s="17" t="n">
        <v>800</v>
      </c>
      <c r="E34" s="17" t="n">
        <v>750</v>
      </c>
      <c r="F34" s="17" t="n">
        <v>700</v>
      </c>
      <c r="G34" s="17" t="n">
        <v>600</v>
      </c>
      <c r="H34" s="17" t="n">
        <v>600</v>
      </c>
      <c r="I34" s="17" t="n">
        <v>800</v>
      </c>
      <c r="J34" s="17" t="n">
        <v>800</v>
      </c>
      <c r="K34" s="17" t="n">
        <v>800</v>
      </c>
      <c r="L34" s="17" t="n">
        <v>800</v>
      </c>
      <c r="M34" s="17" t="n">
        <v>800</v>
      </c>
      <c r="N34" s="17" t="n">
        <v>800</v>
      </c>
      <c r="O34" s="43">
        <f>SUM(C34:N34)</f>
        <v/>
      </c>
      <c r="P34" s="18" t="n"/>
      <c r="Q34" s="23" t="n"/>
    </row>
    <row r="35" ht="11.25" customHeight="1">
      <c r="A35" s="14" t="inlineStr">
        <is>
          <t>ZAP</t>
        </is>
      </c>
      <c r="B35" s="15" t="inlineStr">
        <is>
          <t>KWAS AZOTOWY</t>
        </is>
      </c>
      <c r="C35" s="17" t="n">
        <v>1000</v>
      </c>
      <c r="D35" s="17" t="n">
        <v>1200</v>
      </c>
      <c r="E35" s="17" t="n">
        <v>2000</v>
      </c>
      <c r="F35" s="17" t="n">
        <v>1400</v>
      </c>
      <c r="G35" s="17" t="n">
        <v>2000</v>
      </c>
      <c r="H35" s="17" t="n">
        <v>2000</v>
      </c>
      <c r="I35" s="17" t="n">
        <v>2000</v>
      </c>
      <c r="J35" s="17" t="n">
        <v>2000</v>
      </c>
      <c r="K35" s="17" t="n">
        <v>2000</v>
      </c>
      <c r="L35" s="17" t="n">
        <v>1300</v>
      </c>
      <c r="M35" s="17" t="n">
        <v>1100</v>
      </c>
      <c r="N35" s="17" t="n">
        <v>1000</v>
      </c>
      <c r="O35" s="43">
        <f>SUM(C35:N35)</f>
        <v/>
      </c>
      <c r="P35" s="18" t="n"/>
      <c r="Q35" s="23" t="n"/>
    </row>
    <row r="36" ht="11.25" customHeight="1">
      <c r="A36" s="14" t="inlineStr">
        <is>
          <t>ZAP</t>
        </is>
      </c>
      <c r="B36" s="15" t="inlineStr">
        <is>
          <t>COOLANT</t>
        </is>
      </c>
      <c r="C36" s="17" t="n">
        <v>310</v>
      </c>
      <c r="D36" s="17" t="n">
        <v>310</v>
      </c>
      <c r="E36" s="17" t="n">
        <v>310</v>
      </c>
      <c r="F36" s="17" t="n">
        <v>340</v>
      </c>
      <c r="G36" s="17" t="n">
        <v>380</v>
      </c>
      <c r="H36" s="17" t="n">
        <v>400</v>
      </c>
      <c r="I36" s="17" t="n">
        <v>420</v>
      </c>
      <c r="J36" s="17" t="n">
        <v>420</v>
      </c>
      <c r="K36" s="17" t="n">
        <v>380</v>
      </c>
      <c r="L36" s="17" t="n">
        <v>320</v>
      </c>
      <c r="M36" s="17" t="n">
        <v>310</v>
      </c>
      <c r="N36" s="17" t="n">
        <v>310</v>
      </c>
      <c r="O36" s="43">
        <f>SUM(C36:N36)</f>
        <v/>
      </c>
      <c r="P36" s="18" t="n"/>
      <c r="Q36" s="23" t="n"/>
    </row>
    <row r="37" ht="11.25" customHeight="1">
      <c r="A37" s="14" t="inlineStr">
        <is>
          <t>ZAP</t>
        </is>
      </c>
      <c r="B37" s="15" t="inlineStr">
        <is>
          <t>AMONIAK</t>
        </is>
      </c>
      <c r="C37" s="17" t="n">
        <v>5</v>
      </c>
      <c r="D37" s="17" t="n">
        <v>5</v>
      </c>
      <c r="E37" s="17" t="n">
        <v>5</v>
      </c>
      <c r="F37" s="17" t="n">
        <v>10</v>
      </c>
      <c r="G37" s="17" t="n">
        <v>10</v>
      </c>
      <c r="H37" s="17" t="n">
        <v>10</v>
      </c>
      <c r="I37" s="17" t="n">
        <v>10</v>
      </c>
      <c r="J37" s="17" t="n">
        <v>10</v>
      </c>
      <c r="K37" s="17" t="n">
        <v>5</v>
      </c>
      <c r="L37" s="17" t="n">
        <v>5</v>
      </c>
      <c r="M37" s="17" t="n">
        <v>5</v>
      </c>
      <c r="N37" s="17" t="n">
        <v>5</v>
      </c>
      <c r="O37" s="43">
        <f>SUM(C37:N37)</f>
        <v/>
      </c>
      <c r="P37" s="18" t="n"/>
      <c r="Q37" s="23" t="n"/>
    </row>
    <row r="38" ht="11.25" customHeight="1">
      <c r="A38" s="14" t="inlineStr">
        <is>
          <t>ZAP</t>
        </is>
      </c>
      <c r="B38" s="15" t="inlineStr">
        <is>
          <t>CO2 butle</t>
        </is>
      </c>
      <c r="C38" s="17" t="n">
        <v>4</v>
      </c>
      <c r="D38" s="17" t="n">
        <v>4</v>
      </c>
      <c r="E38" s="17" t="n">
        <v>4</v>
      </c>
      <c r="F38" s="17" t="n">
        <v>4</v>
      </c>
      <c r="G38" s="17" t="n">
        <v>4</v>
      </c>
      <c r="H38" s="17" t="n">
        <v>4</v>
      </c>
      <c r="I38" s="17" t="n">
        <v>4</v>
      </c>
      <c r="J38" s="17" t="n">
        <v>4</v>
      </c>
      <c r="K38" s="17" t="n">
        <v>4</v>
      </c>
      <c r="L38" s="17" t="n">
        <v>3</v>
      </c>
      <c r="M38" s="17" t="n">
        <v>3</v>
      </c>
      <c r="N38" s="17" t="n">
        <v>3</v>
      </c>
      <c r="O38" s="43">
        <f>SUM(C38:N38)</f>
        <v/>
      </c>
      <c r="P38" s="18" t="n"/>
      <c r="Q38" s="23" t="n"/>
    </row>
    <row r="39" ht="11.25" customHeight="1">
      <c r="A39" s="14" t="inlineStr">
        <is>
          <t>ZAP</t>
        </is>
      </c>
      <c r="B39" s="15" t="inlineStr">
        <is>
          <t>POWIETRZE TECHNOLOGICZNE</t>
        </is>
      </c>
      <c r="C39" s="17" t="n">
        <v>300</v>
      </c>
      <c r="D39" s="17" t="n">
        <v>300</v>
      </c>
      <c r="E39" s="17" t="n">
        <v>300</v>
      </c>
      <c r="F39" s="17" t="n">
        <v>300</v>
      </c>
      <c r="G39" s="17" t="n">
        <v>300</v>
      </c>
      <c r="H39" s="17" t="n">
        <v>300</v>
      </c>
      <c r="I39" s="17" t="n">
        <v>300</v>
      </c>
      <c r="J39" s="17" t="n">
        <v>300</v>
      </c>
      <c r="K39" s="17" t="n">
        <v>300</v>
      </c>
      <c r="L39" s="17" t="n">
        <v>300</v>
      </c>
      <c r="M39" s="17" t="n">
        <v>300</v>
      </c>
      <c r="N39" s="17" t="n">
        <v>300</v>
      </c>
      <c r="O39" s="43">
        <f>SUM(C39:N39)</f>
        <v/>
      </c>
      <c r="P39" s="18" t="n"/>
      <c r="Q39" s="23" t="n"/>
    </row>
    <row r="40" ht="11.25" customHeight="1">
      <c r="B40" s="15" t="n"/>
      <c r="C40" s="29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1" t="n"/>
      <c r="P40" s="18" t="n"/>
      <c r="Q40" s="23" t="n"/>
    </row>
    <row r="41" ht="11.25" customHeight="1">
      <c r="A41" s="52" t="inlineStr">
        <is>
          <t>ZAK</t>
        </is>
      </c>
      <c r="B41" s="15" t="inlineStr">
        <is>
          <t>AMONIAK sprzedaż</t>
        </is>
      </c>
      <c r="C41" s="50">
        <f>[48]Ilosc!D$5</f>
        <v/>
      </c>
      <c r="D41" s="54">
        <f>[48]Ilosc!E$5</f>
        <v/>
      </c>
      <c r="E41" s="54">
        <f>[48]Ilosc!F$5</f>
        <v/>
      </c>
      <c r="F41" s="54">
        <f>[48]Ilosc!G$5</f>
        <v/>
      </c>
      <c r="G41" s="54">
        <f>[48]Ilosc!H$5</f>
        <v/>
      </c>
      <c r="H41" s="54">
        <f>[48]Ilosc!I$5</f>
        <v/>
      </c>
      <c r="I41" s="54">
        <f>[48]Ilosc!J$5</f>
        <v/>
      </c>
      <c r="J41" s="54">
        <f>[48]Ilosc!K$5</f>
        <v/>
      </c>
      <c r="K41" s="54">
        <f>[48]Ilosc!L$5</f>
        <v/>
      </c>
      <c r="L41" s="54">
        <f>[48]Ilosc!M$5</f>
        <v/>
      </c>
      <c r="M41" s="54">
        <f>[48]Ilosc!N$5</f>
        <v/>
      </c>
      <c r="N41" s="51">
        <f>[48]Ilosc!O$5</f>
        <v/>
      </c>
      <c r="O41" s="55">
        <f>SUM(C41:N41)</f>
        <v/>
      </c>
      <c r="P41" s="18" t="n"/>
      <c r="Q41" s="23" t="n"/>
    </row>
    <row r="42" ht="11.25" customHeight="1">
      <c r="A42" s="52" t="inlineStr">
        <is>
          <t>ZAK</t>
        </is>
      </c>
      <c r="B42" s="15" t="inlineStr">
        <is>
          <t>KWAS AZOTOWY SPRZEDAŻ</t>
        </is>
      </c>
      <c r="C42" s="53">
        <f>[48]Ilosc!D$8</f>
        <v/>
      </c>
      <c r="D42" s="54">
        <f>[48]Ilosc!E$8</f>
        <v/>
      </c>
      <c r="E42" s="54">
        <f>[48]Ilosc!F$8</f>
        <v/>
      </c>
      <c r="F42" s="54">
        <f>[48]Ilosc!G$8</f>
        <v/>
      </c>
      <c r="G42" s="54">
        <f>[48]Ilosc!H$8</f>
        <v/>
      </c>
      <c r="H42" s="54">
        <f>[48]Ilosc!I$8</f>
        <v/>
      </c>
      <c r="I42" s="54">
        <f>[48]Ilosc!J$8</f>
        <v/>
      </c>
      <c r="J42" s="54">
        <f>[48]Ilosc!K$8</f>
        <v/>
      </c>
      <c r="K42" s="54">
        <f>[48]Ilosc!L$8</f>
        <v/>
      </c>
      <c r="L42" s="54">
        <f>[48]Ilosc!M$8</f>
        <v/>
      </c>
      <c r="M42" s="54">
        <f>[48]Ilosc!N$8</f>
        <v/>
      </c>
      <c r="N42" s="51">
        <f>[48]Ilosc!O$8</f>
        <v/>
      </c>
      <c r="O42" s="55">
        <f>SUM(C42:N42)</f>
        <v/>
      </c>
      <c r="P42" s="18" t="n"/>
      <c r="Q42" s="23" t="n"/>
    </row>
    <row r="43" ht="11.25" customHeight="1">
      <c r="A43" s="52" t="inlineStr">
        <is>
          <t>ZAK</t>
        </is>
      </c>
      <c r="B43" s="15" t="inlineStr">
        <is>
          <t>ZAKSAN</t>
        </is>
      </c>
      <c r="C43" s="54">
        <f>[48]Ilosc!D26</f>
        <v/>
      </c>
      <c r="D43" s="54">
        <f>[48]Ilosc!E26</f>
        <v/>
      </c>
      <c r="E43" s="54">
        <f>[48]Ilosc!F26</f>
        <v/>
      </c>
      <c r="F43" s="54">
        <f>[48]Ilosc!G26</f>
        <v/>
      </c>
      <c r="G43" s="54">
        <f>[48]Ilosc!H26</f>
        <v/>
      </c>
      <c r="H43" s="54">
        <f>[48]Ilosc!I26</f>
        <v/>
      </c>
      <c r="I43" s="54">
        <f>[48]Ilosc!J26</f>
        <v/>
      </c>
      <c r="J43" s="54">
        <f>[48]Ilosc!K26</f>
        <v/>
      </c>
      <c r="K43" s="54">
        <f>[48]Ilosc!L26</f>
        <v/>
      </c>
      <c r="L43" s="51">
        <f>[48]Ilosc!M26</f>
        <v/>
      </c>
      <c r="M43" s="54">
        <f>[48]Ilosc!N26</f>
        <v/>
      </c>
      <c r="N43" s="51">
        <f>[48]Ilosc!O26</f>
        <v/>
      </c>
      <c r="O43" s="55">
        <f>SUM(C43:N43)</f>
        <v/>
      </c>
      <c r="P43" s="18" t="n"/>
      <c r="Q43" s="23" t="n"/>
    </row>
    <row r="44" ht="11.25" customHeight="1">
      <c r="A44" s="52" t="inlineStr">
        <is>
          <t>ZAK</t>
        </is>
      </c>
      <c r="B44" s="15" t="inlineStr">
        <is>
          <t>MEGAN</t>
        </is>
      </c>
      <c r="C44" s="54">
        <f>[48]Ilosc!D$33</f>
        <v/>
      </c>
      <c r="D44" s="54">
        <f>[48]Ilosc!E$33</f>
        <v/>
      </c>
      <c r="E44" s="54">
        <f>[48]Ilosc!F$33</f>
        <v/>
      </c>
      <c r="F44" s="54">
        <f>[48]Ilosc!G$33</f>
        <v/>
      </c>
      <c r="G44" s="54">
        <f>[48]Ilosc!H$33</f>
        <v/>
      </c>
      <c r="H44" s="54">
        <f>[48]Ilosc!I$33</f>
        <v/>
      </c>
      <c r="I44" s="54">
        <f>[48]Ilosc!J$33</f>
        <v/>
      </c>
      <c r="J44" s="54">
        <f>[48]Ilosc!K$33</f>
        <v/>
      </c>
      <c r="K44" s="54">
        <f>[48]Ilosc!L$33</f>
        <v/>
      </c>
      <c r="L44" s="54">
        <f>[48]Ilosc!M$33</f>
        <v/>
      </c>
      <c r="M44" s="54">
        <f>[48]Ilosc!N$33</f>
        <v/>
      </c>
      <c r="N44" s="54">
        <f>[48]Ilosc!O$33</f>
        <v/>
      </c>
      <c r="O44" s="55">
        <f>SUM(C44:N44)</f>
        <v/>
      </c>
      <c r="P44" s="18" t="n"/>
      <c r="Q44" s="23" t="n"/>
    </row>
    <row r="45" ht="11.25" customHeight="1">
      <c r="A45" s="52" t="inlineStr">
        <is>
          <t>ZAK</t>
        </is>
      </c>
      <c r="B45" s="15" t="inlineStr">
        <is>
          <t>SALMAG</t>
        </is>
      </c>
      <c r="C45" s="54">
        <f>[48]Ilosc!D$47</f>
        <v/>
      </c>
      <c r="D45" s="54">
        <f>[48]Ilosc!E$47</f>
        <v/>
      </c>
      <c r="E45" s="54">
        <f>[48]Ilosc!F$47</f>
        <v/>
      </c>
      <c r="F45" s="54">
        <f>[48]Ilosc!G$47</f>
        <v/>
      </c>
      <c r="G45" s="54">
        <f>[48]Ilosc!H$47</f>
        <v/>
      </c>
      <c r="H45" s="54">
        <f>[48]Ilosc!I$47</f>
        <v/>
      </c>
      <c r="I45" s="54">
        <f>[48]Ilosc!J$47</f>
        <v/>
      </c>
      <c r="J45" s="54">
        <f>[48]Ilosc!K$47</f>
        <v/>
      </c>
      <c r="K45" s="54">
        <f>[48]Ilosc!L$47</f>
        <v/>
      </c>
      <c r="L45" s="54">
        <f>[48]Ilosc!M$47</f>
        <v/>
      </c>
      <c r="M45" s="54">
        <f>[48]Ilosc!N$47</f>
        <v/>
      </c>
      <c r="N45" s="54">
        <f>[48]Ilosc!O$47</f>
        <v/>
      </c>
      <c r="O45" s="55">
        <f>SUM(C45:N45)</f>
        <v/>
      </c>
      <c r="P45" s="18" t="n"/>
      <c r="Q45" s="23" t="n"/>
    </row>
    <row r="46" ht="11.25" customHeight="1">
      <c r="A46" s="52" t="inlineStr">
        <is>
          <t>ZAK</t>
        </is>
      </c>
      <c r="B46" s="15" t="inlineStr">
        <is>
          <t>SALMAG Z SIARKĄ</t>
        </is>
      </c>
      <c r="C46" s="54">
        <f>[48]Ilosc!D$54</f>
        <v/>
      </c>
      <c r="D46" s="54">
        <f>[48]Ilosc!E$54</f>
        <v/>
      </c>
      <c r="E46" s="54">
        <f>[48]Ilosc!F$54</f>
        <v/>
      </c>
      <c r="F46" s="54">
        <f>[48]Ilosc!G$54</f>
        <v/>
      </c>
      <c r="G46" s="54">
        <f>[48]Ilosc!H$54</f>
        <v/>
      </c>
      <c r="H46" s="54">
        <f>[48]Ilosc!I$54</f>
        <v/>
      </c>
      <c r="I46" s="54">
        <f>[48]Ilosc!J$54</f>
        <v/>
      </c>
      <c r="J46" s="54">
        <f>[48]Ilosc!K$54</f>
        <v/>
      </c>
      <c r="K46" s="54">
        <f>[48]Ilosc!L$54</f>
        <v/>
      </c>
      <c r="L46" s="54">
        <f>[48]Ilosc!M$54</f>
        <v/>
      </c>
      <c r="M46" s="54">
        <f>[48]Ilosc!N$54</f>
        <v/>
      </c>
      <c r="N46" s="54">
        <f>[48]Ilosc!O$54</f>
        <v/>
      </c>
      <c r="O46" s="55">
        <f>SUM(C46:N46)</f>
        <v/>
      </c>
      <c r="P46" s="18" t="n"/>
      <c r="Q46" s="23" t="n"/>
    </row>
    <row r="47" ht="11.25" customHeight="1">
      <c r="A47" s="52" t="inlineStr">
        <is>
          <t>ZAK</t>
        </is>
      </c>
      <c r="B47" s="15" t="inlineStr">
        <is>
          <t>SALMAG Z BOREM</t>
        </is>
      </c>
      <c r="C47" s="54">
        <f>[48]Ilosc!D$61</f>
        <v/>
      </c>
      <c r="D47" s="54">
        <f>[48]Ilosc!E$61</f>
        <v/>
      </c>
      <c r="E47" s="54">
        <f>[48]Ilosc!F$61</f>
        <v/>
      </c>
      <c r="F47" s="54">
        <f>[48]Ilosc!G$61</f>
        <v/>
      </c>
      <c r="G47" s="54">
        <f>[48]Ilosc!H$61</f>
        <v/>
      </c>
      <c r="H47" s="54">
        <f>[48]Ilosc!I$61</f>
        <v/>
      </c>
      <c r="I47" s="54">
        <f>[48]Ilosc!J$61</f>
        <v/>
      </c>
      <c r="J47" s="54">
        <f>[48]Ilosc!K$61</f>
        <v/>
      </c>
      <c r="K47" s="54">
        <f>[48]Ilosc!L$61</f>
        <v/>
      </c>
      <c r="L47" s="54">
        <f>[48]Ilosc!M$61</f>
        <v/>
      </c>
      <c r="M47" s="54">
        <f>[48]Ilosc!N$61</f>
        <v/>
      </c>
      <c r="N47" s="54">
        <f>[48]Ilosc!O$61</f>
        <v/>
      </c>
      <c r="O47" s="55">
        <f>SUM(C47:N47)</f>
        <v/>
      </c>
      <c r="P47" s="18" t="n"/>
      <c r="Q47" s="23" t="n"/>
    </row>
    <row r="48" ht="11.25" customHeight="1">
      <c r="A48" s="52" t="inlineStr">
        <is>
          <t>ZAK</t>
        </is>
      </c>
      <c r="B48" s="15" t="inlineStr">
        <is>
          <t>eNpluS</t>
        </is>
      </c>
      <c r="C48" s="54">
        <f>[48]Ilosc!D$68</f>
        <v/>
      </c>
      <c r="D48" s="54">
        <f>[48]Ilosc!E$68</f>
        <v/>
      </c>
      <c r="E48" s="54">
        <f>[48]Ilosc!F$68</f>
        <v/>
      </c>
      <c r="F48" s="54">
        <f>[48]Ilosc!G$68</f>
        <v/>
      </c>
      <c r="G48" s="54">
        <f>[48]Ilosc!H$68</f>
        <v/>
      </c>
      <c r="H48" s="54">
        <f>[48]Ilosc!I$68</f>
        <v/>
      </c>
      <c r="I48" s="54">
        <f>[48]Ilosc!J$68</f>
        <v/>
      </c>
      <c r="J48" s="54">
        <f>[48]Ilosc!K$68</f>
        <v/>
      </c>
      <c r="K48" s="54">
        <f>[48]Ilosc!L$68</f>
        <v/>
      </c>
      <c r="L48" s="54">
        <f>[48]Ilosc!M$68</f>
        <v/>
      </c>
      <c r="M48" s="54">
        <f>[48]Ilosc!N$68</f>
        <v/>
      </c>
      <c r="N48" s="54">
        <f>[48]Ilosc!O$68</f>
        <v/>
      </c>
      <c r="O48" s="55">
        <f>SUM(C48:N48)</f>
        <v/>
      </c>
      <c r="P48" s="18" t="n"/>
      <c r="Q48" s="23" t="n"/>
    </row>
    <row r="49" ht="11.25" customHeight="1">
      <c r="A49" s="52" t="inlineStr">
        <is>
          <t>ZAK</t>
        </is>
      </c>
      <c r="B49" s="15" t="inlineStr">
        <is>
          <t>MIXAL</t>
        </is>
      </c>
      <c r="C49" s="54">
        <f>[48]Ilosc!D$138</f>
        <v/>
      </c>
      <c r="D49" s="54">
        <f>[48]Ilosc!E$138</f>
        <v/>
      </c>
      <c r="E49" s="54">
        <f>[48]Ilosc!F$138</f>
        <v/>
      </c>
      <c r="F49" s="54">
        <f>[48]Ilosc!G$138</f>
        <v/>
      </c>
      <c r="G49" s="54">
        <f>[48]Ilosc!H$138</f>
        <v/>
      </c>
      <c r="H49" s="54">
        <f>[48]Ilosc!I$138</f>
        <v/>
      </c>
      <c r="I49" s="54">
        <f>[48]Ilosc!J$138</f>
        <v/>
      </c>
      <c r="J49" s="54">
        <f>[48]Ilosc!K$138</f>
        <v/>
      </c>
      <c r="K49" s="54">
        <f>[48]Ilosc!L$138</f>
        <v/>
      </c>
      <c r="L49" s="54">
        <f>[48]Ilosc!M$138</f>
        <v/>
      </c>
      <c r="M49" s="54">
        <f>[48]Ilosc!N$138</f>
        <v/>
      </c>
      <c r="N49" s="54">
        <f>[48]Ilosc!O$138</f>
        <v/>
      </c>
      <c r="O49" s="55">
        <f>SUM(C49:N49)</f>
        <v/>
      </c>
      <c r="P49" s="18" t="n"/>
      <c r="Q49" s="23" t="n"/>
    </row>
    <row r="50" ht="11.25" customHeight="1">
      <c r="A50" s="52" t="inlineStr">
        <is>
          <t>ZAK</t>
        </is>
      </c>
      <c r="B50" s="15" t="inlineStr">
        <is>
          <t>RSM do sprzedaży</t>
        </is>
      </c>
      <c r="C50" s="54">
        <f>[49]RSM28!E$445+[49]RSM30!E$445+[48]Ilosc!D$145</f>
        <v/>
      </c>
      <c r="D50" s="54">
        <f>[49]RSM28!F$445+[49]RSM30!F$445+[48]Ilosc!E$145</f>
        <v/>
      </c>
      <c r="E50" s="54">
        <f>[49]RSM28!G$445+[49]RSM30!G$445+[48]Ilosc!F$145</f>
        <v/>
      </c>
      <c r="F50" s="54">
        <f>[49]RSM28!H$445+[49]RSM30!H$445+[48]Ilosc!G$145</f>
        <v/>
      </c>
      <c r="G50" s="54">
        <f>[49]RSM28!I$445+[49]RSM30!I$445+[48]Ilosc!H$145</f>
        <v/>
      </c>
      <c r="H50" s="54">
        <f>[49]RSM28!J$445+[49]RSM30!J$445+[48]Ilosc!I$145</f>
        <v/>
      </c>
      <c r="I50" s="54">
        <f>[49]RSM28!K$445+[49]RSM30!K$445+[48]Ilosc!J$145</f>
        <v/>
      </c>
      <c r="J50" s="54">
        <f>[49]RSM28!L$445+[49]RSM30!L$445+[48]Ilosc!K$145</f>
        <v/>
      </c>
      <c r="K50" s="54">
        <f>[49]RSM28!M$445+[49]RSM30!M$445+[48]Ilosc!L$145</f>
        <v/>
      </c>
      <c r="L50" s="54">
        <f>[49]RSM28!N$445+[49]RSM30!N$445+[48]Ilosc!M$145</f>
        <v/>
      </c>
      <c r="M50" s="54">
        <f>[49]RSM28!O$445+[49]RSM30!O$445+[48]Ilosc!N$145</f>
        <v/>
      </c>
      <c r="N50" s="54">
        <f>[49]RSM28!P$445+[49]RSM30!P$445+[48]Ilosc!O$145</f>
        <v/>
      </c>
      <c r="O50" s="55">
        <f>SUM(C50:N50)</f>
        <v/>
      </c>
      <c r="P50" s="18" t="n"/>
      <c r="Q50" s="23" t="n"/>
    </row>
    <row r="51" ht="11.25" customHeight="1">
      <c r="A51" s="52" t="inlineStr">
        <is>
          <t>ZAK</t>
        </is>
      </c>
      <c r="B51" s="15" t="inlineStr">
        <is>
          <t>RSMS</t>
        </is>
      </c>
      <c r="C51" s="54">
        <f>[48]Ilosc!D$151</f>
        <v/>
      </c>
      <c r="D51" s="54">
        <f>[48]Ilosc!E$151</f>
        <v/>
      </c>
      <c r="E51" s="54">
        <f>[48]Ilosc!F$151</f>
        <v/>
      </c>
      <c r="F51" s="54">
        <f>[48]Ilosc!G$151</f>
        <v/>
      </c>
      <c r="G51" s="54">
        <f>[48]Ilosc!H$151</f>
        <v/>
      </c>
      <c r="H51" s="54">
        <f>[48]Ilosc!I$151</f>
        <v/>
      </c>
      <c r="I51" s="54">
        <f>[48]Ilosc!J$151</f>
        <v/>
      </c>
      <c r="J51" s="54">
        <f>[48]Ilosc!K$151</f>
        <v/>
      </c>
      <c r="K51" s="54">
        <f>[48]Ilosc!L$151</f>
        <v/>
      </c>
      <c r="L51" s="54">
        <f>[48]Ilosc!M$151</f>
        <v/>
      </c>
      <c r="M51" s="54">
        <f>[48]Ilosc!N$151</f>
        <v/>
      </c>
      <c r="N51" s="54">
        <f>[48]Ilosc!O$151</f>
        <v/>
      </c>
      <c r="O51" s="55">
        <f>SUM(C51:N51)</f>
        <v/>
      </c>
      <c r="P51" s="18" t="n"/>
      <c r="Q51" s="23" t="n"/>
    </row>
    <row r="52" ht="11.25" customHeight="1">
      <c r="A52" s="52" t="inlineStr">
        <is>
          <t>ZAK</t>
        </is>
      </c>
      <c r="B52" s="15" t="inlineStr">
        <is>
          <t>MOCZNIK GRANULOWANY</t>
        </is>
      </c>
      <c r="C52" s="54">
        <f>[48]Ilosc!D$160</f>
        <v/>
      </c>
      <c r="D52" s="54">
        <f>[48]Ilosc!E$160</f>
        <v/>
      </c>
      <c r="E52" s="54">
        <f>[48]Ilosc!F$160</f>
        <v/>
      </c>
      <c r="F52" s="54">
        <f>[48]Ilosc!G$160</f>
        <v/>
      </c>
      <c r="G52" s="54">
        <f>[48]Ilosc!H$160</f>
        <v/>
      </c>
      <c r="H52" s="54">
        <f>[48]Ilosc!I$160</f>
        <v/>
      </c>
      <c r="I52" s="54">
        <f>[48]Ilosc!J$160</f>
        <v/>
      </c>
      <c r="J52" s="54">
        <f>[48]Ilosc!K$160</f>
        <v/>
      </c>
      <c r="K52" s="54">
        <f>[48]Ilosc!L$160</f>
        <v/>
      </c>
      <c r="L52" s="54">
        <f>[48]Ilosc!M$160</f>
        <v/>
      </c>
      <c r="M52" s="54">
        <f>[48]Ilosc!N$160</f>
        <v/>
      </c>
      <c r="N52" s="54">
        <f>[48]Ilosc!O$160</f>
        <v/>
      </c>
      <c r="O52" s="55">
        <f>SUM(C52:N52)</f>
        <v/>
      </c>
      <c r="P52" s="18" t="n"/>
      <c r="Q52" s="23" t="n"/>
    </row>
    <row r="53" ht="11.25" customHeight="1">
      <c r="A53" s="52" t="inlineStr">
        <is>
          <t>ZAK</t>
        </is>
      </c>
      <c r="B53" s="15" t="inlineStr">
        <is>
          <t>NOxy</t>
        </is>
      </c>
      <c r="C53" s="54">
        <f>[48]Ilosc!D$14</f>
        <v/>
      </c>
      <c r="D53" s="54">
        <f>[48]Ilosc!E$14</f>
        <v/>
      </c>
      <c r="E53" s="54">
        <f>[48]Ilosc!F$14</f>
        <v/>
      </c>
      <c r="F53" s="54">
        <f>[48]Ilosc!G$14</f>
        <v/>
      </c>
      <c r="G53" s="54">
        <f>[48]Ilosc!H$14</f>
        <v/>
      </c>
      <c r="H53" s="54">
        <f>[48]Ilosc!I$14</f>
        <v/>
      </c>
      <c r="I53" s="54">
        <f>[48]Ilosc!J$14</f>
        <v/>
      </c>
      <c r="J53" s="54">
        <f>[48]Ilosc!K$14</f>
        <v/>
      </c>
      <c r="K53" s="54">
        <f>[48]Ilosc!L$14</f>
        <v/>
      </c>
      <c r="L53" s="54">
        <f>[48]Ilosc!M$14</f>
        <v/>
      </c>
      <c r="M53" s="54">
        <f>[48]Ilosc!N$14</f>
        <v/>
      </c>
      <c r="N53" s="54">
        <f>[48]Ilosc!O$14</f>
        <v/>
      </c>
      <c r="O53" s="55">
        <f>SUM(C53:N53)</f>
        <v/>
      </c>
      <c r="P53" s="18" t="n"/>
      <c r="Q53" s="23" t="n"/>
    </row>
    <row r="54" ht="11.25" customHeight="1">
      <c r="A54" s="52" t="inlineStr">
        <is>
          <t>ZAK</t>
        </is>
      </c>
      <c r="B54" s="15" t="inlineStr">
        <is>
          <t>PULNOX40</t>
        </is>
      </c>
      <c r="C54" s="54">
        <f>[48]Ilosc!D$20</f>
        <v/>
      </c>
      <c r="D54" s="54">
        <f>[48]Ilosc!E$20</f>
        <v/>
      </c>
      <c r="E54" s="54">
        <f>[48]Ilosc!F$20</f>
        <v/>
      </c>
      <c r="F54" s="54">
        <f>[48]Ilosc!G$20</f>
        <v/>
      </c>
      <c r="G54" s="54">
        <f>[48]Ilosc!H$20</f>
        <v/>
      </c>
      <c r="H54" s="54">
        <f>[48]Ilosc!I$20</f>
        <v/>
      </c>
      <c r="I54" s="54">
        <f>[48]Ilosc!J$20</f>
        <v/>
      </c>
      <c r="J54" s="54">
        <f>[48]Ilosc!K$20</f>
        <v/>
      </c>
      <c r="K54" s="54">
        <f>[48]Ilosc!L$20</f>
        <v/>
      </c>
      <c r="L54" s="54">
        <f>[48]Ilosc!M$20</f>
        <v/>
      </c>
      <c r="M54" s="54">
        <f>[48]Ilosc!N$20</f>
        <v/>
      </c>
      <c r="N54" s="54">
        <f>[48]Ilosc!O$20</f>
        <v/>
      </c>
      <c r="O54" s="55">
        <f>SUM(C54:N54)</f>
        <v/>
      </c>
      <c r="P54" s="18" t="n"/>
      <c r="Q54" s="23" t="n"/>
    </row>
    <row r="55" ht="11.25" customHeight="1">
      <c r="A55" s="52" t="inlineStr">
        <is>
          <t>ZAK</t>
        </is>
      </c>
      <c r="B55" s="15" t="inlineStr">
        <is>
          <t>PULNOX45</t>
        </is>
      </c>
      <c r="C55" s="54">
        <f>[48]Ilosc!D$23</f>
        <v/>
      </c>
      <c r="D55" s="54">
        <f>[48]Ilosc!E$23</f>
        <v/>
      </c>
      <c r="E55" s="54">
        <f>[48]Ilosc!F$23</f>
        <v/>
      </c>
      <c r="F55" s="54">
        <f>[48]Ilosc!G$23</f>
        <v/>
      </c>
      <c r="G55" s="54">
        <f>[48]Ilosc!H$23</f>
        <v/>
      </c>
      <c r="H55" s="54">
        <f>[48]Ilosc!I$23</f>
        <v/>
      </c>
      <c r="I55" s="54">
        <f>[48]Ilosc!J$23</f>
        <v/>
      </c>
      <c r="J55" s="54">
        <f>[48]Ilosc!K$23</f>
        <v/>
      </c>
      <c r="K55" s="54">
        <f>[48]Ilosc!L$23</f>
        <v/>
      </c>
      <c r="L55" s="54">
        <f>[48]Ilosc!M$23</f>
        <v/>
      </c>
      <c r="M55" s="54">
        <f>[48]Ilosc!N$23</f>
        <v/>
      </c>
      <c r="N55" s="54">
        <f>[48]Ilosc!O$23</f>
        <v/>
      </c>
      <c r="O55" s="55">
        <f>SUM(C55:N55)</f>
        <v/>
      </c>
      <c r="P55" s="18" t="n"/>
      <c r="Q55" s="23" t="n"/>
    </row>
    <row r="56" ht="11.25" customHeight="1">
      <c r="A56" s="52" t="inlineStr">
        <is>
          <t>ZAK</t>
        </is>
      </c>
      <c r="B56" s="15" t="inlineStr">
        <is>
          <t>Wodór OXO [dam3]</t>
        </is>
      </c>
      <c r="C56" s="54">
        <f>SUM([49]Produkcja!E$75:E$76)</f>
        <v/>
      </c>
      <c r="D56" s="54">
        <f>SUM([49]Produkcja!F$75:F$76)</f>
        <v/>
      </c>
      <c r="E56" s="54">
        <f>SUM([49]Produkcja!G$75:G$76)</f>
        <v/>
      </c>
      <c r="F56" s="54">
        <f>SUM([49]Produkcja!H$75:H$76)</f>
        <v/>
      </c>
      <c r="G56" s="54">
        <f>SUM([49]Produkcja!I$75:I$76)</f>
        <v/>
      </c>
      <c r="H56" s="54">
        <f>SUM([49]Produkcja!J$75:J$76)</f>
        <v/>
      </c>
      <c r="I56" s="54">
        <f>SUM([49]Produkcja!K$75:K$76)</f>
        <v/>
      </c>
      <c r="J56" s="54">
        <f>SUM([49]Produkcja!L$75:L$76)</f>
        <v/>
      </c>
      <c r="K56" s="54">
        <f>SUM([49]Produkcja!M$75:M$76)</f>
        <v/>
      </c>
      <c r="L56" s="54">
        <f>SUM([49]Produkcja!N$75:N$76)</f>
        <v/>
      </c>
      <c r="M56" s="54">
        <f>SUM([49]Produkcja!O$75:O$76)</f>
        <v/>
      </c>
      <c r="N56" s="54">
        <f>SUM([49]Produkcja!P$75:P$76)</f>
        <v/>
      </c>
      <c r="O56" s="55">
        <f>SUM(C56:N56)</f>
        <v/>
      </c>
      <c r="P56" s="23" t="n"/>
      <c r="Q56" s="23" t="n"/>
    </row>
    <row r="57" ht="11.25" customHeight="1">
      <c r="A57" s="52" t="inlineStr">
        <is>
          <t>ZAK</t>
        </is>
      </c>
      <c r="B57" s="15" t="inlineStr">
        <is>
          <t>Wodór Sprzedaż [dam3]</t>
        </is>
      </c>
      <c r="C57" s="54">
        <f>[48]Ilosc!D$168</f>
        <v/>
      </c>
      <c r="D57" s="54">
        <f>[48]Ilosc!E$168</f>
        <v/>
      </c>
      <c r="E57" s="54">
        <f>[48]Ilosc!F$168</f>
        <v/>
      </c>
      <c r="F57" s="54">
        <f>[48]Ilosc!G$168</f>
        <v/>
      </c>
      <c r="G57" s="54">
        <f>[48]Ilosc!H$168</f>
        <v/>
      </c>
      <c r="H57" s="54">
        <f>[48]Ilosc!I$168</f>
        <v/>
      </c>
      <c r="I57" s="54">
        <f>[48]Ilosc!J$168</f>
        <v/>
      </c>
      <c r="J57" s="54">
        <f>[48]Ilosc!K$168</f>
        <v/>
      </c>
      <c r="K57" s="54">
        <f>[48]Ilosc!L$168</f>
        <v/>
      </c>
      <c r="L57" s="54">
        <f>[48]Ilosc!M$168</f>
        <v/>
      </c>
      <c r="M57" s="54">
        <f>[48]Ilosc!N$168</f>
        <v/>
      </c>
      <c r="N57" s="54">
        <f>[48]Ilosc!O$168</f>
        <v/>
      </c>
      <c r="O57" s="55">
        <f>SUM(C57:N57)</f>
        <v/>
      </c>
      <c r="P57" s="18" t="n"/>
      <c r="Q57" s="23" t="n"/>
    </row>
    <row r="58" ht="11.25" customHeight="1">
      <c r="A58" s="52" t="inlineStr">
        <is>
          <t>ZAK</t>
        </is>
      </c>
      <c r="B58" s="15" t="inlineStr">
        <is>
          <t>Oxoviflex</t>
        </is>
      </c>
      <c r="C58" s="54">
        <f>'[50]Plan produkcji'!D5</f>
        <v/>
      </c>
      <c r="D58" s="54">
        <f>'[50]Plan produkcji'!E5</f>
        <v/>
      </c>
      <c r="E58" s="54">
        <f>'[50]Plan produkcji'!F5</f>
        <v/>
      </c>
      <c r="F58" s="54">
        <f>'[50]Plan produkcji'!G5</f>
        <v/>
      </c>
      <c r="G58" s="54">
        <f>'[50]Plan produkcji'!H5</f>
        <v/>
      </c>
      <c r="H58" s="54">
        <f>'[50]Plan produkcji'!I5</f>
        <v/>
      </c>
      <c r="I58" s="54">
        <f>'[50]Plan produkcji'!J5</f>
        <v/>
      </c>
      <c r="J58" s="54">
        <f>'[50]Plan produkcji'!K5</f>
        <v/>
      </c>
      <c r="K58" s="54">
        <f>'[50]Plan produkcji'!L5</f>
        <v/>
      </c>
      <c r="L58" s="54">
        <f>'[50]Plan produkcji'!M5</f>
        <v/>
      </c>
      <c r="M58" s="54">
        <f>'[50]Plan produkcji'!N5</f>
        <v/>
      </c>
      <c r="N58" s="54">
        <f>'[50]Plan produkcji'!O5</f>
        <v/>
      </c>
      <c r="O58" s="56">
        <f>SUM(C58:N58)</f>
        <v/>
      </c>
      <c r="P58" s="18" t="n"/>
      <c r="Q58" s="23" t="n"/>
    </row>
    <row r="59" ht="11.25" customHeight="1">
      <c r="A59" s="52" t="inlineStr">
        <is>
          <t>ZAK</t>
        </is>
      </c>
      <c r="B59" s="15" t="inlineStr">
        <is>
          <t>Oxofine TOTM</t>
        </is>
      </c>
      <c r="C59" s="54">
        <f>'[50]Plan produkcji'!D44</f>
        <v/>
      </c>
      <c r="D59" s="54">
        <f>'[50]Plan produkcji'!E44</f>
        <v/>
      </c>
      <c r="E59" s="54">
        <f>'[50]Plan produkcji'!F44</f>
        <v/>
      </c>
      <c r="F59" s="54">
        <f>'[50]Plan produkcji'!G44</f>
        <v/>
      </c>
      <c r="G59" s="54">
        <f>'[50]Plan produkcji'!H44</f>
        <v/>
      </c>
      <c r="H59" s="54">
        <f>'[50]Plan produkcji'!I44</f>
        <v/>
      </c>
      <c r="I59" s="54">
        <f>'[50]Plan produkcji'!J44</f>
        <v/>
      </c>
      <c r="J59" s="54">
        <f>'[50]Plan produkcji'!K44</f>
        <v/>
      </c>
      <c r="K59" s="54">
        <f>'[50]Plan produkcji'!L44</f>
        <v/>
      </c>
      <c r="L59" s="54">
        <f>'[50]Plan produkcji'!M44</f>
        <v/>
      </c>
      <c r="M59" s="54">
        <f>'[50]Plan produkcji'!N44</f>
        <v/>
      </c>
      <c r="N59" s="54">
        <f>'[50]Plan produkcji'!O44</f>
        <v/>
      </c>
      <c r="O59" s="56">
        <f>SUM(C59:N59)</f>
        <v/>
      </c>
      <c r="P59" s="18" t="n"/>
      <c r="Q59" s="23" t="n"/>
    </row>
    <row r="60" ht="11.25" customHeight="1">
      <c r="A60" s="52" t="inlineStr">
        <is>
          <t>ZAK</t>
        </is>
      </c>
      <c r="B60" s="15" t="inlineStr">
        <is>
          <t>2-etyloheksanol</t>
        </is>
      </c>
      <c r="C60" s="54">
        <f>'[50]Plan produkcji'!D59</f>
        <v/>
      </c>
      <c r="D60" s="54">
        <f>'[50]Plan produkcji'!E59</f>
        <v/>
      </c>
      <c r="E60" s="54">
        <f>'[50]Plan produkcji'!F59</f>
        <v/>
      </c>
      <c r="F60" s="54">
        <f>'[50]Plan produkcji'!G59</f>
        <v/>
      </c>
      <c r="G60" s="54">
        <f>'[50]Plan produkcji'!H59</f>
        <v/>
      </c>
      <c r="H60" s="54">
        <f>'[50]Plan produkcji'!I59</f>
        <v/>
      </c>
      <c r="I60" s="54">
        <f>'[50]Plan produkcji'!J59</f>
        <v/>
      </c>
      <c r="J60" s="54">
        <f>'[50]Plan produkcji'!K59</f>
        <v/>
      </c>
      <c r="K60" s="54">
        <f>'[50]Plan produkcji'!L59</f>
        <v/>
      </c>
      <c r="L60" s="54">
        <f>'[50]Plan produkcji'!M59</f>
        <v/>
      </c>
      <c r="M60" s="54">
        <f>'[50]Plan produkcji'!N59</f>
        <v/>
      </c>
      <c r="N60" s="54">
        <f>'[50]Plan produkcji'!O59</f>
        <v/>
      </c>
      <c r="O60" s="56">
        <f>SUM(C60:N60)</f>
        <v/>
      </c>
      <c r="P60" s="18" t="n"/>
      <c r="Q60" s="23" t="n"/>
    </row>
    <row r="61" ht="11.25" customHeight="1">
      <c r="A61" s="52" t="inlineStr">
        <is>
          <t>ZAK</t>
        </is>
      </c>
      <c r="B61" s="15" t="inlineStr">
        <is>
          <t>N-butanol</t>
        </is>
      </c>
      <c r="C61" s="54">
        <f>'[50]Plan produkcji'!D75</f>
        <v/>
      </c>
      <c r="D61" s="54">
        <f>'[50]Plan produkcji'!E75</f>
        <v/>
      </c>
      <c r="E61" s="54">
        <f>'[50]Plan produkcji'!F75</f>
        <v/>
      </c>
      <c r="F61" s="54">
        <f>'[50]Plan produkcji'!G75</f>
        <v/>
      </c>
      <c r="G61" s="54">
        <f>'[50]Plan produkcji'!H75</f>
        <v/>
      </c>
      <c r="H61" s="54">
        <f>'[50]Plan produkcji'!I75</f>
        <v/>
      </c>
      <c r="I61" s="54">
        <f>'[50]Plan produkcji'!J75</f>
        <v/>
      </c>
      <c r="J61" s="54">
        <f>'[50]Plan produkcji'!K75</f>
        <v/>
      </c>
      <c r="K61" s="54">
        <f>'[50]Plan produkcji'!L75</f>
        <v/>
      </c>
      <c r="L61" s="54">
        <f>'[50]Plan produkcji'!M75</f>
        <v/>
      </c>
      <c r="M61" s="54">
        <f>'[50]Plan produkcji'!N75</f>
        <v/>
      </c>
      <c r="N61" s="54">
        <f>'[50]Plan produkcji'!O75</f>
        <v/>
      </c>
      <c r="O61" s="56">
        <f>SUM(C61:N61)</f>
        <v/>
      </c>
      <c r="P61" s="18" t="n"/>
      <c r="Q61" s="23" t="n"/>
    </row>
    <row r="62" ht="11.25" customHeight="1">
      <c r="A62" s="52" t="inlineStr">
        <is>
          <t>ZAK</t>
        </is>
      </c>
      <c r="B62" s="15" t="inlineStr">
        <is>
          <t>Izobutanol</t>
        </is>
      </c>
      <c r="C62" s="54">
        <f>'[50]Plan produkcji'!D83</f>
        <v/>
      </c>
      <c r="D62" s="54">
        <f>'[50]Plan produkcji'!E83</f>
        <v/>
      </c>
      <c r="E62" s="54">
        <f>'[50]Plan produkcji'!F83</f>
        <v/>
      </c>
      <c r="F62" s="54">
        <f>'[50]Plan produkcji'!G83</f>
        <v/>
      </c>
      <c r="G62" s="54">
        <f>'[50]Plan produkcji'!H83</f>
        <v/>
      </c>
      <c r="H62" s="54">
        <f>'[50]Plan produkcji'!I83</f>
        <v/>
      </c>
      <c r="I62" s="54">
        <f>'[50]Plan produkcji'!J83</f>
        <v/>
      </c>
      <c r="J62" s="54">
        <f>'[50]Plan produkcji'!K83</f>
        <v/>
      </c>
      <c r="K62" s="54">
        <f>'[50]Plan produkcji'!L83</f>
        <v/>
      </c>
      <c r="L62" s="54">
        <f>'[50]Plan produkcji'!M83</f>
        <v/>
      </c>
      <c r="M62" s="54">
        <f>'[50]Plan produkcji'!N83</f>
        <v/>
      </c>
      <c r="N62" s="54">
        <f>'[50]Plan produkcji'!O83</f>
        <v/>
      </c>
      <c r="O62" s="56">
        <f>SUM(C62:N62)</f>
        <v/>
      </c>
      <c r="P62" s="18" t="n"/>
      <c r="Q62" s="23" t="n"/>
    </row>
    <row r="63" ht="11.25" customHeight="1">
      <c r="A63" s="52" t="inlineStr">
        <is>
          <t>ZAK</t>
        </is>
      </c>
      <c r="B63" s="15" t="inlineStr">
        <is>
          <t>Aldehyd N-masłowy</t>
        </is>
      </c>
      <c r="C63" s="54">
        <f>'[50]Plan produkcji'!D91</f>
        <v/>
      </c>
      <c r="D63" s="54">
        <f>'[50]Plan produkcji'!E91</f>
        <v/>
      </c>
      <c r="E63" s="54">
        <f>'[50]Plan produkcji'!F91</f>
        <v/>
      </c>
      <c r="F63" s="54">
        <f>'[50]Plan produkcji'!G91</f>
        <v/>
      </c>
      <c r="G63" s="54">
        <f>'[50]Plan produkcji'!H91</f>
        <v/>
      </c>
      <c r="H63" s="54">
        <f>'[50]Plan produkcji'!I91</f>
        <v/>
      </c>
      <c r="I63" s="54">
        <f>'[50]Plan produkcji'!J91</f>
        <v/>
      </c>
      <c r="J63" s="54">
        <f>'[50]Plan produkcji'!K91</f>
        <v/>
      </c>
      <c r="K63" s="54">
        <f>'[50]Plan produkcji'!L91</f>
        <v/>
      </c>
      <c r="L63" s="54">
        <f>'[50]Plan produkcji'!M91</f>
        <v/>
      </c>
      <c r="M63" s="54">
        <f>'[50]Plan produkcji'!N91</f>
        <v/>
      </c>
      <c r="N63" s="54">
        <f>'[50]Plan produkcji'!O91</f>
        <v/>
      </c>
      <c r="O63" s="56">
        <f>SUM(C63:N63)</f>
        <v/>
      </c>
      <c r="P63" s="18" t="n"/>
      <c r="Q63" s="23" t="n"/>
    </row>
    <row r="64" ht="11.25" customHeight="1">
      <c r="A64" s="52" t="inlineStr">
        <is>
          <t>ZAK</t>
        </is>
      </c>
      <c r="B64" s="15" t="inlineStr">
        <is>
          <t>Aldehyd Izomasłowy</t>
        </is>
      </c>
      <c r="C64" s="54">
        <f>'[50]Plan produkcji'!D99</f>
        <v/>
      </c>
      <c r="D64" s="54">
        <f>'[50]Plan produkcji'!E99</f>
        <v/>
      </c>
      <c r="E64" s="54">
        <f>'[50]Plan produkcji'!F99</f>
        <v/>
      </c>
      <c r="F64" s="54">
        <f>'[50]Plan produkcji'!G99</f>
        <v/>
      </c>
      <c r="G64" s="54">
        <f>'[50]Plan produkcji'!H99</f>
        <v/>
      </c>
      <c r="H64" s="54">
        <f>'[50]Plan produkcji'!I99</f>
        <v/>
      </c>
      <c r="I64" s="54">
        <f>'[50]Plan produkcji'!J99</f>
        <v/>
      </c>
      <c r="J64" s="54">
        <f>'[50]Plan produkcji'!K99</f>
        <v/>
      </c>
      <c r="K64" s="54">
        <f>'[50]Plan produkcji'!L99</f>
        <v/>
      </c>
      <c r="L64" s="54">
        <f>'[50]Plan produkcji'!M99</f>
        <v/>
      </c>
      <c r="M64" s="54">
        <f>'[50]Plan produkcji'!N99</f>
        <v/>
      </c>
      <c r="N64" s="54">
        <f>'[50]Plan produkcji'!O99</f>
        <v/>
      </c>
      <c r="O64" s="56">
        <f>SUM(C64:N64)</f>
        <v/>
      </c>
      <c r="P64" s="18" t="n"/>
      <c r="Q64" s="23" t="n"/>
    </row>
    <row r="65" ht="11.25" customHeight="1">
      <c r="B65" s="4" t="n"/>
      <c r="C65" s="32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4" t="n"/>
      <c r="O65" s="35" t="n"/>
      <c r="P65" s="18" t="n"/>
      <c r="Q65" s="23" t="n"/>
    </row>
    <row r="66" ht="11.25" customHeight="1">
      <c r="A66" s="57" t="inlineStr">
        <is>
          <t>ZAT</t>
        </is>
      </c>
      <c r="B66" s="15" t="inlineStr">
        <is>
          <t>Kwas azotowy stężony</t>
        </is>
      </c>
      <c r="C66" s="17" t="n">
        <v>4815</v>
      </c>
      <c r="D66" s="17" t="n">
        <v>4815</v>
      </c>
      <c r="E66" s="17" t="n">
        <v>5215</v>
      </c>
      <c r="F66" s="17" t="n">
        <v>5215</v>
      </c>
      <c r="G66" s="17" t="n">
        <v>5090</v>
      </c>
      <c r="H66" s="17" t="n">
        <v>3125</v>
      </c>
      <c r="I66" s="17" t="n">
        <v>2785</v>
      </c>
      <c r="J66" s="17" t="n">
        <v>4335</v>
      </c>
      <c r="K66" s="17" t="n">
        <v>5315</v>
      </c>
      <c r="L66" s="17" t="n">
        <v>5415</v>
      </c>
      <c r="M66" s="17" t="n">
        <v>5342</v>
      </c>
      <c r="N66" s="17" t="n">
        <v>5115</v>
      </c>
      <c r="O66" s="58">
        <f>SUM(C66:N66)</f>
        <v/>
      </c>
      <c r="P66" s="18" t="n"/>
      <c r="Q66" s="23" t="n"/>
    </row>
    <row r="67" ht="11.25" customHeight="1">
      <c r="A67" s="57" t="inlineStr">
        <is>
          <t>ZAT</t>
        </is>
      </c>
      <c r="B67" s="15" t="inlineStr">
        <is>
          <t>Nitroza 88%</t>
        </is>
      </c>
      <c r="C67" s="17" t="n">
        <v>1200</v>
      </c>
      <c r="D67" s="17" t="n">
        <v>1050</v>
      </c>
      <c r="E67" s="17" t="n">
        <v>1200</v>
      </c>
      <c r="F67" s="17" t="n">
        <v>1150</v>
      </c>
      <c r="G67" s="17" t="n">
        <v>1150</v>
      </c>
      <c r="H67" s="17" t="n">
        <v>0</v>
      </c>
      <c r="I67" s="17" t="n">
        <v>0</v>
      </c>
      <c r="J67" s="17" t="n">
        <v>800</v>
      </c>
      <c r="K67" s="17" t="n">
        <v>1200</v>
      </c>
      <c r="L67" s="17" t="n">
        <v>1200</v>
      </c>
      <c r="M67" s="17" t="n">
        <v>1200</v>
      </c>
      <c r="N67" s="17" t="n">
        <v>1200</v>
      </c>
      <c r="O67" s="58">
        <f>SUM(C67:N67)</f>
        <v/>
      </c>
      <c r="P67" s="18" t="n"/>
      <c r="Q67" s="23" t="n"/>
    </row>
    <row r="68" ht="11.25" customHeight="1">
      <c r="A68" s="57" t="inlineStr">
        <is>
          <t>ZAT</t>
        </is>
      </c>
      <c r="B68" s="15" t="inlineStr">
        <is>
          <t>Nitroza 50%</t>
        </is>
      </c>
      <c r="C68" s="17" t="n">
        <v>800</v>
      </c>
      <c r="D68" s="17" t="n">
        <v>800</v>
      </c>
      <c r="E68" s="17" t="n">
        <v>800</v>
      </c>
      <c r="F68" s="17" t="n">
        <v>800</v>
      </c>
      <c r="G68" s="17" t="n">
        <v>800</v>
      </c>
      <c r="H68" s="17" t="n">
        <v>800</v>
      </c>
      <c r="I68" s="17" t="n">
        <v>800</v>
      </c>
      <c r="J68" s="17" t="n">
        <v>800</v>
      </c>
      <c r="K68" s="17" t="n">
        <v>800</v>
      </c>
      <c r="L68" s="17" t="n">
        <v>800</v>
      </c>
      <c r="M68" s="17" t="n">
        <v>800</v>
      </c>
      <c r="N68" s="17" t="n">
        <v>800</v>
      </c>
      <c r="O68" s="58">
        <f>SUM(C68:N68)</f>
        <v/>
      </c>
      <c r="P68" s="18" t="n"/>
      <c r="Q68" s="23" t="n"/>
    </row>
    <row r="69" ht="11.25" customHeight="1">
      <c r="A69" s="57" t="inlineStr">
        <is>
          <t>ZAT</t>
        </is>
      </c>
      <c r="B69" s="15" t="inlineStr">
        <is>
          <t>Saletrzak 27 z borem</t>
        </is>
      </c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58">
        <f>SUM(C69:N69)</f>
        <v/>
      </c>
      <c r="P69" s="18" t="n"/>
      <c r="Q69" s="23" t="n"/>
    </row>
    <row r="70" ht="11.25" customHeight="1">
      <c r="A70" s="57" t="inlineStr">
        <is>
          <t>ZAT</t>
        </is>
      </c>
      <c r="B70" s="15" t="inlineStr">
        <is>
          <t>Saletrzak standard plus</t>
        </is>
      </c>
      <c r="C70" s="17" t="n">
        <v>12904</v>
      </c>
      <c r="D70" s="17" t="n">
        <v>15024</v>
      </c>
      <c r="E70" s="17" t="n">
        <v>13272</v>
      </c>
      <c r="F70" s="17" t="n">
        <v>7392</v>
      </c>
      <c r="G70" s="17" t="n">
        <v>2000</v>
      </c>
      <c r="H70" s="17" t="n">
        <v>9264</v>
      </c>
      <c r="I70" s="17" t="n">
        <v>11328</v>
      </c>
      <c r="J70" s="17" t="n">
        <v>11904</v>
      </c>
      <c r="K70" s="17" t="n">
        <v>14568</v>
      </c>
      <c r="L70" s="17" t="n">
        <v>15024</v>
      </c>
      <c r="M70" s="17" t="n">
        <v>15240</v>
      </c>
      <c r="N70" s="17" t="n">
        <v>15216</v>
      </c>
      <c r="O70" s="58">
        <f>SUM(C70:N70)</f>
        <v/>
      </c>
      <c r="P70" s="18" t="n"/>
      <c r="Q70" s="23" t="n"/>
    </row>
    <row r="71" ht="11.25" customHeight="1">
      <c r="A71" s="57" t="inlineStr">
        <is>
          <t>ZAT</t>
        </is>
      </c>
      <c r="B71" s="15" t="inlineStr">
        <is>
          <t>Saletromag 24</t>
        </is>
      </c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58">
        <f>SUM(C71:N71)</f>
        <v/>
      </c>
      <c r="P71" s="18" t="n"/>
      <c r="Q71" s="23" t="n"/>
    </row>
    <row r="72" ht="11.25" customHeight="1">
      <c r="A72" s="57" t="inlineStr">
        <is>
          <t>ZAT</t>
        </is>
      </c>
      <c r="B72" s="15" t="inlineStr">
        <is>
          <t xml:space="preserve">Saletromag+Ca </t>
        </is>
      </c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58">
        <f>SUM(C72:N72)</f>
        <v/>
      </c>
      <c r="P72" s="18" t="n"/>
      <c r="Q72" s="23" t="n"/>
    </row>
    <row r="73" ht="11.25" customHeight="1">
      <c r="A73" s="57" t="inlineStr">
        <is>
          <t>ZAT</t>
        </is>
      </c>
      <c r="B73" s="15" t="inlineStr">
        <is>
          <t xml:space="preserve">Saletromag </t>
        </is>
      </c>
      <c r="C73" s="17" t="n">
        <v>0</v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3000</v>
      </c>
      <c r="J73" s="17" t="n">
        <v>0</v>
      </c>
      <c r="K73" s="17" t="n">
        <v>3000</v>
      </c>
      <c r="L73" s="17" t="n">
        <v>0</v>
      </c>
      <c r="M73" s="17" t="n">
        <v>0</v>
      </c>
      <c r="N73" s="17" t="n">
        <v>0</v>
      </c>
      <c r="O73" s="58">
        <f>SUM(C73:N73)</f>
        <v/>
      </c>
      <c r="P73" s="18" t="n"/>
      <c r="Q73" s="23" t="n"/>
    </row>
    <row r="74" ht="11.25" customHeight="1">
      <c r="A74" s="57" t="inlineStr">
        <is>
          <t>ZAT</t>
        </is>
      </c>
      <c r="B74" s="15" t="inlineStr">
        <is>
          <t>Saletrosan 26 Plus</t>
        </is>
      </c>
      <c r="C74" s="17" t="n">
        <v>38460</v>
      </c>
      <c r="D74" s="17" t="n">
        <v>31000</v>
      </c>
      <c r="E74" s="17" t="n">
        <v>19400</v>
      </c>
      <c r="F74" s="17" t="n">
        <v>11336</v>
      </c>
      <c r="G74" s="17" t="n">
        <v>0</v>
      </c>
      <c r="H74" s="17" t="n">
        <v>24152</v>
      </c>
      <c r="I74" s="17" t="n">
        <v>31348</v>
      </c>
      <c r="J74" s="17" t="n">
        <v>31068</v>
      </c>
      <c r="K74" s="17" t="n">
        <v>33944</v>
      </c>
      <c r="L74" s="17" t="n">
        <v>37600</v>
      </c>
      <c r="M74" s="17" t="n">
        <v>36180</v>
      </c>
      <c r="N74" s="17" t="n">
        <v>35220</v>
      </c>
      <c r="O74" s="58">
        <f>SUM(C74:N74)</f>
        <v/>
      </c>
      <c r="P74" s="18" t="n"/>
      <c r="Q74" s="23" t="n"/>
    </row>
    <row r="75" ht="11.25" customHeight="1">
      <c r="A75" s="57" t="inlineStr">
        <is>
          <t>ZAT</t>
        </is>
      </c>
      <c r="B75" s="15" t="inlineStr">
        <is>
          <t>Saletrosan 30</t>
        </is>
      </c>
      <c r="C75" s="17" t="n">
        <v>1500</v>
      </c>
      <c r="D75" s="17" t="n">
        <v>3000</v>
      </c>
      <c r="E75" s="17" t="n">
        <v>6000</v>
      </c>
      <c r="F75" s="17" t="n">
        <v>6000</v>
      </c>
      <c r="G75" s="17" t="n">
        <v>2200</v>
      </c>
      <c r="H75" s="17" t="n">
        <v>6000</v>
      </c>
      <c r="I75" s="17" t="n">
        <v>9000</v>
      </c>
      <c r="J75" s="17" t="n">
        <v>8000</v>
      </c>
      <c r="K75" s="17" t="n">
        <v>8000</v>
      </c>
      <c r="L75" s="17" t="n">
        <v>6000</v>
      </c>
      <c r="M75" s="17" t="n">
        <v>5000</v>
      </c>
      <c r="N75" s="17" t="n">
        <v>5000</v>
      </c>
      <c r="O75" s="58">
        <f>SUM(C75:N75)</f>
        <v/>
      </c>
      <c r="P75" s="18" t="n"/>
      <c r="Q75" s="23" t="n"/>
    </row>
    <row r="76" ht="11.25" customHeight="1">
      <c r="A76" s="57" t="inlineStr">
        <is>
          <t>ZAT</t>
        </is>
      </c>
      <c r="B76" s="15" t="inlineStr">
        <is>
          <t>Saletrzak 27 makro</t>
        </is>
      </c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58">
        <f>SUM(C76:N76)</f>
        <v/>
      </c>
      <c r="P76" s="18" t="n"/>
      <c r="Q76" s="23" t="n"/>
    </row>
    <row r="77" ht="11.25" customHeight="1">
      <c r="A77" s="57" t="inlineStr">
        <is>
          <t>ZAT</t>
        </is>
      </c>
      <c r="B77" s="15" t="inlineStr">
        <is>
          <t>DuoS</t>
        </is>
      </c>
      <c r="C77" s="17" t="n">
        <v>0</v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3000</v>
      </c>
      <c r="K77" s="17" t="n">
        <v>0</v>
      </c>
      <c r="L77" s="17" t="n">
        <v>3000</v>
      </c>
      <c r="M77" s="17" t="n">
        <v>0</v>
      </c>
      <c r="N77" s="17" t="n">
        <v>0</v>
      </c>
      <c r="O77" s="58">
        <f>SUM(C77:N77)</f>
        <v/>
      </c>
      <c r="P77" s="18" t="n"/>
      <c r="Q77" s="23" t="n"/>
    </row>
    <row r="78" ht="11.25" customHeight="1">
      <c r="A78" s="57" t="inlineStr">
        <is>
          <t>ZAT</t>
        </is>
      </c>
      <c r="B78" s="15" t="inlineStr">
        <is>
          <t>Roztwór azotanu amonu 92% - techniczny</t>
        </is>
      </c>
      <c r="C78" s="17" t="n">
        <v>2600</v>
      </c>
      <c r="D78" s="17" t="n">
        <v>2850</v>
      </c>
      <c r="E78" s="17" t="n">
        <v>3350</v>
      </c>
      <c r="F78" s="17" t="n">
        <v>3750</v>
      </c>
      <c r="G78" s="17" t="n">
        <v>1000</v>
      </c>
      <c r="H78" s="17" t="n">
        <v>2600</v>
      </c>
      <c r="I78" s="17" t="n">
        <v>4350</v>
      </c>
      <c r="J78" s="17" t="n">
        <v>3950</v>
      </c>
      <c r="K78" s="17" t="n">
        <v>3600</v>
      </c>
      <c r="L78" s="17" t="n">
        <v>3600</v>
      </c>
      <c r="M78" s="17" t="n">
        <v>3450</v>
      </c>
      <c r="N78" s="17" t="n">
        <v>2050</v>
      </c>
      <c r="O78" s="58">
        <f>SUM(C78:N78)</f>
        <v/>
      </c>
      <c r="P78" s="18" t="n"/>
      <c r="Q78" s="23" t="n"/>
    </row>
    <row r="79" ht="11.25" customHeight="1">
      <c r="A79" s="57" t="inlineStr">
        <is>
          <t>ZAT</t>
        </is>
      </c>
      <c r="B79" s="15" t="inlineStr">
        <is>
          <t>Roztwór azotanu amonu 60% - techniczny</t>
        </is>
      </c>
      <c r="C79" s="17" t="n">
        <v>100</v>
      </c>
      <c r="D79" s="17" t="n">
        <v>200</v>
      </c>
      <c r="E79" s="17" t="n">
        <v>200</v>
      </c>
      <c r="F79" s="17" t="n">
        <v>200</v>
      </c>
      <c r="G79" s="17" t="n">
        <v>48</v>
      </c>
      <c r="H79" s="17" t="n">
        <v>120</v>
      </c>
      <c r="I79" s="17" t="n">
        <v>200</v>
      </c>
      <c r="J79" s="17" t="n">
        <v>200</v>
      </c>
      <c r="K79" s="17" t="n">
        <v>200</v>
      </c>
      <c r="L79" s="17" t="n">
        <v>200</v>
      </c>
      <c r="M79" s="17" t="n">
        <v>200</v>
      </c>
      <c r="N79" s="17" t="n">
        <v>100</v>
      </c>
      <c r="O79" s="58">
        <f>SUM(C79:N79)</f>
        <v/>
      </c>
      <c r="P79" s="18" t="n"/>
      <c r="Q79" s="23" t="n"/>
    </row>
    <row r="80" ht="11.25" customHeight="1">
      <c r="A80" s="57" t="inlineStr">
        <is>
          <t>ZAT</t>
        </is>
      </c>
      <c r="B80" s="15" t="inlineStr">
        <is>
          <t>Poliamid Naturalny</t>
        </is>
      </c>
      <c r="C80" s="17" t="n">
        <v>4302</v>
      </c>
      <c r="D80" s="17" t="n">
        <v>4277</v>
      </c>
      <c r="E80" s="17" t="n">
        <v>4327</v>
      </c>
      <c r="F80" s="17" t="n">
        <v>4052</v>
      </c>
      <c r="G80" s="17" t="n">
        <v>4127</v>
      </c>
      <c r="H80" s="17" t="n">
        <v>4077</v>
      </c>
      <c r="I80" s="17" t="n">
        <v>4352</v>
      </c>
      <c r="J80" s="17" t="n">
        <v>4252</v>
      </c>
      <c r="K80" s="17" t="n">
        <v>4352</v>
      </c>
      <c r="L80" s="17" t="n">
        <v>4252</v>
      </c>
      <c r="M80" s="17" t="n">
        <v>4352</v>
      </c>
      <c r="N80" s="17" t="n">
        <v>4277</v>
      </c>
      <c r="O80" s="58">
        <f>SUM(C80:N80)</f>
        <v/>
      </c>
      <c r="P80" s="18" t="n"/>
      <c r="Q80" s="23" t="n"/>
    </row>
    <row r="81" ht="11.25" customHeight="1">
      <c r="A81" s="57" t="inlineStr">
        <is>
          <t>ZAT</t>
        </is>
      </c>
      <c r="B81" s="15" t="inlineStr">
        <is>
          <t>Poliamid Modyfikowany Powierzchniowo</t>
        </is>
      </c>
      <c r="C81" s="17" t="n">
        <v>1269</v>
      </c>
      <c r="D81" s="17" t="n">
        <v>1269</v>
      </c>
      <c r="E81" s="17" t="n">
        <v>1269</v>
      </c>
      <c r="F81" s="17" t="n">
        <v>1269</v>
      </c>
      <c r="G81" s="17" t="n">
        <v>1269</v>
      </c>
      <c r="H81" s="17" t="n">
        <v>1269</v>
      </c>
      <c r="I81" s="17" t="n">
        <v>1269</v>
      </c>
      <c r="J81" s="17" t="n">
        <v>1269</v>
      </c>
      <c r="K81" s="17" t="n">
        <v>1269</v>
      </c>
      <c r="L81" s="17" t="n">
        <v>1269</v>
      </c>
      <c r="M81" s="17" t="n">
        <v>1269</v>
      </c>
      <c r="N81" s="17" t="n">
        <v>1269</v>
      </c>
      <c r="O81" s="58">
        <f>SUM(C81:N81)</f>
        <v/>
      </c>
      <c r="P81" s="18" t="n"/>
      <c r="Q81" s="23" t="n"/>
    </row>
    <row r="82" ht="11.25" customHeight="1">
      <c r="A82" s="57" t="inlineStr">
        <is>
          <t>ZAT</t>
        </is>
      </c>
      <c r="B82" s="15" t="inlineStr">
        <is>
          <t>Sprzedaż siarczanu amonu</t>
        </is>
      </c>
      <c r="C82" s="17" t="n">
        <v>12399</v>
      </c>
      <c r="D82" s="17" t="n">
        <v>12238.5</v>
      </c>
      <c r="E82" s="17" t="n">
        <v>10924</v>
      </c>
      <c r="F82" s="17" t="n">
        <v>12400</v>
      </c>
      <c r="G82" s="17" t="n">
        <v>14718</v>
      </c>
      <c r="H82" s="17" t="n">
        <v>19776</v>
      </c>
      <c r="I82" s="17" t="n">
        <v>22712</v>
      </c>
      <c r="J82" s="17" t="n">
        <v>20456</v>
      </c>
      <c r="K82" s="17" t="n">
        <v>22876</v>
      </c>
      <c r="L82" s="17" t="n">
        <v>23756</v>
      </c>
      <c r="M82" s="17" t="n">
        <v>17156</v>
      </c>
      <c r="N82" s="17" t="n">
        <v>19156</v>
      </c>
      <c r="O82" s="58">
        <f>SUM(C82:N82)</f>
        <v/>
      </c>
      <c r="P82" s="18" t="n"/>
      <c r="Q82" s="23" t="n"/>
    </row>
    <row r="83" ht="11.25" customHeight="1">
      <c r="A83" s="57" t="inlineStr">
        <is>
          <t>ZAT</t>
        </is>
      </c>
      <c r="B83" s="15" t="inlineStr">
        <is>
          <t>kaprolaktamu ciekłego sprzedaż</t>
        </is>
      </c>
      <c r="C83" s="17" t="n">
        <v>2803.95</v>
      </c>
      <c r="D83" s="17" t="n">
        <v>2532.6</v>
      </c>
      <c r="E83" s="17" t="n">
        <v>2803.95</v>
      </c>
      <c r="F83" s="17" t="n">
        <v>2924.5</v>
      </c>
      <c r="G83" s="17" t="n">
        <v>2388.485</v>
      </c>
      <c r="H83" s="17" t="n">
        <v>2713.5</v>
      </c>
      <c r="I83" s="17" t="n">
        <v>2803.95</v>
      </c>
      <c r="J83" s="17" t="n">
        <v>2803.95</v>
      </c>
      <c r="K83" s="17" t="n">
        <v>2713.5</v>
      </c>
      <c r="L83" s="17" t="n">
        <v>2803.95</v>
      </c>
      <c r="M83" s="17" t="n">
        <v>2713.5</v>
      </c>
      <c r="N83" s="17" t="n">
        <v>2803.95</v>
      </c>
      <c r="O83" s="58">
        <f>SUM(C83:N83)</f>
        <v/>
      </c>
      <c r="P83" s="18" t="n"/>
      <c r="Q83" s="23" t="n"/>
    </row>
    <row r="84" ht="11.25" customHeight="1">
      <c r="A84" s="57" t="inlineStr">
        <is>
          <t>ZAT</t>
        </is>
      </c>
      <c r="B84" s="15" t="inlineStr">
        <is>
          <t>Tarnoks</t>
        </is>
      </c>
      <c r="C84" s="17" t="n">
        <v>5</v>
      </c>
      <c r="D84" s="17" t="n">
        <v>5</v>
      </c>
      <c r="E84" s="17" t="n">
        <v>5</v>
      </c>
      <c r="F84" s="17" t="n">
        <v>5</v>
      </c>
      <c r="G84" s="17" t="n">
        <v>5</v>
      </c>
      <c r="H84" s="17" t="n">
        <v>5</v>
      </c>
      <c r="I84" s="17" t="n">
        <v>5</v>
      </c>
      <c r="J84" s="17" t="n">
        <v>5</v>
      </c>
      <c r="K84" s="17" t="n">
        <v>5</v>
      </c>
      <c r="L84" s="17" t="n">
        <v>5</v>
      </c>
      <c r="M84" s="17" t="n">
        <v>5</v>
      </c>
      <c r="N84" s="17" t="n">
        <v>5</v>
      </c>
      <c r="O84" s="58">
        <f>SUM(C84:N84)</f>
        <v/>
      </c>
      <c r="P84" s="18" t="n"/>
      <c r="Q84" s="23" t="n"/>
    </row>
    <row r="85" ht="11.25" customHeight="1">
      <c r="A85" s="57" t="inlineStr">
        <is>
          <t>ZAT</t>
        </is>
      </c>
      <c r="B85" s="15" t="inlineStr">
        <is>
          <t>Cykloheksanon z fenolu</t>
        </is>
      </c>
      <c r="C85" s="17" t="n">
        <v>23</v>
      </c>
      <c r="D85" s="17" t="n">
        <v>23</v>
      </c>
      <c r="E85" s="17" t="n">
        <v>23</v>
      </c>
      <c r="F85" s="17" t="n">
        <v>23</v>
      </c>
      <c r="G85" s="17" t="n">
        <v>0</v>
      </c>
      <c r="H85" s="17" t="n">
        <v>23</v>
      </c>
      <c r="I85" s="17" t="n">
        <v>23</v>
      </c>
      <c r="J85" s="17" t="n">
        <v>23</v>
      </c>
      <c r="K85" s="17" t="n">
        <v>23</v>
      </c>
      <c r="L85" s="17" t="n">
        <v>23</v>
      </c>
      <c r="M85" s="17" t="n">
        <v>23</v>
      </c>
      <c r="N85" s="17" t="n">
        <v>23</v>
      </c>
      <c r="O85" s="58">
        <f>SUM(C85:N85)</f>
        <v/>
      </c>
      <c r="P85" s="18" t="n"/>
      <c r="Q85" s="23" t="n"/>
    </row>
    <row r="86" ht="11.25" customHeight="1">
      <c r="A86" s="57" t="inlineStr">
        <is>
          <t>ZAT</t>
        </is>
      </c>
      <c r="B86" s="15" t="inlineStr">
        <is>
          <t>C-nol z fenolu</t>
        </is>
      </c>
      <c r="C86" s="17" t="n">
        <v>46</v>
      </c>
      <c r="D86" s="17" t="n">
        <v>46</v>
      </c>
      <c r="E86" s="17" t="n">
        <v>46</v>
      </c>
      <c r="F86" s="17" t="n">
        <v>46</v>
      </c>
      <c r="G86" s="17" t="n">
        <v>0</v>
      </c>
      <c r="H86" s="17" t="n">
        <v>46</v>
      </c>
      <c r="I86" s="17" t="n">
        <v>46</v>
      </c>
      <c r="J86" s="17" t="n">
        <v>46</v>
      </c>
      <c r="K86" s="17" t="n">
        <v>46</v>
      </c>
      <c r="L86" s="17" t="n">
        <v>46</v>
      </c>
      <c r="M86" s="17" t="n">
        <v>46</v>
      </c>
      <c r="N86" s="17" t="n">
        <v>46</v>
      </c>
      <c r="O86" s="58">
        <f>SUM(C86:N86)</f>
        <v/>
      </c>
      <c r="P86" s="18" t="n"/>
      <c r="Q86" s="23" t="n"/>
    </row>
    <row r="87" ht="11.25" customHeight="1">
      <c r="A87" s="57" t="inlineStr">
        <is>
          <t>ZAT</t>
        </is>
      </c>
      <c r="B87" s="15" t="inlineStr">
        <is>
          <t>Oleum</t>
        </is>
      </c>
      <c r="C87" s="59" t="n">
        <v>1200</v>
      </c>
      <c r="D87" s="59" t="n">
        <v>1200</v>
      </c>
      <c r="E87" s="59" t="n">
        <v>1600</v>
      </c>
      <c r="F87" s="59" t="n">
        <v>1200</v>
      </c>
      <c r="G87" s="59" t="n">
        <v>1200</v>
      </c>
      <c r="H87" s="59" t="n">
        <v>250</v>
      </c>
      <c r="I87" s="59" t="n">
        <v>250</v>
      </c>
      <c r="J87" s="59" t="n">
        <v>1200</v>
      </c>
      <c r="K87" s="59" t="n">
        <v>1600</v>
      </c>
      <c r="L87" s="59" t="n">
        <v>1200</v>
      </c>
      <c r="M87" s="59" t="n">
        <v>1200</v>
      </c>
      <c r="N87" s="59" t="n">
        <v>1200</v>
      </c>
      <c r="O87" s="58">
        <f>SUM(C87:N87)</f>
        <v/>
      </c>
      <c r="P87" s="18" t="n"/>
      <c r="Q87" s="23" t="n"/>
    </row>
    <row r="88" ht="11.25" customHeight="1">
      <c r="A88" s="57" t="inlineStr">
        <is>
          <t>ZAT</t>
        </is>
      </c>
      <c r="B88" s="15" t="inlineStr">
        <is>
          <t>kwas siarkowy sprzedaż</t>
        </is>
      </c>
      <c r="C88" s="17" t="n">
        <v>2000</v>
      </c>
      <c r="D88" s="17" t="n">
        <v>2000</v>
      </c>
      <c r="E88" s="17" t="n">
        <v>2000</v>
      </c>
      <c r="F88" s="17" t="n">
        <v>2000</v>
      </c>
      <c r="G88" s="17" t="n">
        <v>1500</v>
      </c>
      <c r="H88" s="17" t="n">
        <v>2200</v>
      </c>
      <c r="I88" s="17" t="n">
        <v>2200</v>
      </c>
      <c r="J88" s="17" t="n">
        <v>2200</v>
      </c>
      <c r="K88" s="17" t="n">
        <v>2200</v>
      </c>
      <c r="L88" s="17" t="n">
        <v>2200</v>
      </c>
      <c r="M88" s="17" t="n">
        <v>2200</v>
      </c>
      <c r="N88" s="17" t="n">
        <v>2200</v>
      </c>
      <c r="O88" s="58">
        <f>SUM(C88:N88)</f>
        <v/>
      </c>
      <c r="P88" s="18" t="n"/>
      <c r="Q88" s="23" t="n"/>
    </row>
    <row r="89" ht="11.25" customHeight="1">
      <c r="A89" s="57" t="inlineStr">
        <is>
          <t>ZAT</t>
        </is>
      </c>
      <c r="B89" s="15" t="inlineStr">
        <is>
          <t>Katalizator TZC</t>
        </is>
      </c>
      <c r="C89" s="17" t="n">
        <v>0</v>
      </c>
      <c r="D89" s="17" t="n">
        <v>0</v>
      </c>
      <c r="E89" s="17" t="n">
        <v>60</v>
      </c>
      <c r="F89" s="17" t="n">
        <v>0</v>
      </c>
      <c r="G89" s="17" t="n">
        <v>112</v>
      </c>
      <c r="H89" s="17" t="n">
        <v>0</v>
      </c>
      <c r="I89" s="17" t="n">
        <v>102</v>
      </c>
      <c r="J89" s="17" t="n">
        <v>0</v>
      </c>
      <c r="K89" s="17" t="n">
        <v>0</v>
      </c>
      <c r="L89" s="17" t="n">
        <v>0</v>
      </c>
      <c r="M89" s="17" t="n">
        <v>66</v>
      </c>
      <c r="N89" s="17" t="n">
        <v>0</v>
      </c>
      <c r="O89" s="58">
        <f>SUM(C89:N89)</f>
        <v/>
      </c>
      <c r="P89" s="18" t="n"/>
      <c r="Q89" s="23" t="n"/>
    </row>
    <row r="90" ht="11.25" customHeight="1">
      <c r="A90" s="57" t="inlineStr">
        <is>
          <t>ZAT</t>
        </is>
      </c>
      <c r="B90" s="15" t="inlineStr">
        <is>
          <t>Katalizator żelazowy</t>
        </is>
      </c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58">
        <f>SUM(C90:N90)</f>
        <v/>
      </c>
      <c r="P90" s="18" t="n"/>
      <c r="Q90" s="23" t="n"/>
    </row>
    <row r="91" ht="11.25" customHeight="1">
      <c r="A91" s="57" t="inlineStr">
        <is>
          <t>ZAT</t>
        </is>
      </c>
      <c r="B91" s="15" t="inlineStr">
        <is>
          <t>Katalizator TMC</t>
        </is>
      </c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>
        <v>5</v>
      </c>
      <c r="L91" s="17" t="n"/>
      <c r="M91" s="17" t="n"/>
      <c r="N91" s="17" t="n"/>
      <c r="O91" s="58">
        <f>SUM(C91:N91)</f>
        <v/>
      </c>
      <c r="P91" s="18" t="n"/>
      <c r="Q91" s="23" t="n"/>
    </row>
    <row r="92" ht="11.25" customHeight="1">
      <c r="A92" s="57" t="inlineStr">
        <is>
          <t>ZAT</t>
        </is>
      </c>
      <c r="B92" s="15" t="inlineStr">
        <is>
          <t>Katalizator TMC-3/1-Cs+La</t>
        </is>
      </c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58">
        <f>SUM(C92:N92)</f>
        <v/>
      </c>
      <c r="P92" s="18" t="n"/>
      <c r="Q92" s="23" t="n"/>
    </row>
    <row r="93" ht="11.25" customHeight="1">
      <c r="B93" s="4" t="n"/>
      <c r="C93" s="29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6" t="n"/>
      <c r="O93" s="35" t="n"/>
      <c r="P93" s="18" t="n"/>
      <c r="Q93" s="23" t="n"/>
    </row>
    <row r="94" ht="11.25" customHeight="1">
      <c r="A94" s="37" t="inlineStr">
        <is>
          <t>ZChP</t>
        </is>
      </c>
      <c r="B94" s="15" t="inlineStr">
        <is>
          <t>AMONIAK - SPRZEDAŻ</t>
        </is>
      </c>
      <c r="C94" s="16" t="n">
        <v>9450</v>
      </c>
      <c r="D94" s="17" t="n">
        <v>8100</v>
      </c>
      <c r="E94" s="17" t="n">
        <v>9450</v>
      </c>
      <c r="F94" s="17" t="n">
        <v>8100</v>
      </c>
      <c r="G94" s="17" t="n">
        <v>4050</v>
      </c>
      <c r="H94" s="17" t="n">
        <v>6750</v>
      </c>
      <c r="I94" s="17" t="n">
        <v>8100</v>
      </c>
      <c r="J94" s="17" t="n">
        <v>8100</v>
      </c>
      <c r="K94" s="17" t="n">
        <v>8100</v>
      </c>
      <c r="L94" s="17" t="n">
        <v>9450</v>
      </c>
      <c r="M94" s="17" t="n">
        <v>8100</v>
      </c>
      <c r="N94" s="17" t="n">
        <v>8100</v>
      </c>
      <c r="O94" s="38">
        <f>SUM(C94:N94)</f>
        <v/>
      </c>
      <c r="P94" s="18" t="n"/>
      <c r="Q94" s="23" t="n"/>
    </row>
    <row r="95" ht="11.25" customHeight="1">
      <c r="A95" s="37" t="inlineStr">
        <is>
          <t>ZChP</t>
        </is>
      </c>
      <c r="B95" s="15" t="inlineStr">
        <is>
          <t>MOCZNIK GRANULOWANY</t>
        </is>
      </c>
      <c r="C95" s="16" t="n">
        <v>15600</v>
      </c>
      <c r="D95" s="17" t="n">
        <v>15600</v>
      </c>
      <c r="E95" s="17" t="n">
        <v>19600</v>
      </c>
      <c r="F95" s="17" t="n">
        <v>19600</v>
      </c>
      <c r="G95" s="17" t="n">
        <v>18600</v>
      </c>
      <c r="H95" s="17" t="n">
        <v>18100</v>
      </c>
      <c r="I95" s="17" t="n">
        <v>14700</v>
      </c>
      <c r="J95" s="17" t="n">
        <v>14700</v>
      </c>
      <c r="K95" s="17" t="n">
        <v>18600</v>
      </c>
      <c r="L95" s="17" t="n">
        <v>18600</v>
      </c>
      <c r="M95" s="17" t="n">
        <v>18600</v>
      </c>
      <c r="N95" s="17" t="n">
        <v>12600</v>
      </c>
      <c r="O95" s="38">
        <f>SUM(C95:N95)</f>
        <v/>
      </c>
      <c r="P95" s="18" t="n"/>
      <c r="Q95" s="23" t="n"/>
    </row>
    <row r="96" ht="11.25" customHeight="1">
      <c r="A96" s="37" t="inlineStr">
        <is>
          <t>ZChP</t>
        </is>
      </c>
      <c r="B96" s="15" t="inlineStr">
        <is>
          <t>NOxy</t>
        </is>
      </c>
      <c r="C96" s="16" t="n">
        <v>11700</v>
      </c>
      <c r="D96" s="17" t="n">
        <v>11700</v>
      </c>
      <c r="E96" s="17" t="n">
        <v>11700</v>
      </c>
      <c r="F96" s="17" t="n">
        <v>11700</v>
      </c>
      <c r="G96" s="17" t="n">
        <v>11700</v>
      </c>
      <c r="H96" s="17" t="n">
        <v>11700</v>
      </c>
      <c r="I96" s="17" t="n">
        <v>7500</v>
      </c>
      <c r="J96" s="17" t="n">
        <v>7500</v>
      </c>
      <c r="K96" s="17" t="n">
        <v>11700</v>
      </c>
      <c r="L96" s="17" t="n">
        <v>11700</v>
      </c>
      <c r="M96" s="17" t="n">
        <v>11700</v>
      </c>
      <c r="N96" s="17" t="n">
        <v>9200</v>
      </c>
      <c r="O96" s="38">
        <f>SUM(C96:N96)</f>
        <v/>
      </c>
      <c r="P96" s="18" t="n"/>
      <c r="Q96" s="23" t="n"/>
    </row>
    <row r="97" ht="11.25" customHeight="1">
      <c r="A97" s="37" t="inlineStr">
        <is>
          <t>ZChP</t>
        </is>
      </c>
      <c r="B97" s="15" t="inlineStr">
        <is>
          <t>LIKAM</t>
        </is>
      </c>
      <c r="C97" s="16" t="n">
        <v>1500</v>
      </c>
      <c r="D97" s="17" t="n">
        <v>1500</v>
      </c>
      <c r="E97" s="17" t="n">
        <v>1500</v>
      </c>
      <c r="F97" s="17" t="n">
        <v>1500</v>
      </c>
      <c r="G97" s="17" t="n">
        <v>1500</v>
      </c>
      <c r="H97" s="17" t="n">
        <v>1500</v>
      </c>
      <c r="I97" s="17" t="n">
        <v>1100</v>
      </c>
      <c r="J97" s="17" t="n">
        <v>1100</v>
      </c>
      <c r="K97" s="17" t="n">
        <v>1500</v>
      </c>
      <c r="L97" s="17" t="n">
        <v>1500</v>
      </c>
      <c r="M97" s="17" t="n">
        <v>1500</v>
      </c>
      <c r="N97" s="17" t="n">
        <v>1500</v>
      </c>
      <c r="O97" s="38">
        <f>SUM(C97:N97)</f>
        <v/>
      </c>
      <c r="P97" s="18" t="n"/>
      <c r="Q97" s="23" t="n"/>
    </row>
    <row r="98" ht="11.25" customHeight="1">
      <c r="A98" s="37" t="inlineStr">
        <is>
          <t>ZChP</t>
        </is>
      </c>
      <c r="B98" s="15" t="inlineStr">
        <is>
          <t>Pulnox</t>
        </is>
      </c>
      <c r="C98" s="16" t="n">
        <v>800</v>
      </c>
      <c r="D98" s="17" t="n">
        <v>800</v>
      </c>
      <c r="E98" s="17" t="n">
        <v>800</v>
      </c>
      <c r="F98" s="17" t="n">
        <v>800</v>
      </c>
      <c r="G98" s="17" t="n">
        <v>800</v>
      </c>
      <c r="H98" s="17" t="n">
        <v>800</v>
      </c>
      <c r="I98" s="17" t="n">
        <v>400</v>
      </c>
      <c r="J98" s="17" t="n">
        <v>800</v>
      </c>
      <c r="K98" s="17" t="n">
        <v>800</v>
      </c>
      <c r="L98" s="17" t="n">
        <v>800</v>
      </c>
      <c r="M98" s="17" t="n">
        <v>800</v>
      </c>
      <c r="N98" s="17" t="n">
        <v>800</v>
      </c>
      <c r="O98" s="38">
        <f>SUM(C98:N98)</f>
        <v/>
      </c>
      <c r="P98" s="18" t="n"/>
      <c r="Q98" s="23" t="n"/>
    </row>
    <row r="99" ht="11.25" customHeight="1">
      <c r="A99" s="37" t="inlineStr">
        <is>
          <t>ZChP</t>
        </is>
      </c>
      <c r="B99" s="15" t="inlineStr">
        <is>
          <t>BIEL TYTANOWA - sprzedaż</t>
        </is>
      </c>
      <c r="C99" s="16" t="n">
        <v>1540.2</v>
      </c>
      <c r="D99" s="17" t="n">
        <v>1709.8</v>
      </c>
      <c r="E99" s="17" t="n">
        <v>2910.7</v>
      </c>
      <c r="F99" s="17" t="n">
        <v>2445.9</v>
      </c>
      <c r="G99" s="17" t="n">
        <v>2818.2</v>
      </c>
      <c r="H99" s="17" t="n">
        <v>2323.9</v>
      </c>
      <c r="I99" s="17" t="n">
        <v>2540.4</v>
      </c>
      <c r="J99" s="17" t="n">
        <v>2131.3</v>
      </c>
      <c r="K99" s="17" t="n">
        <v>2902</v>
      </c>
      <c r="L99" s="17" t="n">
        <v>2243.9</v>
      </c>
      <c r="M99" s="17" t="n">
        <v>2034.2</v>
      </c>
      <c r="N99" s="17" t="n">
        <v>1399</v>
      </c>
      <c r="O99" s="39">
        <f>SUM(C99:N99)</f>
        <v/>
      </c>
      <c r="P99" s="18" t="n"/>
      <c r="Q99" s="23" t="n"/>
    </row>
    <row r="100" ht="11.25" customHeight="1">
      <c r="A100" s="37" t="inlineStr">
        <is>
          <t>ZChP</t>
        </is>
      </c>
      <c r="B100" s="15" t="inlineStr">
        <is>
          <t>FESPOL 28</t>
        </is>
      </c>
      <c r="C100" s="16" t="n">
        <v>669</v>
      </c>
      <c r="D100" s="17" t="n">
        <v>839</v>
      </c>
      <c r="E100" s="17" t="n">
        <v>1138</v>
      </c>
      <c r="F100" s="17" t="n">
        <v>1267</v>
      </c>
      <c r="G100" s="17" t="n">
        <v>1295</v>
      </c>
      <c r="H100" s="17" t="n">
        <v>1123</v>
      </c>
      <c r="I100" s="17" t="n">
        <v>1310</v>
      </c>
      <c r="J100" s="17" t="n">
        <v>1291</v>
      </c>
      <c r="K100" s="17" t="n">
        <v>1112</v>
      </c>
      <c r="L100" s="17" t="n">
        <v>995</v>
      </c>
      <c r="M100" s="17" t="n">
        <v>890</v>
      </c>
      <c r="N100" s="17" t="n">
        <v>747</v>
      </c>
      <c r="O100" s="39">
        <f>SUM(C100:N100)</f>
        <v/>
      </c>
      <c r="P100" s="18" t="n"/>
      <c r="Q100" s="23" t="n"/>
    </row>
    <row r="101" ht="11.25" customHeight="1">
      <c r="A101" s="37" t="inlineStr">
        <is>
          <t>ZChP</t>
        </is>
      </c>
      <c r="B101" s="15" t="inlineStr">
        <is>
          <t>FESPOL 20</t>
        </is>
      </c>
      <c r="C101" s="16" t="n">
        <v>202</v>
      </c>
      <c r="D101" s="17" t="n">
        <v>273</v>
      </c>
      <c r="E101" s="17" t="n">
        <v>216</v>
      </c>
      <c r="F101" s="17" t="n">
        <v>196</v>
      </c>
      <c r="G101" s="17" t="n">
        <v>183</v>
      </c>
      <c r="H101" s="17" t="n">
        <v>173</v>
      </c>
      <c r="I101" s="17" t="n">
        <v>198</v>
      </c>
      <c r="J101" s="17" t="n">
        <v>182</v>
      </c>
      <c r="K101" s="17" t="n">
        <v>125</v>
      </c>
      <c r="L101" s="17" t="n">
        <v>165</v>
      </c>
      <c r="M101" s="17" t="n">
        <v>136</v>
      </c>
      <c r="N101" s="17" t="n">
        <v>134</v>
      </c>
      <c r="O101" s="39">
        <f>SUM(C101:N101)</f>
        <v/>
      </c>
      <c r="P101" s="18" t="n"/>
      <c r="Q101" s="23" t="n"/>
    </row>
    <row r="102" ht="11.25" customHeight="1">
      <c r="A102" s="37" t="inlineStr">
        <is>
          <t>ZChP</t>
        </is>
      </c>
      <c r="B102" s="15" t="inlineStr">
        <is>
          <t>FESPOL 17</t>
        </is>
      </c>
      <c r="C102" s="16" t="n">
        <v>250</v>
      </c>
      <c r="D102" s="17" t="n">
        <v>325</v>
      </c>
      <c r="E102" s="17" t="n">
        <v>325</v>
      </c>
      <c r="F102" s="17" t="n">
        <v>350</v>
      </c>
      <c r="G102" s="17" t="n">
        <v>525</v>
      </c>
      <c r="H102" s="17" t="n">
        <v>525</v>
      </c>
      <c r="I102" s="17" t="n">
        <v>525</v>
      </c>
      <c r="J102" s="17" t="n">
        <v>550</v>
      </c>
      <c r="K102" s="17" t="n">
        <v>500</v>
      </c>
      <c r="L102" s="17" t="n">
        <v>450</v>
      </c>
      <c r="M102" s="17" t="n">
        <v>250</v>
      </c>
      <c r="N102" s="17" t="n">
        <v>200</v>
      </c>
      <c r="O102" s="39">
        <f>SUM(C102:N102)</f>
        <v/>
      </c>
      <c r="P102" s="18" t="n"/>
      <c r="Q102" s="23" t="n"/>
    </row>
    <row r="103" ht="11.25" customHeight="1">
      <c r="A103" s="37" t="inlineStr">
        <is>
          <t>ZChP</t>
        </is>
      </c>
      <c r="B103" s="15" t="inlineStr">
        <is>
          <t>KWAS SIARKOWY - SPRZEDAŻ</t>
        </is>
      </c>
      <c r="C103" s="16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38">
        <f>SUM(C103:N103)</f>
        <v/>
      </c>
      <c r="P103" s="18" t="n"/>
      <c r="Q103" s="23" t="n"/>
    </row>
    <row r="104" ht="11.25" customHeight="1">
      <c r="A104" s="37" t="inlineStr">
        <is>
          <t>ZChP</t>
        </is>
      </c>
      <c r="B104" s="15" t="inlineStr">
        <is>
          <t>NPK Polifoska 5</t>
        </is>
      </c>
      <c r="C104" s="16" t="n">
        <v>6858.151564082214</v>
      </c>
      <c r="D104" s="17" t="n">
        <v>5764.46318599642</v>
      </c>
      <c r="E104" s="17" t="n">
        <v>6677.000273778413</v>
      </c>
      <c r="F104" s="17" t="n">
        <v>4584.363890492541</v>
      </c>
      <c r="G104" s="17" t="n">
        <v>12953.30679853657</v>
      </c>
      <c r="H104" s="17" t="n">
        <v>11506.23017836905</v>
      </c>
      <c r="I104" s="17" t="n">
        <v>11005.2832814586</v>
      </c>
      <c r="J104" s="17" t="n">
        <v>10723.44449642452</v>
      </c>
      <c r="K104" s="17" t="n">
        <v>7421.25099180111</v>
      </c>
      <c r="L104" s="17" t="n">
        <v>10459.80690431388</v>
      </c>
      <c r="M104" s="17" t="n">
        <v>9906.462418910922</v>
      </c>
      <c r="N104" s="17" t="n">
        <v>5428.765174085109</v>
      </c>
      <c r="O104" s="39">
        <f>SUM(C104:N104)</f>
        <v/>
      </c>
      <c r="P104" s="18" t="n"/>
      <c r="Q104" s="23" t="n"/>
    </row>
    <row r="105" ht="11.25" customHeight="1">
      <c r="A105" s="37" t="inlineStr">
        <is>
          <t>ZChP</t>
        </is>
      </c>
      <c r="B105" s="15" t="inlineStr">
        <is>
          <t>NPK Polifoska 6</t>
        </is>
      </c>
      <c r="C105" s="16" t="n">
        <v>21411.60130271765</v>
      </c>
      <c r="D105" s="17" t="n">
        <v>26365.74846545116</v>
      </c>
      <c r="E105" s="17" t="n">
        <v>35187.45475226847</v>
      </c>
      <c r="F105" s="17" t="n">
        <v>22661.51134878916</v>
      </c>
      <c r="G105" s="17" t="n">
        <v>40532.36441120895</v>
      </c>
      <c r="H105" s="17" t="n">
        <v>34275.37241971049</v>
      </c>
      <c r="I105" s="17" t="n">
        <v>35152.55900672796</v>
      </c>
      <c r="J105" s="17" t="n">
        <v>35164.07805921273</v>
      </c>
      <c r="K105" s="17" t="n">
        <v>17916.01097593229</v>
      </c>
      <c r="L105" s="17" t="n">
        <v>38196.99980655259</v>
      </c>
      <c r="M105" s="17" t="n">
        <v>30218.40470704505</v>
      </c>
      <c r="N105" s="17" t="n">
        <v>24090.55538263151</v>
      </c>
      <c r="O105" s="39">
        <f>SUM(C105:N105)</f>
        <v/>
      </c>
      <c r="P105" s="18" t="n"/>
      <c r="Q105" s="23" t="n"/>
    </row>
    <row r="106" ht="11.25" customHeight="1">
      <c r="A106" s="37" t="inlineStr">
        <is>
          <t>ZChP</t>
        </is>
      </c>
      <c r="B106" s="15" t="inlineStr">
        <is>
          <t>NPK Polifoska 8</t>
        </is>
      </c>
      <c r="C106" s="16" t="n">
        <v>7862.660445003969</v>
      </c>
      <c r="D106" s="17" t="n">
        <v>8201.250897470902</v>
      </c>
      <c r="E106" s="17" t="n">
        <v>16001.59082330164</v>
      </c>
      <c r="F106" s="17" t="n">
        <v>10933.73036370818</v>
      </c>
      <c r="G106" s="17" t="n">
        <v>12649.14968037631</v>
      </c>
      <c r="H106" s="17" t="n">
        <v>12435.8255022944</v>
      </c>
      <c r="I106" s="17" t="n">
        <v>12929.91993767468</v>
      </c>
      <c r="J106" s="17" t="n">
        <v>11420.10292053733</v>
      </c>
      <c r="K106" s="17" t="n">
        <v>10389.99272679185</v>
      </c>
      <c r="L106" s="17" t="n">
        <v>11661.11850971953</v>
      </c>
      <c r="M106" s="17" t="n">
        <v>8829.763211271165</v>
      </c>
      <c r="N106" s="17" t="n">
        <v>8537.062563920139</v>
      </c>
      <c r="O106" s="39">
        <f>SUM(C106:N106)</f>
        <v/>
      </c>
      <c r="P106" s="18" t="n"/>
      <c r="Q106" s="23" t="n"/>
    </row>
    <row r="107" ht="11.25" customHeight="1">
      <c r="A107" s="37" t="inlineStr">
        <is>
          <t>ZChP</t>
        </is>
      </c>
      <c r="B107" s="15" t="inlineStr">
        <is>
          <t>NPK Polifoska Krzem</t>
        </is>
      </c>
      <c r="C107" s="16" t="n">
        <v>2867.586688196174</v>
      </c>
      <c r="D107" s="17" t="n">
        <v>1668.537451081516</v>
      </c>
      <c r="E107" s="17" t="n">
        <v>2133.954150651472</v>
      </c>
      <c r="F107" s="17" t="n">
        <v>820.3943970101183</v>
      </c>
      <c r="G107" s="17" t="n">
        <v>2865.179109878181</v>
      </c>
      <c r="H107" s="17" t="n">
        <v>1782.571899626043</v>
      </c>
      <c r="I107" s="17" t="n">
        <v>3412.237774138772</v>
      </c>
      <c r="J107" s="17" t="n">
        <v>3192.374523825436</v>
      </c>
      <c r="K107" s="17" t="n">
        <v>1772.745305474742</v>
      </c>
      <c r="L107" s="17" t="n">
        <v>3682.074779413998</v>
      </c>
      <c r="M107" s="17" t="n">
        <v>3045.369662772858</v>
      </c>
      <c r="N107" s="17" t="n">
        <v>1943.616879363244</v>
      </c>
      <c r="O107" s="39">
        <f>SUM(C107:N107)</f>
        <v/>
      </c>
      <c r="P107" s="18" t="n"/>
      <c r="Q107" s="23" t="n"/>
    </row>
    <row r="108" ht="11.25" customHeight="1">
      <c r="A108" s="37" t="inlineStr">
        <is>
          <t>ZChP</t>
        </is>
      </c>
      <c r="B108" s="15" t="inlineStr">
        <is>
          <t>NPK Polifoska Multi B</t>
        </is>
      </c>
      <c r="C108" s="16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39">
        <f>SUM(C108:N108)</f>
        <v/>
      </c>
      <c r="P108" s="18" t="n"/>
      <c r="Q108" s="23" t="n"/>
    </row>
    <row r="109" ht="11.25" customHeight="1">
      <c r="A109" s="37" t="inlineStr">
        <is>
          <t>ZChP</t>
        </is>
      </c>
      <c r="B109" s="15" t="inlineStr">
        <is>
          <t>NPK 13-11-15</t>
        </is>
      </c>
      <c r="C109" s="16" t="n">
        <v>6000</v>
      </c>
      <c r="D109" s="17" t="n">
        <v>6000</v>
      </c>
      <c r="E109" s="17" t="n"/>
      <c r="F109" s="17" t="n"/>
      <c r="G109" s="17" t="n"/>
      <c r="H109" s="17" t="n"/>
      <c r="I109" s="17" t="n"/>
      <c r="J109" s="17" t="n"/>
      <c r="K109" s="17" t="n"/>
      <c r="L109" s="17" t="n">
        <v>4000</v>
      </c>
      <c r="M109" s="17" t="n">
        <v>4000</v>
      </c>
      <c r="N109" s="17" t="n">
        <v>8500</v>
      </c>
      <c r="O109" s="39">
        <f>SUM(C109:N109)</f>
        <v/>
      </c>
      <c r="P109" s="18" t="n"/>
      <c r="Q109" s="23" t="n"/>
    </row>
    <row r="110" ht="11.25" customHeight="1">
      <c r="A110" s="37" t="inlineStr">
        <is>
          <t>ZChP</t>
        </is>
      </c>
      <c r="B110" s="15" t="inlineStr">
        <is>
          <t>NPK Polifoska Plon+</t>
        </is>
      </c>
      <c r="C110" s="16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39">
        <f>SUM(C110:N110)</f>
        <v/>
      </c>
      <c r="P110" s="18" t="n"/>
      <c r="Q110" s="23" t="n"/>
    </row>
    <row r="111" ht="11.25" customHeight="1">
      <c r="A111" s="37" t="inlineStr">
        <is>
          <t>ZChP</t>
        </is>
      </c>
      <c r="B111" s="15" t="inlineStr">
        <is>
          <t>NPK 14-10-10</t>
        </is>
      </c>
      <c r="C111" s="16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>
        <v>10000</v>
      </c>
      <c r="O111" s="39">
        <f>SUM(C111:N111)</f>
        <v/>
      </c>
      <c r="P111" s="18" t="n"/>
      <c r="Q111" s="23" t="n"/>
    </row>
    <row r="112" ht="11.25" customHeight="1">
      <c r="A112" s="37" t="inlineStr">
        <is>
          <t>ZChP</t>
        </is>
      </c>
      <c r="B112" s="15" t="inlineStr">
        <is>
          <t>POLIDAP</t>
        </is>
      </c>
      <c r="C112" s="16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39">
        <f>SUM(C112:N112)</f>
        <v/>
      </c>
      <c r="P112" s="18" t="n"/>
      <c r="Q112" s="23" t="n"/>
    </row>
    <row r="113" ht="11.25" customHeight="1">
      <c r="A113" s="37" t="inlineStr">
        <is>
          <t>ZChP</t>
        </is>
      </c>
      <c r="B113" s="15" t="inlineStr">
        <is>
          <t>7-17-30</t>
        </is>
      </c>
      <c r="C113" s="16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39">
        <f>SUM(C113:N113)</f>
        <v/>
      </c>
      <c r="P113" s="18" t="n"/>
      <c r="Q113" s="23" t="n"/>
    </row>
    <row r="114" ht="11.25" customHeight="1">
      <c r="A114" s="37" t="inlineStr">
        <is>
          <t>ZChP</t>
        </is>
      </c>
      <c r="B114" s="15" t="inlineStr">
        <is>
          <t>NPK Polifoska Multi S</t>
        </is>
      </c>
      <c r="C114" s="16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39">
        <f>SUM(C114:N114)</f>
        <v/>
      </c>
      <c r="P114" s="18" t="n"/>
      <c r="Q114" s="23" t="n"/>
    </row>
    <row r="115" ht="11.25" customHeight="1">
      <c r="A115" s="37" t="inlineStr">
        <is>
          <t>ZChP</t>
        </is>
      </c>
      <c r="B115" s="15" t="inlineStr">
        <is>
          <t>NPK 5-25-25</t>
        </is>
      </c>
      <c r="C115" s="16" t="n">
        <v>3000</v>
      </c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39">
        <f>SUM(C115:N115)</f>
        <v/>
      </c>
      <c r="P115" s="18" t="n"/>
      <c r="Q115" s="23" t="n"/>
    </row>
    <row r="116" ht="11.25" customHeight="1">
      <c r="A116" s="37" t="inlineStr">
        <is>
          <t>ZChP</t>
        </is>
      </c>
      <c r="B116" s="15" t="inlineStr">
        <is>
          <t>6-30-16</t>
        </is>
      </c>
      <c r="C116" s="16" t="n"/>
      <c r="D116" s="17" t="n"/>
      <c r="E116" s="17" t="n"/>
      <c r="F116" s="17" t="n"/>
      <c r="G116" s="17" t="n">
        <v>15000</v>
      </c>
      <c r="H116" s="17" t="n"/>
      <c r="I116" s="17" t="n"/>
      <c r="J116" s="17" t="n"/>
      <c r="K116" s="17" t="n"/>
      <c r="L116" s="17" t="n"/>
      <c r="M116" s="17" t="n"/>
      <c r="N116" s="17" t="n"/>
      <c r="O116" s="39">
        <f>SUM(C116:N116)</f>
        <v/>
      </c>
      <c r="P116" s="18" t="n"/>
      <c r="Q116" s="23" t="n"/>
    </row>
    <row r="117" ht="11.25" customHeight="1">
      <c r="A117" s="37" t="inlineStr">
        <is>
          <t>ZChP</t>
        </is>
      </c>
      <c r="B117" s="15" t="inlineStr">
        <is>
          <t>NP 16-16</t>
        </is>
      </c>
      <c r="C117" s="16" t="n">
        <v>2000</v>
      </c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>
        <v>2000</v>
      </c>
      <c r="O117" s="39">
        <f>SUM(C117:N117)</f>
        <v/>
      </c>
      <c r="P117" s="18" t="n"/>
      <c r="Q117" s="23" t="n"/>
    </row>
    <row r="118" ht="11.25" customHeight="1">
      <c r="A118" s="37" t="inlineStr">
        <is>
          <t>ZChP</t>
        </is>
      </c>
      <c r="B118" s="28" t="inlineStr">
        <is>
          <t>NP 18-13</t>
        </is>
      </c>
      <c r="C118" s="48" t="n">
        <v>2000</v>
      </c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>
        <v>2000</v>
      </c>
      <c r="O118" s="45">
        <f>SUM(C118:N118)</f>
        <v/>
      </c>
      <c r="P118" s="18" t="n"/>
      <c r="Q118" s="23" t="n"/>
    </row>
    <row r="119">
      <c r="A119" s="49" t="inlineStr">
        <is>
          <t>ZChP</t>
        </is>
      </c>
      <c r="B119" s="15" t="inlineStr">
        <is>
          <t>NPK 10-15-21</t>
        </is>
      </c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39">
        <f>SUM(C119:N119)</f>
        <v/>
      </c>
    </row>
    <row r="120">
      <c r="B120" s="4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7" t="n"/>
    </row>
    <row r="121">
      <c r="A121" s="60" t="inlineStr">
        <is>
          <t>Fosfory</t>
        </is>
      </c>
      <c r="B121" s="61" t="inlineStr">
        <is>
          <t xml:space="preserve">KWAS SIARKOWY </t>
        </is>
      </c>
      <c r="C121" s="17" t="n">
        <v>6000</v>
      </c>
      <c r="D121" s="17" t="n">
        <v>6000</v>
      </c>
      <c r="E121" s="17" t="n">
        <v>6000</v>
      </c>
      <c r="F121" s="17" t="n">
        <v>6000</v>
      </c>
      <c r="G121" s="17" t="n">
        <v>6000</v>
      </c>
      <c r="H121" s="17" t="n">
        <v>6000</v>
      </c>
      <c r="I121" s="17" t="n">
        <v>6000</v>
      </c>
      <c r="J121" s="17" t="n">
        <v>6000</v>
      </c>
      <c r="K121" s="17" t="n">
        <v>6000</v>
      </c>
      <c r="L121" s="17" t="n">
        <v>6000</v>
      </c>
      <c r="M121" s="17" t="n">
        <v>6000</v>
      </c>
      <c r="N121" s="17" t="n">
        <v>6000</v>
      </c>
      <c r="O121" s="38">
        <f>SUM(C121:N121)</f>
        <v/>
      </c>
      <c r="P121" s="66" t="inlineStr">
        <is>
          <t>uzupełniono: ∑ jako formuła (było wpisane ręcznie)</t>
        </is>
      </c>
    </row>
    <row r="122">
      <c r="A122" s="60" t="inlineStr">
        <is>
          <t>Fosfory</t>
        </is>
      </c>
      <c r="B122" s="61" t="inlineStr">
        <is>
          <t>SUPERFOSDAR 40%</t>
        </is>
      </c>
      <c r="C122" s="17" t="n">
        <v>1500</v>
      </c>
      <c r="D122" s="17" t="n">
        <v>1500</v>
      </c>
      <c r="E122" s="17" t="n">
        <v>2000</v>
      </c>
      <c r="F122" s="17" t="n">
        <v>500</v>
      </c>
      <c r="G122" s="17" t="n">
        <v>2500</v>
      </c>
      <c r="H122" s="17" t="n">
        <v>2000</v>
      </c>
      <c r="I122" s="17" t="n">
        <v>2000</v>
      </c>
      <c r="J122" s="17" t="n">
        <v>2500</v>
      </c>
      <c r="K122" s="17" t="n">
        <v>1500</v>
      </c>
      <c r="L122" s="17" t="n">
        <v>1500</v>
      </c>
      <c r="M122" s="17" t="n">
        <v>1800</v>
      </c>
      <c r="N122" s="17" t="n">
        <v>1000</v>
      </c>
      <c r="O122" s="38">
        <f>SUM(C122:N122)</f>
        <v/>
      </c>
    </row>
    <row r="123">
      <c r="A123" s="60" t="inlineStr">
        <is>
          <t>Fosfory</t>
        </is>
      </c>
      <c r="B123" s="61" t="inlineStr">
        <is>
          <t>SUPERFOSDAR 30%</t>
        </is>
      </c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38">
        <f>SUM(C123:N123)</f>
        <v/>
      </c>
    </row>
    <row r="124">
      <c r="A124" s="60" t="inlineStr">
        <is>
          <t>Fosfory</t>
        </is>
      </c>
      <c r="B124" s="61" t="inlineStr">
        <is>
          <t>AMOFOSKA NPK 4-16-18</t>
        </is>
      </c>
      <c r="C124" s="17" t="n">
        <v>500</v>
      </c>
      <c r="D124" s="17" t="n">
        <v>0</v>
      </c>
      <c r="E124" s="17" t="n">
        <v>500</v>
      </c>
      <c r="F124" s="17" t="n">
        <v>0</v>
      </c>
      <c r="G124" s="17" t="n">
        <v>500</v>
      </c>
      <c r="H124" s="17" t="n">
        <v>500</v>
      </c>
      <c r="I124" s="17" t="n">
        <v>0</v>
      </c>
      <c r="J124" s="17" t="n">
        <v>500</v>
      </c>
      <c r="K124" s="17" t="n">
        <v>500</v>
      </c>
      <c r="L124" s="17" t="n">
        <v>500</v>
      </c>
      <c r="M124" s="17" t="n">
        <v>500</v>
      </c>
      <c r="N124" s="17" t="n">
        <v>500</v>
      </c>
      <c r="O124" s="38">
        <f>SUM(C124:N124)</f>
        <v/>
      </c>
    </row>
    <row r="125">
      <c r="A125" s="60" t="inlineStr">
        <is>
          <t>Fosfory</t>
        </is>
      </c>
      <c r="B125" s="61" t="inlineStr">
        <is>
          <t>AMOFOSKA NPK 5-10-25+B</t>
        </is>
      </c>
      <c r="C125" s="17" t="n">
        <v>200</v>
      </c>
      <c r="D125" s="17" t="n">
        <v>800</v>
      </c>
      <c r="E125" s="17" t="n">
        <v>500</v>
      </c>
      <c r="F125" s="17" t="n">
        <v>500</v>
      </c>
      <c r="G125" s="17" t="n">
        <v>500</v>
      </c>
      <c r="H125" s="17" t="n">
        <v>500</v>
      </c>
      <c r="I125" s="17" t="n">
        <v>500</v>
      </c>
      <c r="J125" s="17" t="n">
        <v>500</v>
      </c>
      <c r="K125" s="17" t="n">
        <v>500</v>
      </c>
      <c r="L125" s="17" t="n">
        <v>500</v>
      </c>
      <c r="M125" s="17" t="n">
        <v>500</v>
      </c>
      <c r="N125" s="17" t="n">
        <v>1000</v>
      </c>
      <c r="O125" s="38">
        <f>SUM(C125:N125)</f>
        <v/>
      </c>
    </row>
    <row r="126">
      <c r="A126" s="60" t="inlineStr">
        <is>
          <t>Fosfory</t>
        </is>
      </c>
      <c r="B126" s="61" t="inlineStr">
        <is>
          <t>AMOFOSKA NPK 4-12-12</t>
        </is>
      </c>
      <c r="C126" s="17" t="n">
        <v>1000</v>
      </c>
      <c r="D126" s="17" t="n">
        <v>1500</v>
      </c>
      <c r="E126" s="17" t="n">
        <v>1200</v>
      </c>
      <c r="F126" s="17" t="n">
        <v>500</v>
      </c>
      <c r="G126" s="17" t="n">
        <v>1500</v>
      </c>
      <c r="H126" s="17" t="n">
        <v>1500</v>
      </c>
      <c r="I126" s="17" t="n">
        <v>1500</v>
      </c>
      <c r="J126" s="17" t="n">
        <v>1500</v>
      </c>
      <c r="K126" s="17" t="n">
        <v>1000</v>
      </c>
      <c r="L126" s="17" t="n">
        <v>2000</v>
      </c>
      <c r="M126" s="17" t="n">
        <v>1500</v>
      </c>
      <c r="N126" s="17" t="n">
        <v>1000</v>
      </c>
      <c r="O126" s="38">
        <f>SUM(C126:N126)</f>
        <v/>
      </c>
    </row>
    <row r="127">
      <c r="A127" s="60" t="inlineStr">
        <is>
          <t>Fosfory</t>
        </is>
      </c>
      <c r="B127" s="61" t="inlineStr">
        <is>
          <t>AMOFOSKA NPK 4-10-22 Corn</t>
        </is>
      </c>
      <c r="C127" s="17" t="n">
        <v>300</v>
      </c>
      <c r="D127" s="17" t="n">
        <v>200</v>
      </c>
      <c r="E127" s="17" t="n">
        <v>200</v>
      </c>
      <c r="F127" s="17" t="n">
        <v>0</v>
      </c>
      <c r="G127" s="17" t="n">
        <v>200</v>
      </c>
      <c r="H127" s="17" t="n">
        <v>100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38">
        <f>SUM(C127:N127)</f>
        <v/>
      </c>
    </row>
    <row r="128">
      <c r="A128" s="60" t="inlineStr">
        <is>
          <t>Fosfory</t>
        </is>
      </c>
      <c r="B128" s="61" t="inlineStr">
        <is>
          <t>NPK 5-12-12</t>
        </is>
      </c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38">
        <f>SUM(C128:N128)</f>
        <v/>
      </c>
    </row>
    <row r="129">
      <c r="A129" s="60" t="inlineStr">
        <is>
          <t>Fosfory</t>
        </is>
      </c>
      <c r="B129" s="61" t="inlineStr">
        <is>
          <t>NPK 4-12-12</t>
        </is>
      </c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38">
        <f>SUM(C129:N129)</f>
        <v/>
      </c>
    </row>
    <row r="130">
      <c r="A130" s="60" t="inlineStr">
        <is>
          <t>Fosfory</t>
        </is>
      </c>
      <c r="B130" s="61" t="inlineStr">
        <is>
          <t>FOSFARM NPK 4-10-15</t>
        </is>
      </c>
      <c r="C130" s="17" t="n">
        <v>500</v>
      </c>
      <c r="D130" s="17" t="n">
        <v>500</v>
      </c>
      <c r="E130" s="17" t="n">
        <v>500</v>
      </c>
      <c r="F130" s="17" t="n">
        <v>200</v>
      </c>
      <c r="G130" s="17" t="n">
        <v>500</v>
      </c>
      <c r="H130" s="17" t="n">
        <v>500</v>
      </c>
      <c r="I130" s="17" t="n">
        <v>500</v>
      </c>
      <c r="J130" s="17" t="n">
        <v>500</v>
      </c>
      <c r="K130" s="17" t="n">
        <v>300</v>
      </c>
      <c r="L130" s="17" t="n">
        <v>500</v>
      </c>
      <c r="M130" s="17" t="n">
        <v>500</v>
      </c>
      <c r="N130" s="17" t="n">
        <v>300</v>
      </c>
      <c r="O130" s="38">
        <f>SUM(C130:N130)</f>
        <v/>
      </c>
    </row>
    <row r="131">
      <c r="A131" s="60" t="inlineStr">
        <is>
          <t>Fosfory</t>
        </is>
      </c>
      <c r="B131" s="61" t="inlineStr">
        <is>
          <t>FOSFARM NP 4-14 / Fosfarm 10-25</t>
        </is>
      </c>
      <c r="C131" s="17" t="n">
        <v>0</v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0</v>
      </c>
      <c r="K131" s="17" t="n">
        <v>500</v>
      </c>
      <c r="L131" s="17" t="n">
        <v>500</v>
      </c>
      <c r="M131" s="17" t="n">
        <v>500</v>
      </c>
      <c r="N131" s="17" t="n">
        <v>500</v>
      </c>
      <c r="O131" s="38">
        <f>SUM(C131:N131)</f>
        <v/>
      </c>
    </row>
    <row r="132">
      <c r="A132" s="60" t="inlineStr">
        <is>
          <t>Fosfory</t>
        </is>
      </c>
      <c r="B132" s="61" t="inlineStr">
        <is>
          <t>Vitaplon PK 23-30</t>
        </is>
      </c>
      <c r="C132" s="17" t="n">
        <v>500</v>
      </c>
      <c r="D132" s="17" t="n">
        <v>500</v>
      </c>
      <c r="E132" s="17" t="n">
        <v>500</v>
      </c>
      <c r="F132" s="17" t="n">
        <v>200</v>
      </c>
      <c r="G132" s="17" t="n">
        <v>500</v>
      </c>
      <c r="H132" s="17" t="n">
        <v>500</v>
      </c>
      <c r="I132" s="17" t="n">
        <v>500</v>
      </c>
      <c r="J132" s="17" t="n">
        <v>500</v>
      </c>
      <c r="K132" s="17" t="n">
        <v>500</v>
      </c>
      <c r="L132" s="17" t="n">
        <v>500</v>
      </c>
      <c r="M132" s="17" t="n">
        <v>500</v>
      </c>
      <c r="N132" s="17" t="n">
        <v>500</v>
      </c>
      <c r="O132" s="38">
        <f>SUM(C132:N132)</f>
        <v/>
      </c>
    </row>
    <row r="133">
      <c r="A133" s="60" t="inlineStr">
        <is>
          <t>Fosfory</t>
        </is>
      </c>
      <c r="B133" s="61" t="inlineStr">
        <is>
          <t>HOLIST NK 14-20</t>
        </is>
      </c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38">
        <f>SUM(C133:N133)</f>
        <v/>
      </c>
    </row>
    <row r="134">
      <c r="A134" s="60" t="inlineStr">
        <is>
          <t>Fosfory</t>
        </is>
      </c>
      <c r="B134" s="61" t="inlineStr">
        <is>
          <t>HOLIST PK 15-30</t>
        </is>
      </c>
      <c r="C134" s="17" t="n">
        <v>1000</v>
      </c>
      <c r="D134" s="17" t="n">
        <v>1200</v>
      </c>
      <c r="E134" s="17" t="n">
        <v>1000</v>
      </c>
      <c r="F134" s="17" t="n">
        <v>500</v>
      </c>
      <c r="G134" s="17" t="n">
        <v>1000</v>
      </c>
      <c r="H134" s="17" t="n">
        <v>2000</v>
      </c>
      <c r="I134" s="17" t="n">
        <v>2000</v>
      </c>
      <c r="J134" s="17" t="n">
        <v>1300</v>
      </c>
      <c r="K134" s="17" t="n">
        <v>1000</v>
      </c>
      <c r="L134" s="17" t="n">
        <v>2000</v>
      </c>
      <c r="M134" s="17" t="n">
        <v>1000</v>
      </c>
      <c r="N134" s="17" t="n">
        <v>1000</v>
      </c>
      <c r="O134" s="38">
        <f>SUM(C134:N134)</f>
        <v/>
      </c>
    </row>
    <row r="135">
      <c r="A135" s="60" t="inlineStr">
        <is>
          <t>Fosfory</t>
        </is>
      </c>
      <c r="B135" s="61" t="inlineStr">
        <is>
          <t>HOLIST PK 16-28</t>
        </is>
      </c>
      <c r="C135" s="17" t="n">
        <v>48</v>
      </c>
      <c r="D135" s="17" t="n">
        <v>312</v>
      </c>
      <c r="E135" s="17" t="n">
        <v>240</v>
      </c>
      <c r="F135" s="17" t="n">
        <v>24</v>
      </c>
      <c r="G135" s="17" t="n">
        <v>432</v>
      </c>
      <c r="H135" s="17" t="n">
        <v>312</v>
      </c>
      <c r="I135" s="17" t="n">
        <v>480</v>
      </c>
      <c r="J135" s="17" t="n">
        <v>480</v>
      </c>
      <c r="K135" s="17" t="n">
        <v>96</v>
      </c>
      <c r="L135" s="17" t="n">
        <v>480</v>
      </c>
      <c r="M135" s="17" t="n">
        <v>72</v>
      </c>
      <c r="N135" s="17" t="n">
        <v>24</v>
      </c>
      <c r="O135" s="38">
        <f>SUM(C135:N135)</f>
        <v/>
      </c>
    </row>
    <row r="136">
      <c r="A136" s="60" t="inlineStr">
        <is>
          <t>Fosfory</t>
        </is>
      </c>
      <c r="B136" s="61" t="inlineStr">
        <is>
          <t>Super TSP</t>
        </is>
      </c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38">
        <f>SUM(C136:N136)</f>
        <v/>
      </c>
    </row>
    <row r="137">
      <c r="A137" s="60" t="inlineStr">
        <is>
          <t>Fosfory</t>
        </is>
      </c>
      <c r="B137" s="61" t="inlineStr">
        <is>
          <t>Sól granulowana kompaktowana</t>
        </is>
      </c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38">
        <f>SUM(C137:N137)</f>
        <v/>
      </c>
    </row>
    <row r="138">
      <c r="A138" s="60" t="inlineStr">
        <is>
          <t>Fosfory</t>
        </is>
      </c>
      <c r="B138" s="61" t="inlineStr">
        <is>
          <t>Wodosiarczyn sodu</t>
        </is>
      </c>
      <c r="C138" s="17" t="n">
        <v>140</v>
      </c>
      <c r="D138" s="17" t="n">
        <v>140</v>
      </c>
      <c r="E138" s="17" t="n">
        <v>140</v>
      </c>
      <c r="F138" s="17" t="n">
        <v>140</v>
      </c>
      <c r="G138" s="17" t="n">
        <v>140</v>
      </c>
      <c r="H138" s="17" t="n">
        <v>30</v>
      </c>
      <c r="I138" s="17" t="n">
        <v>140</v>
      </c>
      <c r="J138" s="17" t="n">
        <v>140</v>
      </c>
      <c r="K138" s="17" t="n">
        <v>140</v>
      </c>
      <c r="L138" s="17" t="n">
        <v>140</v>
      </c>
      <c r="M138" s="17" t="n">
        <v>140</v>
      </c>
      <c r="N138" s="17" t="n">
        <v>140</v>
      </c>
      <c r="O138" s="38">
        <f>SUM(C138:N138)</f>
        <v/>
      </c>
    </row>
  </sheetData>
  <autoFilter ref="A4:P92"/>
  <mergeCells count="1">
    <mergeCell ref="D1:G1"/>
  </mergeCells>
  <pageMargins left="0.7" right="0.7" top="0.75" bottom="0.75" header="0.3" footer="0.3"/>
  <pageSetup orientation="landscape" paperSize="9" scale="91" horizontalDpi="4294967294"/>
  <headerFooter alignWithMargins="0">
    <oddHeader>&amp;L&amp;"Arial,Pogrubiony"P&amp;C&amp;"Arial,Pogrubiony"&amp;12 &amp;UPlan Produkcji  </oddHeader>
    <oddFooter>&amp;R&amp;"Arial,Kursywa"&amp;5 podpisy osób uzgadniających &amp; data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1" customWidth="1" min="19" max="19"/>
    <col width="12" customWidth="1" min="20" max="20"/>
    <col width="12" customWidth="1" min="21" max="21"/>
  </cols>
  <sheetData>
    <row r="1">
      <c r="A1" s="67" t="inlineStr">
        <is>
          <t>Obliczenia dla każdego produktu – Plan sprzedaży 2027</t>
        </is>
      </c>
    </row>
    <row r="2">
      <c r="A2" s="68" t="inlineStr">
        <is>
          <t>Numer wiersza = numer wiersza w arkuszu „Sprzedaż”. Kolumny E–F (żółte) to założenia: jednostka i czy produkt wchodzi do sumy ton spółki. Pozostałe kolumny to formuły.</t>
        </is>
      </c>
    </row>
    <row r="4" ht="45" customHeight="1">
      <c r="A4" s="69" t="inlineStr">
        <is>
          <t>Spółka</t>
        </is>
      </c>
      <c r="B4" s="69" t="inlineStr">
        <is>
          <t>Produkt</t>
        </is>
      </c>
      <c r="C4" s="69" t="inlineStr">
        <is>
          <t>Status danych</t>
        </is>
      </c>
      <c r="D4" s="69" t="inlineStr">
        <is>
          <t>Liczba mies. z wolumenem</t>
        </is>
      </c>
      <c r="E4" s="69" t="inlineStr">
        <is>
          <t>Jednostka</t>
        </is>
      </c>
      <c r="F4" s="69" t="inlineStr">
        <is>
          <t>Do sumy ton (1/0)</t>
        </is>
      </c>
      <c r="G4" s="69" t="inlineStr">
        <is>
          <t>Q1</t>
        </is>
      </c>
      <c r="H4" s="69" t="inlineStr">
        <is>
          <t>Q2</t>
        </is>
      </c>
      <c r="I4" s="69" t="inlineStr">
        <is>
          <t>Q3</t>
        </is>
      </c>
      <c r="J4" s="69" t="inlineStr">
        <is>
          <t>Q4</t>
        </is>
      </c>
      <c r="K4" s="69" t="inlineStr">
        <is>
          <t>I półrocze</t>
        </is>
      </c>
      <c r="L4" s="69" t="inlineStr">
        <is>
          <t>II półrocze</t>
        </is>
      </c>
      <c r="M4" s="69" t="inlineStr">
        <is>
          <t>Rok</t>
        </is>
      </c>
      <c r="N4" s="69" t="inlineStr">
        <is>
          <t>Średnio / mies.</t>
        </is>
      </c>
      <c r="O4" s="69" t="inlineStr">
        <is>
          <t>Maks. mies.</t>
        </is>
      </c>
      <c r="P4" s="69" t="inlineStr">
        <is>
          <t>Min. mies.</t>
        </is>
      </c>
      <c r="Q4" s="69" t="inlineStr">
        <is>
          <t>Miesiąc szczytu</t>
        </is>
      </c>
      <c r="R4" s="69" t="inlineStr">
        <is>
          <t>Udział Q2+Q3 (sezon)</t>
        </is>
      </c>
      <c r="S4" s="69" t="inlineStr">
        <is>
          <t>Udział w tonach spółki</t>
        </is>
      </c>
      <c r="T4" s="69" t="inlineStr">
        <is>
          <t>Kontrola ∑ (Rok − kol. O)</t>
        </is>
      </c>
      <c r="U4" s="69" t="inlineStr">
        <is>
          <t>Klucz rankingu (pomocn.)</t>
        </is>
      </c>
    </row>
    <row r="5">
      <c r="A5" s="70">
        <f>'Sprzedaż'!A5</f>
        <v/>
      </c>
      <c r="B5" s="70">
        <f>'Sprzedaż'!B5</f>
        <v/>
      </c>
      <c r="C5" s="70">
        <f>IF(COUNT('Sprzedaż'!C5:N5)=0,"BRAK DANYCH",IF(COUNT('Sprzedaż'!C5:N5)&lt;12,"niepełne","komplet"))</f>
        <v/>
      </c>
      <c r="D5" s="70">
        <f>COUNTIF('Sprzedaż'!C5:N5,"&gt;0.001")</f>
        <v/>
      </c>
      <c r="E5" s="71" t="inlineStr">
        <is>
          <t>t</t>
        </is>
      </c>
      <c r="F5" s="71" t="n">
        <v>1</v>
      </c>
      <c r="G5" s="72">
        <f>SUM('Sprzedaż'!C5:E5)</f>
        <v/>
      </c>
      <c r="H5" s="72">
        <f>SUM('Sprzedaż'!F5:H5)</f>
        <v/>
      </c>
      <c r="I5" s="72">
        <f>SUM('Sprzedaż'!I5:K5)</f>
        <v/>
      </c>
      <c r="J5" s="72">
        <f>SUM('Sprzedaż'!L5:N5)</f>
        <v/>
      </c>
      <c r="K5" s="72">
        <f>G5+H5</f>
        <v/>
      </c>
      <c r="L5" s="72">
        <f>I5+J5</f>
        <v/>
      </c>
      <c r="M5" s="72">
        <f>SUM('Sprzedaż'!C5:N5)</f>
        <v/>
      </c>
      <c r="N5" s="72">
        <f>IF(COUNT('Sprzedaż'!C5:N5)=0,0,M5/12)</f>
        <v/>
      </c>
      <c r="O5" s="72">
        <f>MAX('Sprzedaż'!C5:N5)</f>
        <v/>
      </c>
      <c r="P5" s="72">
        <f>MIN('Sprzedaż'!C5:N5)</f>
        <v/>
      </c>
      <c r="Q5" s="73">
        <f>IF(M5&lt;=0,"-",INDEX('Sprzedaż'!$C$4:$N$4,MATCH(O5,'Sprzedaż'!C5:N5,0)))</f>
        <v/>
      </c>
      <c r="R5" s="74">
        <f>IF(M5&lt;=0,0,(H5+I5)/M5)</f>
        <v/>
      </c>
      <c r="S5" s="74">
        <f>IF(F5=0,"-",IFERROR(M5/SUMIFS($M$5:$M$138,$A$5:$A$138,A5,$F$5:$F$138,1),0))</f>
        <v/>
      </c>
      <c r="T5" s="72">
        <f>M5-N('Sprzedaż'!O5)</f>
        <v/>
      </c>
      <c r="U5" s="75">
        <f>IF(F5=1,M5,-1)-ROW()/1000000</f>
        <v/>
      </c>
    </row>
    <row r="6">
      <c r="A6" s="70">
        <f>'Sprzedaż'!A6</f>
        <v/>
      </c>
      <c r="B6" s="70">
        <f>'Sprzedaż'!B6</f>
        <v/>
      </c>
      <c r="C6" s="70">
        <f>IF(COUNT('Sprzedaż'!C6:N6)=0,"BRAK DANYCH",IF(COUNT('Sprzedaż'!C6:N6)&lt;12,"niepełne","komplet"))</f>
        <v/>
      </c>
      <c r="D6" s="70">
        <f>COUNTIF('Sprzedaż'!C6:N6,"&gt;0.001")</f>
        <v/>
      </c>
      <c r="E6" s="71" t="inlineStr">
        <is>
          <t>m3</t>
        </is>
      </c>
      <c r="F6" s="71" t="n">
        <v>0</v>
      </c>
      <c r="G6" s="72">
        <f>SUM('Sprzedaż'!C6:E6)</f>
        <v/>
      </c>
      <c r="H6" s="72">
        <f>SUM('Sprzedaż'!F6:H6)</f>
        <v/>
      </c>
      <c r="I6" s="72">
        <f>SUM('Sprzedaż'!I6:K6)</f>
        <v/>
      </c>
      <c r="J6" s="72">
        <f>SUM('Sprzedaż'!L6:N6)</f>
        <v/>
      </c>
      <c r="K6" s="72">
        <f>G6+H6</f>
        <v/>
      </c>
      <c r="L6" s="72">
        <f>I6+J6</f>
        <v/>
      </c>
      <c r="M6" s="72">
        <f>SUM('Sprzedaż'!C6:N6)</f>
        <v/>
      </c>
      <c r="N6" s="72">
        <f>IF(COUNT('Sprzedaż'!C6:N6)=0,0,M6/12)</f>
        <v/>
      </c>
      <c r="O6" s="72">
        <f>MAX('Sprzedaż'!C6:N6)</f>
        <v/>
      </c>
      <c r="P6" s="72">
        <f>MIN('Sprzedaż'!C6:N6)</f>
        <v/>
      </c>
      <c r="Q6" s="73">
        <f>IF(M6&lt;=0,"-",INDEX('Sprzedaż'!$C$4:$N$4,MATCH(O6,'Sprzedaż'!C6:N6,0)))</f>
        <v/>
      </c>
      <c r="R6" s="74">
        <f>IF(M6&lt;=0,0,(H6+I6)/M6)</f>
        <v/>
      </c>
      <c r="S6" s="74">
        <f>IF(F6=0,"-",IFERROR(M6/SUMIFS($M$5:$M$138,$A$5:$A$138,A6,$F$5:$F$138,1),0))</f>
        <v/>
      </c>
      <c r="T6" s="72">
        <f>M6-N('Sprzedaż'!O6)</f>
        <v/>
      </c>
      <c r="U6" s="75">
        <f>IF(F6=1,M6,-1)-ROW()/1000000</f>
        <v/>
      </c>
    </row>
    <row r="7">
      <c r="A7" s="70">
        <f>'Sprzedaż'!A7</f>
        <v/>
      </c>
      <c r="B7" s="70">
        <f>'Sprzedaż'!B7</f>
        <v/>
      </c>
      <c r="C7" s="70">
        <f>IF(COUNT('Sprzedaż'!C7:N7)=0,"BRAK DANYCH",IF(COUNT('Sprzedaż'!C7:N7)&lt;12,"niepełne","komplet"))</f>
        <v/>
      </c>
      <c r="D7" s="70">
        <f>COUNTIF('Sprzedaż'!C7:N7,"&gt;0.001")</f>
        <v/>
      </c>
      <c r="E7" s="71" t="inlineStr">
        <is>
          <t>t</t>
        </is>
      </c>
      <c r="F7" s="71" t="n">
        <v>1</v>
      </c>
      <c r="G7" s="72">
        <f>SUM('Sprzedaż'!C7:E7)</f>
        <v/>
      </c>
      <c r="H7" s="72">
        <f>SUM('Sprzedaż'!F7:H7)</f>
        <v/>
      </c>
      <c r="I7" s="72">
        <f>SUM('Sprzedaż'!I7:K7)</f>
        <v/>
      </c>
      <c r="J7" s="72">
        <f>SUM('Sprzedaż'!L7:N7)</f>
        <v/>
      </c>
      <c r="K7" s="72">
        <f>G7+H7</f>
        <v/>
      </c>
      <c r="L7" s="72">
        <f>I7+J7</f>
        <v/>
      </c>
      <c r="M7" s="72">
        <f>SUM('Sprzedaż'!C7:N7)</f>
        <v/>
      </c>
      <c r="N7" s="72">
        <f>IF(COUNT('Sprzedaż'!C7:N7)=0,0,M7/12)</f>
        <v/>
      </c>
      <c r="O7" s="72">
        <f>MAX('Sprzedaż'!C7:N7)</f>
        <v/>
      </c>
      <c r="P7" s="72">
        <f>MIN('Sprzedaż'!C7:N7)</f>
        <v/>
      </c>
      <c r="Q7" s="73">
        <f>IF(M7&lt;=0,"-",INDEX('Sprzedaż'!$C$4:$N$4,MATCH(O7,'Sprzedaż'!C7:N7,0)))</f>
        <v/>
      </c>
      <c r="R7" s="74">
        <f>IF(M7&lt;=0,0,(H7+I7)/M7)</f>
        <v/>
      </c>
      <c r="S7" s="74">
        <f>IF(F7=0,"-",IFERROR(M7/SUMIFS($M$5:$M$138,$A$5:$A$138,A7,$F$5:$F$138,1),0))</f>
        <v/>
      </c>
      <c r="T7" s="72">
        <f>M7-N('Sprzedaż'!O7)</f>
        <v/>
      </c>
      <c r="U7" s="75">
        <f>IF(F7=1,M7,-1)-ROW()/1000000</f>
        <v/>
      </c>
    </row>
    <row r="8">
      <c r="A8" s="70">
        <f>'Sprzedaż'!A8</f>
        <v/>
      </c>
      <c r="B8" s="70">
        <f>'Sprzedaż'!B8</f>
        <v/>
      </c>
      <c r="C8" s="70">
        <f>IF(COUNT('Sprzedaż'!C8:N8)=0,"BRAK DANYCH",IF(COUNT('Sprzedaż'!C8:N8)&lt;12,"niepełne","komplet"))</f>
        <v/>
      </c>
      <c r="D8" s="70">
        <f>COUNTIF('Sprzedaż'!C8:N8,"&gt;0.001")</f>
        <v/>
      </c>
      <c r="E8" s="71" t="inlineStr">
        <is>
          <t>t</t>
        </is>
      </c>
      <c r="F8" s="71" t="n">
        <v>1</v>
      </c>
      <c r="G8" s="72">
        <f>SUM('Sprzedaż'!C8:E8)</f>
        <v/>
      </c>
      <c r="H8" s="72">
        <f>SUM('Sprzedaż'!F8:H8)</f>
        <v/>
      </c>
      <c r="I8" s="72">
        <f>SUM('Sprzedaż'!I8:K8)</f>
        <v/>
      </c>
      <c r="J8" s="72">
        <f>SUM('Sprzedaż'!L8:N8)</f>
        <v/>
      </c>
      <c r="K8" s="72">
        <f>G8+H8</f>
        <v/>
      </c>
      <c r="L8" s="72">
        <f>I8+J8</f>
        <v/>
      </c>
      <c r="M8" s="72">
        <f>SUM('Sprzedaż'!C8:N8)</f>
        <v/>
      </c>
      <c r="N8" s="72">
        <f>IF(COUNT('Sprzedaż'!C8:N8)=0,0,M8/12)</f>
        <v/>
      </c>
      <c r="O8" s="72">
        <f>MAX('Sprzedaż'!C8:N8)</f>
        <v/>
      </c>
      <c r="P8" s="72">
        <f>MIN('Sprzedaż'!C8:N8)</f>
        <v/>
      </c>
      <c r="Q8" s="73">
        <f>IF(M8&lt;=0,"-",INDEX('Sprzedaż'!$C$4:$N$4,MATCH(O8,'Sprzedaż'!C8:N8,0)))</f>
        <v/>
      </c>
      <c r="R8" s="74">
        <f>IF(M8&lt;=0,0,(H8+I8)/M8)</f>
        <v/>
      </c>
      <c r="S8" s="74">
        <f>IF(F8=0,"-",IFERROR(M8/SUMIFS($M$5:$M$138,$A$5:$A$138,A8,$F$5:$F$138,1),0))</f>
        <v/>
      </c>
      <c r="T8" s="72">
        <f>M8-N('Sprzedaż'!O8)</f>
        <v/>
      </c>
      <c r="U8" s="75">
        <f>IF(F8=1,M8,-1)-ROW()/1000000</f>
        <v/>
      </c>
    </row>
    <row r="9">
      <c r="A9" s="70">
        <f>'Sprzedaż'!A9</f>
        <v/>
      </c>
      <c r="B9" s="70">
        <f>'Sprzedaż'!B9</f>
        <v/>
      </c>
      <c r="C9" s="70">
        <f>IF(COUNT('Sprzedaż'!C9:N9)=0,"BRAK DANYCH",IF(COUNT('Sprzedaż'!C9:N9)&lt;12,"niepełne","komplet"))</f>
        <v/>
      </c>
      <c r="D9" s="70">
        <f>COUNTIF('Sprzedaż'!C9:N9,"&gt;0.001")</f>
        <v/>
      </c>
      <c r="E9" s="71" t="inlineStr">
        <is>
          <t>t</t>
        </is>
      </c>
      <c r="F9" s="71" t="n">
        <v>1</v>
      </c>
      <c r="G9" s="72">
        <f>SUM('Sprzedaż'!C9:E9)</f>
        <v/>
      </c>
      <c r="H9" s="72">
        <f>SUM('Sprzedaż'!F9:H9)</f>
        <v/>
      </c>
      <c r="I9" s="72">
        <f>SUM('Sprzedaż'!I9:K9)</f>
        <v/>
      </c>
      <c r="J9" s="72">
        <f>SUM('Sprzedaż'!L9:N9)</f>
        <v/>
      </c>
      <c r="K9" s="72">
        <f>G9+H9</f>
        <v/>
      </c>
      <c r="L9" s="72">
        <f>I9+J9</f>
        <v/>
      </c>
      <c r="M9" s="72">
        <f>SUM('Sprzedaż'!C9:N9)</f>
        <v/>
      </c>
      <c r="N9" s="72">
        <f>IF(COUNT('Sprzedaż'!C9:N9)=0,0,M9/12)</f>
        <v/>
      </c>
      <c r="O9" s="72">
        <f>MAX('Sprzedaż'!C9:N9)</f>
        <v/>
      </c>
      <c r="P9" s="72">
        <f>MIN('Sprzedaż'!C9:N9)</f>
        <v/>
      </c>
      <c r="Q9" s="73">
        <f>IF(M9&lt;=0,"-",INDEX('Sprzedaż'!$C$4:$N$4,MATCH(O9,'Sprzedaż'!C9:N9,0)))</f>
        <v/>
      </c>
      <c r="R9" s="74">
        <f>IF(M9&lt;=0,0,(H9+I9)/M9)</f>
        <v/>
      </c>
      <c r="S9" s="74">
        <f>IF(F9=0,"-",IFERROR(M9/SUMIFS($M$5:$M$138,$A$5:$A$138,A9,$F$5:$F$138,1),0))</f>
        <v/>
      </c>
      <c r="T9" s="72">
        <f>M9-N('Sprzedaż'!O9)</f>
        <v/>
      </c>
      <c r="U9" s="75">
        <f>IF(F9=1,M9,-1)-ROW()/1000000</f>
        <v/>
      </c>
    </row>
    <row r="10">
      <c r="A10" s="70">
        <f>'Sprzedaż'!A10</f>
        <v/>
      </c>
      <c r="B10" s="70">
        <f>'Sprzedaż'!B10</f>
        <v/>
      </c>
      <c r="C10" s="70">
        <f>IF(COUNT('Sprzedaż'!C10:N10)=0,"BRAK DANYCH",IF(COUNT('Sprzedaż'!C10:N10)&lt;12,"niepełne","komplet"))</f>
        <v/>
      </c>
      <c r="D10" s="70">
        <f>COUNTIF('Sprzedaż'!C10:N10,"&gt;0.001")</f>
        <v/>
      </c>
      <c r="E10" s="71" t="inlineStr">
        <is>
          <t>t</t>
        </is>
      </c>
      <c r="F10" s="71" t="n">
        <v>1</v>
      </c>
      <c r="G10" s="72">
        <f>SUM('Sprzedaż'!C10:E10)</f>
        <v/>
      </c>
      <c r="H10" s="72">
        <f>SUM('Sprzedaż'!F10:H10)</f>
        <v/>
      </c>
      <c r="I10" s="72">
        <f>SUM('Sprzedaż'!I10:K10)</f>
        <v/>
      </c>
      <c r="J10" s="72">
        <f>SUM('Sprzedaż'!L10:N10)</f>
        <v/>
      </c>
      <c r="K10" s="72">
        <f>G10+H10</f>
        <v/>
      </c>
      <c r="L10" s="72">
        <f>I10+J10</f>
        <v/>
      </c>
      <c r="M10" s="72">
        <f>SUM('Sprzedaż'!C10:N10)</f>
        <v/>
      </c>
      <c r="N10" s="72">
        <f>IF(COUNT('Sprzedaż'!C10:N10)=0,0,M10/12)</f>
        <v/>
      </c>
      <c r="O10" s="72">
        <f>MAX('Sprzedaż'!C10:N10)</f>
        <v/>
      </c>
      <c r="P10" s="72">
        <f>MIN('Sprzedaż'!C10:N10)</f>
        <v/>
      </c>
      <c r="Q10" s="73">
        <f>IF(M10&lt;=0,"-",INDEX('Sprzedaż'!$C$4:$N$4,MATCH(O10,'Sprzedaż'!C10:N10,0)))</f>
        <v/>
      </c>
      <c r="R10" s="74">
        <f>IF(M10&lt;=0,0,(H10+I10)/M10)</f>
        <v/>
      </c>
      <c r="S10" s="74">
        <f>IF(F10=0,"-",IFERROR(M10/SUMIFS($M$5:$M$138,$A$5:$A$138,A10,$F$5:$F$138,1),0))</f>
        <v/>
      </c>
      <c r="T10" s="72">
        <f>M10-N('Sprzedaż'!O10)</f>
        <v/>
      </c>
      <c r="U10" s="75">
        <f>IF(F10=1,M10,-1)-ROW()/1000000</f>
        <v/>
      </c>
    </row>
    <row r="11">
      <c r="A11" s="70">
        <f>'Sprzedaż'!A11</f>
        <v/>
      </c>
      <c r="B11" s="70">
        <f>'Sprzedaż'!B11</f>
        <v/>
      </c>
      <c r="C11" s="70">
        <f>IF(COUNT('Sprzedaż'!C11:N11)=0,"BRAK DANYCH",IF(COUNT('Sprzedaż'!C11:N11)&lt;12,"niepełne","komplet"))</f>
        <v/>
      </c>
      <c r="D11" s="70">
        <f>COUNTIF('Sprzedaż'!C11:N11,"&gt;0.001")</f>
        <v/>
      </c>
      <c r="E11" s="71" t="inlineStr">
        <is>
          <t>t</t>
        </is>
      </c>
      <c r="F11" s="71" t="n">
        <v>1</v>
      </c>
      <c r="G11" s="72">
        <f>SUM('Sprzedaż'!C11:E11)</f>
        <v/>
      </c>
      <c r="H11" s="72">
        <f>SUM('Sprzedaż'!F11:H11)</f>
        <v/>
      </c>
      <c r="I11" s="72">
        <f>SUM('Sprzedaż'!I11:K11)</f>
        <v/>
      </c>
      <c r="J11" s="72">
        <f>SUM('Sprzedaż'!L11:N11)</f>
        <v/>
      </c>
      <c r="K11" s="72">
        <f>G11+H11</f>
        <v/>
      </c>
      <c r="L11" s="72">
        <f>I11+J11</f>
        <v/>
      </c>
      <c r="M11" s="72">
        <f>SUM('Sprzedaż'!C11:N11)</f>
        <v/>
      </c>
      <c r="N11" s="72">
        <f>IF(COUNT('Sprzedaż'!C11:N11)=0,0,M11/12)</f>
        <v/>
      </c>
      <c r="O11" s="72">
        <f>MAX('Sprzedaż'!C11:N11)</f>
        <v/>
      </c>
      <c r="P11" s="72">
        <f>MIN('Sprzedaż'!C11:N11)</f>
        <v/>
      </c>
      <c r="Q11" s="73">
        <f>IF(M11&lt;=0,"-",INDEX('Sprzedaż'!$C$4:$N$4,MATCH(O11,'Sprzedaż'!C11:N11,0)))</f>
        <v/>
      </c>
      <c r="R11" s="74">
        <f>IF(M11&lt;=0,0,(H11+I11)/M11)</f>
        <v/>
      </c>
      <c r="S11" s="74">
        <f>IF(F11=0,"-",IFERROR(M11/SUMIFS($M$5:$M$138,$A$5:$A$138,A11,$F$5:$F$138,1),0))</f>
        <v/>
      </c>
      <c r="T11" s="72">
        <f>M11-N('Sprzedaż'!O11)</f>
        <v/>
      </c>
      <c r="U11" s="75">
        <f>IF(F11=1,M11,-1)-ROW()/1000000</f>
        <v/>
      </c>
    </row>
    <row r="12">
      <c r="A12" s="70">
        <f>'Sprzedaż'!A12</f>
        <v/>
      </c>
      <c r="B12" s="70">
        <f>'Sprzedaż'!B12</f>
        <v/>
      </c>
      <c r="C12" s="70">
        <f>IF(COUNT('Sprzedaż'!C12:N12)=0,"BRAK DANYCH",IF(COUNT('Sprzedaż'!C12:N12)&lt;12,"niepełne","komplet"))</f>
        <v/>
      </c>
      <c r="D12" s="70">
        <f>COUNTIF('Sprzedaż'!C12:N12,"&gt;0.001")</f>
        <v/>
      </c>
      <c r="E12" s="71" t="inlineStr">
        <is>
          <t>t</t>
        </is>
      </c>
      <c r="F12" s="71" t="n">
        <v>1</v>
      </c>
      <c r="G12" s="72">
        <f>SUM('Sprzedaż'!C12:E12)</f>
        <v/>
      </c>
      <c r="H12" s="72">
        <f>SUM('Sprzedaż'!F12:H12)</f>
        <v/>
      </c>
      <c r="I12" s="72">
        <f>SUM('Sprzedaż'!I12:K12)</f>
        <v/>
      </c>
      <c r="J12" s="72">
        <f>SUM('Sprzedaż'!L12:N12)</f>
        <v/>
      </c>
      <c r="K12" s="72">
        <f>G12+H12</f>
        <v/>
      </c>
      <c r="L12" s="72">
        <f>I12+J12</f>
        <v/>
      </c>
      <c r="M12" s="72">
        <f>SUM('Sprzedaż'!C12:N12)</f>
        <v/>
      </c>
      <c r="N12" s="72">
        <f>IF(COUNT('Sprzedaż'!C12:N12)=0,0,M12/12)</f>
        <v/>
      </c>
      <c r="O12" s="72">
        <f>MAX('Sprzedaż'!C12:N12)</f>
        <v/>
      </c>
      <c r="P12" s="72">
        <f>MIN('Sprzedaż'!C12:N12)</f>
        <v/>
      </c>
      <c r="Q12" s="73">
        <f>IF(M12&lt;=0,"-",INDEX('Sprzedaż'!$C$4:$N$4,MATCH(O12,'Sprzedaż'!C12:N12,0)))</f>
        <v/>
      </c>
      <c r="R12" s="74">
        <f>IF(M12&lt;=0,0,(H12+I12)/M12)</f>
        <v/>
      </c>
      <c r="S12" s="74">
        <f>IF(F12=0,"-",IFERROR(M12/SUMIFS($M$5:$M$138,$A$5:$A$138,A12,$F$5:$F$138,1),0))</f>
        <v/>
      </c>
      <c r="T12" s="72">
        <f>M12-N('Sprzedaż'!O12)</f>
        <v/>
      </c>
      <c r="U12" s="75">
        <f>IF(F12=1,M12,-1)-ROW()/1000000</f>
        <v/>
      </c>
    </row>
    <row r="13">
      <c r="A13" s="70">
        <f>'Sprzedaż'!A13</f>
        <v/>
      </c>
      <c r="B13" s="70">
        <f>'Sprzedaż'!B13</f>
        <v/>
      </c>
      <c r="C13" s="70">
        <f>IF(COUNT('Sprzedaż'!C13:N13)=0,"BRAK DANYCH",IF(COUNT('Sprzedaż'!C13:N13)&lt;12,"niepełne","komplet"))</f>
        <v/>
      </c>
      <c r="D13" s="70">
        <f>COUNTIF('Sprzedaż'!C13:N13,"&gt;0.001")</f>
        <v/>
      </c>
      <c r="E13" s="71" t="inlineStr">
        <is>
          <t>t</t>
        </is>
      </c>
      <c r="F13" s="71" t="n">
        <v>1</v>
      </c>
      <c r="G13" s="72">
        <f>SUM('Sprzedaż'!C13:E13)</f>
        <v/>
      </c>
      <c r="H13" s="72">
        <f>SUM('Sprzedaż'!F13:H13)</f>
        <v/>
      </c>
      <c r="I13" s="72">
        <f>SUM('Sprzedaż'!I13:K13)</f>
        <v/>
      </c>
      <c r="J13" s="72">
        <f>SUM('Sprzedaż'!L13:N13)</f>
        <v/>
      </c>
      <c r="K13" s="72">
        <f>G13+H13</f>
        <v/>
      </c>
      <c r="L13" s="72">
        <f>I13+J13</f>
        <v/>
      </c>
      <c r="M13" s="72">
        <f>SUM('Sprzedaż'!C13:N13)</f>
        <v/>
      </c>
      <c r="N13" s="72">
        <f>IF(COUNT('Sprzedaż'!C13:N13)=0,0,M13/12)</f>
        <v/>
      </c>
      <c r="O13" s="72">
        <f>MAX('Sprzedaż'!C13:N13)</f>
        <v/>
      </c>
      <c r="P13" s="72">
        <f>MIN('Sprzedaż'!C13:N13)</f>
        <v/>
      </c>
      <c r="Q13" s="73">
        <f>IF(M13&lt;=0,"-",INDEX('Sprzedaż'!$C$4:$N$4,MATCH(O13,'Sprzedaż'!C13:N13,0)))</f>
        <v/>
      </c>
      <c r="R13" s="74">
        <f>IF(M13&lt;=0,0,(H13+I13)/M13)</f>
        <v/>
      </c>
      <c r="S13" s="74">
        <f>IF(F13=0,"-",IFERROR(M13/SUMIFS($M$5:$M$138,$A$5:$A$138,A13,$F$5:$F$138,1),0))</f>
        <v/>
      </c>
      <c r="T13" s="72">
        <f>M13-N('Sprzedaż'!O13)</f>
        <v/>
      </c>
      <c r="U13" s="75">
        <f>IF(F13=1,M13,-1)-ROW()/1000000</f>
        <v/>
      </c>
    </row>
    <row r="14">
      <c r="A14" s="70">
        <f>'Sprzedaż'!A14</f>
        <v/>
      </c>
      <c r="B14" s="70">
        <f>'Sprzedaż'!B14</f>
        <v/>
      </c>
      <c r="C14" s="70">
        <f>IF(COUNT('Sprzedaż'!C14:N14)=0,"BRAK DANYCH",IF(COUNT('Sprzedaż'!C14:N14)&lt;12,"niepełne","komplet"))</f>
        <v/>
      </c>
      <c r="D14" s="70">
        <f>COUNTIF('Sprzedaż'!C14:N14,"&gt;0.001")</f>
        <v/>
      </c>
      <c r="E14" s="71" t="inlineStr">
        <is>
          <t>t</t>
        </is>
      </c>
      <c r="F14" s="71" t="n">
        <v>1</v>
      </c>
      <c r="G14" s="72">
        <f>SUM('Sprzedaż'!C14:E14)</f>
        <v/>
      </c>
      <c r="H14" s="72">
        <f>SUM('Sprzedaż'!F14:H14)</f>
        <v/>
      </c>
      <c r="I14" s="72">
        <f>SUM('Sprzedaż'!I14:K14)</f>
        <v/>
      </c>
      <c r="J14" s="72">
        <f>SUM('Sprzedaż'!L14:N14)</f>
        <v/>
      </c>
      <c r="K14" s="72">
        <f>G14+H14</f>
        <v/>
      </c>
      <c r="L14" s="72">
        <f>I14+J14</f>
        <v/>
      </c>
      <c r="M14" s="72">
        <f>SUM('Sprzedaż'!C14:N14)</f>
        <v/>
      </c>
      <c r="N14" s="72">
        <f>IF(COUNT('Sprzedaż'!C14:N14)=0,0,M14/12)</f>
        <v/>
      </c>
      <c r="O14" s="72">
        <f>MAX('Sprzedaż'!C14:N14)</f>
        <v/>
      </c>
      <c r="P14" s="72">
        <f>MIN('Sprzedaż'!C14:N14)</f>
        <v/>
      </c>
      <c r="Q14" s="73">
        <f>IF(M14&lt;=0,"-",INDEX('Sprzedaż'!$C$4:$N$4,MATCH(O14,'Sprzedaż'!C14:N14,0)))</f>
        <v/>
      </c>
      <c r="R14" s="74">
        <f>IF(M14&lt;=0,0,(H14+I14)/M14)</f>
        <v/>
      </c>
      <c r="S14" s="74">
        <f>IF(F14=0,"-",IFERROR(M14/SUMIFS($M$5:$M$138,$A$5:$A$138,A14,$F$5:$F$138,1),0))</f>
        <v/>
      </c>
      <c r="T14" s="72">
        <f>M14-N('Sprzedaż'!O14)</f>
        <v/>
      </c>
      <c r="U14" s="75">
        <f>IF(F14=1,M14,-1)-ROW()/1000000</f>
        <v/>
      </c>
    </row>
    <row r="15">
      <c r="A15" s="70">
        <f>'Sprzedaż'!A15</f>
        <v/>
      </c>
      <c r="B15" s="70">
        <f>'Sprzedaż'!B15</f>
        <v/>
      </c>
      <c r="C15" s="70">
        <f>IF(COUNT('Sprzedaż'!C15:N15)=0,"BRAK DANYCH",IF(COUNT('Sprzedaż'!C15:N15)&lt;12,"niepełne","komplet"))</f>
        <v/>
      </c>
      <c r="D15" s="70">
        <f>COUNTIF('Sprzedaż'!C15:N15,"&gt;0.001")</f>
        <v/>
      </c>
      <c r="E15" s="71" t="inlineStr">
        <is>
          <t>t</t>
        </is>
      </c>
      <c r="F15" s="71" t="n">
        <v>1</v>
      </c>
      <c r="G15" s="72">
        <f>SUM('Sprzedaż'!C15:E15)</f>
        <v/>
      </c>
      <c r="H15" s="72">
        <f>SUM('Sprzedaż'!F15:H15)</f>
        <v/>
      </c>
      <c r="I15" s="72">
        <f>SUM('Sprzedaż'!I15:K15)</f>
        <v/>
      </c>
      <c r="J15" s="72">
        <f>SUM('Sprzedaż'!L15:N15)</f>
        <v/>
      </c>
      <c r="K15" s="72">
        <f>G15+H15</f>
        <v/>
      </c>
      <c r="L15" s="72">
        <f>I15+J15</f>
        <v/>
      </c>
      <c r="M15" s="72">
        <f>SUM('Sprzedaż'!C15:N15)</f>
        <v/>
      </c>
      <c r="N15" s="72">
        <f>IF(COUNT('Sprzedaż'!C15:N15)=0,0,M15/12)</f>
        <v/>
      </c>
      <c r="O15" s="72">
        <f>MAX('Sprzedaż'!C15:N15)</f>
        <v/>
      </c>
      <c r="P15" s="72">
        <f>MIN('Sprzedaż'!C15:N15)</f>
        <v/>
      </c>
      <c r="Q15" s="73">
        <f>IF(M15&lt;=0,"-",INDEX('Sprzedaż'!$C$4:$N$4,MATCH(O15,'Sprzedaż'!C15:N15,0)))</f>
        <v/>
      </c>
      <c r="R15" s="74">
        <f>IF(M15&lt;=0,0,(H15+I15)/M15)</f>
        <v/>
      </c>
      <c r="S15" s="74">
        <f>IF(F15=0,"-",IFERROR(M15/SUMIFS($M$5:$M$138,$A$5:$A$138,A15,$F$5:$F$138,1),0))</f>
        <v/>
      </c>
      <c r="T15" s="72">
        <f>M15-N('Sprzedaż'!O15)</f>
        <v/>
      </c>
      <c r="U15" s="75">
        <f>IF(F15=1,M15,-1)-ROW()/1000000</f>
        <v/>
      </c>
    </row>
    <row r="16">
      <c r="A16" s="70">
        <f>'Sprzedaż'!A16</f>
        <v/>
      </c>
      <c r="B16" s="70">
        <f>'Sprzedaż'!B16</f>
        <v/>
      </c>
      <c r="C16" s="70">
        <f>IF(COUNT('Sprzedaż'!C16:N16)=0,"BRAK DANYCH",IF(COUNT('Sprzedaż'!C16:N16)&lt;12,"niepełne","komplet"))</f>
        <v/>
      </c>
      <c r="D16" s="70">
        <f>COUNTIF('Sprzedaż'!C16:N16,"&gt;0.001")</f>
        <v/>
      </c>
      <c r="E16" s="71" t="inlineStr">
        <is>
          <t>t</t>
        </is>
      </c>
      <c r="F16" s="71" t="n">
        <v>1</v>
      </c>
      <c r="G16" s="72">
        <f>SUM('Sprzedaż'!C16:E16)</f>
        <v/>
      </c>
      <c r="H16" s="72">
        <f>SUM('Sprzedaż'!F16:H16)</f>
        <v/>
      </c>
      <c r="I16" s="72">
        <f>SUM('Sprzedaż'!I16:K16)</f>
        <v/>
      </c>
      <c r="J16" s="72">
        <f>SUM('Sprzedaż'!L16:N16)</f>
        <v/>
      </c>
      <c r="K16" s="72">
        <f>G16+H16</f>
        <v/>
      </c>
      <c r="L16" s="72">
        <f>I16+J16</f>
        <v/>
      </c>
      <c r="M16" s="72">
        <f>SUM('Sprzedaż'!C16:N16)</f>
        <v/>
      </c>
      <c r="N16" s="72">
        <f>IF(COUNT('Sprzedaż'!C16:N16)=0,0,M16/12)</f>
        <v/>
      </c>
      <c r="O16" s="72">
        <f>MAX('Sprzedaż'!C16:N16)</f>
        <v/>
      </c>
      <c r="P16" s="72">
        <f>MIN('Sprzedaż'!C16:N16)</f>
        <v/>
      </c>
      <c r="Q16" s="73">
        <f>IF(M16&lt;=0,"-",INDEX('Sprzedaż'!$C$4:$N$4,MATCH(O16,'Sprzedaż'!C16:N16,0)))</f>
        <v/>
      </c>
      <c r="R16" s="74">
        <f>IF(M16&lt;=0,0,(H16+I16)/M16)</f>
        <v/>
      </c>
      <c r="S16" s="74">
        <f>IF(F16=0,"-",IFERROR(M16/SUMIFS($M$5:$M$138,$A$5:$A$138,A16,$F$5:$F$138,1),0))</f>
        <v/>
      </c>
      <c r="T16" s="72">
        <f>M16-N('Sprzedaż'!O16)</f>
        <v/>
      </c>
      <c r="U16" s="75">
        <f>IF(F16=1,M16,-1)-ROW()/1000000</f>
        <v/>
      </c>
    </row>
    <row r="17">
      <c r="A17" s="70">
        <f>'Sprzedaż'!A17</f>
        <v/>
      </c>
      <c r="B17" s="70">
        <f>'Sprzedaż'!B17</f>
        <v/>
      </c>
      <c r="C17" s="70">
        <f>IF(COUNT('Sprzedaż'!C17:N17)=0,"BRAK DANYCH",IF(COUNT('Sprzedaż'!C17:N17)&lt;12,"niepełne","komplet"))</f>
        <v/>
      </c>
      <c r="D17" s="70">
        <f>COUNTIF('Sprzedaż'!C17:N17,"&gt;0.001")</f>
        <v/>
      </c>
      <c r="E17" s="71" t="inlineStr">
        <is>
          <t>t</t>
        </is>
      </c>
      <c r="F17" s="71" t="n">
        <v>1</v>
      </c>
      <c r="G17" s="72">
        <f>SUM('Sprzedaż'!C17:E17)</f>
        <v/>
      </c>
      <c r="H17" s="72">
        <f>SUM('Sprzedaż'!F17:H17)</f>
        <v/>
      </c>
      <c r="I17" s="72">
        <f>SUM('Sprzedaż'!I17:K17)</f>
        <v/>
      </c>
      <c r="J17" s="72">
        <f>SUM('Sprzedaż'!L17:N17)</f>
        <v/>
      </c>
      <c r="K17" s="72">
        <f>G17+H17</f>
        <v/>
      </c>
      <c r="L17" s="72">
        <f>I17+J17</f>
        <v/>
      </c>
      <c r="M17" s="72">
        <f>SUM('Sprzedaż'!C17:N17)</f>
        <v/>
      </c>
      <c r="N17" s="72">
        <f>IF(COUNT('Sprzedaż'!C17:N17)=0,0,M17/12)</f>
        <v/>
      </c>
      <c r="O17" s="72">
        <f>MAX('Sprzedaż'!C17:N17)</f>
        <v/>
      </c>
      <c r="P17" s="72">
        <f>MIN('Sprzedaż'!C17:N17)</f>
        <v/>
      </c>
      <c r="Q17" s="73">
        <f>IF(M17&lt;=0,"-",INDEX('Sprzedaż'!$C$4:$N$4,MATCH(O17,'Sprzedaż'!C17:N17,0)))</f>
        <v/>
      </c>
      <c r="R17" s="74">
        <f>IF(M17&lt;=0,0,(H17+I17)/M17)</f>
        <v/>
      </c>
      <c r="S17" s="74">
        <f>IF(F17=0,"-",IFERROR(M17/SUMIFS($M$5:$M$138,$A$5:$A$138,A17,$F$5:$F$138,1),0))</f>
        <v/>
      </c>
      <c r="T17" s="72">
        <f>M17-N('Sprzedaż'!O17)</f>
        <v/>
      </c>
      <c r="U17" s="75">
        <f>IF(F17=1,M17,-1)-ROW()/1000000</f>
        <v/>
      </c>
    </row>
    <row r="18">
      <c r="A18" s="70">
        <f>'Sprzedaż'!A18</f>
        <v/>
      </c>
      <c r="B18" s="70">
        <f>'Sprzedaż'!B18</f>
        <v/>
      </c>
      <c r="C18" s="70">
        <f>IF(COUNT('Sprzedaż'!C18:N18)=0,"BRAK DANYCH",IF(COUNT('Sprzedaż'!C18:N18)&lt;12,"niepełne","komplet"))</f>
        <v/>
      </c>
      <c r="D18" s="70">
        <f>COUNTIF('Sprzedaż'!C18:N18,"&gt;0.001")</f>
        <v/>
      </c>
      <c r="E18" s="71" t="inlineStr">
        <is>
          <t>t</t>
        </is>
      </c>
      <c r="F18" s="71" t="n">
        <v>0</v>
      </c>
      <c r="G18" s="72">
        <f>SUM('Sprzedaż'!C18:E18)</f>
        <v/>
      </c>
      <c r="H18" s="72">
        <f>SUM('Sprzedaż'!F18:H18)</f>
        <v/>
      </c>
      <c r="I18" s="72">
        <f>SUM('Sprzedaż'!I18:K18)</f>
        <v/>
      </c>
      <c r="J18" s="72">
        <f>SUM('Sprzedaż'!L18:N18)</f>
        <v/>
      </c>
      <c r="K18" s="72">
        <f>G18+H18</f>
        <v/>
      </c>
      <c r="L18" s="72">
        <f>I18+J18</f>
        <v/>
      </c>
      <c r="M18" s="72">
        <f>SUM('Sprzedaż'!C18:N18)</f>
        <v/>
      </c>
      <c r="N18" s="72">
        <f>IF(COUNT('Sprzedaż'!C18:N18)=0,0,M18/12)</f>
        <v/>
      </c>
      <c r="O18" s="72">
        <f>MAX('Sprzedaż'!C18:N18)</f>
        <v/>
      </c>
      <c r="P18" s="72">
        <f>MIN('Sprzedaż'!C18:N18)</f>
        <v/>
      </c>
      <c r="Q18" s="73">
        <f>IF(M18&lt;=0,"-",INDEX('Sprzedaż'!$C$4:$N$4,MATCH(O18,'Sprzedaż'!C18:N18,0)))</f>
        <v/>
      </c>
      <c r="R18" s="74">
        <f>IF(M18&lt;=0,0,(H18+I18)/M18)</f>
        <v/>
      </c>
      <c r="S18" s="74">
        <f>IF(F18=0,"-",IFERROR(M18/SUMIFS($M$5:$M$138,$A$5:$A$138,A18,$F$5:$F$138,1),0))</f>
        <v/>
      </c>
      <c r="T18" s="72">
        <f>M18-N('Sprzedaż'!O18)</f>
        <v/>
      </c>
      <c r="U18" s="75">
        <f>IF(F18=1,M18,-1)-ROW()/1000000</f>
        <v/>
      </c>
    </row>
    <row r="19">
      <c r="A19" s="70">
        <f>'Sprzedaż'!A19</f>
        <v/>
      </c>
      <c r="B19" s="70">
        <f>'Sprzedaż'!B19</f>
        <v/>
      </c>
      <c r="C19" s="70">
        <f>IF(COUNT('Sprzedaż'!C19:N19)=0,"BRAK DANYCH",IF(COUNT('Sprzedaż'!C19:N19)&lt;12,"niepełne","komplet"))</f>
        <v/>
      </c>
      <c r="D19" s="70">
        <f>COUNTIF('Sprzedaż'!C19:N19,"&gt;0.001")</f>
        <v/>
      </c>
      <c r="E19" s="71" t="inlineStr">
        <is>
          <t>t</t>
        </is>
      </c>
      <c r="F19" s="71" t="n">
        <v>1</v>
      </c>
      <c r="G19" s="72">
        <f>SUM('Sprzedaż'!C19:E19)</f>
        <v/>
      </c>
      <c r="H19" s="72">
        <f>SUM('Sprzedaż'!F19:H19)</f>
        <v/>
      </c>
      <c r="I19" s="72">
        <f>SUM('Sprzedaż'!I19:K19)</f>
        <v/>
      </c>
      <c r="J19" s="72">
        <f>SUM('Sprzedaż'!L19:N19)</f>
        <v/>
      </c>
      <c r="K19" s="72">
        <f>G19+H19</f>
        <v/>
      </c>
      <c r="L19" s="72">
        <f>I19+J19</f>
        <v/>
      </c>
      <c r="M19" s="72">
        <f>SUM('Sprzedaż'!C19:N19)</f>
        <v/>
      </c>
      <c r="N19" s="72">
        <f>IF(COUNT('Sprzedaż'!C19:N19)=0,0,M19/12)</f>
        <v/>
      </c>
      <c r="O19" s="72">
        <f>MAX('Sprzedaż'!C19:N19)</f>
        <v/>
      </c>
      <c r="P19" s="72">
        <f>MIN('Sprzedaż'!C19:N19)</f>
        <v/>
      </c>
      <c r="Q19" s="73">
        <f>IF(M19&lt;=0,"-",INDEX('Sprzedaż'!$C$4:$N$4,MATCH(O19,'Sprzedaż'!C19:N19,0)))</f>
        <v/>
      </c>
      <c r="R19" s="74">
        <f>IF(M19&lt;=0,0,(H19+I19)/M19)</f>
        <v/>
      </c>
      <c r="S19" s="74">
        <f>IF(F19=0,"-",IFERROR(M19/SUMIFS($M$5:$M$138,$A$5:$A$138,A19,$F$5:$F$138,1),0))</f>
        <v/>
      </c>
      <c r="T19" s="72">
        <f>M19-N('Sprzedaż'!O19)</f>
        <v/>
      </c>
      <c r="U19" s="75">
        <f>IF(F19=1,M19,-1)-ROW()/1000000</f>
        <v/>
      </c>
    </row>
    <row r="20">
      <c r="A20" s="70">
        <f>'Sprzedaż'!A20</f>
        <v/>
      </c>
      <c r="B20" s="70">
        <f>'Sprzedaż'!B20</f>
        <v/>
      </c>
      <c r="C20" s="70">
        <f>IF(COUNT('Sprzedaż'!C20:N20)=0,"BRAK DANYCH",IF(COUNT('Sprzedaż'!C20:N20)&lt;12,"niepełne","komplet"))</f>
        <v/>
      </c>
      <c r="D20" s="70">
        <f>COUNTIF('Sprzedaż'!C20:N20,"&gt;0.001")</f>
        <v/>
      </c>
      <c r="E20" s="71" t="inlineStr">
        <is>
          <t>t</t>
        </is>
      </c>
      <c r="F20" s="71" t="n">
        <v>1</v>
      </c>
      <c r="G20" s="72">
        <f>SUM('Sprzedaż'!C20:E20)</f>
        <v/>
      </c>
      <c r="H20" s="72">
        <f>SUM('Sprzedaż'!F20:H20)</f>
        <v/>
      </c>
      <c r="I20" s="72">
        <f>SUM('Sprzedaż'!I20:K20)</f>
        <v/>
      </c>
      <c r="J20" s="72">
        <f>SUM('Sprzedaż'!L20:N20)</f>
        <v/>
      </c>
      <c r="K20" s="72">
        <f>G20+H20</f>
        <v/>
      </c>
      <c r="L20" s="72">
        <f>I20+J20</f>
        <v/>
      </c>
      <c r="M20" s="72">
        <f>SUM('Sprzedaż'!C20:N20)</f>
        <v/>
      </c>
      <c r="N20" s="72">
        <f>IF(COUNT('Sprzedaż'!C20:N20)=0,0,M20/12)</f>
        <v/>
      </c>
      <c r="O20" s="72">
        <f>MAX('Sprzedaż'!C20:N20)</f>
        <v/>
      </c>
      <c r="P20" s="72">
        <f>MIN('Sprzedaż'!C20:N20)</f>
        <v/>
      </c>
      <c r="Q20" s="73">
        <f>IF(M20&lt;=0,"-",INDEX('Sprzedaż'!$C$4:$N$4,MATCH(O20,'Sprzedaż'!C20:N20,0)))</f>
        <v/>
      </c>
      <c r="R20" s="74">
        <f>IF(M20&lt;=0,0,(H20+I20)/M20)</f>
        <v/>
      </c>
      <c r="S20" s="74">
        <f>IF(F20=0,"-",IFERROR(M20/SUMIFS($M$5:$M$138,$A$5:$A$138,A20,$F$5:$F$138,1),0))</f>
        <v/>
      </c>
      <c r="T20" s="72">
        <f>M20-N('Sprzedaż'!O20)</f>
        <v/>
      </c>
      <c r="U20" s="75">
        <f>IF(F20=1,M20,-1)-ROW()/1000000</f>
        <v/>
      </c>
    </row>
    <row r="21">
      <c r="A21" s="70">
        <f>'Sprzedaż'!A21</f>
        <v/>
      </c>
      <c r="B21" s="70">
        <f>'Sprzedaż'!B21</f>
        <v/>
      </c>
      <c r="C21" s="70">
        <f>IF(COUNT('Sprzedaż'!C21:N21)=0,"BRAK DANYCH",IF(COUNT('Sprzedaż'!C21:N21)&lt;12,"niepełne","komplet"))</f>
        <v/>
      </c>
      <c r="D21" s="70">
        <f>COUNTIF('Sprzedaż'!C21:N21,"&gt;0.001")</f>
        <v/>
      </c>
      <c r="E21" s="71" t="inlineStr">
        <is>
          <t>t</t>
        </is>
      </c>
      <c r="F21" s="71" t="n">
        <v>1</v>
      </c>
      <c r="G21" s="72">
        <f>SUM('Sprzedaż'!C21:E21)</f>
        <v/>
      </c>
      <c r="H21" s="72">
        <f>SUM('Sprzedaż'!F21:H21)</f>
        <v/>
      </c>
      <c r="I21" s="72">
        <f>SUM('Sprzedaż'!I21:K21)</f>
        <v/>
      </c>
      <c r="J21" s="72">
        <f>SUM('Sprzedaż'!L21:N21)</f>
        <v/>
      </c>
      <c r="K21" s="72">
        <f>G21+H21</f>
        <v/>
      </c>
      <c r="L21" s="72">
        <f>I21+J21</f>
        <v/>
      </c>
      <c r="M21" s="72">
        <f>SUM('Sprzedaż'!C21:N21)</f>
        <v/>
      </c>
      <c r="N21" s="72">
        <f>IF(COUNT('Sprzedaż'!C21:N21)=0,0,M21/12)</f>
        <v/>
      </c>
      <c r="O21" s="72">
        <f>MAX('Sprzedaż'!C21:N21)</f>
        <v/>
      </c>
      <c r="P21" s="72">
        <f>MIN('Sprzedaż'!C21:N21)</f>
        <v/>
      </c>
      <c r="Q21" s="73">
        <f>IF(M21&lt;=0,"-",INDEX('Sprzedaż'!$C$4:$N$4,MATCH(O21,'Sprzedaż'!C21:N21,0)))</f>
        <v/>
      </c>
      <c r="R21" s="74">
        <f>IF(M21&lt;=0,0,(H21+I21)/M21)</f>
        <v/>
      </c>
      <c r="S21" s="74">
        <f>IF(F21=0,"-",IFERROR(M21/SUMIFS($M$5:$M$138,$A$5:$A$138,A21,$F$5:$F$138,1),0))</f>
        <v/>
      </c>
      <c r="T21" s="72">
        <f>M21-N('Sprzedaż'!O21)</f>
        <v/>
      </c>
      <c r="U21" s="75">
        <f>IF(F21=1,M21,-1)-ROW()/1000000</f>
        <v/>
      </c>
    </row>
    <row r="22">
      <c r="A22" s="70">
        <f>'Sprzedaż'!A22</f>
        <v/>
      </c>
      <c r="B22" s="70">
        <f>'Sprzedaż'!B22</f>
        <v/>
      </c>
      <c r="C22" s="70">
        <f>IF(COUNT('Sprzedaż'!C22:N22)=0,"BRAK DANYCH",IF(COUNT('Sprzedaż'!C22:N22)&lt;12,"niepełne","komplet"))</f>
        <v/>
      </c>
      <c r="D22" s="70">
        <f>COUNTIF('Sprzedaż'!C22:N22,"&gt;0.001")</f>
        <v/>
      </c>
      <c r="E22" s="71" t="inlineStr">
        <is>
          <t>t</t>
        </is>
      </c>
      <c r="F22" s="71" t="n">
        <v>1</v>
      </c>
      <c r="G22" s="72">
        <f>SUM('Sprzedaż'!C22:E22)</f>
        <v/>
      </c>
      <c r="H22" s="72">
        <f>SUM('Sprzedaż'!F22:H22)</f>
        <v/>
      </c>
      <c r="I22" s="72">
        <f>SUM('Sprzedaż'!I22:K22)</f>
        <v/>
      </c>
      <c r="J22" s="72">
        <f>SUM('Sprzedaż'!L22:N22)</f>
        <v/>
      </c>
      <c r="K22" s="72">
        <f>G22+H22</f>
        <v/>
      </c>
      <c r="L22" s="72">
        <f>I22+J22</f>
        <v/>
      </c>
      <c r="M22" s="72">
        <f>SUM('Sprzedaż'!C22:N22)</f>
        <v/>
      </c>
      <c r="N22" s="72">
        <f>IF(COUNT('Sprzedaż'!C22:N22)=0,0,M22/12)</f>
        <v/>
      </c>
      <c r="O22" s="72">
        <f>MAX('Sprzedaż'!C22:N22)</f>
        <v/>
      </c>
      <c r="P22" s="72">
        <f>MIN('Sprzedaż'!C22:N22)</f>
        <v/>
      </c>
      <c r="Q22" s="73">
        <f>IF(M22&lt;=0,"-",INDEX('Sprzedaż'!$C$4:$N$4,MATCH(O22,'Sprzedaż'!C22:N22,0)))</f>
        <v/>
      </c>
      <c r="R22" s="74">
        <f>IF(M22&lt;=0,0,(H22+I22)/M22)</f>
        <v/>
      </c>
      <c r="S22" s="74">
        <f>IF(F22=0,"-",IFERROR(M22/SUMIFS($M$5:$M$138,$A$5:$A$138,A22,$F$5:$F$138,1),0))</f>
        <v/>
      </c>
      <c r="T22" s="72">
        <f>M22-N('Sprzedaż'!O22)</f>
        <v/>
      </c>
      <c r="U22" s="75">
        <f>IF(F22=1,M22,-1)-ROW()/1000000</f>
        <v/>
      </c>
    </row>
    <row r="23">
      <c r="A23" s="70">
        <f>'Sprzedaż'!A23</f>
        <v/>
      </c>
      <c r="B23" s="70">
        <f>'Sprzedaż'!B23</f>
        <v/>
      </c>
      <c r="C23" s="70">
        <f>IF(COUNT('Sprzedaż'!C23:N23)=0,"BRAK DANYCH",IF(COUNT('Sprzedaż'!C23:N23)&lt;12,"niepełne","komplet"))</f>
        <v/>
      </c>
      <c r="D23" s="70">
        <f>COUNTIF('Sprzedaż'!C23:N23,"&gt;0.001")</f>
        <v/>
      </c>
      <c r="E23" s="71" t="inlineStr">
        <is>
          <t>t</t>
        </is>
      </c>
      <c r="F23" s="71" t="n">
        <v>1</v>
      </c>
      <c r="G23" s="72">
        <f>SUM('Sprzedaż'!C23:E23)</f>
        <v/>
      </c>
      <c r="H23" s="72">
        <f>SUM('Sprzedaż'!F23:H23)</f>
        <v/>
      </c>
      <c r="I23" s="72">
        <f>SUM('Sprzedaż'!I23:K23)</f>
        <v/>
      </c>
      <c r="J23" s="72">
        <f>SUM('Sprzedaż'!L23:N23)</f>
        <v/>
      </c>
      <c r="K23" s="72">
        <f>G23+H23</f>
        <v/>
      </c>
      <c r="L23" s="72">
        <f>I23+J23</f>
        <v/>
      </c>
      <c r="M23" s="72">
        <f>SUM('Sprzedaż'!C23:N23)</f>
        <v/>
      </c>
      <c r="N23" s="72">
        <f>IF(COUNT('Sprzedaż'!C23:N23)=0,0,M23/12)</f>
        <v/>
      </c>
      <c r="O23" s="72">
        <f>MAX('Sprzedaż'!C23:N23)</f>
        <v/>
      </c>
      <c r="P23" s="72">
        <f>MIN('Sprzedaż'!C23:N23)</f>
        <v/>
      </c>
      <c r="Q23" s="73">
        <f>IF(M23&lt;=0,"-",INDEX('Sprzedaż'!$C$4:$N$4,MATCH(O23,'Sprzedaż'!C23:N23,0)))</f>
        <v/>
      </c>
      <c r="R23" s="74">
        <f>IF(M23&lt;=0,0,(H23+I23)/M23)</f>
        <v/>
      </c>
      <c r="S23" s="74">
        <f>IF(F23=0,"-",IFERROR(M23/SUMIFS($M$5:$M$138,$A$5:$A$138,A23,$F$5:$F$138,1),0))</f>
        <v/>
      </c>
      <c r="T23" s="72">
        <f>M23-N('Sprzedaż'!O23)</f>
        <v/>
      </c>
      <c r="U23" s="75">
        <f>IF(F23=1,M23,-1)-ROW()/1000000</f>
        <v/>
      </c>
    </row>
    <row r="24">
      <c r="A24" s="70">
        <f>'Sprzedaż'!A24</f>
        <v/>
      </c>
      <c r="B24" s="70">
        <f>'Sprzedaż'!B24</f>
        <v/>
      </c>
      <c r="C24" s="70">
        <f>IF(COUNT('Sprzedaż'!C24:N24)=0,"BRAK DANYCH",IF(COUNT('Sprzedaż'!C24:N24)&lt;12,"niepełne","komplet"))</f>
        <v/>
      </c>
      <c r="D24" s="70">
        <f>COUNTIF('Sprzedaż'!C24:N24,"&gt;0.001")</f>
        <v/>
      </c>
      <c r="E24" s="71" t="inlineStr">
        <is>
          <t>t</t>
        </is>
      </c>
      <c r="F24" s="71" t="n">
        <v>1</v>
      </c>
      <c r="G24" s="72">
        <f>SUM('Sprzedaż'!C24:E24)</f>
        <v/>
      </c>
      <c r="H24" s="72">
        <f>SUM('Sprzedaż'!F24:H24)</f>
        <v/>
      </c>
      <c r="I24" s="72">
        <f>SUM('Sprzedaż'!I24:K24)</f>
        <v/>
      </c>
      <c r="J24" s="72">
        <f>SUM('Sprzedaż'!L24:N24)</f>
        <v/>
      </c>
      <c r="K24" s="72">
        <f>G24+H24</f>
        <v/>
      </c>
      <c r="L24" s="72">
        <f>I24+J24</f>
        <v/>
      </c>
      <c r="M24" s="72">
        <f>SUM('Sprzedaż'!C24:N24)</f>
        <v/>
      </c>
      <c r="N24" s="72">
        <f>IF(COUNT('Sprzedaż'!C24:N24)=0,0,M24/12)</f>
        <v/>
      </c>
      <c r="O24" s="72">
        <f>MAX('Sprzedaż'!C24:N24)</f>
        <v/>
      </c>
      <c r="P24" s="72">
        <f>MIN('Sprzedaż'!C24:N24)</f>
        <v/>
      </c>
      <c r="Q24" s="73">
        <f>IF(M24&lt;=0,"-",INDEX('Sprzedaż'!$C$4:$N$4,MATCH(O24,'Sprzedaż'!C24:N24,0)))</f>
        <v/>
      </c>
      <c r="R24" s="74">
        <f>IF(M24&lt;=0,0,(H24+I24)/M24)</f>
        <v/>
      </c>
      <c r="S24" s="74">
        <f>IF(F24=0,"-",IFERROR(M24/SUMIFS($M$5:$M$138,$A$5:$A$138,A24,$F$5:$F$138,1),0))</f>
        <v/>
      </c>
      <c r="T24" s="72">
        <f>M24-N('Sprzedaż'!O24)</f>
        <v/>
      </c>
      <c r="U24" s="75">
        <f>IF(F24=1,M24,-1)-ROW()/1000000</f>
        <v/>
      </c>
    </row>
    <row r="25">
      <c r="A25" s="70">
        <f>'Sprzedaż'!A25</f>
        <v/>
      </c>
      <c r="B25" s="70">
        <f>'Sprzedaż'!B25</f>
        <v/>
      </c>
      <c r="C25" s="70">
        <f>IF(COUNT('Sprzedaż'!C25:N25)=0,"BRAK DANYCH",IF(COUNT('Sprzedaż'!C25:N25)&lt;12,"niepełne","komplet"))</f>
        <v/>
      </c>
      <c r="D25" s="70">
        <f>COUNTIF('Sprzedaż'!C25:N25,"&gt;0.001")</f>
        <v/>
      </c>
      <c r="E25" s="71" t="inlineStr">
        <is>
          <t>t</t>
        </is>
      </c>
      <c r="F25" s="71" t="n">
        <v>1</v>
      </c>
      <c r="G25" s="72">
        <f>SUM('Sprzedaż'!C25:E25)</f>
        <v/>
      </c>
      <c r="H25" s="72">
        <f>SUM('Sprzedaż'!F25:H25)</f>
        <v/>
      </c>
      <c r="I25" s="72">
        <f>SUM('Sprzedaż'!I25:K25)</f>
        <v/>
      </c>
      <c r="J25" s="72">
        <f>SUM('Sprzedaż'!L25:N25)</f>
        <v/>
      </c>
      <c r="K25" s="72">
        <f>G25+H25</f>
        <v/>
      </c>
      <c r="L25" s="72">
        <f>I25+J25</f>
        <v/>
      </c>
      <c r="M25" s="72">
        <f>SUM('Sprzedaż'!C25:N25)</f>
        <v/>
      </c>
      <c r="N25" s="72">
        <f>IF(COUNT('Sprzedaż'!C25:N25)=0,0,M25/12)</f>
        <v/>
      </c>
      <c r="O25" s="72">
        <f>MAX('Sprzedaż'!C25:N25)</f>
        <v/>
      </c>
      <c r="P25" s="72">
        <f>MIN('Sprzedaż'!C25:N25)</f>
        <v/>
      </c>
      <c r="Q25" s="73">
        <f>IF(M25&lt;=0,"-",INDEX('Sprzedaż'!$C$4:$N$4,MATCH(O25,'Sprzedaż'!C25:N25,0)))</f>
        <v/>
      </c>
      <c r="R25" s="74">
        <f>IF(M25&lt;=0,0,(H25+I25)/M25)</f>
        <v/>
      </c>
      <c r="S25" s="74">
        <f>IF(F25=0,"-",IFERROR(M25/SUMIFS($M$5:$M$138,$A$5:$A$138,A25,$F$5:$F$138,1),0))</f>
        <v/>
      </c>
      <c r="T25" s="72">
        <f>M25-N('Sprzedaż'!O25)</f>
        <v/>
      </c>
      <c r="U25" s="75">
        <f>IF(F25=1,M25,-1)-ROW()/1000000</f>
        <v/>
      </c>
    </row>
    <row r="26">
      <c r="A26" s="70">
        <f>'Sprzedaż'!A26</f>
        <v/>
      </c>
      <c r="B26" s="70">
        <f>'Sprzedaż'!B26</f>
        <v/>
      </c>
      <c r="C26" s="70">
        <f>IF(COUNT('Sprzedaż'!C26:N26)=0,"BRAK DANYCH",IF(COUNT('Sprzedaż'!C26:N26)&lt;12,"niepełne","komplet"))</f>
        <v/>
      </c>
      <c r="D26" s="70">
        <f>COUNTIF('Sprzedaż'!C26:N26,"&gt;0.001")</f>
        <v/>
      </c>
      <c r="E26" s="71" t="inlineStr">
        <is>
          <t>t</t>
        </is>
      </c>
      <c r="F26" s="71" t="n">
        <v>0</v>
      </c>
      <c r="G26" s="72">
        <f>SUM('Sprzedaż'!C26:E26)</f>
        <v/>
      </c>
      <c r="H26" s="72">
        <f>SUM('Sprzedaż'!F26:H26)</f>
        <v/>
      </c>
      <c r="I26" s="72">
        <f>SUM('Sprzedaż'!I26:K26)</f>
        <v/>
      </c>
      <c r="J26" s="72">
        <f>SUM('Sprzedaż'!L26:N26)</f>
        <v/>
      </c>
      <c r="K26" s="72">
        <f>G26+H26</f>
        <v/>
      </c>
      <c r="L26" s="72">
        <f>I26+J26</f>
        <v/>
      </c>
      <c r="M26" s="72">
        <f>SUM('Sprzedaż'!C26:N26)</f>
        <v/>
      </c>
      <c r="N26" s="72">
        <f>IF(COUNT('Sprzedaż'!C26:N26)=0,0,M26/12)</f>
        <v/>
      </c>
      <c r="O26" s="72">
        <f>MAX('Sprzedaż'!C26:N26)</f>
        <v/>
      </c>
      <c r="P26" s="72">
        <f>MIN('Sprzedaż'!C26:N26)</f>
        <v/>
      </c>
      <c r="Q26" s="73">
        <f>IF(M26&lt;=0,"-",INDEX('Sprzedaż'!$C$4:$N$4,MATCH(O26,'Sprzedaż'!C26:N26,0)))</f>
        <v/>
      </c>
      <c r="R26" s="74">
        <f>IF(M26&lt;=0,0,(H26+I26)/M26)</f>
        <v/>
      </c>
      <c r="S26" s="74">
        <f>IF(F26=0,"-",IFERROR(M26/SUMIFS($M$5:$M$138,$A$5:$A$138,A26,$F$5:$F$138,1),0))</f>
        <v/>
      </c>
      <c r="T26" s="72">
        <f>M26-N('Sprzedaż'!O26)</f>
        <v/>
      </c>
      <c r="U26" s="75">
        <f>IF(F26=1,M26,-1)-ROW()/1000000</f>
        <v/>
      </c>
    </row>
    <row r="27">
      <c r="A27" s="70">
        <f>'Sprzedaż'!A27</f>
        <v/>
      </c>
      <c r="B27" s="70">
        <f>'Sprzedaż'!B27</f>
        <v/>
      </c>
      <c r="C27" s="70">
        <f>IF(COUNT('Sprzedaż'!C27:N27)=0,"BRAK DANYCH",IF(COUNT('Sprzedaż'!C27:N27)&lt;12,"niepełne","komplet"))</f>
        <v/>
      </c>
      <c r="D27" s="70">
        <f>COUNTIF('Sprzedaż'!C27:N27,"&gt;0.001")</f>
        <v/>
      </c>
      <c r="E27" s="71" t="inlineStr">
        <is>
          <t>t</t>
        </is>
      </c>
      <c r="F27" s="71" t="n">
        <v>1</v>
      </c>
      <c r="G27" s="72">
        <f>SUM('Sprzedaż'!C27:E27)</f>
        <v/>
      </c>
      <c r="H27" s="72">
        <f>SUM('Sprzedaż'!F27:H27)</f>
        <v/>
      </c>
      <c r="I27" s="72">
        <f>SUM('Sprzedaż'!I27:K27)</f>
        <v/>
      </c>
      <c r="J27" s="72">
        <f>SUM('Sprzedaż'!L27:N27)</f>
        <v/>
      </c>
      <c r="K27" s="72">
        <f>G27+H27</f>
        <v/>
      </c>
      <c r="L27" s="72">
        <f>I27+J27</f>
        <v/>
      </c>
      <c r="M27" s="72">
        <f>SUM('Sprzedaż'!C27:N27)</f>
        <v/>
      </c>
      <c r="N27" s="72">
        <f>IF(COUNT('Sprzedaż'!C27:N27)=0,0,M27/12)</f>
        <v/>
      </c>
      <c r="O27" s="72">
        <f>MAX('Sprzedaż'!C27:N27)</f>
        <v/>
      </c>
      <c r="P27" s="72">
        <f>MIN('Sprzedaż'!C27:N27)</f>
        <v/>
      </c>
      <c r="Q27" s="73">
        <f>IF(M27&lt;=0,"-",INDEX('Sprzedaż'!$C$4:$N$4,MATCH(O27,'Sprzedaż'!C27:N27,0)))</f>
        <v/>
      </c>
      <c r="R27" s="74">
        <f>IF(M27&lt;=0,0,(H27+I27)/M27)</f>
        <v/>
      </c>
      <c r="S27" s="74">
        <f>IF(F27=0,"-",IFERROR(M27/SUMIFS($M$5:$M$138,$A$5:$A$138,A27,$F$5:$F$138,1),0))</f>
        <v/>
      </c>
      <c r="T27" s="72">
        <f>M27-N('Sprzedaż'!O27)</f>
        <v/>
      </c>
      <c r="U27" s="75">
        <f>IF(F27=1,M27,-1)-ROW()/1000000</f>
        <v/>
      </c>
    </row>
    <row r="28">
      <c r="A28" s="70">
        <f>'Sprzedaż'!A28</f>
        <v/>
      </c>
      <c r="B28" s="70">
        <f>'Sprzedaż'!B28</f>
        <v/>
      </c>
      <c r="C28" s="70">
        <f>IF(COUNT('Sprzedaż'!C28:N28)=0,"BRAK DANYCH",IF(COUNT('Sprzedaż'!C28:N28)&lt;12,"niepełne","komplet"))</f>
        <v/>
      </c>
      <c r="D28" s="70">
        <f>COUNTIF('Sprzedaż'!C28:N28,"&gt;0.001")</f>
        <v/>
      </c>
      <c r="E28" s="71" t="inlineStr">
        <is>
          <t>t</t>
        </is>
      </c>
      <c r="F28" s="71" t="n">
        <v>1</v>
      </c>
      <c r="G28" s="72">
        <f>SUM('Sprzedaż'!C28:E28)</f>
        <v/>
      </c>
      <c r="H28" s="72">
        <f>SUM('Sprzedaż'!F28:H28)</f>
        <v/>
      </c>
      <c r="I28" s="72">
        <f>SUM('Sprzedaż'!I28:K28)</f>
        <v/>
      </c>
      <c r="J28" s="72">
        <f>SUM('Sprzedaż'!L28:N28)</f>
        <v/>
      </c>
      <c r="K28" s="72">
        <f>G28+H28</f>
        <v/>
      </c>
      <c r="L28" s="72">
        <f>I28+J28</f>
        <v/>
      </c>
      <c r="M28" s="72">
        <f>SUM('Sprzedaż'!C28:N28)</f>
        <v/>
      </c>
      <c r="N28" s="72">
        <f>IF(COUNT('Sprzedaż'!C28:N28)=0,0,M28/12)</f>
        <v/>
      </c>
      <c r="O28" s="72">
        <f>MAX('Sprzedaż'!C28:N28)</f>
        <v/>
      </c>
      <c r="P28" s="72">
        <f>MIN('Sprzedaż'!C28:N28)</f>
        <v/>
      </c>
      <c r="Q28" s="73">
        <f>IF(M28&lt;=0,"-",INDEX('Sprzedaż'!$C$4:$N$4,MATCH(O28,'Sprzedaż'!C28:N28,0)))</f>
        <v/>
      </c>
      <c r="R28" s="74">
        <f>IF(M28&lt;=0,0,(H28+I28)/M28)</f>
        <v/>
      </c>
      <c r="S28" s="74">
        <f>IF(F28=0,"-",IFERROR(M28/SUMIFS($M$5:$M$138,$A$5:$A$138,A28,$F$5:$F$138,1),0))</f>
        <v/>
      </c>
      <c r="T28" s="72">
        <f>M28-N('Sprzedaż'!O28)</f>
        <v/>
      </c>
      <c r="U28" s="75">
        <f>IF(F28=1,M28,-1)-ROW()/1000000</f>
        <v/>
      </c>
    </row>
    <row r="29">
      <c r="A29" s="70">
        <f>'Sprzedaż'!A29</f>
        <v/>
      </c>
      <c r="B29" s="70">
        <f>'Sprzedaż'!B29</f>
        <v/>
      </c>
      <c r="C29" s="70">
        <f>IF(COUNT('Sprzedaż'!C29:N29)=0,"BRAK DANYCH",IF(COUNT('Sprzedaż'!C29:N29)&lt;12,"niepełne","komplet"))</f>
        <v/>
      </c>
      <c r="D29" s="70">
        <f>COUNTIF('Sprzedaż'!C29:N29,"&gt;0.001")</f>
        <v/>
      </c>
      <c r="E29" s="71" t="inlineStr">
        <is>
          <t>t</t>
        </is>
      </c>
      <c r="F29" s="71" t="n">
        <v>1</v>
      </c>
      <c r="G29" s="72">
        <f>SUM('Sprzedaż'!C29:E29)</f>
        <v/>
      </c>
      <c r="H29" s="72">
        <f>SUM('Sprzedaż'!F29:H29)</f>
        <v/>
      </c>
      <c r="I29" s="72">
        <f>SUM('Sprzedaż'!I29:K29)</f>
        <v/>
      </c>
      <c r="J29" s="72">
        <f>SUM('Sprzedaż'!L29:N29)</f>
        <v/>
      </c>
      <c r="K29" s="72">
        <f>G29+H29</f>
        <v/>
      </c>
      <c r="L29" s="72">
        <f>I29+J29</f>
        <v/>
      </c>
      <c r="M29" s="72">
        <f>SUM('Sprzedaż'!C29:N29)</f>
        <v/>
      </c>
      <c r="N29" s="72">
        <f>IF(COUNT('Sprzedaż'!C29:N29)=0,0,M29/12)</f>
        <v/>
      </c>
      <c r="O29" s="72">
        <f>MAX('Sprzedaż'!C29:N29)</f>
        <v/>
      </c>
      <c r="P29" s="72">
        <f>MIN('Sprzedaż'!C29:N29)</f>
        <v/>
      </c>
      <c r="Q29" s="73">
        <f>IF(M29&lt;=0,"-",INDEX('Sprzedaż'!$C$4:$N$4,MATCH(O29,'Sprzedaż'!C29:N29,0)))</f>
        <v/>
      </c>
      <c r="R29" s="74">
        <f>IF(M29&lt;=0,0,(H29+I29)/M29)</f>
        <v/>
      </c>
      <c r="S29" s="74">
        <f>IF(F29=0,"-",IFERROR(M29/SUMIFS($M$5:$M$138,$A$5:$A$138,A29,$F$5:$F$138,1),0))</f>
        <v/>
      </c>
      <c r="T29" s="72">
        <f>M29-N('Sprzedaż'!O29)</f>
        <v/>
      </c>
      <c r="U29" s="75">
        <f>IF(F29=1,M29,-1)-ROW()/1000000</f>
        <v/>
      </c>
    </row>
    <row r="30">
      <c r="A30" s="70">
        <f>'Sprzedaż'!A30</f>
        <v/>
      </c>
      <c r="B30" s="70">
        <f>'Sprzedaż'!B30</f>
        <v/>
      </c>
      <c r="C30" s="70">
        <f>IF(COUNT('Sprzedaż'!C30:N30)=0,"BRAK DANYCH",IF(COUNT('Sprzedaż'!C30:N30)&lt;12,"niepełne","komplet"))</f>
        <v/>
      </c>
      <c r="D30" s="70">
        <f>COUNTIF('Sprzedaż'!C30:N30,"&gt;0.001")</f>
        <v/>
      </c>
      <c r="E30" s="71" t="inlineStr">
        <is>
          <t>t</t>
        </is>
      </c>
      <c r="F30" s="71" t="n">
        <v>1</v>
      </c>
      <c r="G30" s="72">
        <f>SUM('Sprzedaż'!C30:E30)</f>
        <v/>
      </c>
      <c r="H30" s="72">
        <f>SUM('Sprzedaż'!F30:H30)</f>
        <v/>
      </c>
      <c r="I30" s="72">
        <f>SUM('Sprzedaż'!I30:K30)</f>
        <v/>
      </c>
      <c r="J30" s="72">
        <f>SUM('Sprzedaż'!L30:N30)</f>
        <v/>
      </c>
      <c r="K30" s="72">
        <f>G30+H30</f>
        <v/>
      </c>
      <c r="L30" s="72">
        <f>I30+J30</f>
        <v/>
      </c>
      <c r="M30" s="72">
        <f>SUM('Sprzedaż'!C30:N30)</f>
        <v/>
      </c>
      <c r="N30" s="72">
        <f>IF(COUNT('Sprzedaż'!C30:N30)=0,0,M30/12)</f>
        <v/>
      </c>
      <c r="O30" s="72">
        <f>MAX('Sprzedaż'!C30:N30)</f>
        <v/>
      </c>
      <c r="P30" s="72">
        <f>MIN('Sprzedaż'!C30:N30)</f>
        <v/>
      </c>
      <c r="Q30" s="73">
        <f>IF(M30&lt;=0,"-",INDEX('Sprzedaż'!$C$4:$N$4,MATCH(O30,'Sprzedaż'!C30:N30,0)))</f>
        <v/>
      </c>
      <c r="R30" s="74">
        <f>IF(M30&lt;=0,0,(H30+I30)/M30)</f>
        <v/>
      </c>
      <c r="S30" s="74">
        <f>IF(F30=0,"-",IFERROR(M30/SUMIFS($M$5:$M$138,$A$5:$A$138,A30,$F$5:$F$138,1),0))</f>
        <v/>
      </c>
      <c r="T30" s="72">
        <f>M30-N('Sprzedaż'!O30)</f>
        <v/>
      </c>
      <c r="U30" s="75">
        <f>IF(F30=1,M30,-1)-ROW()/1000000</f>
        <v/>
      </c>
    </row>
    <row r="31">
      <c r="A31" s="70">
        <f>'Sprzedaż'!A31</f>
        <v/>
      </c>
      <c r="B31" s="70">
        <f>'Sprzedaż'!B31</f>
        <v/>
      </c>
      <c r="C31" s="70">
        <f>IF(COUNT('Sprzedaż'!C31:N31)=0,"BRAK DANYCH",IF(COUNT('Sprzedaż'!C31:N31)&lt;12,"niepełne","komplet"))</f>
        <v/>
      </c>
      <c r="D31" s="70">
        <f>COUNTIF('Sprzedaż'!C31:N31,"&gt;0.001")</f>
        <v/>
      </c>
      <c r="E31" s="71" t="inlineStr">
        <is>
          <t>t</t>
        </is>
      </c>
      <c r="F31" s="71" t="n">
        <v>1</v>
      </c>
      <c r="G31" s="72">
        <f>SUM('Sprzedaż'!C31:E31)</f>
        <v/>
      </c>
      <c r="H31" s="72">
        <f>SUM('Sprzedaż'!F31:H31)</f>
        <v/>
      </c>
      <c r="I31" s="72">
        <f>SUM('Sprzedaż'!I31:K31)</f>
        <v/>
      </c>
      <c r="J31" s="72">
        <f>SUM('Sprzedaż'!L31:N31)</f>
        <v/>
      </c>
      <c r="K31" s="72">
        <f>G31+H31</f>
        <v/>
      </c>
      <c r="L31" s="72">
        <f>I31+J31</f>
        <v/>
      </c>
      <c r="M31" s="72">
        <f>SUM('Sprzedaż'!C31:N31)</f>
        <v/>
      </c>
      <c r="N31" s="72">
        <f>IF(COUNT('Sprzedaż'!C31:N31)=0,0,M31/12)</f>
        <v/>
      </c>
      <c r="O31" s="72">
        <f>MAX('Sprzedaż'!C31:N31)</f>
        <v/>
      </c>
      <c r="P31" s="72">
        <f>MIN('Sprzedaż'!C31:N31)</f>
        <v/>
      </c>
      <c r="Q31" s="73">
        <f>IF(M31&lt;=0,"-",INDEX('Sprzedaż'!$C$4:$N$4,MATCH(O31,'Sprzedaż'!C31:N31,0)))</f>
        <v/>
      </c>
      <c r="R31" s="74">
        <f>IF(M31&lt;=0,0,(H31+I31)/M31)</f>
        <v/>
      </c>
      <c r="S31" s="74">
        <f>IF(F31=0,"-",IFERROR(M31/SUMIFS($M$5:$M$138,$A$5:$A$138,A31,$F$5:$F$138,1),0))</f>
        <v/>
      </c>
      <c r="T31" s="72">
        <f>M31-N('Sprzedaż'!O31)</f>
        <v/>
      </c>
      <c r="U31" s="75">
        <f>IF(F31=1,M31,-1)-ROW()/1000000</f>
        <v/>
      </c>
    </row>
    <row r="32">
      <c r="A32" s="70">
        <f>'Sprzedaż'!A32</f>
        <v/>
      </c>
      <c r="B32" s="70">
        <f>'Sprzedaż'!B32</f>
        <v/>
      </c>
      <c r="C32" s="70">
        <f>IF(COUNT('Sprzedaż'!C32:N32)=0,"BRAK DANYCH",IF(COUNT('Sprzedaż'!C32:N32)&lt;12,"niepełne","komplet"))</f>
        <v/>
      </c>
      <c r="D32" s="70">
        <f>COUNTIF('Sprzedaż'!C32:N32,"&gt;0.001")</f>
        <v/>
      </c>
      <c r="E32" s="71" t="inlineStr">
        <is>
          <t>t</t>
        </is>
      </c>
      <c r="F32" s="71" t="n">
        <v>1</v>
      </c>
      <c r="G32" s="72">
        <f>SUM('Sprzedaż'!C32:E32)</f>
        <v/>
      </c>
      <c r="H32" s="72">
        <f>SUM('Sprzedaż'!F32:H32)</f>
        <v/>
      </c>
      <c r="I32" s="72">
        <f>SUM('Sprzedaż'!I32:K32)</f>
        <v/>
      </c>
      <c r="J32" s="72">
        <f>SUM('Sprzedaż'!L32:N32)</f>
        <v/>
      </c>
      <c r="K32" s="72">
        <f>G32+H32</f>
        <v/>
      </c>
      <c r="L32" s="72">
        <f>I32+J32</f>
        <v/>
      </c>
      <c r="M32" s="72">
        <f>SUM('Sprzedaż'!C32:N32)</f>
        <v/>
      </c>
      <c r="N32" s="72">
        <f>IF(COUNT('Sprzedaż'!C32:N32)=0,0,M32/12)</f>
        <v/>
      </c>
      <c r="O32" s="72">
        <f>MAX('Sprzedaż'!C32:N32)</f>
        <v/>
      </c>
      <c r="P32" s="72">
        <f>MIN('Sprzedaż'!C32:N32)</f>
        <v/>
      </c>
      <c r="Q32" s="73">
        <f>IF(M32&lt;=0,"-",INDEX('Sprzedaż'!$C$4:$N$4,MATCH(O32,'Sprzedaż'!C32:N32,0)))</f>
        <v/>
      </c>
      <c r="R32" s="74">
        <f>IF(M32&lt;=0,0,(H32+I32)/M32)</f>
        <v/>
      </c>
      <c r="S32" s="74">
        <f>IF(F32=0,"-",IFERROR(M32/SUMIFS($M$5:$M$138,$A$5:$A$138,A32,$F$5:$F$138,1),0))</f>
        <v/>
      </c>
      <c r="T32" s="72">
        <f>M32-N('Sprzedaż'!O32)</f>
        <v/>
      </c>
      <c r="U32" s="75">
        <f>IF(F32=1,M32,-1)-ROW()/1000000</f>
        <v/>
      </c>
    </row>
    <row r="33">
      <c r="A33" s="70">
        <f>'Sprzedaż'!A33</f>
        <v/>
      </c>
      <c r="B33" s="70">
        <f>'Sprzedaż'!B33</f>
        <v/>
      </c>
      <c r="C33" s="70">
        <f>IF(COUNT('Sprzedaż'!C33:N33)=0,"BRAK DANYCH",IF(COUNT('Sprzedaż'!C33:N33)&lt;12,"niepełne","komplet"))</f>
        <v/>
      </c>
      <c r="D33" s="70">
        <f>COUNTIF('Sprzedaż'!C33:N33,"&gt;0.001")</f>
        <v/>
      </c>
      <c r="E33" s="71" t="inlineStr">
        <is>
          <t>t</t>
        </is>
      </c>
      <c r="F33" s="71" t="n">
        <v>1</v>
      </c>
      <c r="G33" s="72">
        <f>SUM('Sprzedaż'!C33:E33)</f>
        <v/>
      </c>
      <c r="H33" s="72">
        <f>SUM('Sprzedaż'!F33:H33)</f>
        <v/>
      </c>
      <c r="I33" s="72">
        <f>SUM('Sprzedaż'!I33:K33)</f>
        <v/>
      </c>
      <c r="J33" s="72">
        <f>SUM('Sprzedaż'!L33:N33)</f>
        <v/>
      </c>
      <c r="K33" s="72">
        <f>G33+H33</f>
        <v/>
      </c>
      <c r="L33" s="72">
        <f>I33+J33</f>
        <v/>
      </c>
      <c r="M33" s="72">
        <f>SUM('Sprzedaż'!C33:N33)</f>
        <v/>
      </c>
      <c r="N33" s="72">
        <f>IF(COUNT('Sprzedaż'!C33:N33)=0,0,M33/12)</f>
        <v/>
      </c>
      <c r="O33" s="72">
        <f>MAX('Sprzedaż'!C33:N33)</f>
        <v/>
      </c>
      <c r="P33" s="72">
        <f>MIN('Sprzedaż'!C33:N33)</f>
        <v/>
      </c>
      <c r="Q33" s="73">
        <f>IF(M33&lt;=0,"-",INDEX('Sprzedaż'!$C$4:$N$4,MATCH(O33,'Sprzedaż'!C33:N33,0)))</f>
        <v/>
      </c>
      <c r="R33" s="74">
        <f>IF(M33&lt;=0,0,(H33+I33)/M33)</f>
        <v/>
      </c>
      <c r="S33" s="74">
        <f>IF(F33=0,"-",IFERROR(M33/SUMIFS($M$5:$M$138,$A$5:$A$138,A33,$F$5:$F$138,1),0))</f>
        <v/>
      </c>
      <c r="T33" s="72">
        <f>M33-N('Sprzedaż'!O33)</f>
        <v/>
      </c>
      <c r="U33" s="75">
        <f>IF(F33=1,M33,-1)-ROW()/1000000</f>
        <v/>
      </c>
    </row>
    <row r="34">
      <c r="A34" s="70">
        <f>'Sprzedaż'!A34</f>
        <v/>
      </c>
      <c r="B34" s="70">
        <f>'Sprzedaż'!B34</f>
        <v/>
      </c>
      <c r="C34" s="70">
        <f>IF(COUNT('Sprzedaż'!C34:N34)=0,"BRAK DANYCH",IF(COUNT('Sprzedaż'!C34:N34)&lt;12,"niepełne","komplet"))</f>
        <v/>
      </c>
      <c r="D34" s="70">
        <f>COUNTIF('Sprzedaż'!C34:N34,"&gt;0.001")</f>
        <v/>
      </c>
      <c r="E34" s="71" t="inlineStr">
        <is>
          <t>t</t>
        </is>
      </c>
      <c r="F34" s="71" t="n">
        <v>1</v>
      </c>
      <c r="G34" s="72">
        <f>SUM('Sprzedaż'!C34:E34)</f>
        <v/>
      </c>
      <c r="H34" s="72">
        <f>SUM('Sprzedaż'!F34:H34)</f>
        <v/>
      </c>
      <c r="I34" s="72">
        <f>SUM('Sprzedaż'!I34:K34)</f>
        <v/>
      </c>
      <c r="J34" s="72">
        <f>SUM('Sprzedaż'!L34:N34)</f>
        <v/>
      </c>
      <c r="K34" s="72">
        <f>G34+H34</f>
        <v/>
      </c>
      <c r="L34" s="72">
        <f>I34+J34</f>
        <v/>
      </c>
      <c r="M34" s="72">
        <f>SUM('Sprzedaż'!C34:N34)</f>
        <v/>
      </c>
      <c r="N34" s="72">
        <f>IF(COUNT('Sprzedaż'!C34:N34)=0,0,M34/12)</f>
        <v/>
      </c>
      <c r="O34" s="72">
        <f>MAX('Sprzedaż'!C34:N34)</f>
        <v/>
      </c>
      <c r="P34" s="72">
        <f>MIN('Sprzedaż'!C34:N34)</f>
        <v/>
      </c>
      <c r="Q34" s="73">
        <f>IF(M34&lt;=0,"-",INDEX('Sprzedaż'!$C$4:$N$4,MATCH(O34,'Sprzedaż'!C34:N34,0)))</f>
        <v/>
      </c>
      <c r="R34" s="74">
        <f>IF(M34&lt;=0,0,(H34+I34)/M34)</f>
        <v/>
      </c>
      <c r="S34" s="74">
        <f>IF(F34=0,"-",IFERROR(M34/SUMIFS($M$5:$M$138,$A$5:$A$138,A34,$F$5:$F$138,1),0))</f>
        <v/>
      </c>
      <c r="T34" s="72">
        <f>M34-N('Sprzedaż'!O34)</f>
        <v/>
      </c>
      <c r="U34" s="75">
        <f>IF(F34=1,M34,-1)-ROW()/1000000</f>
        <v/>
      </c>
    </row>
    <row r="35">
      <c r="A35" s="70">
        <f>'Sprzedaż'!A35</f>
        <v/>
      </c>
      <c r="B35" s="70">
        <f>'Sprzedaż'!B35</f>
        <v/>
      </c>
      <c r="C35" s="70">
        <f>IF(COUNT('Sprzedaż'!C35:N35)=0,"BRAK DANYCH",IF(COUNT('Sprzedaż'!C35:N35)&lt;12,"niepełne","komplet"))</f>
        <v/>
      </c>
      <c r="D35" s="70">
        <f>COUNTIF('Sprzedaż'!C35:N35,"&gt;0.001")</f>
        <v/>
      </c>
      <c r="E35" s="71" t="inlineStr">
        <is>
          <t>t</t>
        </is>
      </c>
      <c r="F35" s="71" t="n">
        <v>1</v>
      </c>
      <c r="G35" s="72">
        <f>SUM('Sprzedaż'!C35:E35)</f>
        <v/>
      </c>
      <c r="H35" s="72">
        <f>SUM('Sprzedaż'!F35:H35)</f>
        <v/>
      </c>
      <c r="I35" s="72">
        <f>SUM('Sprzedaż'!I35:K35)</f>
        <v/>
      </c>
      <c r="J35" s="72">
        <f>SUM('Sprzedaż'!L35:N35)</f>
        <v/>
      </c>
      <c r="K35" s="72">
        <f>G35+H35</f>
        <v/>
      </c>
      <c r="L35" s="72">
        <f>I35+J35</f>
        <v/>
      </c>
      <c r="M35" s="72">
        <f>SUM('Sprzedaż'!C35:N35)</f>
        <v/>
      </c>
      <c r="N35" s="72">
        <f>IF(COUNT('Sprzedaż'!C35:N35)=0,0,M35/12)</f>
        <v/>
      </c>
      <c r="O35" s="72">
        <f>MAX('Sprzedaż'!C35:N35)</f>
        <v/>
      </c>
      <c r="P35" s="72">
        <f>MIN('Sprzedaż'!C35:N35)</f>
        <v/>
      </c>
      <c r="Q35" s="73">
        <f>IF(M35&lt;=0,"-",INDEX('Sprzedaż'!$C$4:$N$4,MATCH(O35,'Sprzedaż'!C35:N35,0)))</f>
        <v/>
      </c>
      <c r="R35" s="74">
        <f>IF(M35&lt;=0,0,(H35+I35)/M35)</f>
        <v/>
      </c>
      <c r="S35" s="74">
        <f>IF(F35=0,"-",IFERROR(M35/SUMIFS($M$5:$M$138,$A$5:$A$138,A35,$F$5:$F$138,1),0))</f>
        <v/>
      </c>
      <c r="T35" s="72">
        <f>M35-N('Sprzedaż'!O35)</f>
        <v/>
      </c>
      <c r="U35" s="75">
        <f>IF(F35=1,M35,-1)-ROW()/1000000</f>
        <v/>
      </c>
    </row>
    <row r="36">
      <c r="A36" s="70">
        <f>'Sprzedaż'!A36</f>
        <v/>
      </c>
      <c r="B36" s="70">
        <f>'Sprzedaż'!B36</f>
        <v/>
      </c>
      <c r="C36" s="70">
        <f>IF(COUNT('Sprzedaż'!C36:N36)=0,"BRAK DANYCH",IF(COUNT('Sprzedaż'!C36:N36)&lt;12,"niepełne","komplet"))</f>
        <v/>
      </c>
      <c r="D36" s="70">
        <f>COUNTIF('Sprzedaż'!C36:N36,"&gt;0.001")</f>
        <v/>
      </c>
      <c r="E36" s="71" t="inlineStr">
        <is>
          <t>t</t>
        </is>
      </c>
      <c r="F36" s="71" t="n">
        <v>1</v>
      </c>
      <c r="G36" s="72">
        <f>SUM('Sprzedaż'!C36:E36)</f>
        <v/>
      </c>
      <c r="H36" s="72">
        <f>SUM('Sprzedaż'!F36:H36)</f>
        <v/>
      </c>
      <c r="I36" s="72">
        <f>SUM('Sprzedaż'!I36:K36)</f>
        <v/>
      </c>
      <c r="J36" s="72">
        <f>SUM('Sprzedaż'!L36:N36)</f>
        <v/>
      </c>
      <c r="K36" s="72">
        <f>G36+H36</f>
        <v/>
      </c>
      <c r="L36" s="72">
        <f>I36+J36</f>
        <v/>
      </c>
      <c r="M36" s="72">
        <f>SUM('Sprzedaż'!C36:N36)</f>
        <v/>
      </c>
      <c r="N36" s="72">
        <f>IF(COUNT('Sprzedaż'!C36:N36)=0,0,M36/12)</f>
        <v/>
      </c>
      <c r="O36" s="72">
        <f>MAX('Sprzedaż'!C36:N36)</f>
        <v/>
      </c>
      <c r="P36" s="72">
        <f>MIN('Sprzedaż'!C36:N36)</f>
        <v/>
      </c>
      <c r="Q36" s="73">
        <f>IF(M36&lt;=0,"-",INDEX('Sprzedaż'!$C$4:$N$4,MATCH(O36,'Sprzedaż'!C36:N36,0)))</f>
        <v/>
      </c>
      <c r="R36" s="74">
        <f>IF(M36&lt;=0,0,(H36+I36)/M36)</f>
        <v/>
      </c>
      <c r="S36" s="74">
        <f>IF(F36=0,"-",IFERROR(M36/SUMIFS($M$5:$M$138,$A$5:$A$138,A36,$F$5:$F$138,1),0))</f>
        <v/>
      </c>
      <c r="T36" s="72">
        <f>M36-N('Sprzedaż'!O36)</f>
        <v/>
      </c>
      <c r="U36" s="75">
        <f>IF(F36=1,M36,-1)-ROW()/1000000</f>
        <v/>
      </c>
    </row>
    <row r="37">
      <c r="A37" s="70">
        <f>'Sprzedaż'!A37</f>
        <v/>
      </c>
      <c r="B37" s="70">
        <f>'Sprzedaż'!B37</f>
        <v/>
      </c>
      <c r="C37" s="70">
        <f>IF(COUNT('Sprzedaż'!C37:N37)=0,"BRAK DANYCH",IF(COUNT('Sprzedaż'!C37:N37)&lt;12,"niepełne","komplet"))</f>
        <v/>
      </c>
      <c r="D37" s="70">
        <f>COUNTIF('Sprzedaż'!C37:N37,"&gt;0.001")</f>
        <v/>
      </c>
      <c r="E37" s="71" t="inlineStr">
        <is>
          <t>t</t>
        </is>
      </c>
      <c r="F37" s="71" t="n">
        <v>1</v>
      </c>
      <c r="G37" s="72">
        <f>SUM('Sprzedaż'!C37:E37)</f>
        <v/>
      </c>
      <c r="H37" s="72">
        <f>SUM('Sprzedaż'!F37:H37)</f>
        <v/>
      </c>
      <c r="I37" s="72">
        <f>SUM('Sprzedaż'!I37:K37)</f>
        <v/>
      </c>
      <c r="J37" s="72">
        <f>SUM('Sprzedaż'!L37:N37)</f>
        <v/>
      </c>
      <c r="K37" s="72">
        <f>G37+H37</f>
        <v/>
      </c>
      <c r="L37" s="72">
        <f>I37+J37</f>
        <v/>
      </c>
      <c r="M37" s="72">
        <f>SUM('Sprzedaż'!C37:N37)</f>
        <v/>
      </c>
      <c r="N37" s="72">
        <f>IF(COUNT('Sprzedaż'!C37:N37)=0,0,M37/12)</f>
        <v/>
      </c>
      <c r="O37" s="72">
        <f>MAX('Sprzedaż'!C37:N37)</f>
        <v/>
      </c>
      <c r="P37" s="72">
        <f>MIN('Sprzedaż'!C37:N37)</f>
        <v/>
      </c>
      <c r="Q37" s="73">
        <f>IF(M37&lt;=0,"-",INDEX('Sprzedaż'!$C$4:$N$4,MATCH(O37,'Sprzedaż'!C37:N37,0)))</f>
        <v/>
      </c>
      <c r="R37" s="74">
        <f>IF(M37&lt;=0,0,(H37+I37)/M37)</f>
        <v/>
      </c>
      <c r="S37" s="74">
        <f>IF(F37=0,"-",IFERROR(M37/SUMIFS($M$5:$M$138,$A$5:$A$138,A37,$F$5:$F$138,1),0))</f>
        <v/>
      </c>
      <c r="T37" s="72">
        <f>M37-N('Sprzedaż'!O37)</f>
        <v/>
      </c>
      <c r="U37" s="75">
        <f>IF(F37=1,M37,-1)-ROW()/1000000</f>
        <v/>
      </c>
    </row>
    <row r="38">
      <c r="A38" s="70">
        <f>'Sprzedaż'!A38</f>
        <v/>
      </c>
      <c r="B38" s="70">
        <f>'Sprzedaż'!B38</f>
        <v/>
      </c>
      <c r="C38" s="70">
        <f>IF(COUNT('Sprzedaż'!C38:N38)=0,"BRAK DANYCH",IF(COUNT('Sprzedaż'!C38:N38)&lt;12,"niepełne","komplet"))</f>
        <v/>
      </c>
      <c r="D38" s="70">
        <f>COUNTIF('Sprzedaż'!C38:N38,"&gt;0.001")</f>
        <v/>
      </c>
      <c r="E38" s="71" t="inlineStr">
        <is>
          <t>butle</t>
        </is>
      </c>
      <c r="F38" s="71" t="n">
        <v>0</v>
      </c>
      <c r="G38" s="72">
        <f>SUM('Sprzedaż'!C38:E38)</f>
        <v/>
      </c>
      <c r="H38" s="72">
        <f>SUM('Sprzedaż'!F38:H38)</f>
        <v/>
      </c>
      <c r="I38" s="72">
        <f>SUM('Sprzedaż'!I38:K38)</f>
        <v/>
      </c>
      <c r="J38" s="72">
        <f>SUM('Sprzedaż'!L38:N38)</f>
        <v/>
      </c>
      <c r="K38" s="72">
        <f>G38+H38</f>
        <v/>
      </c>
      <c r="L38" s="72">
        <f>I38+J38</f>
        <v/>
      </c>
      <c r="M38" s="72">
        <f>SUM('Sprzedaż'!C38:N38)</f>
        <v/>
      </c>
      <c r="N38" s="72">
        <f>IF(COUNT('Sprzedaż'!C38:N38)=0,0,M38/12)</f>
        <v/>
      </c>
      <c r="O38" s="72">
        <f>MAX('Sprzedaż'!C38:N38)</f>
        <v/>
      </c>
      <c r="P38" s="72">
        <f>MIN('Sprzedaż'!C38:N38)</f>
        <v/>
      </c>
      <c r="Q38" s="73">
        <f>IF(M38&lt;=0,"-",INDEX('Sprzedaż'!$C$4:$N$4,MATCH(O38,'Sprzedaż'!C38:N38,0)))</f>
        <v/>
      </c>
      <c r="R38" s="74">
        <f>IF(M38&lt;=0,0,(H38+I38)/M38)</f>
        <v/>
      </c>
      <c r="S38" s="74">
        <f>IF(F38=0,"-",IFERROR(M38/SUMIFS($M$5:$M$138,$A$5:$A$138,A38,$F$5:$F$138,1),0))</f>
        <v/>
      </c>
      <c r="T38" s="72">
        <f>M38-N('Sprzedaż'!O38)</f>
        <v/>
      </c>
      <c r="U38" s="75">
        <f>IF(F38=1,M38,-1)-ROW()/1000000</f>
        <v/>
      </c>
    </row>
    <row r="39">
      <c r="A39" s="70">
        <f>'Sprzedaż'!A39</f>
        <v/>
      </c>
      <c r="B39" s="70">
        <f>'Sprzedaż'!B39</f>
        <v/>
      </c>
      <c r="C39" s="70">
        <f>IF(COUNT('Sprzedaż'!C39:N39)=0,"BRAK DANYCH",IF(COUNT('Sprzedaż'!C39:N39)&lt;12,"niepełne","komplet"))</f>
        <v/>
      </c>
      <c r="D39" s="70">
        <f>COUNTIF('Sprzedaż'!C39:N39,"&gt;0.001")</f>
        <v/>
      </c>
      <c r="E39" s="71" t="inlineStr">
        <is>
          <t>?</t>
        </is>
      </c>
      <c r="F39" s="71" t="n">
        <v>0</v>
      </c>
      <c r="G39" s="72">
        <f>SUM('Sprzedaż'!C39:E39)</f>
        <v/>
      </c>
      <c r="H39" s="72">
        <f>SUM('Sprzedaż'!F39:H39)</f>
        <v/>
      </c>
      <c r="I39" s="72">
        <f>SUM('Sprzedaż'!I39:K39)</f>
        <v/>
      </c>
      <c r="J39" s="72">
        <f>SUM('Sprzedaż'!L39:N39)</f>
        <v/>
      </c>
      <c r="K39" s="72">
        <f>G39+H39</f>
        <v/>
      </c>
      <c r="L39" s="72">
        <f>I39+J39</f>
        <v/>
      </c>
      <c r="M39" s="72">
        <f>SUM('Sprzedaż'!C39:N39)</f>
        <v/>
      </c>
      <c r="N39" s="72">
        <f>IF(COUNT('Sprzedaż'!C39:N39)=0,0,M39/12)</f>
        <v/>
      </c>
      <c r="O39" s="72">
        <f>MAX('Sprzedaż'!C39:N39)</f>
        <v/>
      </c>
      <c r="P39" s="72">
        <f>MIN('Sprzedaż'!C39:N39)</f>
        <v/>
      </c>
      <c r="Q39" s="73">
        <f>IF(M39&lt;=0,"-",INDEX('Sprzedaż'!$C$4:$N$4,MATCH(O39,'Sprzedaż'!C39:N39,0)))</f>
        <v/>
      </c>
      <c r="R39" s="74">
        <f>IF(M39&lt;=0,0,(H39+I39)/M39)</f>
        <v/>
      </c>
      <c r="S39" s="74">
        <f>IF(F39=0,"-",IFERROR(M39/SUMIFS($M$5:$M$138,$A$5:$A$138,A39,$F$5:$F$138,1),0))</f>
        <v/>
      </c>
      <c r="T39" s="72">
        <f>M39-N('Sprzedaż'!O39)</f>
        <v/>
      </c>
      <c r="U39" s="75">
        <f>IF(F39=1,M39,-1)-ROW()/1000000</f>
        <v/>
      </c>
    </row>
    <row r="41">
      <c r="A41" s="70">
        <f>'Sprzedaż'!A41</f>
        <v/>
      </c>
      <c r="B41" s="70">
        <f>'Sprzedaż'!B41</f>
        <v/>
      </c>
      <c r="C41" s="70">
        <f>IF(COUNT('Sprzedaż'!C41:N41)=0,"BRAK DANYCH",IF(COUNT('Sprzedaż'!C41:N41)&lt;12,"niepełne","komplet"))</f>
        <v/>
      </c>
      <c r="D41" s="70">
        <f>COUNTIF('Sprzedaż'!C41:N41,"&gt;0.001")</f>
        <v/>
      </c>
      <c r="E41" s="71" t="inlineStr">
        <is>
          <t>t</t>
        </is>
      </c>
      <c r="F41" s="71" t="n">
        <v>1</v>
      </c>
      <c r="G41" s="72">
        <f>SUM('Sprzedaż'!C41:E41)</f>
        <v/>
      </c>
      <c r="H41" s="72">
        <f>SUM('Sprzedaż'!F41:H41)</f>
        <v/>
      </c>
      <c r="I41" s="72">
        <f>SUM('Sprzedaż'!I41:K41)</f>
        <v/>
      </c>
      <c r="J41" s="72">
        <f>SUM('Sprzedaż'!L41:N41)</f>
        <v/>
      </c>
      <c r="K41" s="72">
        <f>G41+H41</f>
        <v/>
      </c>
      <c r="L41" s="72">
        <f>I41+J41</f>
        <v/>
      </c>
      <c r="M41" s="72">
        <f>SUM('Sprzedaż'!C41:N41)</f>
        <v/>
      </c>
      <c r="N41" s="72">
        <f>IF(COUNT('Sprzedaż'!C41:N41)=0,0,M41/12)</f>
        <v/>
      </c>
      <c r="O41" s="72">
        <f>MAX('Sprzedaż'!C41:N41)</f>
        <v/>
      </c>
      <c r="P41" s="72">
        <f>MIN('Sprzedaż'!C41:N41)</f>
        <v/>
      </c>
      <c r="Q41" s="73">
        <f>IF(M41&lt;=0,"-",INDEX('Sprzedaż'!$C$4:$N$4,MATCH(O41,'Sprzedaż'!C41:N41,0)))</f>
        <v/>
      </c>
      <c r="R41" s="74">
        <f>IF(M41&lt;=0,0,(H41+I41)/M41)</f>
        <v/>
      </c>
      <c r="S41" s="74">
        <f>IF(F41=0,"-",IFERROR(M41/SUMIFS($M$5:$M$138,$A$5:$A$138,A41,$F$5:$F$138,1),0))</f>
        <v/>
      </c>
      <c r="T41" s="72">
        <f>M41-N('Sprzedaż'!O41)</f>
        <v/>
      </c>
      <c r="U41" s="75">
        <f>IF(F41=1,M41,-1)-ROW()/1000000</f>
        <v/>
      </c>
    </row>
    <row r="42">
      <c r="A42" s="70">
        <f>'Sprzedaż'!A42</f>
        <v/>
      </c>
      <c r="B42" s="70">
        <f>'Sprzedaż'!B42</f>
        <v/>
      </c>
      <c r="C42" s="70">
        <f>IF(COUNT('Sprzedaż'!C42:N42)=0,"BRAK DANYCH",IF(COUNT('Sprzedaż'!C42:N42)&lt;12,"niepełne","komplet"))</f>
        <v/>
      </c>
      <c r="D42" s="70">
        <f>COUNTIF('Sprzedaż'!C42:N42,"&gt;0.001")</f>
        <v/>
      </c>
      <c r="E42" s="71" t="inlineStr">
        <is>
          <t>t</t>
        </is>
      </c>
      <c r="F42" s="71" t="n">
        <v>1</v>
      </c>
      <c r="G42" s="72">
        <f>SUM('Sprzedaż'!C42:E42)</f>
        <v/>
      </c>
      <c r="H42" s="72">
        <f>SUM('Sprzedaż'!F42:H42)</f>
        <v/>
      </c>
      <c r="I42" s="72">
        <f>SUM('Sprzedaż'!I42:K42)</f>
        <v/>
      </c>
      <c r="J42" s="72">
        <f>SUM('Sprzedaż'!L42:N42)</f>
        <v/>
      </c>
      <c r="K42" s="72">
        <f>G42+H42</f>
        <v/>
      </c>
      <c r="L42" s="72">
        <f>I42+J42</f>
        <v/>
      </c>
      <c r="M42" s="72">
        <f>SUM('Sprzedaż'!C42:N42)</f>
        <v/>
      </c>
      <c r="N42" s="72">
        <f>IF(COUNT('Sprzedaż'!C42:N42)=0,0,M42/12)</f>
        <v/>
      </c>
      <c r="O42" s="72">
        <f>MAX('Sprzedaż'!C42:N42)</f>
        <v/>
      </c>
      <c r="P42" s="72">
        <f>MIN('Sprzedaż'!C42:N42)</f>
        <v/>
      </c>
      <c r="Q42" s="73">
        <f>IF(M42&lt;=0,"-",INDEX('Sprzedaż'!$C$4:$N$4,MATCH(O42,'Sprzedaż'!C42:N42,0)))</f>
        <v/>
      </c>
      <c r="R42" s="74">
        <f>IF(M42&lt;=0,0,(H42+I42)/M42)</f>
        <v/>
      </c>
      <c r="S42" s="74">
        <f>IF(F42=0,"-",IFERROR(M42/SUMIFS($M$5:$M$138,$A$5:$A$138,A42,$F$5:$F$138,1),0))</f>
        <v/>
      </c>
      <c r="T42" s="72">
        <f>M42-N('Sprzedaż'!O42)</f>
        <v/>
      </c>
      <c r="U42" s="75">
        <f>IF(F42=1,M42,-1)-ROW()/1000000</f>
        <v/>
      </c>
    </row>
    <row r="43">
      <c r="A43" s="70">
        <f>'Sprzedaż'!A43</f>
        <v/>
      </c>
      <c r="B43" s="70">
        <f>'Sprzedaż'!B43</f>
        <v/>
      </c>
      <c r="C43" s="70">
        <f>IF(COUNT('Sprzedaż'!C43:N43)=0,"BRAK DANYCH",IF(COUNT('Sprzedaż'!C43:N43)&lt;12,"niepełne","komplet"))</f>
        <v/>
      </c>
      <c r="D43" s="70">
        <f>COUNTIF('Sprzedaż'!C43:N43,"&gt;0.001")</f>
        <v/>
      </c>
      <c r="E43" s="71" t="inlineStr">
        <is>
          <t>t</t>
        </is>
      </c>
      <c r="F43" s="71" t="n">
        <v>1</v>
      </c>
      <c r="G43" s="72">
        <f>SUM('Sprzedaż'!C43:E43)</f>
        <v/>
      </c>
      <c r="H43" s="72">
        <f>SUM('Sprzedaż'!F43:H43)</f>
        <v/>
      </c>
      <c r="I43" s="72">
        <f>SUM('Sprzedaż'!I43:K43)</f>
        <v/>
      </c>
      <c r="J43" s="72">
        <f>SUM('Sprzedaż'!L43:N43)</f>
        <v/>
      </c>
      <c r="K43" s="72">
        <f>G43+H43</f>
        <v/>
      </c>
      <c r="L43" s="72">
        <f>I43+J43</f>
        <v/>
      </c>
      <c r="M43" s="72">
        <f>SUM('Sprzedaż'!C43:N43)</f>
        <v/>
      </c>
      <c r="N43" s="72">
        <f>IF(COUNT('Sprzedaż'!C43:N43)=0,0,M43/12)</f>
        <v/>
      </c>
      <c r="O43" s="72">
        <f>MAX('Sprzedaż'!C43:N43)</f>
        <v/>
      </c>
      <c r="P43" s="72">
        <f>MIN('Sprzedaż'!C43:N43)</f>
        <v/>
      </c>
      <c r="Q43" s="73">
        <f>IF(M43&lt;=0,"-",INDEX('Sprzedaż'!$C$4:$N$4,MATCH(O43,'Sprzedaż'!C43:N43,0)))</f>
        <v/>
      </c>
      <c r="R43" s="74">
        <f>IF(M43&lt;=0,0,(H43+I43)/M43)</f>
        <v/>
      </c>
      <c r="S43" s="74">
        <f>IF(F43=0,"-",IFERROR(M43/SUMIFS($M$5:$M$138,$A$5:$A$138,A43,$F$5:$F$138,1),0))</f>
        <v/>
      </c>
      <c r="T43" s="72">
        <f>M43-N('Sprzedaż'!O43)</f>
        <v/>
      </c>
      <c r="U43" s="75">
        <f>IF(F43=1,M43,-1)-ROW()/1000000</f>
        <v/>
      </c>
    </row>
    <row r="44">
      <c r="A44" s="70">
        <f>'Sprzedaż'!A44</f>
        <v/>
      </c>
      <c r="B44" s="70">
        <f>'Sprzedaż'!B44</f>
        <v/>
      </c>
      <c r="C44" s="70">
        <f>IF(COUNT('Sprzedaż'!C44:N44)=0,"BRAK DANYCH",IF(COUNT('Sprzedaż'!C44:N44)&lt;12,"niepełne","komplet"))</f>
        <v/>
      </c>
      <c r="D44" s="70">
        <f>COUNTIF('Sprzedaż'!C44:N44,"&gt;0.001")</f>
        <v/>
      </c>
      <c r="E44" s="71" t="inlineStr">
        <is>
          <t>t</t>
        </is>
      </c>
      <c r="F44" s="71" t="n">
        <v>1</v>
      </c>
      <c r="G44" s="72">
        <f>SUM('Sprzedaż'!C44:E44)</f>
        <v/>
      </c>
      <c r="H44" s="72">
        <f>SUM('Sprzedaż'!F44:H44)</f>
        <v/>
      </c>
      <c r="I44" s="72">
        <f>SUM('Sprzedaż'!I44:K44)</f>
        <v/>
      </c>
      <c r="J44" s="72">
        <f>SUM('Sprzedaż'!L44:N44)</f>
        <v/>
      </c>
      <c r="K44" s="72">
        <f>G44+H44</f>
        <v/>
      </c>
      <c r="L44" s="72">
        <f>I44+J44</f>
        <v/>
      </c>
      <c r="M44" s="72">
        <f>SUM('Sprzedaż'!C44:N44)</f>
        <v/>
      </c>
      <c r="N44" s="72">
        <f>IF(COUNT('Sprzedaż'!C44:N44)=0,0,M44/12)</f>
        <v/>
      </c>
      <c r="O44" s="72">
        <f>MAX('Sprzedaż'!C44:N44)</f>
        <v/>
      </c>
      <c r="P44" s="72">
        <f>MIN('Sprzedaż'!C44:N44)</f>
        <v/>
      </c>
      <c r="Q44" s="73">
        <f>IF(M44&lt;=0,"-",INDEX('Sprzedaż'!$C$4:$N$4,MATCH(O44,'Sprzedaż'!C44:N44,0)))</f>
        <v/>
      </c>
      <c r="R44" s="74">
        <f>IF(M44&lt;=0,0,(H44+I44)/M44)</f>
        <v/>
      </c>
      <c r="S44" s="74">
        <f>IF(F44=0,"-",IFERROR(M44/SUMIFS($M$5:$M$138,$A$5:$A$138,A44,$F$5:$F$138,1),0))</f>
        <v/>
      </c>
      <c r="T44" s="72">
        <f>M44-N('Sprzedaż'!O44)</f>
        <v/>
      </c>
      <c r="U44" s="75">
        <f>IF(F44=1,M44,-1)-ROW()/1000000</f>
        <v/>
      </c>
    </row>
    <row r="45">
      <c r="A45" s="70">
        <f>'Sprzedaż'!A45</f>
        <v/>
      </c>
      <c r="B45" s="70">
        <f>'Sprzedaż'!B45</f>
        <v/>
      </c>
      <c r="C45" s="70">
        <f>IF(COUNT('Sprzedaż'!C45:N45)=0,"BRAK DANYCH",IF(COUNT('Sprzedaż'!C45:N45)&lt;12,"niepełne","komplet"))</f>
        <v/>
      </c>
      <c r="D45" s="70">
        <f>COUNTIF('Sprzedaż'!C45:N45,"&gt;0.001")</f>
        <v/>
      </c>
      <c r="E45" s="71" t="inlineStr">
        <is>
          <t>t</t>
        </is>
      </c>
      <c r="F45" s="71" t="n">
        <v>1</v>
      </c>
      <c r="G45" s="72">
        <f>SUM('Sprzedaż'!C45:E45)</f>
        <v/>
      </c>
      <c r="H45" s="72">
        <f>SUM('Sprzedaż'!F45:H45)</f>
        <v/>
      </c>
      <c r="I45" s="72">
        <f>SUM('Sprzedaż'!I45:K45)</f>
        <v/>
      </c>
      <c r="J45" s="72">
        <f>SUM('Sprzedaż'!L45:N45)</f>
        <v/>
      </c>
      <c r="K45" s="72">
        <f>G45+H45</f>
        <v/>
      </c>
      <c r="L45" s="72">
        <f>I45+J45</f>
        <v/>
      </c>
      <c r="M45" s="72">
        <f>SUM('Sprzedaż'!C45:N45)</f>
        <v/>
      </c>
      <c r="N45" s="72">
        <f>IF(COUNT('Sprzedaż'!C45:N45)=0,0,M45/12)</f>
        <v/>
      </c>
      <c r="O45" s="72">
        <f>MAX('Sprzedaż'!C45:N45)</f>
        <v/>
      </c>
      <c r="P45" s="72">
        <f>MIN('Sprzedaż'!C45:N45)</f>
        <v/>
      </c>
      <c r="Q45" s="73">
        <f>IF(M45&lt;=0,"-",INDEX('Sprzedaż'!$C$4:$N$4,MATCH(O45,'Sprzedaż'!C45:N45,0)))</f>
        <v/>
      </c>
      <c r="R45" s="74">
        <f>IF(M45&lt;=0,0,(H45+I45)/M45)</f>
        <v/>
      </c>
      <c r="S45" s="74">
        <f>IF(F45=0,"-",IFERROR(M45/SUMIFS($M$5:$M$138,$A$5:$A$138,A45,$F$5:$F$138,1),0))</f>
        <v/>
      </c>
      <c r="T45" s="72">
        <f>M45-N('Sprzedaż'!O45)</f>
        <v/>
      </c>
      <c r="U45" s="75">
        <f>IF(F45=1,M45,-1)-ROW()/1000000</f>
        <v/>
      </c>
    </row>
    <row r="46">
      <c r="A46" s="70">
        <f>'Sprzedaż'!A46</f>
        <v/>
      </c>
      <c r="B46" s="70">
        <f>'Sprzedaż'!B46</f>
        <v/>
      </c>
      <c r="C46" s="70">
        <f>IF(COUNT('Sprzedaż'!C46:N46)=0,"BRAK DANYCH",IF(COUNT('Sprzedaż'!C46:N46)&lt;12,"niepełne","komplet"))</f>
        <v/>
      </c>
      <c r="D46" s="70">
        <f>COUNTIF('Sprzedaż'!C46:N46,"&gt;0.001")</f>
        <v/>
      </c>
      <c r="E46" s="71" t="inlineStr">
        <is>
          <t>t</t>
        </is>
      </c>
      <c r="F46" s="71" t="n">
        <v>1</v>
      </c>
      <c r="G46" s="72">
        <f>SUM('Sprzedaż'!C46:E46)</f>
        <v/>
      </c>
      <c r="H46" s="72">
        <f>SUM('Sprzedaż'!F46:H46)</f>
        <v/>
      </c>
      <c r="I46" s="72">
        <f>SUM('Sprzedaż'!I46:K46)</f>
        <v/>
      </c>
      <c r="J46" s="72">
        <f>SUM('Sprzedaż'!L46:N46)</f>
        <v/>
      </c>
      <c r="K46" s="72">
        <f>G46+H46</f>
        <v/>
      </c>
      <c r="L46" s="72">
        <f>I46+J46</f>
        <v/>
      </c>
      <c r="M46" s="72">
        <f>SUM('Sprzedaż'!C46:N46)</f>
        <v/>
      </c>
      <c r="N46" s="72">
        <f>IF(COUNT('Sprzedaż'!C46:N46)=0,0,M46/12)</f>
        <v/>
      </c>
      <c r="O46" s="72">
        <f>MAX('Sprzedaż'!C46:N46)</f>
        <v/>
      </c>
      <c r="P46" s="72">
        <f>MIN('Sprzedaż'!C46:N46)</f>
        <v/>
      </c>
      <c r="Q46" s="73">
        <f>IF(M46&lt;=0,"-",INDEX('Sprzedaż'!$C$4:$N$4,MATCH(O46,'Sprzedaż'!C46:N46,0)))</f>
        <v/>
      </c>
      <c r="R46" s="74">
        <f>IF(M46&lt;=0,0,(H46+I46)/M46)</f>
        <v/>
      </c>
      <c r="S46" s="74">
        <f>IF(F46=0,"-",IFERROR(M46/SUMIFS($M$5:$M$138,$A$5:$A$138,A46,$F$5:$F$138,1),0))</f>
        <v/>
      </c>
      <c r="T46" s="72">
        <f>M46-N('Sprzedaż'!O46)</f>
        <v/>
      </c>
      <c r="U46" s="75">
        <f>IF(F46=1,M46,-1)-ROW()/1000000</f>
        <v/>
      </c>
    </row>
    <row r="47">
      <c r="A47" s="70">
        <f>'Sprzedaż'!A47</f>
        <v/>
      </c>
      <c r="B47" s="70">
        <f>'Sprzedaż'!B47</f>
        <v/>
      </c>
      <c r="C47" s="70">
        <f>IF(COUNT('Sprzedaż'!C47:N47)=0,"BRAK DANYCH",IF(COUNT('Sprzedaż'!C47:N47)&lt;12,"niepełne","komplet"))</f>
        <v/>
      </c>
      <c r="D47" s="70">
        <f>COUNTIF('Sprzedaż'!C47:N47,"&gt;0.001")</f>
        <v/>
      </c>
      <c r="E47" s="71" t="inlineStr">
        <is>
          <t>t</t>
        </is>
      </c>
      <c r="F47" s="71" t="n">
        <v>1</v>
      </c>
      <c r="G47" s="72">
        <f>SUM('Sprzedaż'!C47:E47)</f>
        <v/>
      </c>
      <c r="H47" s="72">
        <f>SUM('Sprzedaż'!F47:H47)</f>
        <v/>
      </c>
      <c r="I47" s="72">
        <f>SUM('Sprzedaż'!I47:K47)</f>
        <v/>
      </c>
      <c r="J47" s="72">
        <f>SUM('Sprzedaż'!L47:N47)</f>
        <v/>
      </c>
      <c r="K47" s="72">
        <f>G47+H47</f>
        <v/>
      </c>
      <c r="L47" s="72">
        <f>I47+J47</f>
        <v/>
      </c>
      <c r="M47" s="72">
        <f>SUM('Sprzedaż'!C47:N47)</f>
        <v/>
      </c>
      <c r="N47" s="72">
        <f>IF(COUNT('Sprzedaż'!C47:N47)=0,0,M47/12)</f>
        <v/>
      </c>
      <c r="O47" s="72">
        <f>MAX('Sprzedaż'!C47:N47)</f>
        <v/>
      </c>
      <c r="P47" s="72">
        <f>MIN('Sprzedaż'!C47:N47)</f>
        <v/>
      </c>
      <c r="Q47" s="73">
        <f>IF(M47&lt;=0,"-",INDEX('Sprzedaż'!$C$4:$N$4,MATCH(O47,'Sprzedaż'!C47:N47,0)))</f>
        <v/>
      </c>
      <c r="R47" s="74">
        <f>IF(M47&lt;=0,0,(H47+I47)/M47)</f>
        <v/>
      </c>
      <c r="S47" s="74">
        <f>IF(F47=0,"-",IFERROR(M47/SUMIFS($M$5:$M$138,$A$5:$A$138,A47,$F$5:$F$138,1),0))</f>
        <v/>
      </c>
      <c r="T47" s="72">
        <f>M47-N('Sprzedaż'!O47)</f>
        <v/>
      </c>
      <c r="U47" s="75">
        <f>IF(F47=1,M47,-1)-ROW()/1000000</f>
        <v/>
      </c>
    </row>
    <row r="48">
      <c r="A48" s="70">
        <f>'Sprzedaż'!A48</f>
        <v/>
      </c>
      <c r="B48" s="70">
        <f>'Sprzedaż'!B48</f>
        <v/>
      </c>
      <c r="C48" s="70">
        <f>IF(COUNT('Sprzedaż'!C48:N48)=0,"BRAK DANYCH",IF(COUNT('Sprzedaż'!C48:N48)&lt;12,"niepełne","komplet"))</f>
        <v/>
      </c>
      <c r="D48" s="70">
        <f>COUNTIF('Sprzedaż'!C48:N48,"&gt;0.001")</f>
        <v/>
      </c>
      <c r="E48" s="71" t="inlineStr">
        <is>
          <t>t</t>
        </is>
      </c>
      <c r="F48" s="71" t="n">
        <v>1</v>
      </c>
      <c r="G48" s="72">
        <f>SUM('Sprzedaż'!C48:E48)</f>
        <v/>
      </c>
      <c r="H48" s="72">
        <f>SUM('Sprzedaż'!F48:H48)</f>
        <v/>
      </c>
      <c r="I48" s="72">
        <f>SUM('Sprzedaż'!I48:K48)</f>
        <v/>
      </c>
      <c r="J48" s="72">
        <f>SUM('Sprzedaż'!L48:N48)</f>
        <v/>
      </c>
      <c r="K48" s="72">
        <f>G48+H48</f>
        <v/>
      </c>
      <c r="L48" s="72">
        <f>I48+J48</f>
        <v/>
      </c>
      <c r="M48" s="72">
        <f>SUM('Sprzedaż'!C48:N48)</f>
        <v/>
      </c>
      <c r="N48" s="72">
        <f>IF(COUNT('Sprzedaż'!C48:N48)=0,0,M48/12)</f>
        <v/>
      </c>
      <c r="O48" s="72">
        <f>MAX('Sprzedaż'!C48:N48)</f>
        <v/>
      </c>
      <c r="P48" s="72">
        <f>MIN('Sprzedaż'!C48:N48)</f>
        <v/>
      </c>
      <c r="Q48" s="73">
        <f>IF(M48&lt;=0,"-",INDEX('Sprzedaż'!$C$4:$N$4,MATCH(O48,'Sprzedaż'!C48:N48,0)))</f>
        <v/>
      </c>
      <c r="R48" s="74">
        <f>IF(M48&lt;=0,0,(H48+I48)/M48)</f>
        <v/>
      </c>
      <c r="S48" s="74">
        <f>IF(F48=0,"-",IFERROR(M48/SUMIFS($M$5:$M$138,$A$5:$A$138,A48,$F$5:$F$138,1),0))</f>
        <v/>
      </c>
      <c r="T48" s="72">
        <f>M48-N('Sprzedaż'!O48)</f>
        <v/>
      </c>
      <c r="U48" s="75">
        <f>IF(F48=1,M48,-1)-ROW()/1000000</f>
        <v/>
      </c>
    </row>
    <row r="49">
      <c r="A49" s="70">
        <f>'Sprzedaż'!A49</f>
        <v/>
      </c>
      <c r="B49" s="70">
        <f>'Sprzedaż'!B49</f>
        <v/>
      </c>
      <c r="C49" s="70">
        <f>IF(COUNT('Sprzedaż'!C49:N49)=0,"BRAK DANYCH",IF(COUNT('Sprzedaż'!C49:N49)&lt;12,"niepełne","komplet"))</f>
        <v/>
      </c>
      <c r="D49" s="70">
        <f>COUNTIF('Sprzedaż'!C49:N49,"&gt;0.001")</f>
        <v/>
      </c>
      <c r="E49" s="71" t="inlineStr">
        <is>
          <t>t</t>
        </is>
      </c>
      <c r="F49" s="71" t="n">
        <v>1</v>
      </c>
      <c r="G49" s="72">
        <f>SUM('Sprzedaż'!C49:E49)</f>
        <v/>
      </c>
      <c r="H49" s="72">
        <f>SUM('Sprzedaż'!F49:H49)</f>
        <v/>
      </c>
      <c r="I49" s="72">
        <f>SUM('Sprzedaż'!I49:K49)</f>
        <v/>
      </c>
      <c r="J49" s="72">
        <f>SUM('Sprzedaż'!L49:N49)</f>
        <v/>
      </c>
      <c r="K49" s="72">
        <f>G49+H49</f>
        <v/>
      </c>
      <c r="L49" s="72">
        <f>I49+J49</f>
        <v/>
      </c>
      <c r="M49" s="72">
        <f>SUM('Sprzedaż'!C49:N49)</f>
        <v/>
      </c>
      <c r="N49" s="72">
        <f>IF(COUNT('Sprzedaż'!C49:N49)=0,0,M49/12)</f>
        <v/>
      </c>
      <c r="O49" s="72">
        <f>MAX('Sprzedaż'!C49:N49)</f>
        <v/>
      </c>
      <c r="P49" s="72">
        <f>MIN('Sprzedaż'!C49:N49)</f>
        <v/>
      </c>
      <c r="Q49" s="73">
        <f>IF(M49&lt;=0,"-",INDEX('Sprzedaż'!$C$4:$N$4,MATCH(O49,'Sprzedaż'!C49:N49,0)))</f>
        <v/>
      </c>
      <c r="R49" s="74">
        <f>IF(M49&lt;=0,0,(H49+I49)/M49)</f>
        <v/>
      </c>
      <c r="S49" s="74">
        <f>IF(F49=0,"-",IFERROR(M49/SUMIFS($M$5:$M$138,$A$5:$A$138,A49,$F$5:$F$138,1),0))</f>
        <v/>
      </c>
      <c r="T49" s="72">
        <f>M49-N('Sprzedaż'!O49)</f>
        <v/>
      </c>
      <c r="U49" s="75">
        <f>IF(F49=1,M49,-1)-ROW()/1000000</f>
        <v/>
      </c>
    </row>
    <row r="50">
      <c r="A50" s="70">
        <f>'Sprzedaż'!A50</f>
        <v/>
      </c>
      <c r="B50" s="70">
        <f>'Sprzedaż'!B50</f>
        <v/>
      </c>
      <c r="C50" s="70">
        <f>IF(COUNT('Sprzedaż'!C50:N50)=0,"BRAK DANYCH",IF(COUNT('Sprzedaż'!C50:N50)&lt;12,"niepełne","komplet"))</f>
        <v/>
      </c>
      <c r="D50" s="70">
        <f>COUNTIF('Sprzedaż'!C50:N50,"&gt;0.001")</f>
        <v/>
      </c>
      <c r="E50" s="71" t="inlineStr">
        <is>
          <t>t</t>
        </is>
      </c>
      <c r="F50" s="71" t="n">
        <v>1</v>
      </c>
      <c r="G50" s="72">
        <f>SUM('Sprzedaż'!C50:E50)</f>
        <v/>
      </c>
      <c r="H50" s="72">
        <f>SUM('Sprzedaż'!F50:H50)</f>
        <v/>
      </c>
      <c r="I50" s="72">
        <f>SUM('Sprzedaż'!I50:K50)</f>
        <v/>
      </c>
      <c r="J50" s="72">
        <f>SUM('Sprzedaż'!L50:N50)</f>
        <v/>
      </c>
      <c r="K50" s="72">
        <f>G50+H50</f>
        <v/>
      </c>
      <c r="L50" s="72">
        <f>I50+J50</f>
        <v/>
      </c>
      <c r="M50" s="72">
        <f>SUM('Sprzedaż'!C50:N50)</f>
        <v/>
      </c>
      <c r="N50" s="72">
        <f>IF(COUNT('Sprzedaż'!C50:N50)=0,0,M50/12)</f>
        <v/>
      </c>
      <c r="O50" s="72">
        <f>MAX('Sprzedaż'!C50:N50)</f>
        <v/>
      </c>
      <c r="P50" s="72">
        <f>MIN('Sprzedaż'!C50:N50)</f>
        <v/>
      </c>
      <c r="Q50" s="73">
        <f>IF(M50&lt;=0,"-",INDEX('Sprzedaż'!$C$4:$N$4,MATCH(O50,'Sprzedaż'!C50:N50,0)))</f>
        <v/>
      </c>
      <c r="R50" s="74">
        <f>IF(M50&lt;=0,0,(H50+I50)/M50)</f>
        <v/>
      </c>
      <c r="S50" s="74">
        <f>IF(F50=0,"-",IFERROR(M50/SUMIFS($M$5:$M$138,$A$5:$A$138,A50,$F$5:$F$138,1),0))</f>
        <v/>
      </c>
      <c r="T50" s="72">
        <f>M50-N('Sprzedaż'!O50)</f>
        <v/>
      </c>
      <c r="U50" s="75">
        <f>IF(F50=1,M50,-1)-ROW()/1000000</f>
        <v/>
      </c>
    </row>
    <row r="51">
      <c r="A51" s="70">
        <f>'Sprzedaż'!A51</f>
        <v/>
      </c>
      <c r="B51" s="70">
        <f>'Sprzedaż'!B51</f>
        <v/>
      </c>
      <c r="C51" s="70">
        <f>IF(COUNT('Sprzedaż'!C51:N51)=0,"BRAK DANYCH",IF(COUNT('Sprzedaż'!C51:N51)&lt;12,"niepełne","komplet"))</f>
        <v/>
      </c>
      <c r="D51" s="70">
        <f>COUNTIF('Sprzedaż'!C51:N51,"&gt;0.001")</f>
        <v/>
      </c>
      <c r="E51" s="71" t="inlineStr">
        <is>
          <t>t</t>
        </is>
      </c>
      <c r="F51" s="71" t="n">
        <v>1</v>
      </c>
      <c r="G51" s="72">
        <f>SUM('Sprzedaż'!C51:E51)</f>
        <v/>
      </c>
      <c r="H51" s="72">
        <f>SUM('Sprzedaż'!F51:H51)</f>
        <v/>
      </c>
      <c r="I51" s="72">
        <f>SUM('Sprzedaż'!I51:K51)</f>
        <v/>
      </c>
      <c r="J51" s="72">
        <f>SUM('Sprzedaż'!L51:N51)</f>
        <v/>
      </c>
      <c r="K51" s="72">
        <f>G51+H51</f>
        <v/>
      </c>
      <c r="L51" s="72">
        <f>I51+J51</f>
        <v/>
      </c>
      <c r="M51" s="72">
        <f>SUM('Sprzedaż'!C51:N51)</f>
        <v/>
      </c>
      <c r="N51" s="72">
        <f>IF(COUNT('Sprzedaż'!C51:N51)=0,0,M51/12)</f>
        <v/>
      </c>
      <c r="O51" s="72">
        <f>MAX('Sprzedaż'!C51:N51)</f>
        <v/>
      </c>
      <c r="P51" s="72">
        <f>MIN('Sprzedaż'!C51:N51)</f>
        <v/>
      </c>
      <c r="Q51" s="73">
        <f>IF(M51&lt;=0,"-",INDEX('Sprzedaż'!$C$4:$N$4,MATCH(O51,'Sprzedaż'!C51:N51,0)))</f>
        <v/>
      </c>
      <c r="R51" s="74">
        <f>IF(M51&lt;=0,0,(H51+I51)/M51)</f>
        <v/>
      </c>
      <c r="S51" s="74">
        <f>IF(F51=0,"-",IFERROR(M51/SUMIFS($M$5:$M$138,$A$5:$A$138,A51,$F$5:$F$138,1),0))</f>
        <v/>
      </c>
      <c r="T51" s="72">
        <f>M51-N('Sprzedaż'!O51)</f>
        <v/>
      </c>
      <c r="U51" s="75">
        <f>IF(F51=1,M51,-1)-ROW()/1000000</f>
        <v/>
      </c>
    </row>
    <row r="52">
      <c r="A52" s="70">
        <f>'Sprzedaż'!A52</f>
        <v/>
      </c>
      <c r="B52" s="70">
        <f>'Sprzedaż'!B52</f>
        <v/>
      </c>
      <c r="C52" s="70">
        <f>IF(COUNT('Sprzedaż'!C52:N52)=0,"BRAK DANYCH",IF(COUNT('Sprzedaż'!C52:N52)&lt;12,"niepełne","komplet"))</f>
        <v/>
      </c>
      <c r="D52" s="70">
        <f>COUNTIF('Sprzedaż'!C52:N52,"&gt;0.001")</f>
        <v/>
      </c>
      <c r="E52" s="71" t="inlineStr">
        <is>
          <t>t</t>
        </is>
      </c>
      <c r="F52" s="71" t="n">
        <v>1</v>
      </c>
      <c r="G52" s="72">
        <f>SUM('Sprzedaż'!C52:E52)</f>
        <v/>
      </c>
      <c r="H52" s="72">
        <f>SUM('Sprzedaż'!F52:H52)</f>
        <v/>
      </c>
      <c r="I52" s="72">
        <f>SUM('Sprzedaż'!I52:K52)</f>
        <v/>
      </c>
      <c r="J52" s="72">
        <f>SUM('Sprzedaż'!L52:N52)</f>
        <v/>
      </c>
      <c r="K52" s="72">
        <f>G52+H52</f>
        <v/>
      </c>
      <c r="L52" s="72">
        <f>I52+J52</f>
        <v/>
      </c>
      <c r="M52" s="72">
        <f>SUM('Sprzedaż'!C52:N52)</f>
        <v/>
      </c>
      <c r="N52" s="72">
        <f>IF(COUNT('Sprzedaż'!C52:N52)=0,0,M52/12)</f>
        <v/>
      </c>
      <c r="O52" s="72">
        <f>MAX('Sprzedaż'!C52:N52)</f>
        <v/>
      </c>
      <c r="P52" s="72">
        <f>MIN('Sprzedaż'!C52:N52)</f>
        <v/>
      </c>
      <c r="Q52" s="73">
        <f>IF(M52&lt;=0,"-",INDEX('Sprzedaż'!$C$4:$N$4,MATCH(O52,'Sprzedaż'!C52:N52,0)))</f>
        <v/>
      </c>
      <c r="R52" s="74">
        <f>IF(M52&lt;=0,0,(H52+I52)/M52)</f>
        <v/>
      </c>
      <c r="S52" s="74">
        <f>IF(F52=0,"-",IFERROR(M52/SUMIFS($M$5:$M$138,$A$5:$A$138,A52,$F$5:$F$138,1),0))</f>
        <v/>
      </c>
      <c r="T52" s="72">
        <f>M52-N('Sprzedaż'!O52)</f>
        <v/>
      </c>
      <c r="U52" s="75">
        <f>IF(F52=1,M52,-1)-ROW()/1000000</f>
        <v/>
      </c>
    </row>
    <row r="53">
      <c r="A53" s="70">
        <f>'Sprzedaż'!A53</f>
        <v/>
      </c>
      <c r="B53" s="70">
        <f>'Sprzedaż'!B53</f>
        <v/>
      </c>
      <c r="C53" s="70">
        <f>IF(COUNT('Sprzedaż'!C53:N53)=0,"BRAK DANYCH",IF(COUNT('Sprzedaż'!C53:N53)&lt;12,"niepełne","komplet"))</f>
        <v/>
      </c>
      <c r="D53" s="70">
        <f>COUNTIF('Sprzedaż'!C53:N53,"&gt;0.001")</f>
        <v/>
      </c>
      <c r="E53" s="71" t="inlineStr">
        <is>
          <t>t</t>
        </is>
      </c>
      <c r="F53" s="71" t="n">
        <v>1</v>
      </c>
      <c r="G53" s="72">
        <f>SUM('Sprzedaż'!C53:E53)</f>
        <v/>
      </c>
      <c r="H53" s="72">
        <f>SUM('Sprzedaż'!F53:H53)</f>
        <v/>
      </c>
      <c r="I53" s="72">
        <f>SUM('Sprzedaż'!I53:K53)</f>
        <v/>
      </c>
      <c r="J53" s="72">
        <f>SUM('Sprzedaż'!L53:N53)</f>
        <v/>
      </c>
      <c r="K53" s="72">
        <f>G53+H53</f>
        <v/>
      </c>
      <c r="L53" s="72">
        <f>I53+J53</f>
        <v/>
      </c>
      <c r="M53" s="72">
        <f>SUM('Sprzedaż'!C53:N53)</f>
        <v/>
      </c>
      <c r="N53" s="72">
        <f>IF(COUNT('Sprzedaż'!C53:N53)=0,0,M53/12)</f>
        <v/>
      </c>
      <c r="O53" s="72">
        <f>MAX('Sprzedaż'!C53:N53)</f>
        <v/>
      </c>
      <c r="P53" s="72">
        <f>MIN('Sprzedaż'!C53:N53)</f>
        <v/>
      </c>
      <c r="Q53" s="73">
        <f>IF(M53&lt;=0,"-",INDEX('Sprzedaż'!$C$4:$N$4,MATCH(O53,'Sprzedaż'!C53:N53,0)))</f>
        <v/>
      </c>
      <c r="R53" s="74">
        <f>IF(M53&lt;=0,0,(H53+I53)/M53)</f>
        <v/>
      </c>
      <c r="S53" s="74">
        <f>IF(F53=0,"-",IFERROR(M53/SUMIFS($M$5:$M$138,$A$5:$A$138,A53,$F$5:$F$138,1),0))</f>
        <v/>
      </c>
      <c r="T53" s="72">
        <f>M53-N('Sprzedaż'!O53)</f>
        <v/>
      </c>
      <c r="U53" s="75">
        <f>IF(F53=1,M53,-1)-ROW()/1000000</f>
        <v/>
      </c>
    </row>
    <row r="54">
      <c r="A54" s="70">
        <f>'Sprzedaż'!A54</f>
        <v/>
      </c>
      <c r="B54" s="70">
        <f>'Sprzedaż'!B54</f>
        <v/>
      </c>
      <c r="C54" s="70">
        <f>IF(COUNT('Sprzedaż'!C54:N54)=0,"BRAK DANYCH",IF(COUNT('Sprzedaż'!C54:N54)&lt;12,"niepełne","komplet"))</f>
        <v/>
      </c>
      <c r="D54" s="70">
        <f>COUNTIF('Sprzedaż'!C54:N54,"&gt;0.001")</f>
        <v/>
      </c>
      <c r="E54" s="71" t="inlineStr">
        <is>
          <t>t</t>
        </is>
      </c>
      <c r="F54" s="71" t="n">
        <v>1</v>
      </c>
      <c r="G54" s="72">
        <f>SUM('Sprzedaż'!C54:E54)</f>
        <v/>
      </c>
      <c r="H54" s="72">
        <f>SUM('Sprzedaż'!F54:H54)</f>
        <v/>
      </c>
      <c r="I54" s="72">
        <f>SUM('Sprzedaż'!I54:K54)</f>
        <v/>
      </c>
      <c r="J54" s="72">
        <f>SUM('Sprzedaż'!L54:N54)</f>
        <v/>
      </c>
      <c r="K54" s="72">
        <f>G54+H54</f>
        <v/>
      </c>
      <c r="L54" s="72">
        <f>I54+J54</f>
        <v/>
      </c>
      <c r="M54" s="72">
        <f>SUM('Sprzedaż'!C54:N54)</f>
        <v/>
      </c>
      <c r="N54" s="72">
        <f>IF(COUNT('Sprzedaż'!C54:N54)=0,0,M54/12)</f>
        <v/>
      </c>
      <c r="O54" s="72">
        <f>MAX('Sprzedaż'!C54:N54)</f>
        <v/>
      </c>
      <c r="P54" s="72">
        <f>MIN('Sprzedaż'!C54:N54)</f>
        <v/>
      </c>
      <c r="Q54" s="73">
        <f>IF(M54&lt;=0,"-",INDEX('Sprzedaż'!$C$4:$N$4,MATCH(O54,'Sprzedaż'!C54:N54,0)))</f>
        <v/>
      </c>
      <c r="R54" s="74">
        <f>IF(M54&lt;=0,0,(H54+I54)/M54)</f>
        <v/>
      </c>
      <c r="S54" s="74">
        <f>IF(F54=0,"-",IFERROR(M54/SUMIFS($M$5:$M$138,$A$5:$A$138,A54,$F$5:$F$138,1),0))</f>
        <v/>
      </c>
      <c r="T54" s="72">
        <f>M54-N('Sprzedaż'!O54)</f>
        <v/>
      </c>
      <c r="U54" s="75">
        <f>IF(F54=1,M54,-1)-ROW()/1000000</f>
        <v/>
      </c>
    </row>
    <row r="55">
      <c r="A55" s="70">
        <f>'Sprzedaż'!A55</f>
        <v/>
      </c>
      <c r="B55" s="70">
        <f>'Sprzedaż'!B55</f>
        <v/>
      </c>
      <c r="C55" s="70">
        <f>IF(COUNT('Sprzedaż'!C55:N55)=0,"BRAK DANYCH",IF(COUNT('Sprzedaż'!C55:N55)&lt;12,"niepełne","komplet"))</f>
        <v/>
      </c>
      <c r="D55" s="70">
        <f>COUNTIF('Sprzedaż'!C55:N55,"&gt;0.001")</f>
        <v/>
      </c>
      <c r="E55" s="71" t="inlineStr">
        <is>
          <t>t</t>
        </is>
      </c>
      <c r="F55" s="71" t="n">
        <v>1</v>
      </c>
      <c r="G55" s="72">
        <f>SUM('Sprzedaż'!C55:E55)</f>
        <v/>
      </c>
      <c r="H55" s="72">
        <f>SUM('Sprzedaż'!F55:H55)</f>
        <v/>
      </c>
      <c r="I55" s="72">
        <f>SUM('Sprzedaż'!I55:K55)</f>
        <v/>
      </c>
      <c r="J55" s="72">
        <f>SUM('Sprzedaż'!L55:N55)</f>
        <v/>
      </c>
      <c r="K55" s="72">
        <f>G55+H55</f>
        <v/>
      </c>
      <c r="L55" s="72">
        <f>I55+J55</f>
        <v/>
      </c>
      <c r="M55" s="72">
        <f>SUM('Sprzedaż'!C55:N55)</f>
        <v/>
      </c>
      <c r="N55" s="72">
        <f>IF(COUNT('Sprzedaż'!C55:N55)=0,0,M55/12)</f>
        <v/>
      </c>
      <c r="O55" s="72">
        <f>MAX('Sprzedaż'!C55:N55)</f>
        <v/>
      </c>
      <c r="P55" s="72">
        <f>MIN('Sprzedaż'!C55:N55)</f>
        <v/>
      </c>
      <c r="Q55" s="73">
        <f>IF(M55&lt;=0,"-",INDEX('Sprzedaż'!$C$4:$N$4,MATCH(O55,'Sprzedaż'!C55:N55,0)))</f>
        <v/>
      </c>
      <c r="R55" s="74">
        <f>IF(M55&lt;=0,0,(H55+I55)/M55)</f>
        <v/>
      </c>
      <c r="S55" s="74">
        <f>IF(F55=0,"-",IFERROR(M55/SUMIFS($M$5:$M$138,$A$5:$A$138,A55,$F$5:$F$138,1),0))</f>
        <v/>
      </c>
      <c r="T55" s="72">
        <f>M55-N('Sprzedaż'!O55)</f>
        <v/>
      </c>
      <c r="U55" s="75">
        <f>IF(F55=1,M55,-1)-ROW()/1000000</f>
        <v/>
      </c>
    </row>
    <row r="56">
      <c r="A56" s="70">
        <f>'Sprzedaż'!A56</f>
        <v/>
      </c>
      <c r="B56" s="70">
        <f>'Sprzedaż'!B56</f>
        <v/>
      </c>
      <c r="C56" s="70">
        <f>IF(COUNT('Sprzedaż'!C56:N56)=0,"BRAK DANYCH",IF(COUNT('Sprzedaż'!C56:N56)&lt;12,"niepełne","komplet"))</f>
        <v/>
      </c>
      <c r="D56" s="70">
        <f>COUNTIF('Sprzedaż'!C56:N56,"&gt;0.001")</f>
        <v/>
      </c>
      <c r="E56" s="71" t="inlineStr">
        <is>
          <t>dam3</t>
        </is>
      </c>
      <c r="F56" s="71" t="n">
        <v>0</v>
      </c>
      <c r="G56" s="72">
        <f>SUM('Sprzedaż'!C56:E56)</f>
        <v/>
      </c>
      <c r="H56" s="72">
        <f>SUM('Sprzedaż'!F56:H56)</f>
        <v/>
      </c>
      <c r="I56" s="72">
        <f>SUM('Sprzedaż'!I56:K56)</f>
        <v/>
      </c>
      <c r="J56" s="72">
        <f>SUM('Sprzedaż'!L56:N56)</f>
        <v/>
      </c>
      <c r="K56" s="72">
        <f>G56+H56</f>
        <v/>
      </c>
      <c r="L56" s="72">
        <f>I56+J56</f>
        <v/>
      </c>
      <c r="M56" s="72">
        <f>SUM('Sprzedaż'!C56:N56)</f>
        <v/>
      </c>
      <c r="N56" s="72">
        <f>IF(COUNT('Sprzedaż'!C56:N56)=0,0,M56/12)</f>
        <v/>
      </c>
      <c r="O56" s="72">
        <f>MAX('Sprzedaż'!C56:N56)</f>
        <v/>
      </c>
      <c r="P56" s="72">
        <f>MIN('Sprzedaż'!C56:N56)</f>
        <v/>
      </c>
      <c r="Q56" s="73">
        <f>IF(M56&lt;=0,"-",INDEX('Sprzedaż'!$C$4:$N$4,MATCH(O56,'Sprzedaż'!C56:N56,0)))</f>
        <v/>
      </c>
      <c r="R56" s="74">
        <f>IF(M56&lt;=0,0,(H56+I56)/M56)</f>
        <v/>
      </c>
      <c r="S56" s="74">
        <f>IF(F56=0,"-",IFERROR(M56/SUMIFS($M$5:$M$138,$A$5:$A$138,A56,$F$5:$F$138,1),0))</f>
        <v/>
      </c>
      <c r="T56" s="72">
        <f>M56-N('Sprzedaż'!O56)</f>
        <v/>
      </c>
      <c r="U56" s="75">
        <f>IF(F56=1,M56,-1)-ROW()/1000000</f>
        <v/>
      </c>
    </row>
    <row r="57">
      <c r="A57" s="70">
        <f>'Sprzedaż'!A57</f>
        <v/>
      </c>
      <c r="B57" s="70">
        <f>'Sprzedaż'!B57</f>
        <v/>
      </c>
      <c r="C57" s="70">
        <f>IF(COUNT('Sprzedaż'!C57:N57)=0,"BRAK DANYCH",IF(COUNT('Sprzedaż'!C57:N57)&lt;12,"niepełne","komplet"))</f>
        <v/>
      </c>
      <c r="D57" s="70">
        <f>COUNTIF('Sprzedaż'!C57:N57,"&gt;0.001")</f>
        <v/>
      </c>
      <c r="E57" s="71" t="inlineStr">
        <is>
          <t>dam3</t>
        </is>
      </c>
      <c r="F57" s="71" t="n">
        <v>0</v>
      </c>
      <c r="G57" s="72">
        <f>SUM('Sprzedaż'!C57:E57)</f>
        <v/>
      </c>
      <c r="H57" s="72">
        <f>SUM('Sprzedaż'!F57:H57)</f>
        <v/>
      </c>
      <c r="I57" s="72">
        <f>SUM('Sprzedaż'!I57:K57)</f>
        <v/>
      </c>
      <c r="J57" s="72">
        <f>SUM('Sprzedaż'!L57:N57)</f>
        <v/>
      </c>
      <c r="K57" s="72">
        <f>G57+H57</f>
        <v/>
      </c>
      <c r="L57" s="72">
        <f>I57+J57</f>
        <v/>
      </c>
      <c r="M57" s="72">
        <f>SUM('Sprzedaż'!C57:N57)</f>
        <v/>
      </c>
      <c r="N57" s="72">
        <f>IF(COUNT('Sprzedaż'!C57:N57)=0,0,M57/12)</f>
        <v/>
      </c>
      <c r="O57" s="72">
        <f>MAX('Sprzedaż'!C57:N57)</f>
        <v/>
      </c>
      <c r="P57" s="72">
        <f>MIN('Sprzedaż'!C57:N57)</f>
        <v/>
      </c>
      <c r="Q57" s="73">
        <f>IF(M57&lt;=0,"-",INDEX('Sprzedaż'!$C$4:$N$4,MATCH(O57,'Sprzedaż'!C57:N57,0)))</f>
        <v/>
      </c>
      <c r="R57" s="74">
        <f>IF(M57&lt;=0,0,(H57+I57)/M57)</f>
        <v/>
      </c>
      <c r="S57" s="74">
        <f>IF(F57=0,"-",IFERROR(M57/SUMIFS($M$5:$M$138,$A$5:$A$138,A57,$F$5:$F$138,1),0))</f>
        <v/>
      </c>
      <c r="T57" s="72">
        <f>M57-N('Sprzedaż'!O57)</f>
        <v/>
      </c>
      <c r="U57" s="75">
        <f>IF(F57=1,M57,-1)-ROW()/1000000</f>
        <v/>
      </c>
    </row>
    <row r="58">
      <c r="A58" s="70">
        <f>'Sprzedaż'!A58</f>
        <v/>
      </c>
      <c r="B58" s="70">
        <f>'Sprzedaż'!B58</f>
        <v/>
      </c>
      <c r="C58" s="70">
        <f>IF(COUNT('Sprzedaż'!C58:N58)=0,"BRAK DANYCH",IF(COUNT('Sprzedaż'!C58:N58)&lt;12,"niepełne","komplet"))</f>
        <v/>
      </c>
      <c r="D58" s="70">
        <f>COUNTIF('Sprzedaż'!C58:N58,"&gt;0.001")</f>
        <v/>
      </c>
      <c r="E58" s="71" t="inlineStr">
        <is>
          <t>t</t>
        </is>
      </c>
      <c r="F58" s="71" t="n">
        <v>1</v>
      </c>
      <c r="G58" s="72">
        <f>SUM('Sprzedaż'!C58:E58)</f>
        <v/>
      </c>
      <c r="H58" s="72">
        <f>SUM('Sprzedaż'!F58:H58)</f>
        <v/>
      </c>
      <c r="I58" s="72">
        <f>SUM('Sprzedaż'!I58:K58)</f>
        <v/>
      </c>
      <c r="J58" s="72">
        <f>SUM('Sprzedaż'!L58:N58)</f>
        <v/>
      </c>
      <c r="K58" s="72">
        <f>G58+H58</f>
        <v/>
      </c>
      <c r="L58" s="72">
        <f>I58+J58</f>
        <v/>
      </c>
      <c r="M58" s="72">
        <f>SUM('Sprzedaż'!C58:N58)</f>
        <v/>
      </c>
      <c r="N58" s="72">
        <f>IF(COUNT('Sprzedaż'!C58:N58)=0,0,M58/12)</f>
        <v/>
      </c>
      <c r="O58" s="72">
        <f>MAX('Sprzedaż'!C58:N58)</f>
        <v/>
      </c>
      <c r="P58" s="72">
        <f>MIN('Sprzedaż'!C58:N58)</f>
        <v/>
      </c>
      <c r="Q58" s="73">
        <f>IF(M58&lt;=0,"-",INDEX('Sprzedaż'!$C$4:$N$4,MATCH(O58,'Sprzedaż'!C58:N58,0)))</f>
        <v/>
      </c>
      <c r="R58" s="74">
        <f>IF(M58&lt;=0,0,(H58+I58)/M58)</f>
        <v/>
      </c>
      <c r="S58" s="74">
        <f>IF(F58=0,"-",IFERROR(M58/SUMIFS($M$5:$M$138,$A$5:$A$138,A58,$F$5:$F$138,1),0))</f>
        <v/>
      </c>
      <c r="T58" s="72">
        <f>M58-N('Sprzedaż'!O58)</f>
        <v/>
      </c>
      <c r="U58" s="75">
        <f>IF(F58=1,M58,-1)-ROW()/1000000</f>
        <v/>
      </c>
    </row>
    <row r="59">
      <c r="A59" s="70">
        <f>'Sprzedaż'!A59</f>
        <v/>
      </c>
      <c r="B59" s="70">
        <f>'Sprzedaż'!B59</f>
        <v/>
      </c>
      <c r="C59" s="70">
        <f>IF(COUNT('Sprzedaż'!C59:N59)=0,"BRAK DANYCH",IF(COUNT('Sprzedaż'!C59:N59)&lt;12,"niepełne","komplet"))</f>
        <v/>
      </c>
      <c r="D59" s="70">
        <f>COUNTIF('Sprzedaż'!C59:N59,"&gt;0.001")</f>
        <v/>
      </c>
      <c r="E59" s="71" t="inlineStr">
        <is>
          <t>t</t>
        </is>
      </c>
      <c r="F59" s="71" t="n">
        <v>1</v>
      </c>
      <c r="G59" s="72">
        <f>SUM('Sprzedaż'!C59:E59)</f>
        <v/>
      </c>
      <c r="H59" s="72">
        <f>SUM('Sprzedaż'!F59:H59)</f>
        <v/>
      </c>
      <c r="I59" s="72">
        <f>SUM('Sprzedaż'!I59:K59)</f>
        <v/>
      </c>
      <c r="J59" s="72">
        <f>SUM('Sprzedaż'!L59:N59)</f>
        <v/>
      </c>
      <c r="K59" s="72">
        <f>G59+H59</f>
        <v/>
      </c>
      <c r="L59" s="72">
        <f>I59+J59</f>
        <v/>
      </c>
      <c r="M59" s="72">
        <f>SUM('Sprzedaż'!C59:N59)</f>
        <v/>
      </c>
      <c r="N59" s="72">
        <f>IF(COUNT('Sprzedaż'!C59:N59)=0,0,M59/12)</f>
        <v/>
      </c>
      <c r="O59" s="72">
        <f>MAX('Sprzedaż'!C59:N59)</f>
        <v/>
      </c>
      <c r="P59" s="72">
        <f>MIN('Sprzedaż'!C59:N59)</f>
        <v/>
      </c>
      <c r="Q59" s="73">
        <f>IF(M59&lt;=0,"-",INDEX('Sprzedaż'!$C$4:$N$4,MATCH(O59,'Sprzedaż'!C59:N59,0)))</f>
        <v/>
      </c>
      <c r="R59" s="74">
        <f>IF(M59&lt;=0,0,(H59+I59)/M59)</f>
        <v/>
      </c>
      <c r="S59" s="74">
        <f>IF(F59=0,"-",IFERROR(M59/SUMIFS($M$5:$M$138,$A$5:$A$138,A59,$F$5:$F$138,1),0))</f>
        <v/>
      </c>
      <c r="T59" s="72">
        <f>M59-N('Sprzedaż'!O59)</f>
        <v/>
      </c>
      <c r="U59" s="75">
        <f>IF(F59=1,M59,-1)-ROW()/1000000</f>
        <v/>
      </c>
    </row>
    <row r="60">
      <c r="A60" s="70">
        <f>'Sprzedaż'!A60</f>
        <v/>
      </c>
      <c r="B60" s="70">
        <f>'Sprzedaż'!B60</f>
        <v/>
      </c>
      <c r="C60" s="70">
        <f>IF(COUNT('Sprzedaż'!C60:N60)=0,"BRAK DANYCH",IF(COUNT('Sprzedaż'!C60:N60)&lt;12,"niepełne","komplet"))</f>
        <v/>
      </c>
      <c r="D60" s="70">
        <f>COUNTIF('Sprzedaż'!C60:N60,"&gt;0.001")</f>
        <v/>
      </c>
      <c r="E60" s="71" t="inlineStr">
        <is>
          <t>t</t>
        </is>
      </c>
      <c r="F60" s="71" t="n">
        <v>1</v>
      </c>
      <c r="G60" s="72">
        <f>SUM('Sprzedaż'!C60:E60)</f>
        <v/>
      </c>
      <c r="H60" s="72">
        <f>SUM('Sprzedaż'!F60:H60)</f>
        <v/>
      </c>
      <c r="I60" s="72">
        <f>SUM('Sprzedaż'!I60:K60)</f>
        <v/>
      </c>
      <c r="J60" s="72">
        <f>SUM('Sprzedaż'!L60:N60)</f>
        <v/>
      </c>
      <c r="K60" s="72">
        <f>G60+H60</f>
        <v/>
      </c>
      <c r="L60" s="72">
        <f>I60+J60</f>
        <v/>
      </c>
      <c r="M60" s="72">
        <f>SUM('Sprzedaż'!C60:N60)</f>
        <v/>
      </c>
      <c r="N60" s="72">
        <f>IF(COUNT('Sprzedaż'!C60:N60)=0,0,M60/12)</f>
        <v/>
      </c>
      <c r="O60" s="72">
        <f>MAX('Sprzedaż'!C60:N60)</f>
        <v/>
      </c>
      <c r="P60" s="72">
        <f>MIN('Sprzedaż'!C60:N60)</f>
        <v/>
      </c>
      <c r="Q60" s="73">
        <f>IF(M60&lt;=0,"-",INDEX('Sprzedaż'!$C$4:$N$4,MATCH(O60,'Sprzedaż'!C60:N60,0)))</f>
        <v/>
      </c>
      <c r="R60" s="74">
        <f>IF(M60&lt;=0,0,(H60+I60)/M60)</f>
        <v/>
      </c>
      <c r="S60" s="74">
        <f>IF(F60=0,"-",IFERROR(M60/SUMIFS($M$5:$M$138,$A$5:$A$138,A60,$F$5:$F$138,1),0))</f>
        <v/>
      </c>
      <c r="T60" s="72">
        <f>M60-N('Sprzedaż'!O60)</f>
        <v/>
      </c>
      <c r="U60" s="75">
        <f>IF(F60=1,M60,-1)-ROW()/1000000</f>
        <v/>
      </c>
    </row>
    <row r="61">
      <c r="A61" s="70">
        <f>'Sprzedaż'!A61</f>
        <v/>
      </c>
      <c r="B61" s="70">
        <f>'Sprzedaż'!B61</f>
        <v/>
      </c>
      <c r="C61" s="70">
        <f>IF(COUNT('Sprzedaż'!C61:N61)=0,"BRAK DANYCH",IF(COUNT('Sprzedaż'!C61:N61)&lt;12,"niepełne","komplet"))</f>
        <v/>
      </c>
      <c r="D61" s="70">
        <f>COUNTIF('Sprzedaż'!C61:N61,"&gt;0.001")</f>
        <v/>
      </c>
      <c r="E61" s="71" t="inlineStr">
        <is>
          <t>t</t>
        </is>
      </c>
      <c r="F61" s="71" t="n">
        <v>1</v>
      </c>
      <c r="G61" s="72">
        <f>SUM('Sprzedaż'!C61:E61)</f>
        <v/>
      </c>
      <c r="H61" s="72">
        <f>SUM('Sprzedaż'!F61:H61)</f>
        <v/>
      </c>
      <c r="I61" s="72">
        <f>SUM('Sprzedaż'!I61:K61)</f>
        <v/>
      </c>
      <c r="J61" s="72">
        <f>SUM('Sprzedaż'!L61:N61)</f>
        <v/>
      </c>
      <c r="K61" s="72">
        <f>G61+H61</f>
        <v/>
      </c>
      <c r="L61" s="72">
        <f>I61+J61</f>
        <v/>
      </c>
      <c r="M61" s="72">
        <f>SUM('Sprzedaż'!C61:N61)</f>
        <v/>
      </c>
      <c r="N61" s="72">
        <f>IF(COUNT('Sprzedaż'!C61:N61)=0,0,M61/12)</f>
        <v/>
      </c>
      <c r="O61" s="72">
        <f>MAX('Sprzedaż'!C61:N61)</f>
        <v/>
      </c>
      <c r="P61" s="72">
        <f>MIN('Sprzedaż'!C61:N61)</f>
        <v/>
      </c>
      <c r="Q61" s="73">
        <f>IF(M61&lt;=0,"-",INDEX('Sprzedaż'!$C$4:$N$4,MATCH(O61,'Sprzedaż'!C61:N61,0)))</f>
        <v/>
      </c>
      <c r="R61" s="74">
        <f>IF(M61&lt;=0,0,(H61+I61)/M61)</f>
        <v/>
      </c>
      <c r="S61" s="74">
        <f>IF(F61=0,"-",IFERROR(M61/SUMIFS($M$5:$M$138,$A$5:$A$138,A61,$F$5:$F$138,1),0))</f>
        <v/>
      </c>
      <c r="T61" s="72">
        <f>M61-N('Sprzedaż'!O61)</f>
        <v/>
      </c>
      <c r="U61" s="75">
        <f>IF(F61=1,M61,-1)-ROW()/1000000</f>
        <v/>
      </c>
    </row>
    <row r="62">
      <c r="A62" s="70">
        <f>'Sprzedaż'!A62</f>
        <v/>
      </c>
      <c r="B62" s="70">
        <f>'Sprzedaż'!B62</f>
        <v/>
      </c>
      <c r="C62" s="70">
        <f>IF(COUNT('Sprzedaż'!C62:N62)=0,"BRAK DANYCH",IF(COUNT('Sprzedaż'!C62:N62)&lt;12,"niepełne","komplet"))</f>
        <v/>
      </c>
      <c r="D62" s="70">
        <f>COUNTIF('Sprzedaż'!C62:N62,"&gt;0.001")</f>
        <v/>
      </c>
      <c r="E62" s="71" t="inlineStr">
        <is>
          <t>t</t>
        </is>
      </c>
      <c r="F62" s="71" t="n">
        <v>1</v>
      </c>
      <c r="G62" s="72">
        <f>SUM('Sprzedaż'!C62:E62)</f>
        <v/>
      </c>
      <c r="H62" s="72">
        <f>SUM('Sprzedaż'!F62:H62)</f>
        <v/>
      </c>
      <c r="I62" s="72">
        <f>SUM('Sprzedaż'!I62:K62)</f>
        <v/>
      </c>
      <c r="J62" s="72">
        <f>SUM('Sprzedaż'!L62:N62)</f>
        <v/>
      </c>
      <c r="K62" s="72">
        <f>G62+H62</f>
        <v/>
      </c>
      <c r="L62" s="72">
        <f>I62+J62</f>
        <v/>
      </c>
      <c r="M62" s="72">
        <f>SUM('Sprzedaż'!C62:N62)</f>
        <v/>
      </c>
      <c r="N62" s="72">
        <f>IF(COUNT('Sprzedaż'!C62:N62)=0,0,M62/12)</f>
        <v/>
      </c>
      <c r="O62" s="72">
        <f>MAX('Sprzedaż'!C62:N62)</f>
        <v/>
      </c>
      <c r="P62" s="72">
        <f>MIN('Sprzedaż'!C62:N62)</f>
        <v/>
      </c>
      <c r="Q62" s="73">
        <f>IF(M62&lt;=0,"-",INDEX('Sprzedaż'!$C$4:$N$4,MATCH(O62,'Sprzedaż'!C62:N62,0)))</f>
        <v/>
      </c>
      <c r="R62" s="74">
        <f>IF(M62&lt;=0,0,(H62+I62)/M62)</f>
        <v/>
      </c>
      <c r="S62" s="74">
        <f>IF(F62=0,"-",IFERROR(M62/SUMIFS($M$5:$M$138,$A$5:$A$138,A62,$F$5:$F$138,1),0))</f>
        <v/>
      </c>
      <c r="T62" s="72">
        <f>M62-N('Sprzedaż'!O62)</f>
        <v/>
      </c>
      <c r="U62" s="75">
        <f>IF(F62=1,M62,-1)-ROW()/1000000</f>
        <v/>
      </c>
    </row>
    <row r="63">
      <c r="A63" s="70">
        <f>'Sprzedaż'!A63</f>
        <v/>
      </c>
      <c r="B63" s="70">
        <f>'Sprzedaż'!B63</f>
        <v/>
      </c>
      <c r="C63" s="70">
        <f>IF(COUNT('Sprzedaż'!C63:N63)=0,"BRAK DANYCH",IF(COUNT('Sprzedaż'!C63:N63)&lt;12,"niepełne","komplet"))</f>
        <v/>
      </c>
      <c r="D63" s="70">
        <f>COUNTIF('Sprzedaż'!C63:N63,"&gt;0.001")</f>
        <v/>
      </c>
      <c r="E63" s="71" t="inlineStr">
        <is>
          <t>t</t>
        </is>
      </c>
      <c r="F63" s="71" t="n">
        <v>1</v>
      </c>
      <c r="G63" s="72">
        <f>SUM('Sprzedaż'!C63:E63)</f>
        <v/>
      </c>
      <c r="H63" s="72">
        <f>SUM('Sprzedaż'!F63:H63)</f>
        <v/>
      </c>
      <c r="I63" s="72">
        <f>SUM('Sprzedaż'!I63:K63)</f>
        <v/>
      </c>
      <c r="J63" s="72">
        <f>SUM('Sprzedaż'!L63:N63)</f>
        <v/>
      </c>
      <c r="K63" s="72">
        <f>G63+H63</f>
        <v/>
      </c>
      <c r="L63" s="72">
        <f>I63+J63</f>
        <v/>
      </c>
      <c r="M63" s="72">
        <f>SUM('Sprzedaż'!C63:N63)</f>
        <v/>
      </c>
      <c r="N63" s="72">
        <f>IF(COUNT('Sprzedaż'!C63:N63)=0,0,M63/12)</f>
        <v/>
      </c>
      <c r="O63" s="72">
        <f>MAX('Sprzedaż'!C63:N63)</f>
        <v/>
      </c>
      <c r="P63" s="72">
        <f>MIN('Sprzedaż'!C63:N63)</f>
        <v/>
      </c>
      <c r="Q63" s="73">
        <f>IF(M63&lt;=0,"-",INDEX('Sprzedaż'!$C$4:$N$4,MATCH(O63,'Sprzedaż'!C63:N63,0)))</f>
        <v/>
      </c>
      <c r="R63" s="74">
        <f>IF(M63&lt;=0,0,(H63+I63)/M63)</f>
        <v/>
      </c>
      <c r="S63" s="74">
        <f>IF(F63=0,"-",IFERROR(M63/SUMIFS($M$5:$M$138,$A$5:$A$138,A63,$F$5:$F$138,1),0))</f>
        <v/>
      </c>
      <c r="T63" s="72">
        <f>M63-N('Sprzedaż'!O63)</f>
        <v/>
      </c>
      <c r="U63" s="75">
        <f>IF(F63=1,M63,-1)-ROW()/1000000</f>
        <v/>
      </c>
    </row>
    <row r="64">
      <c r="A64" s="70">
        <f>'Sprzedaż'!A64</f>
        <v/>
      </c>
      <c r="B64" s="70">
        <f>'Sprzedaż'!B64</f>
        <v/>
      </c>
      <c r="C64" s="70">
        <f>IF(COUNT('Sprzedaż'!C64:N64)=0,"BRAK DANYCH",IF(COUNT('Sprzedaż'!C64:N64)&lt;12,"niepełne","komplet"))</f>
        <v/>
      </c>
      <c r="D64" s="70">
        <f>COUNTIF('Sprzedaż'!C64:N64,"&gt;0.001")</f>
        <v/>
      </c>
      <c r="E64" s="71" t="inlineStr">
        <is>
          <t>t</t>
        </is>
      </c>
      <c r="F64" s="71" t="n">
        <v>1</v>
      </c>
      <c r="G64" s="72">
        <f>SUM('Sprzedaż'!C64:E64)</f>
        <v/>
      </c>
      <c r="H64" s="72">
        <f>SUM('Sprzedaż'!F64:H64)</f>
        <v/>
      </c>
      <c r="I64" s="72">
        <f>SUM('Sprzedaż'!I64:K64)</f>
        <v/>
      </c>
      <c r="J64" s="72">
        <f>SUM('Sprzedaż'!L64:N64)</f>
        <v/>
      </c>
      <c r="K64" s="72">
        <f>G64+H64</f>
        <v/>
      </c>
      <c r="L64" s="72">
        <f>I64+J64</f>
        <v/>
      </c>
      <c r="M64" s="72">
        <f>SUM('Sprzedaż'!C64:N64)</f>
        <v/>
      </c>
      <c r="N64" s="72">
        <f>IF(COUNT('Sprzedaż'!C64:N64)=0,0,M64/12)</f>
        <v/>
      </c>
      <c r="O64" s="72">
        <f>MAX('Sprzedaż'!C64:N64)</f>
        <v/>
      </c>
      <c r="P64" s="72">
        <f>MIN('Sprzedaż'!C64:N64)</f>
        <v/>
      </c>
      <c r="Q64" s="73">
        <f>IF(M64&lt;=0,"-",INDEX('Sprzedaż'!$C$4:$N$4,MATCH(O64,'Sprzedaż'!C64:N64,0)))</f>
        <v/>
      </c>
      <c r="R64" s="74">
        <f>IF(M64&lt;=0,0,(H64+I64)/M64)</f>
        <v/>
      </c>
      <c r="S64" s="74">
        <f>IF(F64=0,"-",IFERROR(M64/SUMIFS($M$5:$M$138,$A$5:$A$138,A64,$F$5:$F$138,1),0))</f>
        <v/>
      </c>
      <c r="T64" s="72">
        <f>M64-N('Sprzedaż'!O64)</f>
        <v/>
      </c>
      <c r="U64" s="75">
        <f>IF(F64=1,M64,-1)-ROW()/1000000</f>
        <v/>
      </c>
    </row>
    <row r="66">
      <c r="A66" s="70">
        <f>'Sprzedaż'!A66</f>
        <v/>
      </c>
      <c r="B66" s="70">
        <f>'Sprzedaż'!B66</f>
        <v/>
      </c>
      <c r="C66" s="70">
        <f>IF(COUNT('Sprzedaż'!C66:N66)=0,"BRAK DANYCH",IF(COUNT('Sprzedaż'!C66:N66)&lt;12,"niepełne","komplet"))</f>
        <v/>
      </c>
      <c r="D66" s="70">
        <f>COUNTIF('Sprzedaż'!C66:N66,"&gt;0.001")</f>
        <v/>
      </c>
      <c r="E66" s="71" t="inlineStr">
        <is>
          <t>t</t>
        </is>
      </c>
      <c r="F66" s="71" t="n">
        <v>1</v>
      </c>
      <c r="G66" s="72">
        <f>SUM('Sprzedaż'!C66:E66)</f>
        <v/>
      </c>
      <c r="H66" s="72">
        <f>SUM('Sprzedaż'!F66:H66)</f>
        <v/>
      </c>
      <c r="I66" s="72">
        <f>SUM('Sprzedaż'!I66:K66)</f>
        <v/>
      </c>
      <c r="J66" s="72">
        <f>SUM('Sprzedaż'!L66:N66)</f>
        <v/>
      </c>
      <c r="K66" s="72">
        <f>G66+H66</f>
        <v/>
      </c>
      <c r="L66" s="72">
        <f>I66+J66</f>
        <v/>
      </c>
      <c r="M66" s="72">
        <f>SUM('Sprzedaż'!C66:N66)</f>
        <v/>
      </c>
      <c r="N66" s="72">
        <f>IF(COUNT('Sprzedaż'!C66:N66)=0,0,M66/12)</f>
        <v/>
      </c>
      <c r="O66" s="72">
        <f>MAX('Sprzedaż'!C66:N66)</f>
        <v/>
      </c>
      <c r="P66" s="72">
        <f>MIN('Sprzedaż'!C66:N66)</f>
        <v/>
      </c>
      <c r="Q66" s="73">
        <f>IF(M66&lt;=0,"-",INDEX('Sprzedaż'!$C$4:$N$4,MATCH(O66,'Sprzedaż'!C66:N66,0)))</f>
        <v/>
      </c>
      <c r="R66" s="74">
        <f>IF(M66&lt;=0,0,(H66+I66)/M66)</f>
        <v/>
      </c>
      <c r="S66" s="74">
        <f>IF(F66=0,"-",IFERROR(M66/SUMIFS($M$5:$M$138,$A$5:$A$138,A66,$F$5:$F$138,1),0))</f>
        <v/>
      </c>
      <c r="T66" s="72">
        <f>M66-N('Sprzedaż'!O66)</f>
        <v/>
      </c>
      <c r="U66" s="75">
        <f>IF(F66=1,M66,-1)-ROW()/1000000</f>
        <v/>
      </c>
    </row>
    <row r="67">
      <c r="A67" s="70">
        <f>'Sprzedaż'!A67</f>
        <v/>
      </c>
      <c r="B67" s="70">
        <f>'Sprzedaż'!B67</f>
        <v/>
      </c>
      <c r="C67" s="70">
        <f>IF(COUNT('Sprzedaż'!C67:N67)=0,"BRAK DANYCH",IF(COUNT('Sprzedaż'!C67:N67)&lt;12,"niepełne","komplet"))</f>
        <v/>
      </c>
      <c r="D67" s="70">
        <f>COUNTIF('Sprzedaż'!C67:N67,"&gt;0.001")</f>
        <v/>
      </c>
      <c r="E67" s="71" t="inlineStr">
        <is>
          <t>t</t>
        </is>
      </c>
      <c r="F67" s="71" t="n">
        <v>1</v>
      </c>
      <c r="G67" s="72">
        <f>SUM('Sprzedaż'!C67:E67)</f>
        <v/>
      </c>
      <c r="H67" s="72">
        <f>SUM('Sprzedaż'!F67:H67)</f>
        <v/>
      </c>
      <c r="I67" s="72">
        <f>SUM('Sprzedaż'!I67:K67)</f>
        <v/>
      </c>
      <c r="J67" s="72">
        <f>SUM('Sprzedaż'!L67:N67)</f>
        <v/>
      </c>
      <c r="K67" s="72">
        <f>G67+H67</f>
        <v/>
      </c>
      <c r="L67" s="72">
        <f>I67+J67</f>
        <v/>
      </c>
      <c r="M67" s="72">
        <f>SUM('Sprzedaż'!C67:N67)</f>
        <v/>
      </c>
      <c r="N67" s="72">
        <f>IF(COUNT('Sprzedaż'!C67:N67)=0,0,M67/12)</f>
        <v/>
      </c>
      <c r="O67" s="72">
        <f>MAX('Sprzedaż'!C67:N67)</f>
        <v/>
      </c>
      <c r="P67" s="72">
        <f>MIN('Sprzedaż'!C67:N67)</f>
        <v/>
      </c>
      <c r="Q67" s="73">
        <f>IF(M67&lt;=0,"-",INDEX('Sprzedaż'!$C$4:$N$4,MATCH(O67,'Sprzedaż'!C67:N67,0)))</f>
        <v/>
      </c>
      <c r="R67" s="74">
        <f>IF(M67&lt;=0,0,(H67+I67)/M67)</f>
        <v/>
      </c>
      <c r="S67" s="74">
        <f>IF(F67=0,"-",IFERROR(M67/SUMIFS($M$5:$M$138,$A$5:$A$138,A67,$F$5:$F$138,1),0))</f>
        <v/>
      </c>
      <c r="T67" s="72">
        <f>M67-N('Sprzedaż'!O67)</f>
        <v/>
      </c>
      <c r="U67" s="75">
        <f>IF(F67=1,M67,-1)-ROW()/1000000</f>
        <v/>
      </c>
    </row>
    <row r="68">
      <c r="A68" s="70">
        <f>'Sprzedaż'!A68</f>
        <v/>
      </c>
      <c r="B68" s="70">
        <f>'Sprzedaż'!B68</f>
        <v/>
      </c>
      <c r="C68" s="70">
        <f>IF(COUNT('Sprzedaż'!C68:N68)=0,"BRAK DANYCH",IF(COUNT('Sprzedaż'!C68:N68)&lt;12,"niepełne","komplet"))</f>
        <v/>
      </c>
      <c r="D68" s="70">
        <f>COUNTIF('Sprzedaż'!C68:N68,"&gt;0.001")</f>
        <v/>
      </c>
      <c r="E68" s="71" t="inlineStr">
        <is>
          <t>t</t>
        </is>
      </c>
      <c r="F68" s="71" t="n">
        <v>1</v>
      </c>
      <c r="G68" s="72">
        <f>SUM('Sprzedaż'!C68:E68)</f>
        <v/>
      </c>
      <c r="H68" s="72">
        <f>SUM('Sprzedaż'!F68:H68)</f>
        <v/>
      </c>
      <c r="I68" s="72">
        <f>SUM('Sprzedaż'!I68:K68)</f>
        <v/>
      </c>
      <c r="J68" s="72">
        <f>SUM('Sprzedaż'!L68:N68)</f>
        <v/>
      </c>
      <c r="K68" s="72">
        <f>G68+H68</f>
        <v/>
      </c>
      <c r="L68" s="72">
        <f>I68+J68</f>
        <v/>
      </c>
      <c r="M68" s="72">
        <f>SUM('Sprzedaż'!C68:N68)</f>
        <v/>
      </c>
      <c r="N68" s="72">
        <f>IF(COUNT('Sprzedaż'!C68:N68)=0,0,M68/12)</f>
        <v/>
      </c>
      <c r="O68" s="72">
        <f>MAX('Sprzedaż'!C68:N68)</f>
        <v/>
      </c>
      <c r="P68" s="72">
        <f>MIN('Sprzedaż'!C68:N68)</f>
        <v/>
      </c>
      <c r="Q68" s="73">
        <f>IF(M68&lt;=0,"-",INDEX('Sprzedaż'!$C$4:$N$4,MATCH(O68,'Sprzedaż'!C68:N68,0)))</f>
        <v/>
      </c>
      <c r="R68" s="74">
        <f>IF(M68&lt;=0,0,(H68+I68)/M68)</f>
        <v/>
      </c>
      <c r="S68" s="74">
        <f>IF(F68=0,"-",IFERROR(M68/SUMIFS($M$5:$M$138,$A$5:$A$138,A68,$F$5:$F$138,1),0))</f>
        <v/>
      </c>
      <c r="T68" s="72">
        <f>M68-N('Sprzedaż'!O68)</f>
        <v/>
      </c>
      <c r="U68" s="75">
        <f>IF(F68=1,M68,-1)-ROW()/1000000</f>
        <v/>
      </c>
    </row>
    <row r="69">
      <c r="A69" s="70">
        <f>'Sprzedaż'!A69</f>
        <v/>
      </c>
      <c r="B69" s="70">
        <f>'Sprzedaż'!B69</f>
        <v/>
      </c>
      <c r="C69" s="70">
        <f>IF(COUNT('Sprzedaż'!C69:N69)=0,"BRAK DANYCH",IF(COUNT('Sprzedaż'!C69:N69)&lt;12,"niepełne","komplet"))</f>
        <v/>
      </c>
      <c r="D69" s="70">
        <f>COUNTIF('Sprzedaż'!C69:N69,"&gt;0.001")</f>
        <v/>
      </c>
      <c r="E69" s="71" t="inlineStr">
        <is>
          <t>t</t>
        </is>
      </c>
      <c r="F69" s="71" t="n">
        <v>1</v>
      </c>
      <c r="G69" s="72">
        <f>SUM('Sprzedaż'!C69:E69)</f>
        <v/>
      </c>
      <c r="H69" s="72">
        <f>SUM('Sprzedaż'!F69:H69)</f>
        <v/>
      </c>
      <c r="I69" s="72">
        <f>SUM('Sprzedaż'!I69:K69)</f>
        <v/>
      </c>
      <c r="J69" s="72">
        <f>SUM('Sprzedaż'!L69:N69)</f>
        <v/>
      </c>
      <c r="K69" s="72">
        <f>G69+H69</f>
        <v/>
      </c>
      <c r="L69" s="72">
        <f>I69+J69</f>
        <v/>
      </c>
      <c r="M69" s="72">
        <f>SUM('Sprzedaż'!C69:N69)</f>
        <v/>
      </c>
      <c r="N69" s="72">
        <f>IF(COUNT('Sprzedaż'!C69:N69)=0,0,M69/12)</f>
        <v/>
      </c>
      <c r="O69" s="72">
        <f>MAX('Sprzedaż'!C69:N69)</f>
        <v/>
      </c>
      <c r="P69" s="72">
        <f>MIN('Sprzedaż'!C69:N69)</f>
        <v/>
      </c>
      <c r="Q69" s="73">
        <f>IF(M69&lt;=0,"-",INDEX('Sprzedaż'!$C$4:$N$4,MATCH(O69,'Sprzedaż'!C69:N69,0)))</f>
        <v/>
      </c>
      <c r="R69" s="74">
        <f>IF(M69&lt;=0,0,(H69+I69)/M69)</f>
        <v/>
      </c>
      <c r="S69" s="74">
        <f>IF(F69=0,"-",IFERROR(M69/SUMIFS($M$5:$M$138,$A$5:$A$138,A69,$F$5:$F$138,1),0))</f>
        <v/>
      </c>
      <c r="T69" s="72">
        <f>M69-N('Sprzedaż'!O69)</f>
        <v/>
      </c>
      <c r="U69" s="75">
        <f>IF(F69=1,M69,-1)-ROW()/1000000</f>
        <v/>
      </c>
    </row>
    <row r="70">
      <c r="A70" s="70">
        <f>'Sprzedaż'!A70</f>
        <v/>
      </c>
      <c r="B70" s="70">
        <f>'Sprzedaż'!B70</f>
        <v/>
      </c>
      <c r="C70" s="70">
        <f>IF(COUNT('Sprzedaż'!C70:N70)=0,"BRAK DANYCH",IF(COUNT('Sprzedaż'!C70:N70)&lt;12,"niepełne","komplet"))</f>
        <v/>
      </c>
      <c r="D70" s="70">
        <f>COUNTIF('Sprzedaż'!C70:N70,"&gt;0.001")</f>
        <v/>
      </c>
      <c r="E70" s="71" t="inlineStr">
        <is>
          <t>t</t>
        </is>
      </c>
      <c r="F70" s="71" t="n">
        <v>1</v>
      </c>
      <c r="G70" s="72">
        <f>SUM('Sprzedaż'!C70:E70)</f>
        <v/>
      </c>
      <c r="H70" s="72">
        <f>SUM('Sprzedaż'!F70:H70)</f>
        <v/>
      </c>
      <c r="I70" s="72">
        <f>SUM('Sprzedaż'!I70:K70)</f>
        <v/>
      </c>
      <c r="J70" s="72">
        <f>SUM('Sprzedaż'!L70:N70)</f>
        <v/>
      </c>
      <c r="K70" s="72">
        <f>G70+H70</f>
        <v/>
      </c>
      <c r="L70" s="72">
        <f>I70+J70</f>
        <v/>
      </c>
      <c r="M70" s="72">
        <f>SUM('Sprzedaż'!C70:N70)</f>
        <v/>
      </c>
      <c r="N70" s="72">
        <f>IF(COUNT('Sprzedaż'!C70:N70)=0,0,M70/12)</f>
        <v/>
      </c>
      <c r="O70" s="72">
        <f>MAX('Sprzedaż'!C70:N70)</f>
        <v/>
      </c>
      <c r="P70" s="72">
        <f>MIN('Sprzedaż'!C70:N70)</f>
        <v/>
      </c>
      <c r="Q70" s="73">
        <f>IF(M70&lt;=0,"-",INDEX('Sprzedaż'!$C$4:$N$4,MATCH(O70,'Sprzedaż'!C70:N70,0)))</f>
        <v/>
      </c>
      <c r="R70" s="74">
        <f>IF(M70&lt;=0,0,(H70+I70)/M70)</f>
        <v/>
      </c>
      <c r="S70" s="74">
        <f>IF(F70=0,"-",IFERROR(M70/SUMIFS($M$5:$M$138,$A$5:$A$138,A70,$F$5:$F$138,1),0))</f>
        <v/>
      </c>
      <c r="T70" s="72">
        <f>M70-N('Sprzedaż'!O70)</f>
        <v/>
      </c>
      <c r="U70" s="75">
        <f>IF(F70=1,M70,-1)-ROW()/1000000</f>
        <v/>
      </c>
    </row>
    <row r="71">
      <c r="A71" s="70">
        <f>'Sprzedaż'!A71</f>
        <v/>
      </c>
      <c r="B71" s="70">
        <f>'Sprzedaż'!B71</f>
        <v/>
      </c>
      <c r="C71" s="70">
        <f>IF(COUNT('Sprzedaż'!C71:N71)=0,"BRAK DANYCH",IF(COUNT('Sprzedaż'!C71:N71)&lt;12,"niepełne","komplet"))</f>
        <v/>
      </c>
      <c r="D71" s="70">
        <f>COUNTIF('Sprzedaż'!C71:N71,"&gt;0.001")</f>
        <v/>
      </c>
      <c r="E71" s="71" t="inlineStr">
        <is>
          <t>t</t>
        </is>
      </c>
      <c r="F71" s="71" t="n">
        <v>1</v>
      </c>
      <c r="G71" s="72">
        <f>SUM('Sprzedaż'!C71:E71)</f>
        <v/>
      </c>
      <c r="H71" s="72">
        <f>SUM('Sprzedaż'!F71:H71)</f>
        <v/>
      </c>
      <c r="I71" s="72">
        <f>SUM('Sprzedaż'!I71:K71)</f>
        <v/>
      </c>
      <c r="J71" s="72">
        <f>SUM('Sprzedaż'!L71:N71)</f>
        <v/>
      </c>
      <c r="K71" s="72">
        <f>G71+H71</f>
        <v/>
      </c>
      <c r="L71" s="72">
        <f>I71+J71</f>
        <v/>
      </c>
      <c r="M71" s="72">
        <f>SUM('Sprzedaż'!C71:N71)</f>
        <v/>
      </c>
      <c r="N71" s="72">
        <f>IF(COUNT('Sprzedaż'!C71:N71)=0,0,M71/12)</f>
        <v/>
      </c>
      <c r="O71" s="72">
        <f>MAX('Sprzedaż'!C71:N71)</f>
        <v/>
      </c>
      <c r="P71" s="72">
        <f>MIN('Sprzedaż'!C71:N71)</f>
        <v/>
      </c>
      <c r="Q71" s="73">
        <f>IF(M71&lt;=0,"-",INDEX('Sprzedaż'!$C$4:$N$4,MATCH(O71,'Sprzedaż'!C71:N71,0)))</f>
        <v/>
      </c>
      <c r="R71" s="74">
        <f>IF(M71&lt;=0,0,(H71+I71)/M71)</f>
        <v/>
      </c>
      <c r="S71" s="74">
        <f>IF(F71=0,"-",IFERROR(M71/SUMIFS($M$5:$M$138,$A$5:$A$138,A71,$F$5:$F$138,1),0))</f>
        <v/>
      </c>
      <c r="T71" s="72">
        <f>M71-N('Sprzedaż'!O71)</f>
        <v/>
      </c>
      <c r="U71" s="75">
        <f>IF(F71=1,M71,-1)-ROW()/1000000</f>
        <v/>
      </c>
    </row>
    <row r="72">
      <c r="A72" s="70">
        <f>'Sprzedaż'!A72</f>
        <v/>
      </c>
      <c r="B72" s="70">
        <f>'Sprzedaż'!B72</f>
        <v/>
      </c>
      <c r="C72" s="70">
        <f>IF(COUNT('Sprzedaż'!C72:N72)=0,"BRAK DANYCH",IF(COUNT('Sprzedaż'!C72:N72)&lt;12,"niepełne","komplet"))</f>
        <v/>
      </c>
      <c r="D72" s="70">
        <f>COUNTIF('Sprzedaż'!C72:N72,"&gt;0.001")</f>
        <v/>
      </c>
      <c r="E72" s="71" t="inlineStr">
        <is>
          <t>t</t>
        </is>
      </c>
      <c r="F72" s="71" t="n">
        <v>1</v>
      </c>
      <c r="G72" s="72">
        <f>SUM('Sprzedaż'!C72:E72)</f>
        <v/>
      </c>
      <c r="H72" s="72">
        <f>SUM('Sprzedaż'!F72:H72)</f>
        <v/>
      </c>
      <c r="I72" s="72">
        <f>SUM('Sprzedaż'!I72:K72)</f>
        <v/>
      </c>
      <c r="J72" s="72">
        <f>SUM('Sprzedaż'!L72:N72)</f>
        <v/>
      </c>
      <c r="K72" s="72">
        <f>G72+H72</f>
        <v/>
      </c>
      <c r="L72" s="72">
        <f>I72+J72</f>
        <v/>
      </c>
      <c r="M72" s="72">
        <f>SUM('Sprzedaż'!C72:N72)</f>
        <v/>
      </c>
      <c r="N72" s="72">
        <f>IF(COUNT('Sprzedaż'!C72:N72)=0,0,M72/12)</f>
        <v/>
      </c>
      <c r="O72" s="72">
        <f>MAX('Sprzedaż'!C72:N72)</f>
        <v/>
      </c>
      <c r="P72" s="72">
        <f>MIN('Sprzedaż'!C72:N72)</f>
        <v/>
      </c>
      <c r="Q72" s="73">
        <f>IF(M72&lt;=0,"-",INDEX('Sprzedaż'!$C$4:$N$4,MATCH(O72,'Sprzedaż'!C72:N72,0)))</f>
        <v/>
      </c>
      <c r="R72" s="74">
        <f>IF(M72&lt;=0,0,(H72+I72)/M72)</f>
        <v/>
      </c>
      <c r="S72" s="74">
        <f>IF(F72=0,"-",IFERROR(M72/SUMIFS($M$5:$M$138,$A$5:$A$138,A72,$F$5:$F$138,1),0))</f>
        <v/>
      </c>
      <c r="T72" s="72">
        <f>M72-N('Sprzedaż'!O72)</f>
        <v/>
      </c>
      <c r="U72" s="75">
        <f>IF(F72=1,M72,-1)-ROW()/1000000</f>
        <v/>
      </c>
    </row>
    <row r="73">
      <c r="A73" s="70">
        <f>'Sprzedaż'!A73</f>
        <v/>
      </c>
      <c r="B73" s="70">
        <f>'Sprzedaż'!B73</f>
        <v/>
      </c>
      <c r="C73" s="70">
        <f>IF(COUNT('Sprzedaż'!C73:N73)=0,"BRAK DANYCH",IF(COUNT('Sprzedaż'!C73:N73)&lt;12,"niepełne","komplet"))</f>
        <v/>
      </c>
      <c r="D73" s="70">
        <f>COUNTIF('Sprzedaż'!C73:N73,"&gt;0.001")</f>
        <v/>
      </c>
      <c r="E73" s="71" t="inlineStr">
        <is>
          <t>t</t>
        </is>
      </c>
      <c r="F73" s="71" t="n">
        <v>1</v>
      </c>
      <c r="G73" s="72">
        <f>SUM('Sprzedaż'!C73:E73)</f>
        <v/>
      </c>
      <c r="H73" s="72">
        <f>SUM('Sprzedaż'!F73:H73)</f>
        <v/>
      </c>
      <c r="I73" s="72">
        <f>SUM('Sprzedaż'!I73:K73)</f>
        <v/>
      </c>
      <c r="J73" s="72">
        <f>SUM('Sprzedaż'!L73:N73)</f>
        <v/>
      </c>
      <c r="K73" s="72">
        <f>G73+H73</f>
        <v/>
      </c>
      <c r="L73" s="72">
        <f>I73+J73</f>
        <v/>
      </c>
      <c r="M73" s="72">
        <f>SUM('Sprzedaż'!C73:N73)</f>
        <v/>
      </c>
      <c r="N73" s="72">
        <f>IF(COUNT('Sprzedaż'!C73:N73)=0,0,M73/12)</f>
        <v/>
      </c>
      <c r="O73" s="72">
        <f>MAX('Sprzedaż'!C73:N73)</f>
        <v/>
      </c>
      <c r="P73" s="72">
        <f>MIN('Sprzedaż'!C73:N73)</f>
        <v/>
      </c>
      <c r="Q73" s="73">
        <f>IF(M73&lt;=0,"-",INDEX('Sprzedaż'!$C$4:$N$4,MATCH(O73,'Sprzedaż'!C73:N73,0)))</f>
        <v/>
      </c>
      <c r="R73" s="74">
        <f>IF(M73&lt;=0,0,(H73+I73)/M73)</f>
        <v/>
      </c>
      <c r="S73" s="74">
        <f>IF(F73=0,"-",IFERROR(M73/SUMIFS($M$5:$M$138,$A$5:$A$138,A73,$F$5:$F$138,1),0))</f>
        <v/>
      </c>
      <c r="T73" s="72">
        <f>M73-N('Sprzedaż'!O73)</f>
        <v/>
      </c>
      <c r="U73" s="75">
        <f>IF(F73=1,M73,-1)-ROW()/1000000</f>
        <v/>
      </c>
    </row>
    <row r="74">
      <c r="A74" s="70">
        <f>'Sprzedaż'!A74</f>
        <v/>
      </c>
      <c r="B74" s="70">
        <f>'Sprzedaż'!B74</f>
        <v/>
      </c>
      <c r="C74" s="70">
        <f>IF(COUNT('Sprzedaż'!C74:N74)=0,"BRAK DANYCH",IF(COUNT('Sprzedaż'!C74:N74)&lt;12,"niepełne","komplet"))</f>
        <v/>
      </c>
      <c r="D74" s="70">
        <f>COUNTIF('Sprzedaż'!C74:N74,"&gt;0.001")</f>
        <v/>
      </c>
      <c r="E74" s="71" t="inlineStr">
        <is>
          <t>t</t>
        </is>
      </c>
      <c r="F74" s="71" t="n">
        <v>1</v>
      </c>
      <c r="G74" s="72">
        <f>SUM('Sprzedaż'!C74:E74)</f>
        <v/>
      </c>
      <c r="H74" s="72">
        <f>SUM('Sprzedaż'!F74:H74)</f>
        <v/>
      </c>
      <c r="I74" s="72">
        <f>SUM('Sprzedaż'!I74:K74)</f>
        <v/>
      </c>
      <c r="J74" s="72">
        <f>SUM('Sprzedaż'!L74:N74)</f>
        <v/>
      </c>
      <c r="K74" s="72">
        <f>G74+H74</f>
        <v/>
      </c>
      <c r="L74" s="72">
        <f>I74+J74</f>
        <v/>
      </c>
      <c r="M74" s="72">
        <f>SUM('Sprzedaż'!C74:N74)</f>
        <v/>
      </c>
      <c r="N74" s="72">
        <f>IF(COUNT('Sprzedaż'!C74:N74)=0,0,M74/12)</f>
        <v/>
      </c>
      <c r="O74" s="72">
        <f>MAX('Sprzedaż'!C74:N74)</f>
        <v/>
      </c>
      <c r="P74" s="72">
        <f>MIN('Sprzedaż'!C74:N74)</f>
        <v/>
      </c>
      <c r="Q74" s="73">
        <f>IF(M74&lt;=0,"-",INDEX('Sprzedaż'!$C$4:$N$4,MATCH(O74,'Sprzedaż'!C74:N74,0)))</f>
        <v/>
      </c>
      <c r="R74" s="74">
        <f>IF(M74&lt;=0,0,(H74+I74)/M74)</f>
        <v/>
      </c>
      <c r="S74" s="74">
        <f>IF(F74=0,"-",IFERROR(M74/SUMIFS($M$5:$M$138,$A$5:$A$138,A74,$F$5:$F$138,1),0))</f>
        <v/>
      </c>
      <c r="T74" s="72">
        <f>M74-N('Sprzedaż'!O74)</f>
        <v/>
      </c>
      <c r="U74" s="75">
        <f>IF(F74=1,M74,-1)-ROW()/1000000</f>
        <v/>
      </c>
    </row>
    <row r="75">
      <c r="A75" s="70">
        <f>'Sprzedaż'!A75</f>
        <v/>
      </c>
      <c r="B75" s="70">
        <f>'Sprzedaż'!B75</f>
        <v/>
      </c>
      <c r="C75" s="70">
        <f>IF(COUNT('Sprzedaż'!C75:N75)=0,"BRAK DANYCH",IF(COUNT('Sprzedaż'!C75:N75)&lt;12,"niepełne","komplet"))</f>
        <v/>
      </c>
      <c r="D75" s="70">
        <f>COUNTIF('Sprzedaż'!C75:N75,"&gt;0.001")</f>
        <v/>
      </c>
      <c r="E75" s="71" t="inlineStr">
        <is>
          <t>t</t>
        </is>
      </c>
      <c r="F75" s="71" t="n">
        <v>1</v>
      </c>
      <c r="G75" s="72">
        <f>SUM('Sprzedaż'!C75:E75)</f>
        <v/>
      </c>
      <c r="H75" s="72">
        <f>SUM('Sprzedaż'!F75:H75)</f>
        <v/>
      </c>
      <c r="I75" s="72">
        <f>SUM('Sprzedaż'!I75:K75)</f>
        <v/>
      </c>
      <c r="J75" s="72">
        <f>SUM('Sprzedaż'!L75:N75)</f>
        <v/>
      </c>
      <c r="K75" s="72">
        <f>G75+H75</f>
        <v/>
      </c>
      <c r="L75" s="72">
        <f>I75+J75</f>
        <v/>
      </c>
      <c r="M75" s="72">
        <f>SUM('Sprzedaż'!C75:N75)</f>
        <v/>
      </c>
      <c r="N75" s="72">
        <f>IF(COUNT('Sprzedaż'!C75:N75)=0,0,M75/12)</f>
        <v/>
      </c>
      <c r="O75" s="72">
        <f>MAX('Sprzedaż'!C75:N75)</f>
        <v/>
      </c>
      <c r="P75" s="72">
        <f>MIN('Sprzedaż'!C75:N75)</f>
        <v/>
      </c>
      <c r="Q75" s="73">
        <f>IF(M75&lt;=0,"-",INDEX('Sprzedaż'!$C$4:$N$4,MATCH(O75,'Sprzedaż'!C75:N75,0)))</f>
        <v/>
      </c>
      <c r="R75" s="74">
        <f>IF(M75&lt;=0,0,(H75+I75)/M75)</f>
        <v/>
      </c>
      <c r="S75" s="74">
        <f>IF(F75=0,"-",IFERROR(M75/SUMIFS($M$5:$M$138,$A$5:$A$138,A75,$F$5:$F$138,1),0))</f>
        <v/>
      </c>
      <c r="T75" s="72">
        <f>M75-N('Sprzedaż'!O75)</f>
        <v/>
      </c>
      <c r="U75" s="75">
        <f>IF(F75=1,M75,-1)-ROW()/1000000</f>
        <v/>
      </c>
    </row>
    <row r="76">
      <c r="A76" s="70">
        <f>'Sprzedaż'!A76</f>
        <v/>
      </c>
      <c r="B76" s="70">
        <f>'Sprzedaż'!B76</f>
        <v/>
      </c>
      <c r="C76" s="70">
        <f>IF(COUNT('Sprzedaż'!C76:N76)=0,"BRAK DANYCH",IF(COUNT('Sprzedaż'!C76:N76)&lt;12,"niepełne","komplet"))</f>
        <v/>
      </c>
      <c r="D76" s="70">
        <f>COUNTIF('Sprzedaż'!C76:N76,"&gt;0.001")</f>
        <v/>
      </c>
      <c r="E76" s="71" t="inlineStr">
        <is>
          <t>t</t>
        </is>
      </c>
      <c r="F76" s="71" t="n">
        <v>1</v>
      </c>
      <c r="G76" s="72">
        <f>SUM('Sprzedaż'!C76:E76)</f>
        <v/>
      </c>
      <c r="H76" s="72">
        <f>SUM('Sprzedaż'!F76:H76)</f>
        <v/>
      </c>
      <c r="I76" s="72">
        <f>SUM('Sprzedaż'!I76:K76)</f>
        <v/>
      </c>
      <c r="J76" s="72">
        <f>SUM('Sprzedaż'!L76:N76)</f>
        <v/>
      </c>
      <c r="K76" s="72">
        <f>G76+H76</f>
        <v/>
      </c>
      <c r="L76" s="72">
        <f>I76+J76</f>
        <v/>
      </c>
      <c r="M76" s="72">
        <f>SUM('Sprzedaż'!C76:N76)</f>
        <v/>
      </c>
      <c r="N76" s="72">
        <f>IF(COUNT('Sprzedaż'!C76:N76)=0,0,M76/12)</f>
        <v/>
      </c>
      <c r="O76" s="72">
        <f>MAX('Sprzedaż'!C76:N76)</f>
        <v/>
      </c>
      <c r="P76" s="72">
        <f>MIN('Sprzedaż'!C76:N76)</f>
        <v/>
      </c>
      <c r="Q76" s="73">
        <f>IF(M76&lt;=0,"-",INDEX('Sprzedaż'!$C$4:$N$4,MATCH(O76,'Sprzedaż'!C76:N76,0)))</f>
        <v/>
      </c>
      <c r="R76" s="74">
        <f>IF(M76&lt;=0,0,(H76+I76)/M76)</f>
        <v/>
      </c>
      <c r="S76" s="74">
        <f>IF(F76=0,"-",IFERROR(M76/SUMIFS($M$5:$M$138,$A$5:$A$138,A76,$F$5:$F$138,1),0))</f>
        <v/>
      </c>
      <c r="T76" s="72">
        <f>M76-N('Sprzedaż'!O76)</f>
        <v/>
      </c>
      <c r="U76" s="75">
        <f>IF(F76=1,M76,-1)-ROW()/1000000</f>
        <v/>
      </c>
    </row>
    <row r="77">
      <c r="A77" s="70">
        <f>'Sprzedaż'!A77</f>
        <v/>
      </c>
      <c r="B77" s="70">
        <f>'Sprzedaż'!B77</f>
        <v/>
      </c>
      <c r="C77" s="70">
        <f>IF(COUNT('Sprzedaż'!C77:N77)=0,"BRAK DANYCH",IF(COUNT('Sprzedaż'!C77:N77)&lt;12,"niepełne","komplet"))</f>
        <v/>
      </c>
      <c r="D77" s="70">
        <f>COUNTIF('Sprzedaż'!C77:N77,"&gt;0.001")</f>
        <v/>
      </c>
      <c r="E77" s="71" t="inlineStr">
        <is>
          <t>t</t>
        </is>
      </c>
      <c r="F77" s="71" t="n">
        <v>1</v>
      </c>
      <c r="G77" s="72">
        <f>SUM('Sprzedaż'!C77:E77)</f>
        <v/>
      </c>
      <c r="H77" s="72">
        <f>SUM('Sprzedaż'!F77:H77)</f>
        <v/>
      </c>
      <c r="I77" s="72">
        <f>SUM('Sprzedaż'!I77:K77)</f>
        <v/>
      </c>
      <c r="J77" s="72">
        <f>SUM('Sprzedaż'!L77:N77)</f>
        <v/>
      </c>
      <c r="K77" s="72">
        <f>G77+H77</f>
        <v/>
      </c>
      <c r="L77" s="72">
        <f>I77+J77</f>
        <v/>
      </c>
      <c r="M77" s="72">
        <f>SUM('Sprzedaż'!C77:N77)</f>
        <v/>
      </c>
      <c r="N77" s="72">
        <f>IF(COUNT('Sprzedaż'!C77:N77)=0,0,M77/12)</f>
        <v/>
      </c>
      <c r="O77" s="72">
        <f>MAX('Sprzedaż'!C77:N77)</f>
        <v/>
      </c>
      <c r="P77" s="72">
        <f>MIN('Sprzedaż'!C77:N77)</f>
        <v/>
      </c>
      <c r="Q77" s="73">
        <f>IF(M77&lt;=0,"-",INDEX('Sprzedaż'!$C$4:$N$4,MATCH(O77,'Sprzedaż'!C77:N77,0)))</f>
        <v/>
      </c>
      <c r="R77" s="74">
        <f>IF(M77&lt;=0,0,(H77+I77)/M77)</f>
        <v/>
      </c>
      <c r="S77" s="74">
        <f>IF(F77=0,"-",IFERROR(M77/SUMIFS($M$5:$M$138,$A$5:$A$138,A77,$F$5:$F$138,1),0))</f>
        <v/>
      </c>
      <c r="T77" s="72">
        <f>M77-N('Sprzedaż'!O77)</f>
        <v/>
      </c>
      <c r="U77" s="75">
        <f>IF(F77=1,M77,-1)-ROW()/1000000</f>
        <v/>
      </c>
    </row>
    <row r="78">
      <c r="A78" s="70">
        <f>'Sprzedaż'!A78</f>
        <v/>
      </c>
      <c r="B78" s="70">
        <f>'Sprzedaż'!B78</f>
        <v/>
      </c>
      <c r="C78" s="70">
        <f>IF(COUNT('Sprzedaż'!C78:N78)=0,"BRAK DANYCH",IF(COUNT('Sprzedaż'!C78:N78)&lt;12,"niepełne","komplet"))</f>
        <v/>
      </c>
      <c r="D78" s="70">
        <f>COUNTIF('Sprzedaż'!C78:N78,"&gt;0.001")</f>
        <v/>
      </c>
      <c r="E78" s="71" t="inlineStr">
        <is>
          <t>t</t>
        </is>
      </c>
      <c r="F78" s="71" t="n">
        <v>1</v>
      </c>
      <c r="G78" s="72">
        <f>SUM('Sprzedaż'!C78:E78)</f>
        <v/>
      </c>
      <c r="H78" s="72">
        <f>SUM('Sprzedaż'!F78:H78)</f>
        <v/>
      </c>
      <c r="I78" s="72">
        <f>SUM('Sprzedaż'!I78:K78)</f>
        <v/>
      </c>
      <c r="J78" s="72">
        <f>SUM('Sprzedaż'!L78:N78)</f>
        <v/>
      </c>
      <c r="K78" s="72">
        <f>G78+H78</f>
        <v/>
      </c>
      <c r="L78" s="72">
        <f>I78+J78</f>
        <v/>
      </c>
      <c r="M78" s="72">
        <f>SUM('Sprzedaż'!C78:N78)</f>
        <v/>
      </c>
      <c r="N78" s="72">
        <f>IF(COUNT('Sprzedaż'!C78:N78)=0,0,M78/12)</f>
        <v/>
      </c>
      <c r="O78" s="72">
        <f>MAX('Sprzedaż'!C78:N78)</f>
        <v/>
      </c>
      <c r="P78" s="72">
        <f>MIN('Sprzedaż'!C78:N78)</f>
        <v/>
      </c>
      <c r="Q78" s="73">
        <f>IF(M78&lt;=0,"-",INDEX('Sprzedaż'!$C$4:$N$4,MATCH(O78,'Sprzedaż'!C78:N78,0)))</f>
        <v/>
      </c>
      <c r="R78" s="74">
        <f>IF(M78&lt;=0,0,(H78+I78)/M78)</f>
        <v/>
      </c>
      <c r="S78" s="74">
        <f>IF(F78=0,"-",IFERROR(M78/SUMIFS($M$5:$M$138,$A$5:$A$138,A78,$F$5:$F$138,1),0))</f>
        <v/>
      </c>
      <c r="T78" s="72">
        <f>M78-N('Sprzedaż'!O78)</f>
        <v/>
      </c>
      <c r="U78" s="75">
        <f>IF(F78=1,M78,-1)-ROW()/1000000</f>
        <v/>
      </c>
    </row>
    <row r="79">
      <c r="A79" s="70">
        <f>'Sprzedaż'!A79</f>
        <v/>
      </c>
      <c r="B79" s="70">
        <f>'Sprzedaż'!B79</f>
        <v/>
      </c>
      <c r="C79" s="70">
        <f>IF(COUNT('Sprzedaż'!C79:N79)=0,"BRAK DANYCH",IF(COUNT('Sprzedaż'!C79:N79)&lt;12,"niepełne","komplet"))</f>
        <v/>
      </c>
      <c r="D79" s="70">
        <f>COUNTIF('Sprzedaż'!C79:N79,"&gt;0.001")</f>
        <v/>
      </c>
      <c r="E79" s="71" t="inlineStr">
        <is>
          <t>t</t>
        </is>
      </c>
      <c r="F79" s="71" t="n">
        <v>1</v>
      </c>
      <c r="G79" s="72">
        <f>SUM('Sprzedaż'!C79:E79)</f>
        <v/>
      </c>
      <c r="H79" s="72">
        <f>SUM('Sprzedaż'!F79:H79)</f>
        <v/>
      </c>
      <c r="I79" s="72">
        <f>SUM('Sprzedaż'!I79:K79)</f>
        <v/>
      </c>
      <c r="J79" s="72">
        <f>SUM('Sprzedaż'!L79:N79)</f>
        <v/>
      </c>
      <c r="K79" s="72">
        <f>G79+H79</f>
        <v/>
      </c>
      <c r="L79" s="72">
        <f>I79+J79</f>
        <v/>
      </c>
      <c r="M79" s="72">
        <f>SUM('Sprzedaż'!C79:N79)</f>
        <v/>
      </c>
      <c r="N79" s="72">
        <f>IF(COUNT('Sprzedaż'!C79:N79)=0,0,M79/12)</f>
        <v/>
      </c>
      <c r="O79" s="72">
        <f>MAX('Sprzedaż'!C79:N79)</f>
        <v/>
      </c>
      <c r="P79" s="72">
        <f>MIN('Sprzedaż'!C79:N79)</f>
        <v/>
      </c>
      <c r="Q79" s="73">
        <f>IF(M79&lt;=0,"-",INDEX('Sprzedaż'!$C$4:$N$4,MATCH(O79,'Sprzedaż'!C79:N79,0)))</f>
        <v/>
      </c>
      <c r="R79" s="74">
        <f>IF(M79&lt;=0,0,(H79+I79)/M79)</f>
        <v/>
      </c>
      <c r="S79" s="74">
        <f>IF(F79=0,"-",IFERROR(M79/SUMIFS($M$5:$M$138,$A$5:$A$138,A79,$F$5:$F$138,1),0))</f>
        <v/>
      </c>
      <c r="T79" s="72">
        <f>M79-N('Sprzedaż'!O79)</f>
        <v/>
      </c>
      <c r="U79" s="75">
        <f>IF(F79=1,M79,-1)-ROW()/1000000</f>
        <v/>
      </c>
    </row>
    <row r="80">
      <c r="A80" s="70">
        <f>'Sprzedaż'!A80</f>
        <v/>
      </c>
      <c r="B80" s="70">
        <f>'Sprzedaż'!B80</f>
        <v/>
      </c>
      <c r="C80" s="70">
        <f>IF(COUNT('Sprzedaż'!C80:N80)=0,"BRAK DANYCH",IF(COUNT('Sprzedaż'!C80:N80)&lt;12,"niepełne","komplet"))</f>
        <v/>
      </c>
      <c r="D80" s="70">
        <f>COUNTIF('Sprzedaż'!C80:N80,"&gt;0.001")</f>
        <v/>
      </c>
      <c r="E80" s="71" t="inlineStr">
        <is>
          <t>t</t>
        </is>
      </c>
      <c r="F80" s="71" t="n">
        <v>1</v>
      </c>
      <c r="G80" s="72">
        <f>SUM('Sprzedaż'!C80:E80)</f>
        <v/>
      </c>
      <c r="H80" s="72">
        <f>SUM('Sprzedaż'!F80:H80)</f>
        <v/>
      </c>
      <c r="I80" s="72">
        <f>SUM('Sprzedaż'!I80:K80)</f>
        <v/>
      </c>
      <c r="J80" s="72">
        <f>SUM('Sprzedaż'!L80:N80)</f>
        <v/>
      </c>
      <c r="K80" s="72">
        <f>G80+H80</f>
        <v/>
      </c>
      <c r="L80" s="72">
        <f>I80+J80</f>
        <v/>
      </c>
      <c r="M80" s="72">
        <f>SUM('Sprzedaż'!C80:N80)</f>
        <v/>
      </c>
      <c r="N80" s="72">
        <f>IF(COUNT('Sprzedaż'!C80:N80)=0,0,M80/12)</f>
        <v/>
      </c>
      <c r="O80" s="72">
        <f>MAX('Sprzedaż'!C80:N80)</f>
        <v/>
      </c>
      <c r="P80" s="72">
        <f>MIN('Sprzedaż'!C80:N80)</f>
        <v/>
      </c>
      <c r="Q80" s="73">
        <f>IF(M80&lt;=0,"-",INDEX('Sprzedaż'!$C$4:$N$4,MATCH(O80,'Sprzedaż'!C80:N80,0)))</f>
        <v/>
      </c>
      <c r="R80" s="74">
        <f>IF(M80&lt;=0,0,(H80+I80)/M80)</f>
        <v/>
      </c>
      <c r="S80" s="74">
        <f>IF(F80=0,"-",IFERROR(M80/SUMIFS($M$5:$M$138,$A$5:$A$138,A80,$F$5:$F$138,1),0))</f>
        <v/>
      </c>
      <c r="T80" s="72">
        <f>M80-N('Sprzedaż'!O80)</f>
        <v/>
      </c>
      <c r="U80" s="75">
        <f>IF(F80=1,M80,-1)-ROW()/1000000</f>
        <v/>
      </c>
    </row>
    <row r="81">
      <c r="A81" s="70">
        <f>'Sprzedaż'!A81</f>
        <v/>
      </c>
      <c r="B81" s="70">
        <f>'Sprzedaż'!B81</f>
        <v/>
      </c>
      <c r="C81" s="70">
        <f>IF(COUNT('Sprzedaż'!C81:N81)=0,"BRAK DANYCH",IF(COUNT('Sprzedaż'!C81:N81)&lt;12,"niepełne","komplet"))</f>
        <v/>
      </c>
      <c r="D81" s="70">
        <f>COUNTIF('Sprzedaż'!C81:N81,"&gt;0.001")</f>
        <v/>
      </c>
      <c r="E81" s="71" t="inlineStr">
        <is>
          <t>t</t>
        </is>
      </c>
      <c r="F81" s="71" t="n">
        <v>1</v>
      </c>
      <c r="G81" s="72">
        <f>SUM('Sprzedaż'!C81:E81)</f>
        <v/>
      </c>
      <c r="H81" s="72">
        <f>SUM('Sprzedaż'!F81:H81)</f>
        <v/>
      </c>
      <c r="I81" s="72">
        <f>SUM('Sprzedaż'!I81:K81)</f>
        <v/>
      </c>
      <c r="J81" s="72">
        <f>SUM('Sprzedaż'!L81:N81)</f>
        <v/>
      </c>
      <c r="K81" s="72">
        <f>G81+H81</f>
        <v/>
      </c>
      <c r="L81" s="72">
        <f>I81+J81</f>
        <v/>
      </c>
      <c r="M81" s="72">
        <f>SUM('Sprzedaż'!C81:N81)</f>
        <v/>
      </c>
      <c r="N81" s="72">
        <f>IF(COUNT('Sprzedaż'!C81:N81)=0,0,M81/12)</f>
        <v/>
      </c>
      <c r="O81" s="72">
        <f>MAX('Sprzedaż'!C81:N81)</f>
        <v/>
      </c>
      <c r="P81" s="72">
        <f>MIN('Sprzedaż'!C81:N81)</f>
        <v/>
      </c>
      <c r="Q81" s="73">
        <f>IF(M81&lt;=0,"-",INDEX('Sprzedaż'!$C$4:$N$4,MATCH(O81,'Sprzedaż'!C81:N81,0)))</f>
        <v/>
      </c>
      <c r="R81" s="74">
        <f>IF(M81&lt;=0,0,(H81+I81)/M81)</f>
        <v/>
      </c>
      <c r="S81" s="74">
        <f>IF(F81=0,"-",IFERROR(M81/SUMIFS($M$5:$M$138,$A$5:$A$138,A81,$F$5:$F$138,1),0))</f>
        <v/>
      </c>
      <c r="T81" s="72">
        <f>M81-N('Sprzedaż'!O81)</f>
        <v/>
      </c>
      <c r="U81" s="75">
        <f>IF(F81=1,M81,-1)-ROW()/1000000</f>
        <v/>
      </c>
    </row>
    <row r="82">
      <c r="A82" s="70">
        <f>'Sprzedaż'!A82</f>
        <v/>
      </c>
      <c r="B82" s="70">
        <f>'Sprzedaż'!B82</f>
        <v/>
      </c>
      <c r="C82" s="70">
        <f>IF(COUNT('Sprzedaż'!C82:N82)=0,"BRAK DANYCH",IF(COUNT('Sprzedaż'!C82:N82)&lt;12,"niepełne","komplet"))</f>
        <v/>
      </c>
      <c r="D82" s="70">
        <f>COUNTIF('Sprzedaż'!C82:N82,"&gt;0.001")</f>
        <v/>
      </c>
      <c r="E82" s="71" t="inlineStr">
        <is>
          <t>t</t>
        </is>
      </c>
      <c r="F82" s="71" t="n">
        <v>1</v>
      </c>
      <c r="G82" s="72">
        <f>SUM('Sprzedaż'!C82:E82)</f>
        <v/>
      </c>
      <c r="H82" s="72">
        <f>SUM('Sprzedaż'!F82:H82)</f>
        <v/>
      </c>
      <c r="I82" s="72">
        <f>SUM('Sprzedaż'!I82:K82)</f>
        <v/>
      </c>
      <c r="J82" s="72">
        <f>SUM('Sprzedaż'!L82:N82)</f>
        <v/>
      </c>
      <c r="K82" s="72">
        <f>G82+H82</f>
        <v/>
      </c>
      <c r="L82" s="72">
        <f>I82+J82</f>
        <v/>
      </c>
      <c r="M82" s="72">
        <f>SUM('Sprzedaż'!C82:N82)</f>
        <v/>
      </c>
      <c r="N82" s="72">
        <f>IF(COUNT('Sprzedaż'!C82:N82)=0,0,M82/12)</f>
        <v/>
      </c>
      <c r="O82" s="72">
        <f>MAX('Sprzedaż'!C82:N82)</f>
        <v/>
      </c>
      <c r="P82" s="72">
        <f>MIN('Sprzedaż'!C82:N82)</f>
        <v/>
      </c>
      <c r="Q82" s="73">
        <f>IF(M82&lt;=0,"-",INDEX('Sprzedaż'!$C$4:$N$4,MATCH(O82,'Sprzedaż'!C82:N82,0)))</f>
        <v/>
      </c>
      <c r="R82" s="74">
        <f>IF(M82&lt;=0,0,(H82+I82)/M82)</f>
        <v/>
      </c>
      <c r="S82" s="74">
        <f>IF(F82=0,"-",IFERROR(M82/SUMIFS($M$5:$M$138,$A$5:$A$138,A82,$F$5:$F$138,1),0))</f>
        <v/>
      </c>
      <c r="T82" s="72">
        <f>M82-N('Sprzedaż'!O82)</f>
        <v/>
      </c>
      <c r="U82" s="75">
        <f>IF(F82=1,M82,-1)-ROW()/1000000</f>
        <v/>
      </c>
    </row>
    <row r="83">
      <c r="A83" s="70">
        <f>'Sprzedaż'!A83</f>
        <v/>
      </c>
      <c r="B83" s="70">
        <f>'Sprzedaż'!B83</f>
        <v/>
      </c>
      <c r="C83" s="70">
        <f>IF(COUNT('Sprzedaż'!C83:N83)=0,"BRAK DANYCH",IF(COUNT('Sprzedaż'!C83:N83)&lt;12,"niepełne","komplet"))</f>
        <v/>
      </c>
      <c r="D83" s="70">
        <f>COUNTIF('Sprzedaż'!C83:N83,"&gt;0.001")</f>
        <v/>
      </c>
      <c r="E83" s="71" t="inlineStr">
        <is>
          <t>t</t>
        </is>
      </c>
      <c r="F83" s="71" t="n">
        <v>1</v>
      </c>
      <c r="G83" s="72">
        <f>SUM('Sprzedaż'!C83:E83)</f>
        <v/>
      </c>
      <c r="H83" s="72">
        <f>SUM('Sprzedaż'!F83:H83)</f>
        <v/>
      </c>
      <c r="I83" s="72">
        <f>SUM('Sprzedaż'!I83:K83)</f>
        <v/>
      </c>
      <c r="J83" s="72">
        <f>SUM('Sprzedaż'!L83:N83)</f>
        <v/>
      </c>
      <c r="K83" s="72">
        <f>G83+H83</f>
        <v/>
      </c>
      <c r="L83" s="72">
        <f>I83+J83</f>
        <v/>
      </c>
      <c r="M83" s="72">
        <f>SUM('Sprzedaż'!C83:N83)</f>
        <v/>
      </c>
      <c r="N83" s="72">
        <f>IF(COUNT('Sprzedaż'!C83:N83)=0,0,M83/12)</f>
        <v/>
      </c>
      <c r="O83" s="72">
        <f>MAX('Sprzedaż'!C83:N83)</f>
        <v/>
      </c>
      <c r="P83" s="72">
        <f>MIN('Sprzedaż'!C83:N83)</f>
        <v/>
      </c>
      <c r="Q83" s="73">
        <f>IF(M83&lt;=0,"-",INDEX('Sprzedaż'!$C$4:$N$4,MATCH(O83,'Sprzedaż'!C83:N83,0)))</f>
        <v/>
      </c>
      <c r="R83" s="74">
        <f>IF(M83&lt;=0,0,(H83+I83)/M83)</f>
        <v/>
      </c>
      <c r="S83" s="74">
        <f>IF(F83=0,"-",IFERROR(M83/SUMIFS($M$5:$M$138,$A$5:$A$138,A83,$F$5:$F$138,1),0))</f>
        <v/>
      </c>
      <c r="T83" s="72">
        <f>M83-N('Sprzedaż'!O83)</f>
        <v/>
      </c>
      <c r="U83" s="75">
        <f>IF(F83=1,M83,-1)-ROW()/1000000</f>
        <v/>
      </c>
    </row>
    <row r="84">
      <c r="A84" s="70">
        <f>'Sprzedaż'!A84</f>
        <v/>
      </c>
      <c r="B84" s="70">
        <f>'Sprzedaż'!B84</f>
        <v/>
      </c>
      <c r="C84" s="70">
        <f>IF(COUNT('Sprzedaż'!C84:N84)=0,"BRAK DANYCH",IF(COUNT('Sprzedaż'!C84:N84)&lt;12,"niepełne","komplet"))</f>
        <v/>
      </c>
      <c r="D84" s="70">
        <f>COUNTIF('Sprzedaż'!C84:N84,"&gt;0.001")</f>
        <v/>
      </c>
      <c r="E84" s="71" t="inlineStr">
        <is>
          <t>t</t>
        </is>
      </c>
      <c r="F84" s="71" t="n">
        <v>1</v>
      </c>
      <c r="G84" s="72">
        <f>SUM('Sprzedaż'!C84:E84)</f>
        <v/>
      </c>
      <c r="H84" s="72">
        <f>SUM('Sprzedaż'!F84:H84)</f>
        <v/>
      </c>
      <c r="I84" s="72">
        <f>SUM('Sprzedaż'!I84:K84)</f>
        <v/>
      </c>
      <c r="J84" s="72">
        <f>SUM('Sprzedaż'!L84:N84)</f>
        <v/>
      </c>
      <c r="K84" s="72">
        <f>G84+H84</f>
        <v/>
      </c>
      <c r="L84" s="72">
        <f>I84+J84</f>
        <v/>
      </c>
      <c r="M84" s="72">
        <f>SUM('Sprzedaż'!C84:N84)</f>
        <v/>
      </c>
      <c r="N84" s="72">
        <f>IF(COUNT('Sprzedaż'!C84:N84)=0,0,M84/12)</f>
        <v/>
      </c>
      <c r="O84" s="72">
        <f>MAX('Sprzedaż'!C84:N84)</f>
        <v/>
      </c>
      <c r="P84" s="72">
        <f>MIN('Sprzedaż'!C84:N84)</f>
        <v/>
      </c>
      <c r="Q84" s="73">
        <f>IF(M84&lt;=0,"-",INDEX('Sprzedaż'!$C$4:$N$4,MATCH(O84,'Sprzedaż'!C84:N84,0)))</f>
        <v/>
      </c>
      <c r="R84" s="74">
        <f>IF(M84&lt;=0,0,(H84+I84)/M84)</f>
        <v/>
      </c>
      <c r="S84" s="74">
        <f>IF(F84=0,"-",IFERROR(M84/SUMIFS($M$5:$M$138,$A$5:$A$138,A84,$F$5:$F$138,1),0))</f>
        <v/>
      </c>
      <c r="T84" s="72">
        <f>M84-N('Sprzedaż'!O84)</f>
        <v/>
      </c>
      <c r="U84" s="75">
        <f>IF(F84=1,M84,-1)-ROW()/1000000</f>
        <v/>
      </c>
    </row>
    <row r="85">
      <c r="A85" s="70">
        <f>'Sprzedaż'!A85</f>
        <v/>
      </c>
      <c r="B85" s="70">
        <f>'Sprzedaż'!B85</f>
        <v/>
      </c>
      <c r="C85" s="70">
        <f>IF(COUNT('Sprzedaż'!C85:N85)=0,"BRAK DANYCH",IF(COUNT('Sprzedaż'!C85:N85)&lt;12,"niepełne","komplet"))</f>
        <v/>
      </c>
      <c r="D85" s="70">
        <f>COUNTIF('Sprzedaż'!C85:N85,"&gt;0.001")</f>
        <v/>
      </c>
      <c r="E85" s="71" t="inlineStr">
        <is>
          <t>t</t>
        </is>
      </c>
      <c r="F85" s="71" t="n">
        <v>1</v>
      </c>
      <c r="G85" s="72">
        <f>SUM('Sprzedaż'!C85:E85)</f>
        <v/>
      </c>
      <c r="H85" s="72">
        <f>SUM('Sprzedaż'!F85:H85)</f>
        <v/>
      </c>
      <c r="I85" s="72">
        <f>SUM('Sprzedaż'!I85:K85)</f>
        <v/>
      </c>
      <c r="J85" s="72">
        <f>SUM('Sprzedaż'!L85:N85)</f>
        <v/>
      </c>
      <c r="K85" s="72">
        <f>G85+H85</f>
        <v/>
      </c>
      <c r="L85" s="72">
        <f>I85+J85</f>
        <v/>
      </c>
      <c r="M85" s="72">
        <f>SUM('Sprzedaż'!C85:N85)</f>
        <v/>
      </c>
      <c r="N85" s="72">
        <f>IF(COUNT('Sprzedaż'!C85:N85)=0,0,M85/12)</f>
        <v/>
      </c>
      <c r="O85" s="72">
        <f>MAX('Sprzedaż'!C85:N85)</f>
        <v/>
      </c>
      <c r="P85" s="72">
        <f>MIN('Sprzedaż'!C85:N85)</f>
        <v/>
      </c>
      <c r="Q85" s="73">
        <f>IF(M85&lt;=0,"-",INDEX('Sprzedaż'!$C$4:$N$4,MATCH(O85,'Sprzedaż'!C85:N85,0)))</f>
        <v/>
      </c>
      <c r="R85" s="74">
        <f>IF(M85&lt;=0,0,(H85+I85)/M85)</f>
        <v/>
      </c>
      <c r="S85" s="74">
        <f>IF(F85=0,"-",IFERROR(M85/SUMIFS($M$5:$M$138,$A$5:$A$138,A85,$F$5:$F$138,1),0))</f>
        <v/>
      </c>
      <c r="T85" s="72">
        <f>M85-N('Sprzedaż'!O85)</f>
        <v/>
      </c>
      <c r="U85" s="75">
        <f>IF(F85=1,M85,-1)-ROW()/1000000</f>
        <v/>
      </c>
    </row>
    <row r="86">
      <c r="A86" s="70">
        <f>'Sprzedaż'!A86</f>
        <v/>
      </c>
      <c r="B86" s="70">
        <f>'Sprzedaż'!B86</f>
        <v/>
      </c>
      <c r="C86" s="70">
        <f>IF(COUNT('Sprzedaż'!C86:N86)=0,"BRAK DANYCH",IF(COUNT('Sprzedaż'!C86:N86)&lt;12,"niepełne","komplet"))</f>
        <v/>
      </c>
      <c r="D86" s="70">
        <f>COUNTIF('Sprzedaż'!C86:N86,"&gt;0.001")</f>
        <v/>
      </c>
      <c r="E86" s="71" t="inlineStr">
        <is>
          <t>t</t>
        </is>
      </c>
      <c r="F86" s="71" t="n">
        <v>1</v>
      </c>
      <c r="G86" s="72">
        <f>SUM('Sprzedaż'!C86:E86)</f>
        <v/>
      </c>
      <c r="H86" s="72">
        <f>SUM('Sprzedaż'!F86:H86)</f>
        <v/>
      </c>
      <c r="I86" s="72">
        <f>SUM('Sprzedaż'!I86:K86)</f>
        <v/>
      </c>
      <c r="J86" s="72">
        <f>SUM('Sprzedaż'!L86:N86)</f>
        <v/>
      </c>
      <c r="K86" s="72">
        <f>G86+H86</f>
        <v/>
      </c>
      <c r="L86" s="72">
        <f>I86+J86</f>
        <v/>
      </c>
      <c r="M86" s="72">
        <f>SUM('Sprzedaż'!C86:N86)</f>
        <v/>
      </c>
      <c r="N86" s="72">
        <f>IF(COUNT('Sprzedaż'!C86:N86)=0,0,M86/12)</f>
        <v/>
      </c>
      <c r="O86" s="72">
        <f>MAX('Sprzedaż'!C86:N86)</f>
        <v/>
      </c>
      <c r="P86" s="72">
        <f>MIN('Sprzedaż'!C86:N86)</f>
        <v/>
      </c>
      <c r="Q86" s="73">
        <f>IF(M86&lt;=0,"-",INDEX('Sprzedaż'!$C$4:$N$4,MATCH(O86,'Sprzedaż'!C86:N86,0)))</f>
        <v/>
      </c>
      <c r="R86" s="74">
        <f>IF(M86&lt;=0,0,(H86+I86)/M86)</f>
        <v/>
      </c>
      <c r="S86" s="74">
        <f>IF(F86=0,"-",IFERROR(M86/SUMIFS($M$5:$M$138,$A$5:$A$138,A86,$F$5:$F$138,1),0))</f>
        <v/>
      </c>
      <c r="T86" s="72">
        <f>M86-N('Sprzedaż'!O86)</f>
        <v/>
      </c>
      <c r="U86" s="75">
        <f>IF(F86=1,M86,-1)-ROW()/1000000</f>
        <v/>
      </c>
    </row>
    <row r="87">
      <c r="A87" s="70">
        <f>'Sprzedaż'!A87</f>
        <v/>
      </c>
      <c r="B87" s="70">
        <f>'Sprzedaż'!B87</f>
        <v/>
      </c>
      <c r="C87" s="70">
        <f>IF(COUNT('Sprzedaż'!C87:N87)=0,"BRAK DANYCH",IF(COUNT('Sprzedaż'!C87:N87)&lt;12,"niepełne","komplet"))</f>
        <v/>
      </c>
      <c r="D87" s="70">
        <f>COUNTIF('Sprzedaż'!C87:N87,"&gt;0.001")</f>
        <v/>
      </c>
      <c r="E87" s="71" t="inlineStr">
        <is>
          <t>t</t>
        </is>
      </c>
      <c r="F87" s="71" t="n">
        <v>1</v>
      </c>
      <c r="G87" s="72">
        <f>SUM('Sprzedaż'!C87:E87)</f>
        <v/>
      </c>
      <c r="H87" s="72">
        <f>SUM('Sprzedaż'!F87:H87)</f>
        <v/>
      </c>
      <c r="I87" s="72">
        <f>SUM('Sprzedaż'!I87:K87)</f>
        <v/>
      </c>
      <c r="J87" s="72">
        <f>SUM('Sprzedaż'!L87:N87)</f>
        <v/>
      </c>
      <c r="K87" s="72">
        <f>G87+H87</f>
        <v/>
      </c>
      <c r="L87" s="72">
        <f>I87+J87</f>
        <v/>
      </c>
      <c r="M87" s="72">
        <f>SUM('Sprzedaż'!C87:N87)</f>
        <v/>
      </c>
      <c r="N87" s="72">
        <f>IF(COUNT('Sprzedaż'!C87:N87)=0,0,M87/12)</f>
        <v/>
      </c>
      <c r="O87" s="72">
        <f>MAX('Sprzedaż'!C87:N87)</f>
        <v/>
      </c>
      <c r="P87" s="72">
        <f>MIN('Sprzedaż'!C87:N87)</f>
        <v/>
      </c>
      <c r="Q87" s="73">
        <f>IF(M87&lt;=0,"-",INDEX('Sprzedaż'!$C$4:$N$4,MATCH(O87,'Sprzedaż'!C87:N87,0)))</f>
        <v/>
      </c>
      <c r="R87" s="74">
        <f>IF(M87&lt;=0,0,(H87+I87)/M87)</f>
        <v/>
      </c>
      <c r="S87" s="74">
        <f>IF(F87=0,"-",IFERROR(M87/SUMIFS($M$5:$M$138,$A$5:$A$138,A87,$F$5:$F$138,1),0))</f>
        <v/>
      </c>
      <c r="T87" s="72">
        <f>M87-N('Sprzedaż'!O87)</f>
        <v/>
      </c>
      <c r="U87" s="75">
        <f>IF(F87=1,M87,-1)-ROW()/1000000</f>
        <v/>
      </c>
    </row>
    <row r="88">
      <c r="A88" s="70">
        <f>'Sprzedaż'!A88</f>
        <v/>
      </c>
      <c r="B88" s="70">
        <f>'Sprzedaż'!B88</f>
        <v/>
      </c>
      <c r="C88" s="70">
        <f>IF(COUNT('Sprzedaż'!C88:N88)=0,"BRAK DANYCH",IF(COUNT('Sprzedaż'!C88:N88)&lt;12,"niepełne","komplet"))</f>
        <v/>
      </c>
      <c r="D88" s="70">
        <f>COUNTIF('Sprzedaż'!C88:N88,"&gt;0.001")</f>
        <v/>
      </c>
      <c r="E88" s="71" t="inlineStr">
        <is>
          <t>t</t>
        </is>
      </c>
      <c r="F88" s="71" t="n">
        <v>1</v>
      </c>
      <c r="G88" s="72">
        <f>SUM('Sprzedaż'!C88:E88)</f>
        <v/>
      </c>
      <c r="H88" s="72">
        <f>SUM('Sprzedaż'!F88:H88)</f>
        <v/>
      </c>
      <c r="I88" s="72">
        <f>SUM('Sprzedaż'!I88:K88)</f>
        <v/>
      </c>
      <c r="J88" s="72">
        <f>SUM('Sprzedaż'!L88:N88)</f>
        <v/>
      </c>
      <c r="K88" s="72">
        <f>G88+H88</f>
        <v/>
      </c>
      <c r="L88" s="72">
        <f>I88+J88</f>
        <v/>
      </c>
      <c r="M88" s="72">
        <f>SUM('Sprzedaż'!C88:N88)</f>
        <v/>
      </c>
      <c r="N88" s="72">
        <f>IF(COUNT('Sprzedaż'!C88:N88)=0,0,M88/12)</f>
        <v/>
      </c>
      <c r="O88" s="72">
        <f>MAX('Sprzedaż'!C88:N88)</f>
        <v/>
      </c>
      <c r="P88" s="72">
        <f>MIN('Sprzedaż'!C88:N88)</f>
        <v/>
      </c>
      <c r="Q88" s="73">
        <f>IF(M88&lt;=0,"-",INDEX('Sprzedaż'!$C$4:$N$4,MATCH(O88,'Sprzedaż'!C88:N88,0)))</f>
        <v/>
      </c>
      <c r="R88" s="74">
        <f>IF(M88&lt;=0,0,(H88+I88)/M88)</f>
        <v/>
      </c>
      <c r="S88" s="74">
        <f>IF(F88=0,"-",IFERROR(M88/SUMIFS($M$5:$M$138,$A$5:$A$138,A88,$F$5:$F$138,1),0))</f>
        <v/>
      </c>
      <c r="T88" s="72">
        <f>M88-N('Sprzedaż'!O88)</f>
        <v/>
      </c>
      <c r="U88" s="75">
        <f>IF(F88=1,M88,-1)-ROW()/1000000</f>
        <v/>
      </c>
    </row>
    <row r="89">
      <c r="A89" s="70">
        <f>'Sprzedaż'!A89</f>
        <v/>
      </c>
      <c r="B89" s="70">
        <f>'Sprzedaż'!B89</f>
        <v/>
      </c>
      <c r="C89" s="70">
        <f>IF(COUNT('Sprzedaż'!C89:N89)=0,"BRAK DANYCH",IF(COUNT('Sprzedaż'!C89:N89)&lt;12,"niepełne","komplet"))</f>
        <v/>
      </c>
      <c r="D89" s="70">
        <f>COUNTIF('Sprzedaż'!C89:N89,"&gt;0.001")</f>
        <v/>
      </c>
      <c r="E89" s="71" t="inlineStr">
        <is>
          <t>t</t>
        </is>
      </c>
      <c r="F89" s="71" t="n">
        <v>1</v>
      </c>
      <c r="G89" s="72">
        <f>SUM('Sprzedaż'!C89:E89)</f>
        <v/>
      </c>
      <c r="H89" s="72">
        <f>SUM('Sprzedaż'!F89:H89)</f>
        <v/>
      </c>
      <c r="I89" s="72">
        <f>SUM('Sprzedaż'!I89:K89)</f>
        <v/>
      </c>
      <c r="J89" s="72">
        <f>SUM('Sprzedaż'!L89:N89)</f>
        <v/>
      </c>
      <c r="K89" s="72">
        <f>G89+H89</f>
        <v/>
      </c>
      <c r="L89" s="72">
        <f>I89+J89</f>
        <v/>
      </c>
      <c r="M89" s="72">
        <f>SUM('Sprzedaż'!C89:N89)</f>
        <v/>
      </c>
      <c r="N89" s="72">
        <f>IF(COUNT('Sprzedaż'!C89:N89)=0,0,M89/12)</f>
        <v/>
      </c>
      <c r="O89" s="72">
        <f>MAX('Sprzedaż'!C89:N89)</f>
        <v/>
      </c>
      <c r="P89" s="72">
        <f>MIN('Sprzedaż'!C89:N89)</f>
        <v/>
      </c>
      <c r="Q89" s="73">
        <f>IF(M89&lt;=0,"-",INDEX('Sprzedaż'!$C$4:$N$4,MATCH(O89,'Sprzedaż'!C89:N89,0)))</f>
        <v/>
      </c>
      <c r="R89" s="74">
        <f>IF(M89&lt;=0,0,(H89+I89)/M89)</f>
        <v/>
      </c>
      <c r="S89" s="74">
        <f>IF(F89=0,"-",IFERROR(M89/SUMIFS($M$5:$M$138,$A$5:$A$138,A89,$F$5:$F$138,1),0))</f>
        <v/>
      </c>
      <c r="T89" s="72">
        <f>M89-N('Sprzedaż'!O89)</f>
        <v/>
      </c>
      <c r="U89" s="75">
        <f>IF(F89=1,M89,-1)-ROW()/1000000</f>
        <v/>
      </c>
    </row>
    <row r="90">
      <c r="A90" s="70">
        <f>'Sprzedaż'!A90</f>
        <v/>
      </c>
      <c r="B90" s="70">
        <f>'Sprzedaż'!B90</f>
        <v/>
      </c>
      <c r="C90" s="70">
        <f>IF(COUNT('Sprzedaż'!C90:N90)=0,"BRAK DANYCH",IF(COUNT('Sprzedaż'!C90:N90)&lt;12,"niepełne","komplet"))</f>
        <v/>
      </c>
      <c r="D90" s="70">
        <f>COUNTIF('Sprzedaż'!C90:N90,"&gt;0.001")</f>
        <v/>
      </c>
      <c r="E90" s="71" t="inlineStr">
        <is>
          <t>t</t>
        </is>
      </c>
      <c r="F90" s="71" t="n">
        <v>1</v>
      </c>
      <c r="G90" s="72">
        <f>SUM('Sprzedaż'!C90:E90)</f>
        <v/>
      </c>
      <c r="H90" s="72">
        <f>SUM('Sprzedaż'!F90:H90)</f>
        <v/>
      </c>
      <c r="I90" s="72">
        <f>SUM('Sprzedaż'!I90:K90)</f>
        <v/>
      </c>
      <c r="J90" s="72">
        <f>SUM('Sprzedaż'!L90:N90)</f>
        <v/>
      </c>
      <c r="K90" s="72">
        <f>G90+H90</f>
        <v/>
      </c>
      <c r="L90" s="72">
        <f>I90+J90</f>
        <v/>
      </c>
      <c r="M90" s="72">
        <f>SUM('Sprzedaż'!C90:N90)</f>
        <v/>
      </c>
      <c r="N90" s="72">
        <f>IF(COUNT('Sprzedaż'!C90:N90)=0,0,M90/12)</f>
        <v/>
      </c>
      <c r="O90" s="72">
        <f>MAX('Sprzedaż'!C90:N90)</f>
        <v/>
      </c>
      <c r="P90" s="72">
        <f>MIN('Sprzedaż'!C90:N90)</f>
        <v/>
      </c>
      <c r="Q90" s="73">
        <f>IF(M90&lt;=0,"-",INDEX('Sprzedaż'!$C$4:$N$4,MATCH(O90,'Sprzedaż'!C90:N90,0)))</f>
        <v/>
      </c>
      <c r="R90" s="74">
        <f>IF(M90&lt;=0,0,(H90+I90)/M90)</f>
        <v/>
      </c>
      <c r="S90" s="74">
        <f>IF(F90=0,"-",IFERROR(M90/SUMIFS($M$5:$M$138,$A$5:$A$138,A90,$F$5:$F$138,1),0))</f>
        <v/>
      </c>
      <c r="T90" s="72">
        <f>M90-N('Sprzedaż'!O90)</f>
        <v/>
      </c>
      <c r="U90" s="75">
        <f>IF(F90=1,M90,-1)-ROW()/1000000</f>
        <v/>
      </c>
    </row>
    <row r="91">
      <c r="A91" s="70">
        <f>'Sprzedaż'!A91</f>
        <v/>
      </c>
      <c r="B91" s="70">
        <f>'Sprzedaż'!B91</f>
        <v/>
      </c>
      <c r="C91" s="70">
        <f>IF(COUNT('Sprzedaż'!C91:N91)=0,"BRAK DANYCH",IF(COUNT('Sprzedaż'!C91:N91)&lt;12,"niepełne","komplet"))</f>
        <v/>
      </c>
      <c r="D91" s="70">
        <f>COUNTIF('Sprzedaż'!C91:N91,"&gt;0.001")</f>
        <v/>
      </c>
      <c r="E91" s="71" t="inlineStr">
        <is>
          <t>t</t>
        </is>
      </c>
      <c r="F91" s="71" t="n">
        <v>1</v>
      </c>
      <c r="G91" s="72">
        <f>SUM('Sprzedaż'!C91:E91)</f>
        <v/>
      </c>
      <c r="H91" s="72">
        <f>SUM('Sprzedaż'!F91:H91)</f>
        <v/>
      </c>
      <c r="I91" s="72">
        <f>SUM('Sprzedaż'!I91:K91)</f>
        <v/>
      </c>
      <c r="J91" s="72">
        <f>SUM('Sprzedaż'!L91:N91)</f>
        <v/>
      </c>
      <c r="K91" s="72">
        <f>G91+H91</f>
        <v/>
      </c>
      <c r="L91" s="72">
        <f>I91+J91</f>
        <v/>
      </c>
      <c r="M91" s="72">
        <f>SUM('Sprzedaż'!C91:N91)</f>
        <v/>
      </c>
      <c r="N91" s="72">
        <f>IF(COUNT('Sprzedaż'!C91:N91)=0,0,M91/12)</f>
        <v/>
      </c>
      <c r="O91" s="72">
        <f>MAX('Sprzedaż'!C91:N91)</f>
        <v/>
      </c>
      <c r="P91" s="72">
        <f>MIN('Sprzedaż'!C91:N91)</f>
        <v/>
      </c>
      <c r="Q91" s="73">
        <f>IF(M91&lt;=0,"-",INDEX('Sprzedaż'!$C$4:$N$4,MATCH(O91,'Sprzedaż'!C91:N91,0)))</f>
        <v/>
      </c>
      <c r="R91" s="74">
        <f>IF(M91&lt;=0,0,(H91+I91)/M91)</f>
        <v/>
      </c>
      <c r="S91" s="74">
        <f>IF(F91=0,"-",IFERROR(M91/SUMIFS($M$5:$M$138,$A$5:$A$138,A91,$F$5:$F$138,1),0))</f>
        <v/>
      </c>
      <c r="T91" s="72">
        <f>M91-N('Sprzedaż'!O91)</f>
        <v/>
      </c>
      <c r="U91" s="75">
        <f>IF(F91=1,M91,-1)-ROW()/1000000</f>
        <v/>
      </c>
    </row>
    <row r="92">
      <c r="A92" s="70">
        <f>'Sprzedaż'!A92</f>
        <v/>
      </c>
      <c r="B92" s="70">
        <f>'Sprzedaż'!B92</f>
        <v/>
      </c>
      <c r="C92" s="70">
        <f>IF(COUNT('Sprzedaż'!C92:N92)=0,"BRAK DANYCH",IF(COUNT('Sprzedaż'!C92:N92)&lt;12,"niepełne","komplet"))</f>
        <v/>
      </c>
      <c r="D92" s="70">
        <f>COUNTIF('Sprzedaż'!C92:N92,"&gt;0.001")</f>
        <v/>
      </c>
      <c r="E92" s="71" t="inlineStr">
        <is>
          <t>t</t>
        </is>
      </c>
      <c r="F92" s="71" t="n">
        <v>1</v>
      </c>
      <c r="G92" s="72">
        <f>SUM('Sprzedaż'!C92:E92)</f>
        <v/>
      </c>
      <c r="H92" s="72">
        <f>SUM('Sprzedaż'!F92:H92)</f>
        <v/>
      </c>
      <c r="I92" s="72">
        <f>SUM('Sprzedaż'!I92:K92)</f>
        <v/>
      </c>
      <c r="J92" s="72">
        <f>SUM('Sprzedaż'!L92:N92)</f>
        <v/>
      </c>
      <c r="K92" s="72">
        <f>G92+H92</f>
        <v/>
      </c>
      <c r="L92" s="72">
        <f>I92+J92</f>
        <v/>
      </c>
      <c r="M92" s="72">
        <f>SUM('Sprzedaż'!C92:N92)</f>
        <v/>
      </c>
      <c r="N92" s="72">
        <f>IF(COUNT('Sprzedaż'!C92:N92)=0,0,M92/12)</f>
        <v/>
      </c>
      <c r="O92" s="72">
        <f>MAX('Sprzedaż'!C92:N92)</f>
        <v/>
      </c>
      <c r="P92" s="72">
        <f>MIN('Sprzedaż'!C92:N92)</f>
        <v/>
      </c>
      <c r="Q92" s="73">
        <f>IF(M92&lt;=0,"-",INDEX('Sprzedaż'!$C$4:$N$4,MATCH(O92,'Sprzedaż'!C92:N92,0)))</f>
        <v/>
      </c>
      <c r="R92" s="74">
        <f>IF(M92&lt;=0,0,(H92+I92)/M92)</f>
        <v/>
      </c>
      <c r="S92" s="74">
        <f>IF(F92=0,"-",IFERROR(M92/SUMIFS($M$5:$M$138,$A$5:$A$138,A92,$F$5:$F$138,1),0))</f>
        <v/>
      </c>
      <c r="T92" s="72">
        <f>M92-N('Sprzedaż'!O92)</f>
        <v/>
      </c>
      <c r="U92" s="75">
        <f>IF(F92=1,M92,-1)-ROW()/1000000</f>
        <v/>
      </c>
    </row>
    <row r="94">
      <c r="A94" s="70">
        <f>'Sprzedaż'!A94</f>
        <v/>
      </c>
      <c r="B94" s="70">
        <f>'Sprzedaż'!B94</f>
        <v/>
      </c>
      <c r="C94" s="70">
        <f>IF(COUNT('Sprzedaż'!C94:N94)=0,"BRAK DANYCH",IF(COUNT('Sprzedaż'!C94:N94)&lt;12,"niepełne","komplet"))</f>
        <v/>
      </c>
      <c r="D94" s="70">
        <f>COUNTIF('Sprzedaż'!C94:N94,"&gt;0.001")</f>
        <v/>
      </c>
      <c r="E94" s="71" t="inlineStr">
        <is>
          <t>t</t>
        </is>
      </c>
      <c r="F94" s="71" t="n">
        <v>1</v>
      </c>
      <c r="G94" s="72">
        <f>SUM('Sprzedaż'!C94:E94)</f>
        <v/>
      </c>
      <c r="H94" s="72">
        <f>SUM('Sprzedaż'!F94:H94)</f>
        <v/>
      </c>
      <c r="I94" s="72">
        <f>SUM('Sprzedaż'!I94:K94)</f>
        <v/>
      </c>
      <c r="J94" s="72">
        <f>SUM('Sprzedaż'!L94:N94)</f>
        <v/>
      </c>
      <c r="K94" s="72">
        <f>G94+H94</f>
        <v/>
      </c>
      <c r="L94" s="72">
        <f>I94+J94</f>
        <v/>
      </c>
      <c r="M94" s="72">
        <f>SUM('Sprzedaż'!C94:N94)</f>
        <v/>
      </c>
      <c r="N94" s="72">
        <f>IF(COUNT('Sprzedaż'!C94:N94)=0,0,M94/12)</f>
        <v/>
      </c>
      <c r="O94" s="72">
        <f>MAX('Sprzedaż'!C94:N94)</f>
        <v/>
      </c>
      <c r="P94" s="72">
        <f>MIN('Sprzedaż'!C94:N94)</f>
        <v/>
      </c>
      <c r="Q94" s="73">
        <f>IF(M94&lt;=0,"-",INDEX('Sprzedaż'!$C$4:$N$4,MATCH(O94,'Sprzedaż'!C94:N94,0)))</f>
        <v/>
      </c>
      <c r="R94" s="74">
        <f>IF(M94&lt;=0,0,(H94+I94)/M94)</f>
        <v/>
      </c>
      <c r="S94" s="74">
        <f>IF(F94=0,"-",IFERROR(M94/SUMIFS($M$5:$M$138,$A$5:$A$138,A94,$F$5:$F$138,1),0))</f>
        <v/>
      </c>
      <c r="T94" s="72">
        <f>M94-N('Sprzedaż'!O94)</f>
        <v/>
      </c>
      <c r="U94" s="75">
        <f>IF(F94=1,M94,-1)-ROW()/1000000</f>
        <v/>
      </c>
    </row>
    <row r="95">
      <c r="A95" s="70">
        <f>'Sprzedaż'!A95</f>
        <v/>
      </c>
      <c r="B95" s="70">
        <f>'Sprzedaż'!B95</f>
        <v/>
      </c>
      <c r="C95" s="70">
        <f>IF(COUNT('Sprzedaż'!C95:N95)=0,"BRAK DANYCH",IF(COUNT('Sprzedaż'!C95:N95)&lt;12,"niepełne","komplet"))</f>
        <v/>
      </c>
      <c r="D95" s="70">
        <f>COUNTIF('Sprzedaż'!C95:N95,"&gt;0.001")</f>
        <v/>
      </c>
      <c r="E95" s="71" t="inlineStr">
        <is>
          <t>t</t>
        </is>
      </c>
      <c r="F95" s="71" t="n">
        <v>1</v>
      </c>
      <c r="G95" s="72">
        <f>SUM('Sprzedaż'!C95:E95)</f>
        <v/>
      </c>
      <c r="H95" s="72">
        <f>SUM('Sprzedaż'!F95:H95)</f>
        <v/>
      </c>
      <c r="I95" s="72">
        <f>SUM('Sprzedaż'!I95:K95)</f>
        <v/>
      </c>
      <c r="J95" s="72">
        <f>SUM('Sprzedaż'!L95:N95)</f>
        <v/>
      </c>
      <c r="K95" s="72">
        <f>G95+H95</f>
        <v/>
      </c>
      <c r="L95" s="72">
        <f>I95+J95</f>
        <v/>
      </c>
      <c r="M95" s="72">
        <f>SUM('Sprzedaż'!C95:N95)</f>
        <v/>
      </c>
      <c r="N95" s="72">
        <f>IF(COUNT('Sprzedaż'!C95:N95)=0,0,M95/12)</f>
        <v/>
      </c>
      <c r="O95" s="72">
        <f>MAX('Sprzedaż'!C95:N95)</f>
        <v/>
      </c>
      <c r="P95" s="72">
        <f>MIN('Sprzedaż'!C95:N95)</f>
        <v/>
      </c>
      <c r="Q95" s="73">
        <f>IF(M95&lt;=0,"-",INDEX('Sprzedaż'!$C$4:$N$4,MATCH(O95,'Sprzedaż'!C95:N95,0)))</f>
        <v/>
      </c>
      <c r="R95" s="74">
        <f>IF(M95&lt;=0,0,(H95+I95)/M95)</f>
        <v/>
      </c>
      <c r="S95" s="74">
        <f>IF(F95=0,"-",IFERROR(M95/SUMIFS($M$5:$M$138,$A$5:$A$138,A95,$F$5:$F$138,1),0))</f>
        <v/>
      </c>
      <c r="T95" s="72">
        <f>M95-N('Sprzedaż'!O95)</f>
        <v/>
      </c>
      <c r="U95" s="75">
        <f>IF(F95=1,M95,-1)-ROW()/1000000</f>
        <v/>
      </c>
    </row>
    <row r="96">
      <c r="A96" s="70">
        <f>'Sprzedaż'!A96</f>
        <v/>
      </c>
      <c r="B96" s="70">
        <f>'Sprzedaż'!B96</f>
        <v/>
      </c>
      <c r="C96" s="70">
        <f>IF(COUNT('Sprzedaż'!C96:N96)=0,"BRAK DANYCH",IF(COUNT('Sprzedaż'!C96:N96)&lt;12,"niepełne","komplet"))</f>
        <v/>
      </c>
      <c r="D96" s="70">
        <f>COUNTIF('Sprzedaż'!C96:N96,"&gt;0.001")</f>
        <v/>
      </c>
      <c r="E96" s="71" t="inlineStr">
        <is>
          <t>t</t>
        </is>
      </c>
      <c r="F96" s="71" t="n">
        <v>1</v>
      </c>
      <c r="G96" s="72">
        <f>SUM('Sprzedaż'!C96:E96)</f>
        <v/>
      </c>
      <c r="H96" s="72">
        <f>SUM('Sprzedaż'!F96:H96)</f>
        <v/>
      </c>
      <c r="I96" s="72">
        <f>SUM('Sprzedaż'!I96:K96)</f>
        <v/>
      </c>
      <c r="J96" s="72">
        <f>SUM('Sprzedaż'!L96:N96)</f>
        <v/>
      </c>
      <c r="K96" s="72">
        <f>G96+H96</f>
        <v/>
      </c>
      <c r="L96" s="72">
        <f>I96+J96</f>
        <v/>
      </c>
      <c r="M96" s="72">
        <f>SUM('Sprzedaż'!C96:N96)</f>
        <v/>
      </c>
      <c r="N96" s="72">
        <f>IF(COUNT('Sprzedaż'!C96:N96)=0,0,M96/12)</f>
        <v/>
      </c>
      <c r="O96" s="72">
        <f>MAX('Sprzedaż'!C96:N96)</f>
        <v/>
      </c>
      <c r="P96" s="72">
        <f>MIN('Sprzedaż'!C96:N96)</f>
        <v/>
      </c>
      <c r="Q96" s="73">
        <f>IF(M96&lt;=0,"-",INDEX('Sprzedaż'!$C$4:$N$4,MATCH(O96,'Sprzedaż'!C96:N96,0)))</f>
        <v/>
      </c>
      <c r="R96" s="74">
        <f>IF(M96&lt;=0,0,(H96+I96)/M96)</f>
        <v/>
      </c>
      <c r="S96" s="74">
        <f>IF(F96=0,"-",IFERROR(M96/SUMIFS($M$5:$M$138,$A$5:$A$138,A96,$F$5:$F$138,1),0))</f>
        <v/>
      </c>
      <c r="T96" s="72">
        <f>M96-N('Sprzedaż'!O96)</f>
        <v/>
      </c>
      <c r="U96" s="75">
        <f>IF(F96=1,M96,-1)-ROW()/1000000</f>
        <v/>
      </c>
    </row>
    <row r="97">
      <c r="A97" s="70">
        <f>'Sprzedaż'!A97</f>
        <v/>
      </c>
      <c r="B97" s="70">
        <f>'Sprzedaż'!B97</f>
        <v/>
      </c>
      <c r="C97" s="70">
        <f>IF(COUNT('Sprzedaż'!C97:N97)=0,"BRAK DANYCH",IF(COUNT('Sprzedaż'!C97:N97)&lt;12,"niepełne","komplet"))</f>
        <v/>
      </c>
      <c r="D97" s="70">
        <f>COUNTIF('Sprzedaż'!C97:N97,"&gt;0.001")</f>
        <v/>
      </c>
      <c r="E97" s="71" t="inlineStr">
        <is>
          <t>t</t>
        </is>
      </c>
      <c r="F97" s="71" t="n">
        <v>1</v>
      </c>
      <c r="G97" s="72">
        <f>SUM('Sprzedaż'!C97:E97)</f>
        <v/>
      </c>
      <c r="H97" s="72">
        <f>SUM('Sprzedaż'!F97:H97)</f>
        <v/>
      </c>
      <c r="I97" s="72">
        <f>SUM('Sprzedaż'!I97:K97)</f>
        <v/>
      </c>
      <c r="J97" s="72">
        <f>SUM('Sprzedaż'!L97:N97)</f>
        <v/>
      </c>
      <c r="K97" s="72">
        <f>G97+H97</f>
        <v/>
      </c>
      <c r="L97" s="72">
        <f>I97+J97</f>
        <v/>
      </c>
      <c r="M97" s="72">
        <f>SUM('Sprzedaż'!C97:N97)</f>
        <v/>
      </c>
      <c r="N97" s="72">
        <f>IF(COUNT('Sprzedaż'!C97:N97)=0,0,M97/12)</f>
        <v/>
      </c>
      <c r="O97" s="72">
        <f>MAX('Sprzedaż'!C97:N97)</f>
        <v/>
      </c>
      <c r="P97" s="72">
        <f>MIN('Sprzedaż'!C97:N97)</f>
        <v/>
      </c>
      <c r="Q97" s="73">
        <f>IF(M97&lt;=0,"-",INDEX('Sprzedaż'!$C$4:$N$4,MATCH(O97,'Sprzedaż'!C97:N97,0)))</f>
        <v/>
      </c>
      <c r="R97" s="74">
        <f>IF(M97&lt;=0,0,(H97+I97)/M97)</f>
        <v/>
      </c>
      <c r="S97" s="74">
        <f>IF(F97=0,"-",IFERROR(M97/SUMIFS($M$5:$M$138,$A$5:$A$138,A97,$F$5:$F$138,1),0))</f>
        <v/>
      </c>
      <c r="T97" s="72">
        <f>M97-N('Sprzedaż'!O97)</f>
        <v/>
      </c>
      <c r="U97" s="75">
        <f>IF(F97=1,M97,-1)-ROW()/1000000</f>
        <v/>
      </c>
    </row>
    <row r="98">
      <c r="A98" s="70">
        <f>'Sprzedaż'!A98</f>
        <v/>
      </c>
      <c r="B98" s="70">
        <f>'Sprzedaż'!B98</f>
        <v/>
      </c>
      <c r="C98" s="70">
        <f>IF(COUNT('Sprzedaż'!C98:N98)=0,"BRAK DANYCH",IF(COUNT('Sprzedaż'!C98:N98)&lt;12,"niepełne","komplet"))</f>
        <v/>
      </c>
      <c r="D98" s="70">
        <f>COUNTIF('Sprzedaż'!C98:N98,"&gt;0.001")</f>
        <v/>
      </c>
      <c r="E98" s="71" t="inlineStr">
        <is>
          <t>t</t>
        </is>
      </c>
      <c r="F98" s="71" t="n">
        <v>1</v>
      </c>
      <c r="G98" s="72">
        <f>SUM('Sprzedaż'!C98:E98)</f>
        <v/>
      </c>
      <c r="H98" s="72">
        <f>SUM('Sprzedaż'!F98:H98)</f>
        <v/>
      </c>
      <c r="I98" s="72">
        <f>SUM('Sprzedaż'!I98:K98)</f>
        <v/>
      </c>
      <c r="J98" s="72">
        <f>SUM('Sprzedaż'!L98:N98)</f>
        <v/>
      </c>
      <c r="K98" s="72">
        <f>G98+H98</f>
        <v/>
      </c>
      <c r="L98" s="72">
        <f>I98+J98</f>
        <v/>
      </c>
      <c r="M98" s="72">
        <f>SUM('Sprzedaż'!C98:N98)</f>
        <v/>
      </c>
      <c r="N98" s="72">
        <f>IF(COUNT('Sprzedaż'!C98:N98)=0,0,M98/12)</f>
        <v/>
      </c>
      <c r="O98" s="72">
        <f>MAX('Sprzedaż'!C98:N98)</f>
        <v/>
      </c>
      <c r="P98" s="72">
        <f>MIN('Sprzedaż'!C98:N98)</f>
        <v/>
      </c>
      <c r="Q98" s="73">
        <f>IF(M98&lt;=0,"-",INDEX('Sprzedaż'!$C$4:$N$4,MATCH(O98,'Sprzedaż'!C98:N98,0)))</f>
        <v/>
      </c>
      <c r="R98" s="74">
        <f>IF(M98&lt;=0,0,(H98+I98)/M98)</f>
        <v/>
      </c>
      <c r="S98" s="74">
        <f>IF(F98=0,"-",IFERROR(M98/SUMIFS($M$5:$M$138,$A$5:$A$138,A98,$F$5:$F$138,1),0))</f>
        <v/>
      </c>
      <c r="T98" s="72">
        <f>M98-N('Sprzedaż'!O98)</f>
        <v/>
      </c>
      <c r="U98" s="75">
        <f>IF(F98=1,M98,-1)-ROW()/1000000</f>
        <v/>
      </c>
    </row>
    <row r="99">
      <c r="A99" s="70">
        <f>'Sprzedaż'!A99</f>
        <v/>
      </c>
      <c r="B99" s="70">
        <f>'Sprzedaż'!B99</f>
        <v/>
      </c>
      <c r="C99" s="70">
        <f>IF(COUNT('Sprzedaż'!C99:N99)=0,"BRAK DANYCH",IF(COUNT('Sprzedaż'!C99:N99)&lt;12,"niepełne","komplet"))</f>
        <v/>
      </c>
      <c r="D99" s="70">
        <f>COUNTIF('Sprzedaż'!C99:N99,"&gt;0.001")</f>
        <v/>
      </c>
      <c r="E99" s="71" t="inlineStr">
        <is>
          <t>t</t>
        </is>
      </c>
      <c r="F99" s="71" t="n">
        <v>1</v>
      </c>
      <c r="G99" s="72">
        <f>SUM('Sprzedaż'!C99:E99)</f>
        <v/>
      </c>
      <c r="H99" s="72">
        <f>SUM('Sprzedaż'!F99:H99)</f>
        <v/>
      </c>
      <c r="I99" s="72">
        <f>SUM('Sprzedaż'!I99:K99)</f>
        <v/>
      </c>
      <c r="J99" s="72">
        <f>SUM('Sprzedaż'!L99:N99)</f>
        <v/>
      </c>
      <c r="K99" s="72">
        <f>G99+H99</f>
        <v/>
      </c>
      <c r="L99" s="72">
        <f>I99+J99</f>
        <v/>
      </c>
      <c r="M99" s="72">
        <f>SUM('Sprzedaż'!C99:N99)</f>
        <v/>
      </c>
      <c r="N99" s="72">
        <f>IF(COUNT('Sprzedaż'!C99:N99)=0,0,M99/12)</f>
        <v/>
      </c>
      <c r="O99" s="72">
        <f>MAX('Sprzedaż'!C99:N99)</f>
        <v/>
      </c>
      <c r="P99" s="72">
        <f>MIN('Sprzedaż'!C99:N99)</f>
        <v/>
      </c>
      <c r="Q99" s="73">
        <f>IF(M99&lt;=0,"-",INDEX('Sprzedaż'!$C$4:$N$4,MATCH(O99,'Sprzedaż'!C99:N99,0)))</f>
        <v/>
      </c>
      <c r="R99" s="74">
        <f>IF(M99&lt;=0,0,(H99+I99)/M99)</f>
        <v/>
      </c>
      <c r="S99" s="74">
        <f>IF(F99=0,"-",IFERROR(M99/SUMIFS($M$5:$M$138,$A$5:$A$138,A99,$F$5:$F$138,1),0))</f>
        <v/>
      </c>
      <c r="T99" s="72">
        <f>M99-N('Sprzedaż'!O99)</f>
        <v/>
      </c>
      <c r="U99" s="75">
        <f>IF(F99=1,M99,-1)-ROW()/1000000</f>
        <v/>
      </c>
    </row>
    <row r="100">
      <c r="A100" s="70">
        <f>'Sprzedaż'!A100</f>
        <v/>
      </c>
      <c r="B100" s="70">
        <f>'Sprzedaż'!B100</f>
        <v/>
      </c>
      <c r="C100" s="70">
        <f>IF(COUNT('Sprzedaż'!C100:N100)=0,"BRAK DANYCH",IF(COUNT('Sprzedaż'!C100:N100)&lt;12,"niepełne","komplet"))</f>
        <v/>
      </c>
      <c r="D100" s="70">
        <f>COUNTIF('Sprzedaż'!C100:N100,"&gt;0.001")</f>
        <v/>
      </c>
      <c r="E100" s="71" t="inlineStr">
        <is>
          <t>t</t>
        </is>
      </c>
      <c r="F100" s="71" t="n">
        <v>1</v>
      </c>
      <c r="G100" s="72">
        <f>SUM('Sprzedaż'!C100:E100)</f>
        <v/>
      </c>
      <c r="H100" s="72">
        <f>SUM('Sprzedaż'!F100:H100)</f>
        <v/>
      </c>
      <c r="I100" s="72">
        <f>SUM('Sprzedaż'!I100:K100)</f>
        <v/>
      </c>
      <c r="J100" s="72">
        <f>SUM('Sprzedaż'!L100:N100)</f>
        <v/>
      </c>
      <c r="K100" s="72">
        <f>G100+H100</f>
        <v/>
      </c>
      <c r="L100" s="72">
        <f>I100+J100</f>
        <v/>
      </c>
      <c r="M100" s="72">
        <f>SUM('Sprzedaż'!C100:N100)</f>
        <v/>
      </c>
      <c r="N100" s="72">
        <f>IF(COUNT('Sprzedaż'!C100:N100)=0,0,M100/12)</f>
        <v/>
      </c>
      <c r="O100" s="72">
        <f>MAX('Sprzedaż'!C100:N100)</f>
        <v/>
      </c>
      <c r="P100" s="72">
        <f>MIN('Sprzedaż'!C100:N100)</f>
        <v/>
      </c>
      <c r="Q100" s="73">
        <f>IF(M100&lt;=0,"-",INDEX('Sprzedaż'!$C$4:$N$4,MATCH(O100,'Sprzedaż'!C100:N100,0)))</f>
        <v/>
      </c>
      <c r="R100" s="74">
        <f>IF(M100&lt;=0,0,(H100+I100)/M100)</f>
        <v/>
      </c>
      <c r="S100" s="74">
        <f>IF(F100=0,"-",IFERROR(M100/SUMIFS($M$5:$M$138,$A$5:$A$138,A100,$F$5:$F$138,1),0))</f>
        <v/>
      </c>
      <c r="T100" s="72">
        <f>M100-N('Sprzedaż'!O100)</f>
        <v/>
      </c>
      <c r="U100" s="75">
        <f>IF(F100=1,M100,-1)-ROW()/1000000</f>
        <v/>
      </c>
    </row>
    <row r="101">
      <c r="A101" s="70">
        <f>'Sprzedaż'!A101</f>
        <v/>
      </c>
      <c r="B101" s="70">
        <f>'Sprzedaż'!B101</f>
        <v/>
      </c>
      <c r="C101" s="70">
        <f>IF(COUNT('Sprzedaż'!C101:N101)=0,"BRAK DANYCH",IF(COUNT('Sprzedaż'!C101:N101)&lt;12,"niepełne","komplet"))</f>
        <v/>
      </c>
      <c r="D101" s="70">
        <f>COUNTIF('Sprzedaż'!C101:N101,"&gt;0.001")</f>
        <v/>
      </c>
      <c r="E101" s="71" t="inlineStr">
        <is>
          <t>t</t>
        </is>
      </c>
      <c r="F101" s="71" t="n">
        <v>1</v>
      </c>
      <c r="G101" s="72">
        <f>SUM('Sprzedaż'!C101:E101)</f>
        <v/>
      </c>
      <c r="H101" s="72">
        <f>SUM('Sprzedaż'!F101:H101)</f>
        <v/>
      </c>
      <c r="I101" s="72">
        <f>SUM('Sprzedaż'!I101:K101)</f>
        <v/>
      </c>
      <c r="J101" s="72">
        <f>SUM('Sprzedaż'!L101:N101)</f>
        <v/>
      </c>
      <c r="K101" s="72">
        <f>G101+H101</f>
        <v/>
      </c>
      <c r="L101" s="72">
        <f>I101+J101</f>
        <v/>
      </c>
      <c r="M101" s="72">
        <f>SUM('Sprzedaż'!C101:N101)</f>
        <v/>
      </c>
      <c r="N101" s="72">
        <f>IF(COUNT('Sprzedaż'!C101:N101)=0,0,M101/12)</f>
        <v/>
      </c>
      <c r="O101" s="72">
        <f>MAX('Sprzedaż'!C101:N101)</f>
        <v/>
      </c>
      <c r="P101" s="72">
        <f>MIN('Sprzedaż'!C101:N101)</f>
        <v/>
      </c>
      <c r="Q101" s="73">
        <f>IF(M101&lt;=0,"-",INDEX('Sprzedaż'!$C$4:$N$4,MATCH(O101,'Sprzedaż'!C101:N101,0)))</f>
        <v/>
      </c>
      <c r="R101" s="74">
        <f>IF(M101&lt;=0,0,(H101+I101)/M101)</f>
        <v/>
      </c>
      <c r="S101" s="74">
        <f>IF(F101=0,"-",IFERROR(M101/SUMIFS($M$5:$M$138,$A$5:$A$138,A101,$F$5:$F$138,1),0))</f>
        <v/>
      </c>
      <c r="T101" s="72">
        <f>M101-N('Sprzedaż'!O101)</f>
        <v/>
      </c>
      <c r="U101" s="75">
        <f>IF(F101=1,M101,-1)-ROW()/1000000</f>
        <v/>
      </c>
    </row>
    <row r="102">
      <c r="A102" s="70">
        <f>'Sprzedaż'!A102</f>
        <v/>
      </c>
      <c r="B102" s="70">
        <f>'Sprzedaż'!B102</f>
        <v/>
      </c>
      <c r="C102" s="70">
        <f>IF(COUNT('Sprzedaż'!C102:N102)=0,"BRAK DANYCH",IF(COUNT('Sprzedaż'!C102:N102)&lt;12,"niepełne","komplet"))</f>
        <v/>
      </c>
      <c r="D102" s="70">
        <f>COUNTIF('Sprzedaż'!C102:N102,"&gt;0.001")</f>
        <v/>
      </c>
      <c r="E102" s="71" t="inlineStr">
        <is>
          <t>t</t>
        </is>
      </c>
      <c r="F102" s="71" t="n">
        <v>1</v>
      </c>
      <c r="G102" s="72">
        <f>SUM('Sprzedaż'!C102:E102)</f>
        <v/>
      </c>
      <c r="H102" s="72">
        <f>SUM('Sprzedaż'!F102:H102)</f>
        <v/>
      </c>
      <c r="I102" s="72">
        <f>SUM('Sprzedaż'!I102:K102)</f>
        <v/>
      </c>
      <c r="J102" s="72">
        <f>SUM('Sprzedaż'!L102:N102)</f>
        <v/>
      </c>
      <c r="K102" s="72">
        <f>G102+H102</f>
        <v/>
      </c>
      <c r="L102" s="72">
        <f>I102+J102</f>
        <v/>
      </c>
      <c r="M102" s="72">
        <f>SUM('Sprzedaż'!C102:N102)</f>
        <v/>
      </c>
      <c r="N102" s="72">
        <f>IF(COUNT('Sprzedaż'!C102:N102)=0,0,M102/12)</f>
        <v/>
      </c>
      <c r="O102" s="72">
        <f>MAX('Sprzedaż'!C102:N102)</f>
        <v/>
      </c>
      <c r="P102" s="72">
        <f>MIN('Sprzedaż'!C102:N102)</f>
        <v/>
      </c>
      <c r="Q102" s="73">
        <f>IF(M102&lt;=0,"-",INDEX('Sprzedaż'!$C$4:$N$4,MATCH(O102,'Sprzedaż'!C102:N102,0)))</f>
        <v/>
      </c>
      <c r="R102" s="74">
        <f>IF(M102&lt;=0,0,(H102+I102)/M102)</f>
        <v/>
      </c>
      <c r="S102" s="74">
        <f>IF(F102=0,"-",IFERROR(M102/SUMIFS($M$5:$M$138,$A$5:$A$138,A102,$F$5:$F$138,1),0))</f>
        <v/>
      </c>
      <c r="T102" s="72">
        <f>M102-N('Sprzedaż'!O102)</f>
        <v/>
      </c>
      <c r="U102" s="75">
        <f>IF(F102=1,M102,-1)-ROW()/1000000</f>
        <v/>
      </c>
    </row>
    <row r="103">
      <c r="A103" s="70">
        <f>'Sprzedaż'!A103</f>
        <v/>
      </c>
      <c r="B103" s="70">
        <f>'Sprzedaż'!B103</f>
        <v/>
      </c>
      <c r="C103" s="70">
        <f>IF(COUNT('Sprzedaż'!C103:N103)=0,"BRAK DANYCH",IF(COUNT('Sprzedaż'!C103:N103)&lt;12,"niepełne","komplet"))</f>
        <v/>
      </c>
      <c r="D103" s="70">
        <f>COUNTIF('Sprzedaż'!C103:N103,"&gt;0.001")</f>
        <v/>
      </c>
      <c r="E103" s="71" t="inlineStr">
        <is>
          <t>t</t>
        </is>
      </c>
      <c r="F103" s="71" t="n">
        <v>1</v>
      </c>
      <c r="G103" s="72">
        <f>SUM('Sprzedaż'!C103:E103)</f>
        <v/>
      </c>
      <c r="H103" s="72">
        <f>SUM('Sprzedaż'!F103:H103)</f>
        <v/>
      </c>
      <c r="I103" s="72">
        <f>SUM('Sprzedaż'!I103:K103)</f>
        <v/>
      </c>
      <c r="J103" s="72">
        <f>SUM('Sprzedaż'!L103:N103)</f>
        <v/>
      </c>
      <c r="K103" s="72">
        <f>G103+H103</f>
        <v/>
      </c>
      <c r="L103" s="72">
        <f>I103+J103</f>
        <v/>
      </c>
      <c r="M103" s="72">
        <f>SUM('Sprzedaż'!C103:N103)</f>
        <v/>
      </c>
      <c r="N103" s="72">
        <f>IF(COUNT('Sprzedaż'!C103:N103)=0,0,M103/12)</f>
        <v/>
      </c>
      <c r="O103" s="72">
        <f>MAX('Sprzedaż'!C103:N103)</f>
        <v/>
      </c>
      <c r="P103" s="72">
        <f>MIN('Sprzedaż'!C103:N103)</f>
        <v/>
      </c>
      <c r="Q103" s="73">
        <f>IF(M103&lt;=0,"-",INDEX('Sprzedaż'!$C$4:$N$4,MATCH(O103,'Sprzedaż'!C103:N103,0)))</f>
        <v/>
      </c>
      <c r="R103" s="74">
        <f>IF(M103&lt;=0,0,(H103+I103)/M103)</f>
        <v/>
      </c>
      <c r="S103" s="74">
        <f>IF(F103=0,"-",IFERROR(M103/SUMIFS($M$5:$M$138,$A$5:$A$138,A103,$F$5:$F$138,1),0))</f>
        <v/>
      </c>
      <c r="T103" s="72">
        <f>M103-N('Sprzedaż'!O103)</f>
        <v/>
      </c>
      <c r="U103" s="75">
        <f>IF(F103=1,M103,-1)-ROW()/1000000</f>
        <v/>
      </c>
    </row>
    <row r="104">
      <c r="A104" s="70">
        <f>'Sprzedaż'!A104</f>
        <v/>
      </c>
      <c r="B104" s="70">
        <f>'Sprzedaż'!B104</f>
        <v/>
      </c>
      <c r="C104" s="70">
        <f>IF(COUNT('Sprzedaż'!C104:N104)=0,"BRAK DANYCH",IF(COUNT('Sprzedaż'!C104:N104)&lt;12,"niepełne","komplet"))</f>
        <v/>
      </c>
      <c r="D104" s="70">
        <f>COUNTIF('Sprzedaż'!C104:N104,"&gt;0.001")</f>
        <v/>
      </c>
      <c r="E104" s="71" t="inlineStr">
        <is>
          <t>t</t>
        </is>
      </c>
      <c r="F104" s="71" t="n">
        <v>1</v>
      </c>
      <c r="G104" s="72">
        <f>SUM('Sprzedaż'!C104:E104)</f>
        <v/>
      </c>
      <c r="H104" s="72">
        <f>SUM('Sprzedaż'!F104:H104)</f>
        <v/>
      </c>
      <c r="I104" s="72">
        <f>SUM('Sprzedaż'!I104:K104)</f>
        <v/>
      </c>
      <c r="J104" s="72">
        <f>SUM('Sprzedaż'!L104:N104)</f>
        <v/>
      </c>
      <c r="K104" s="72">
        <f>G104+H104</f>
        <v/>
      </c>
      <c r="L104" s="72">
        <f>I104+J104</f>
        <v/>
      </c>
      <c r="M104" s="72">
        <f>SUM('Sprzedaż'!C104:N104)</f>
        <v/>
      </c>
      <c r="N104" s="72">
        <f>IF(COUNT('Sprzedaż'!C104:N104)=0,0,M104/12)</f>
        <v/>
      </c>
      <c r="O104" s="72">
        <f>MAX('Sprzedaż'!C104:N104)</f>
        <v/>
      </c>
      <c r="P104" s="72">
        <f>MIN('Sprzedaż'!C104:N104)</f>
        <v/>
      </c>
      <c r="Q104" s="73">
        <f>IF(M104&lt;=0,"-",INDEX('Sprzedaż'!$C$4:$N$4,MATCH(O104,'Sprzedaż'!C104:N104,0)))</f>
        <v/>
      </c>
      <c r="R104" s="74">
        <f>IF(M104&lt;=0,0,(H104+I104)/M104)</f>
        <v/>
      </c>
      <c r="S104" s="74">
        <f>IF(F104=0,"-",IFERROR(M104/SUMIFS($M$5:$M$138,$A$5:$A$138,A104,$F$5:$F$138,1),0))</f>
        <v/>
      </c>
      <c r="T104" s="72">
        <f>M104-N('Sprzedaż'!O104)</f>
        <v/>
      </c>
      <c r="U104" s="75">
        <f>IF(F104=1,M104,-1)-ROW()/1000000</f>
        <v/>
      </c>
    </row>
    <row r="105">
      <c r="A105" s="70">
        <f>'Sprzedaż'!A105</f>
        <v/>
      </c>
      <c r="B105" s="70">
        <f>'Sprzedaż'!B105</f>
        <v/>
      </c>
      <c r="C105" s="70">
        <f>IF(COUNT('Sprzedaż'!C105:N105)=0,"BRAK DANYCH",IF(COUNT('Sprzedaż'!C105:N105)&lt;12,"niepełne","komplet"))</f>
        <v/>
      </c>
      <c r="D105" s="70">
        <f>COUNTIF('Sprzedaż'!C105:N105,"&gt;0.001")</f>
        <v/>
      </c>
      <c r="E105" s="71" t="inlineStr">
        <is>
          <t>t</t>
        </is>
      </c>
      <c r="F105" s="71" t="n">
        <v>1</v>
      </c>
      <c r="G105" s="72">
        <f>SUM('Sprzedaż'!C105:E105)</f>
        <v/>
      </c>
      <c r="H105" s="72">
        <f>SUM('Sprzedaż'!F105:H105)</f>
        <v/>
      </c>
      <c r="I105" s="72">
        <f>SUM('Sprzedaż'!I105:K105)</f>
        <v/>
      </c>
      <c r="J105" s="72">
        <f>SUM('Sprzedaż'!L105:N105)</f>
        <v/>
      </c>
      <c r="K105" s="72">
        <f>G105+H105</f>
        <v/>
      </c>
      <c r="L105" s="72">
        <f>I105+J105</f>
        <v/>
      </c>
      <c r="M105" s="72">
        <f>SUM('Sprzedaż'!C105:N105)</f>
        <v/>
      </c>
      <c r="N105" s="72">
        <f>IF(COUNT('Sprzedaż'!C105:N105)=0,0,M105/12)</f>
        <v/>
      </c>
      <c r="O105" s="72">
        <f>MAX('Sprzedaż'!C105:N105)</f>
        <v/>
      </c>
      <c r="P105" s="72">
        <f>MIN('Sprzedaż'!C105:N105)</f>
        <v/>
      </c>
      <c r="Q105" s="73">
        <f>IF(M105&lt;=0,"-",INDEX('Sprzedaż'!$C$4:$N$4,MATCH(O105,'Sprzedaż'!C105:N105,0)))</f>
        <v/>
      </c>
      <c r="R105" s="74">
        <f>IF(M105&lt;=0,0,(H105+I105)/M105)</f>
        <v/>
      </c>
      <c r="S105" s="74">
        <f>IF(F105=0,"-",IFERROR(M105/SUMIFS($M$5:$M$138,$A$5:$A$138,A105,$F$5:$F$138,1),0))</f>
        <v/>
      </c>
      <c r="T105" s="72">
        <f>M105-N('Sprzedaż'!O105)</f>
        <v/>
      </c>
      <c r="U105" s="75">
        <f>IF(F105=1,M105,-1)-ROW()/1000000</f>
        <v/>
      </c>
    </row>
    <row r="106">
      <c r="A106" s="70">
        <f>'Sprzedaż'!A106</f>
        <v/>
      </c>
      <c r="B106" s="70">
        <f>'Sprzedaż'!B106</f>
        <v/>
      </c>
      <c r="C106" s="70">
        <f>IF(COUNT('Sprzedaż'!C106:N106)=0,"BRAK DANYCH",IF(COUNT('Sprzedaż'!C106:N106)&lt;12,"niepełne","komplet"))</f>
        <v/>
      </c>
      <c r="D106" s="70">
        <f>COUNTIF('Sprzedaż'!C106:N106,"&gt;0.001")</f>
        <v/>
      </c>
      <c r="E106" s="71" t="inlineStr">
        <is>
          <t>t</t>
        </is>
      </c>
      <c r="F106" s="71" t="n">
        <v>1</v>
      </c>
      <c r="G106" s="72">
        <f>SUM('Sprzedaż'!C106:E106)</f>
        <v/>
      </c>
      <c r="H106" s="72">
        <f>SUM('Sprzedaż'!F106:H106)</f>
        <v/>
      </c>
      <c r="I106" s="72">
        <f>SUM('Sprzedaż'!I106:K106)</f>
        <v/>
      </c>
      <c r="J106" s="72">
        <f>SUM('Sprzedaż'!L106:N106)</f>
        <v/>
      </c>
      <c r="K106" s="72">
        <f>G106+H106</f>
        <v/>
      </c>
      <c r="L106" s="72">
        <f>I106+J106</f>
        <v/>
      </c>
      <c r="M106" s="72">
        <f>SUM('Sprzedaż'!C106:N106)</f>
        <v/>
      </c>
      <c r="N106" s="72">
        <f>IF(COUNT('Sprzedaż'!C106:N106)=0,0,M106/12)</f>
        <v/>
      </c>
      <c r="O106" s="72">
        <f>MAX('Sprzedaż'!C106:N106)</f>
        <v/>
      </c>
      <c r="P106" s="72">
        <f>MIN('Sprzedaż'!C106:N106)</f>
        <v/>
      </c>
      <c r="Q106" s="73">
        <f>IF(M106&lt;=0,"-",INDEX('Sprzedaż'!$C$4:$N$4,MATCH(O106,'Sprzedaż'!C106:N106,0)))</f>
        <v/>
      </c>
      <c r="R106" s="74">
        <f>IF(M106&lt;=0,0,(H106+I106)/M106)</f>
        <v/>
      </c>
      <c r="S106" s="74">
        <f>IF(F106=0,"-",IFERROR(M106/SUMIFS($M$5:$M$138,$A$5:$A$138,A106,$F$5:$F$138,1),0))</f>
        <v/>
      </c>
      <c r="T106" s="72">
        <f>M106-N('Sprzedaż'!O106)</f>
        <v/>
      </c>
      <c r="U106" s="75">
        <f>IF(F106=1,M106,-1)-ROW()/1000000</f>
        <v/>
      </c>
    </row>
    <row r="107">
      <c r="A107" s="70">
        <f>'Sprzedaż'!A107</f>
        <v/>
      </c>
      <c r="B107" s="70">
        <f>'Sprzedaż'!B107</f>
        <v/>
      </c>
      <c r="C107" s="70">
        <f>IF(COUNT('Sprzedaż'!C107:N107)=0,"BRAK DANYCH",IF(COUNT('Sprzedaż'!C107:N107)&lt;12,"niepełne","komplet"))</f>
        <v/>
      </c>
      <c r="D107" s="70">
        <f>COUNTIF('Sprzedaż'!C107:N107,"&gt;0.001")</f>
        <v/>
      </c>
      <c r="E107" s="71" t="inlineStr">
        <is>
          <t>t</t>
        </is>
      </c>
      <c r="F107" s="71" t="n">
        <v>1</v>
      </c>
      <c r="G107" s="72">
        <f>SUM('Sprzedaż'!C107:E107)</f>
        <v/>
      </c>
      <c r="H107" s="72">
        <f>SUM('Sprzedaż'!F107:H107)</f>
        <v/>
      </c>
      <c r="I107" s="72">
        <f>SUM('Sprzedaż'!I107:K107)</f>
        <v/>
      </c>
      <c r="J107" s="72">
        <f>SUM('Sprzedaż'!L107:N107)</f>
        <v/>
      </c>
      <c r="K107" s="72">
        <f>G107+H107</f>
        <v/>
      </c>
      <c r="L107" s="72">
        <f>I107+J107</f>
        <v/>
      </c>
      <c r="M107" s="72">
        <f>SUM('Sprzedaż'!C107:N107)</f>
        <v/>
      </c>
      <c r="N107" s="72">
        <f>IF(COUNT('Sprzedaż'!C107:N107)=0,0,M107/12)</f>
        <v/>
      </c>
      <c r="O107" s="72">
        <f>MAX('Sprzedaż'!C107:N107)</f>
        <v/>
      </c>
      <c r="P107" s="72">
        <f>MIN('Sprzedaż'!C107:N107)</f>
        <v/>
      </c>
      <c r="Q107" s="73">
        <f>IF(M107&lt;=0,"-",INDEX('Sprzedaż'!$C$4:$N$4,MATCH(O107,'Sprzedaż'!C107:N107,0)))</f>
        <v/>
      </c>
      <c r="R107" s="74">
        <f>IF(M107&lt;=0,0,(H107+I107)/M107)</f>
        <v/>
      </c>
      <c r="S107" s="74">
        <f>IF(F107=0,"-",IFERROR(M107/SUMIFS($M$5:$M$138,$A$5:$A$138,A107,$F$5:$F$138,1),0))</f>
        <v/>
      </c>
      <c r="T107" s="72">
        <f>M107-N('Sprzedaż'!O107)</f>
        <v/>
      </c>
      <c r="U107" s="75">
        <f>IF(F107=1,M107,-1)-ROW()/1000000</f>
        <v/>
      </c>
    </row>
    <row r="108">
      <c r="A108" s="70">
        <f>'Sprzedaż'!A108</f>
        <v/>
      </c>
      <c r="B108" s="70">
        <f>'Sprzedaż'!B108</f>
        <v/>
      </c>
      <c r="C108" s="70">
        <f>IF(COUNT('Sprzedaż'!C108:N108)=0,"BRAK DANYCH",IF(COUNT('Sprzedaż'!C108:N108)&lt;12,"niepełne","komplet"))</f>
        <v/>
      </c>
      <c r="D108" s="70">
        <f>COUNTIF('Sprzedaż'!C108:N108,"&gt;0.001")</f>
        <v/>
      </c>
      <c r="E108" s="71" t="inlineStr">
        <is>
          <t>t</t>
        </is>
      </c>
      <c r="F108" s="71" t="n">
        <v>1</v>
      </c>
      <c r="G108" s="72">
        <f>SUM('Sprzedaż'!C108:E108)</f>
        <v/>
      </c>
      <c r="H108" s="72">
        <f>SUM('Sprzedaż'!F108:H108)</f>
        <v/>
      </c>
      <c r="I108" s="72">
        <f>SUM('Sprzedaż'!I108:K108)</f>
        <v/>
      </c>
      <c r="J108" s="72">
        <f>SUM('Sprzedaż'!L108:N108)</f>
        <v/>
      </c>
      <c r="K108" s="72">
        <f>G108+H108</f>
        <v/>
      </c>
      <c r="L108" s="72">
        <f>I108+J108</f>
        <v/>
      </c>
      <c r="M108" s="72">
        <f>SUM('Sprzedaż'!C108:N108)</f>
        <v/>
      </c>
      <c r="N108" s="72">
        <f>IF(COUNT('Sprzedaż'!C108:N108)=0,0,M108/12)</f>
        <v/>
      </c>
      <c r="O108" s="72">
        <f>MAX('Sprzedaż'!C108:N108)</f>
        <v/>
      </c>
      <c r="P108" s="72">
        <f>MIN('Sprzedaż'!C108:N108)</f>
        <v/>
      </c>
      <c r="Q108" s="73">
        <f>IF(M108&lt;=0,"-",INDEX('Sprzedaż'!$C$4:$N$4,MATCH(O108,'Sprzedaż'!C108:N108,0)))</f>
        <v/>
      </c>
      <c r="R108" s="74">
        <f>IF(M108&lt;=0,0,(H108+I108)/M108)</f>
        <v/>
      </c>
      <c r="S108" s="74">
        <f>IF(F108=0,"-",IFERROR(M108/SUMIFS($M$5:$M$138,$A$5:$A$138,A108,$F$5:$F$138,1),0))</f>
        <v/>
      </c>
      <c r="T108" s="72">
        <f>M108-N('Sprzedaż'!O108)</f>
        <v/>
      </c>
      <c r="U108" s="75">
        <f>IF(F108=1,M108,-1)-ROW()/1000000</f>
        <v/>
      </c>
    </row>
    <row r="109">
      <c r="A109" s="70">
        <f>'Sprzedaż'!A109</f>
        <v/>
      </c>
      <c r="B109" s="70">
        <f>'Sprzedaż'!B109</f>
        <v/>
      </c>
      <c r="C109" s="70">
        <f>IF(COUNT('Sprzedaż'!C109:N109)=0,"BRAK DANYCH",IF(COUNT('Sprzedaż'!C109:N109)&lt;12,"niepełne","komplet"))</f>
        <v/>
      </c>
      <c r="D109" s="70">
        <f>COUNTIF('Sprzedaż'!C109:N109,"&gt;0.001")</f>
        <v/>
      </c>
      <c r="E109" s="71" t="inlineStr">
        <is>
          <t>t</t>
        </is>
      </c>
      <c r="F109" s="71" t="n">
        <v>1</v>
      </c>
      <c r="G109" s="72">
        <f>SUM('Sprzedaż'!C109:E109)</f>
        <v/>
      </c>
      <c r="H109" s="72">
        <f>SUM('Sprzedaż'!F109:H109)</f>
        <v/>
      </c>
      <c r="I109" s="72">
        <f>SUM('Sprzedaż'!I109:K109)</f>
        <v/>
      </c>
      <c r="J109" s="72">
        <f>SUM('Sprzedaż'!L109:N109)</f>
        <v/>
      </c>
      <c r="K109" s="72">
        <f>G109+H109</f>
        <v/>
      </c>
      <c r="L109" s="72">
        <f>I109+J109</f>
        <v/>
      </c>
      <c r="M109" s="72">
        <f>SUM('Sprzedaż'!C109:N109)</f>
        <v/>
      </c>
      <c r="N109" s="72">
        <f>IF(COUNT('Sprzedaż'!C109:N109)=0,0,M109/12)</f>
        <v/>
      </c>
      <c r="O109" s="72">
        <f>MAX('Sprzedaż'!C109:N109)</f>
        <v/>
      </c>
      <c r="P109" s="72">
        <f>MIN('Sprzedaż'!C109:N109)</f>
        <v/>
      </c>
      <c r="Q109" s="73">
        <f>IF(M109&lt;=0,"-",INDEX('Sprzedaż'!$C$4:$N$4,MATCH(O109,'Sprzedaż'!C109:N109,0)))</f>
        <v/>
      </c>
      <c r="R109" s="74">
        <f>IF(M109&lt;=0,0,(H109+I109)/M109)</f>
        <v/>
      </c>
      <c r="S109" s="74">
        <f>IF(F109=0,"-",IFERROR(M109/SUMIFS($M$5:$M$138,$A$5:$A$138,A109,$F$5:$F$138,1),0))</f>
        <v/>
      </c>
      <c r="T109" s="72">
        <f>M109-N('Sprzedaż'!O109)</f>
        <v/>
      </c>
      <c r="U109" s="75">
        <f>IF(F109=1,M109,-1)-ROW()/1000000</f>
        <v/>
      </c>
    </row>
    <row r="110">
      <c r="A110" s="70">
        <f>'Sprzedaż'!A110</f>
        <v/>
      </c>
      <c r="B110" s="70">
        <f>'Sprzedaż'!B110</f>
        <v/>
      </c>
      <c r="C110" s="70">
        <f>IF(COUNT('Sprzedaż'!C110:N110)=0,"BRAK DANYCH",IF(COUNT('Sprzedaż'!C110:N110)&lt;12,"niepełne","komplet"))</f>
        <v/>
      </c>
      <c r="D110" s="70">
        <f>COUNTIF('Sprzedaż'!C110:N110,"&gt;0.001")</f>
        <v/>
      </c>
      <c r="E110" s="71" t="inlineStr">
        <is>
          <t>t</t>
        </is>
      </c>
      <c r="F110" s="71" t="n">
        <v>1</v>
      </c>
      <c r="G110" s="72">
        <f>SUM('Sprzedaż'!C110:E110)</f>
        <v/>
      </c>
      <c r="H110" s="72">
        <f>SUM('Sprzedaż'!F110:H110)</f>
        <v/>
      </c>
      <c r="I110" s="72">
        <f>SUM('Sprzedaż'!I110:K110)</f>
        <v/>
      </c>
      <c r="J110" s="72">
        <f>SUM('Sprzedaż'!L110:N110)</f>
        <v/>
      </c>
      <c r="K110" s="72">
        <f>G110+H110</f>
        <v/>
      </c>
      <c r="L110" s="72">
        <f>I110+J110</f>
        <v/>
      </c>
      <c r="M110" s="72">
        <f>SUM('Sprzedaż'!C110:N110)</f>
        <v/>
      </c>
      <c r="N110" s="72">
        <f>IF(COUNT('Sprzedaż'!C110:N110)=0,0,M110/12)</f>
        <v/>
      </c>
      <c r="O110" s="72">
        <f>MAX('Sprzedaż'!C110:N110)</f>
        <v/>
      </c>
      <c r="P110" s="72">
        <f>MIN('Sprzedaż'!C110:N110)</f>
        <v/>
      </c>
      <c r="Q110" s="73">
        <f>IF(M110&lt;=0,"-",INDEX('Sprzedaż'!$C$4:$N$4,MATCH(O110,'Sprzedaż'!C110:N110,0)))</f>
        <v/>
      </c>
      <c r="R110" s="74">
        <f>IF(M110&lt;=0,0,(H110+I110)/M110)</f>
        <v/>
      </c>
      <c r="S110" s="74">
        <f>IF(F110=0,"-",IFERROR(M110/SUMIFS($M$5:$M$138,$A$5:$A$138,A110,$F$5:$F$138,1),0))</f>
        <v/>
      </c>
      <c r="T110" s="72">
        <f>M110-N('Sprzedaż'!O110)</f>
        <v/>
      </c>
      <c r="U110" s="75">
        <f>IF(F110=1,M110,-1)-ROW()/1000000</f>
        <v/>
      </c>
    </row>
    <row r="111">
      <c r="A111" s="70">
        <f>'Sprzedaż'!A111</f>
        <v/>
      </c>
      <c r="B111" s="70">
        <f>'Sprzedaż'!B111</f>
        <v/>
      </c>
      <c r="C111" s="70">
        <f>IF(COUNT('Sprzedaż'!C111:N111)=0,"BRAK DANYCH",IF(COUNT('Sprzedaż'!C111:N111)&lt;12,"niepełne","komplet"))</f>
        <v/>
      </c>
      <c r="D111" s="70">
        <f>COUNTIF('Sprzedaż'!C111:N111,"&gt;0.001")</f>
        <v/>
      </c>
      <c r="E111" s="71" t="inlineStr">
        <is>
          <t>t</t>
        </is>
      </c>
      <c r="F111" s="71" t="n">
        <v>1</v>
      </c>
      <c r="G111" s="72">
        <f>SUM('Sprzedaż'!C111:E111)</f>
        <v/>
      </c>
      <c r="H111" s="72">
        <f>SUM('Sprzedaż'!F111:H111)</f>
        <v/>
      </c>
      <c r="I111" s="72">
        <f>SUM('Sprzedaż'!I111:K111)</f>
        <v/>
      </c>
      <c r="J111" s="72">
        <f>SUM('Sprzedaż'!L111:N111)</f>
        <v/>
      </c>
      <c r="K111" s="72">
        <f>G111+H111</f>
        <v/>
      </c>
      <c r="L111" s="72">
        <f>I111+J111</f>
        <v/>
      </c>
      <c r="M111" s="72">
        <f>SUM('Sprzedaż'!C111:N111)</f>
        <v/>
      </c>
      <c r="N111" s="72">
        <f>IF(COUNT('Sprzedaż'!C111:N111)=0,0,M111/12)</f>
        <v/>
      </c>
      <c r="O111" s="72">
        <f>MAX('Sprzedaż'!C111:N111)</f>
        <v/>
      </c>
      <c r="P111" s="72">
        <f>MIN('Sprzedaż'!C111:N111)</f>
        <v/>
      </c>
      <c r="Q111" s="73">
        <f>IF(M111&lt;=0,"-",INDEX('Sprzedaż'!$C$4:$N$4,MATCH(O111,'Sprzedaż'!C111:N111,0)))</f>
        <v/>
      </c>
      <c r="R111" s="74">
        <f>IF(M111&lt;=0,0,(H111+I111)/M111)</f>
        <v/>
      </c>
      <c r="S111" s="74">
        <f>IF(F111=0,"-",IFERROR(M111/SUMIFS($M$5:$M$138,$A$5:$A$138,A111,$F$5:$F$138,1),0))</f>
        <v/>
      </c>
      <c r="T111" s="72">
        <f>M111-N('Sprzedaż'!O111)</f>
        <v/>
      </c>
      <c r="U111" s="75">
        <f>IF(F111=1,M111,-1)-ROW()/1000000</f>
        <v/>
      </c>
    </row>
    <row r="112">
      <c r="A112" s="70">
        <f>'Sprzedaż'!A112</f>
        <v/>
      </c>
      <c r="B112" s="70">
        <f>'Sprzedaż'!B112</f>
        <v/>
      </c>
      <c r="C112" s="70">
        <f>IF(COUNT('Sprzedaż'!C112:N112)=0,"BRAK DANYCH",IF(COUNT('Sprzedaż'!C112:N112)&lt;12,"niepełne","komplet"))</f>
        <v/>
      </c>
      <c r="D112" s="70">
        <f>COUNTIF('Sprzedaż'!C112:N112,"&gt;0.001")</f>
        <v/>
      </c>
      <c r="E112" s="71" t="inlineStr">
        <is>
          <t>t</t>
        </is>
      </c>
      <c r="F112" s="71" t="n">
        <v>1</v>
      </c>
      <c r="G112" s="72">
        <f>SUM('Sprzedaż'!C112:E112)</f>
        <v/>
      </c>
      <c r="H112" s="72">
        <f>SUM('Sprzedaż'!F112:H112)</f>
        <v/>
      </c>
      <c r="I112" s="72">
        <f>SUM('Sprzedaż'!I112:K112)</f>
        <v/>
      </c>
      <c r="J112" s="72">
        <f>SUM('Sprzedaż'!L112:N112)</f>
        <v/>
      </c>
      <c r="K112" s="72">
        <f>G112+H112</f>
        <v/>
      </c>
      <c r="L112" s="72">
        <f>I112+J112</f>
        <v/>
      </c>
      <c r="M112" s="72">
        <f>SUM('Sprzedaż'!C112:N112)</f>
        <v/>
      </c>
      <c r="N112" s="72">
        <f>IF(COUNT('Sprzedaż'!C112:N112)=0,0,M112/12)</f>
        <v/>
      </c>
      <c r="O112" s="72">
        <f>MAX('Sprzedaż'!C112:N112)</f>
        <v/>
      </c>
      <c r="P112" s="72">
        <f>MIN('Sprzedaż'!C112:N112)</f>
        <v/>
      </c>
      <c r="Q112" s="73">
        <f>IF(M112&lt;=0,"-",INDEX('Sprzedaż'!$C$4:$N$4,MATCH(O112,'Sprzedaż'!C112:N112,0)))</f>
        <v/>
      </c>
      <c r="R112" s="74">
        <f>IF(M112&lt;=0,0,(H112+I112)/M112)</f>
        <v/>
      </c>
      <c r="S112" s="74">
        <f>IF(F112=0,"-",IFERROR(M112/SUMIFS($M$5:$M$138,$A$5:$A$138,A112,$F$5:$F$138,1),0))</f>
        <v/>
      </c>
      <c r="T112" s="72">
        <f>M112-N('Sprzedaż'!O112)</f>
        <v/>
      </c>
      <c r="U112" s="75">
        <f>IF(F112=1,M112,-1)-ROW()/1000000</f>
        <v/>
      </c>
    </row>
    <row r="113">
      <c r="A113" s="70">
        <f>'Sprzedaż'!A113</f>
        <v/>
      </c>
      <c r="B113" s="70">
        <f>'Sprzedaż'!B113</f>
        <v/>
      </c>
      <c r="C113" s="70">
        <f>IF(COUNT('Sprzedaż'!C113:N113)=0,"BRAK DANYCH",IF(COUNT('Sprzedaż'!C113:N113)&lt;12,"niepełne","komplet"))</f>
        <v/>
      </c>
      <c r="D113" s="70">
        <f>COUNTIF('Sprzedaż'!C113:N113,"&gt;0.001")</f>
        <v/>
      </c>
      <c r="E113" s="71" t="inlineStr">
        <is>
          <t>t</t>
        </is>
      </c>
      <c r="F113" s="71" t="n">
        <v>1</v>
      </c>
      <c r="G113" s="72">
        <f>SUM('Sprzedaż'!C113:E113)</f>
        <v/>
      </c>
      <c r="H113" s="72">
        <f>SUM('Sprzedaż'!F113:H113)</f>
        <v/>
      </c>
      <c r="I113" s="72">
        <f>SUM('Sprzedaż'!I113:K113)</f>
        <v/>
      </c>
      <c r="J113" s="72">
        <f>SUM('Sprzedaż'!L113:N113)</f>
        <v/>
      </c>
      <c r="K113" s="72">
        <f>G113+H113</f>
        <v/>
      </c>
      <c r="L113" s="72">
        <f>I113+J113</f>
        <v/>
      </c>
      <c r="M113" s="72">
        <f>SUM('Sprzedaż'!C113:N113)</f>
        <v/>
      </c>
      <c r="N113" s="72">
        <f>IF(COUNT('Sprzedaż'!C113:N113)=0,0,M113/12)</f>
        <v/>
      </c>
      <c r="O113" s="72">
        <f>MAX('Sprzedaż'!C113:N113)</f>
        <v/>
      </c>
      <c r="P113" s="72">
        <f>MIN('Sprzedaż'!C113:N113)</f>
        <v/>
      </c>
      <c r="Q113" s="73">
        <f>IF(M113&lt;=0,"-",INDEX('Sprzedaż'!$C$4:$N$4,MATCH(O113,'Sprzedaż'!C113:N113,0)))</f>
        <v/>
      </c>
      <c r="R113" s="74">
        <f>IF(M113&lt;=0,0,(H113+I113)/M113)</f>
        <v/>
      </c>
      <c r="S113" s="74">
        <f>IF(F113=0,"-",IFERROR(M113/SUMIFS($M$5:$M$138,$A$5:$A$138,A113,$F$5:$F$138,1),0))</f>
        <v/>
      </c>
      <c r="T113" s="72">
        <f>M113-N('Sprzedaż'!O113)</f>
        <v/>
      </c>
      <c r="U113" s="75">
        <f>IF(F113=1,M113,-1)-ROW()/1000000</f>
        <v/>
      </c>
    </row>
    <row r="114">
      <c r="A114" s="70">
        <f>'Sprzedaż'!A114</f>
        <v/>
      </c>
      <c r="B114" s="70">
        <f>'Sprzedaż'!B114</f>
        <v/>
      </c>
      <c r="C114" s="70">
        <f>IF(COUNT('Sprzedaż'!C114:N114)=0,"BRAK DANYCH",IF(COUNT('Sprzedaż'!C114:N114)&lt;12,"niepełne","komplet"))</f>
        <v/>
      </c>
      <c r="D114" s="70">
        <f>COUNTIF('Sprzedaż'!C114:N114,"&gt;0.001")</f>
        <v/>
      </c>
      <c r="E114" s="71" t="inlineStr">
        <is>
          <t>t</t>
        </is>
      </c>
      <c r="F114" s="71" t="n">
        <v>1</v>
      </c>
      <c r="G114" s="72">
        <f>SUM('Sprzedaż'!C114:E114)</f>
        <v/>
      </c>
      <c r="H114" s="72">
        <f>SUM('Sprzedaż'!F114:H114)</f>
        <v/>
      </c>
      <c r="I114" s="72">
        <f>SUM('Sprzedaż'!I114:K114)</f>
        <v/>
      </c>
      <c r="J114" s="72">
        <f>SUM('Sprzedaż'!L114:N114)</f>
        <v/>
      </c>
      <c r="K114" s="72">
        <f>G114+H114</f>
        <v/>
      </c>
      <c r="L114" s="72">
        <f>I114+J114</f>
        <v/>
      </c>
      <c r="M114" s="72">
        <f>SUM('Sprzedaż'!C114:N114)</f>
        <v/>
      </c>
      <c r="N114" s="72">
        <f>IF(COUNT('Sprzedaż'!C114:N114)=0,0,M114/12)</f>
        <v/>
      </c>
      <c r="O114" s="72">
        <f>MAX('Sprzedaż'!C114:N114)</f>
        <v/>
      </c>
      <c r="P114" s="72">
        <f>MIN('Sprzedaż'!C114:N114)</f>
        <v/>
      </c>
      <c r="Q114" s="73">
        <f>IF(M114&lt;=0,"-",INDEX('Sprzedaż'!$C$4:$N$4,MATCH(O114,'Sprzedaż'!C114:N114,0)))</f>
        <v/>
      </c>
      <c r="R114" s="74">
        <f>IF(M114&lt;=0,0,(H114+I114)/M114)</f>
        <v/>
      </c>
      <c r="S114" s="74">
        <f>IF(F114=0,"-",IFERROR(M114/SUMIFS($M$5:$M$138,$A$5:$A$138,A114,$F$5:$F$138,1),0))</f>
        <v/>
      </c>
      <c r="T114" s="72">
        <f>M114-N('Sprzedaż'!O114)</f>
        <v/>
      </c>
      <c r="U114" s="75">
        <f>IF(F114=1,M114,-1)-ROW()/1000000</f>
        <v/>
      </c>
    </row>
    <row r="115">
      <c r="A115" s="70">
        <f>'Sprzedaż'!A115</f>
        <v/>
      </c>
      <c r="B115" s="70">
        <f>'Sprzedaż'!B115</f>
        <v/>
      </c>
      <c r="C115" s="70">
        <f>IF(COUNT('Sprzedaż'!C115:N115)=0,"BRAK DANYCH",IF(COUNT('Sprzedaż'!C115:N115)&lt;12,"niepełne","komplet"))</f>
        <v/>
      </c>
      <c r="D115" s="70">
        <f>COUNTIF('Sprzedaż'!C115:N115,"&gt;0.001")</f>
        <v/>
      </c>
      <c r="E115" s="71" t="inlineStr">
        <is>
          <t>t</t>
        </is>
      </c>
      <c r="F115" s="71" t="n">
        <v>1</v>
      </c>
      <c r="G115" s="72">
        <f>SUM('Sprzedaż'!C115:E115)</f>
        <v/>
      </c>
      <c r="H115" s="72">
        <f>SUM('Sprzedaż'!F115:H115)</f>
        <v/>
      </c>
      <c r="I115" s="72">
        <f>SUM('Sprzedaż'!I115:K115)</f>
        <v/>
      </c>
      <c r="J115" s="72">
        <f>SUM('Sprzedaż'!L115:N115)</f>
        <v/>
      </c>
      <c r="K115" s="72">
        <f>G115+H115</f>
        <v/>
      </c>
      <c r="L115" s="72">
        <f>I115+J115</f>
        <v/>
      </c>
      <c r="M115" s="72">
        <f>SUM('Sprzedaż'!C115:N115)</f>
        <v/>
      </c>
      <c r="N115" s="72">
        <f>IF(COUNT('Sprzedaż'!C115:N115)=0,0,M115/12)</f>
        <v/>
      </c>
      <c r="O115" s="72">
        <f>MAX('Sprzedaż'!C115:N115)</f>
        <v/>
      </c>
      <c r="P115" s="72">
        <f>MIN('Sprzedaż'!C115:N115)</f>
        <v/>
      </c>
      <c r="Q115" s="73">
        <f>IF(M115&lt;=0,"-",INDEX('Sprzedaż'!$C$4:$N$4,MATCH(O115,'Sprzedaż'!C115:N115,0)))</f>
        <v/>
      </c>
      <c r="R115" s="74">
        <f>IF(M115&lt;=0,0,(H115+I115)/M115)</f>
        <v/>
      </c>
      <c r="S115" s="74">
        <f>IF(F115=0,"-",IFERROR(M115/SUMIFS($M$5:$M$138,$A$5:$A$138,A115,$F$5:$F$138,1),0))</f>
        <v/>
      </c>
      <c r="T115" s="72">
        <f>M115-N('Sprzedaż'!O115)</f>
        <v/>
      </c>
      <c r="U115" s="75">
        <f>IF(F115=1,M115,-1)-ROW()/1000000</f>
        <v/>
      </c>
    </row>
    <row r="116">
      <c r="A116" s="70">
        <f>'Sprzedaż'!A116</f>
        <v/>
      </c>
      <c r="B116" s="70">
        <f>'Sprzedaż'!B116</f>
        <v/>
      </c>
      <c r="C116" s="70">
        <f>IF(COUNT('Sprzedaż'!C116:N116)=0,"BRAK DANYCH",IF(COUNT('Sprzedaż'!C116:N116)&lt;12,"niepełne","komplet"))</f>
        <v/>
      </c>
      <c r="D116" s="70">
        <f>COUNTIF('Sprzedaż'!C116:N116,"&gt;0.001")</f>
        <v/>
      </c>
      <c r="E116" s="71" t="inlineStr">
        <is>
          <t>t</t>
        </is>
      </c>
      <c r="F116" s="71" t="n">
        <v>1</v>
      </c>
      <c r="G116" s="72">
        <f>SUM('Sprzedaż'!C116:E116)</f>
        <v/>
      </c>
      <c r="H116" s="72">
        <f>SUM('Sprzedaż'!F116:H116)</f>
        <v/>
      </c>
      <c r="I116" s="72">
        <f>SUM('Sprzedaż'!I116:K116)</f>
        <v/>
      </c>
      <c r="J116" s="72">
        <f>SUM('Sprzedaż'!L116:N116)</f>
        <v/>
      </c>
      <c r="K116" s="72">
        <f>G116+H116</f>
        <v/>
      </c>
      <c r="L116" s="72">
        <f>I116+J116</f>
        <v/>
      </c>
      <c r="M116" s="72">
        <f>SUM('Sprzedaż'!C116:N116)</f>
        <v/>
      </c>
      <c r="N116" s="72">
        <f>IF(COUNT('Sprzedaż'!C116:N116)=0,0,M116/12)</f>
        <v/>
      </c>
      <c r="O116" s="72">
        <f>MAX('Sprzedaż'!C116:N116)</f>
        <v/>
      </c>
      <c r="P116" s="72">
        <f>MIN('Sprzedaż'!C116:N116)</f>
        <v/>
      </c>
      <c r="Q116" s="73">
        <f>IF(M116&lt;=0,"-",INDEX('Sprzedaż'!$C$4:$N$4,MATCH(O116,'Sprzedaż'!C116:N116,0)))</f>
        <v/>
      </c>
      <c r="R116" s="74">
        <f>IF(M116&lt;=0,0,(H116+I116)/M116)</f>
        <v/>
      </c>
      <c r="S116" s="74">
        <f>IF(F116=0,"-",IFERROR(M116/SUMIFS($M$5:$M$138,$A$5:$A$138,A116,$F$5:$F$138,1),0))</f>
        <v/>
      </c>
      <c r="T116" s="72">
        <f>M116-N('Sprzedaż'!O116)</f>
        <v/>
      </c>
      <c r="U116" s="75">
        <f>IF(F116=1,M116,-1)-ROW()/1000000</f>
        <v/>
      </c>
    </row>
    <row r="117">
      <c r="A117" s="70">
        <f>'Sprzedaż'!A117</f>
        <v/>
      </c>
      <c r="B117" s="70">
        <f>'Sprzedaż'!B117</f>
        <v/>
      </c>
      <c r="C117" s="70">
        <f>IF(COUNT('Sprzedaż'!C117:N117)=0,"BRAK DANYCH",IF(COUNT('Sprzedaż'!C117:N117)&lt;12,"niepełne","komplet"))</f>
        <v/>
      </c>
      <c r="D117" s="70">
        <f>COUNTIF('Sprzedaż'!C117:N117,"&gt;0.001")</f>
        <v/>
      </c>
      <c r="E117" s="71" t="inlineStr">
        <is>
          <t>t</t>
        </is>
      </c>
      <c r="F117" s="71" t="n">
        <v>1</v>
      </c>
      <c r="G117" s="72">
        <f>SUM('Sprzedaż'!C117:E117)</f>
        <v/>
      </c>
      <c r="H117" s="72">
        <f>SUM('Sprzedaż'!F117:H117)</f>
        <v/>
      </c>
      <c r="I117" s="72">
        <f>SUM('Sprzedaż'!I117:K117)</f>
        <v/>
      </c>
      <c r="J117" s="72">
        <f>SUM('Sprzedaż'!L117:N117)</f>
        <v/>
      </c>
      <c r="K117" s="72">
        <f>G117+H117</f>
        <v/>
      </c>
      <c r="L117" s="72">
        <f>I117+J117</f>
        <v/>
      </c>
      <c r="M117" s="72">
        <f>SUM('Sprzedaż'!C117:N117)</f>
        <v/>
      </c>
      <c r="N117" s="72">
        <f>IF(COUNT('Sprzedaż'!C117:N117)=0,0,M117/12)</f>
        <v/>
      </c>
      <c r="O117" s="72">
        <f>MAX('Sprzedaż'!C117:N117)</f>
        <v/>
      </c>
      <c r="P117" s="72">
        <f>MIN('Sprzedaż'!C117:N117)</f>
        <v/>
      </c>
      <c r="Q117" s="73">
        <f>IF(M117&lt;=0,"-",INDEX('Sprzedaż'!$C$4:$N$4,MATCH(O117,'Sprzedaż'!C117:N117,0)))</f>
        <v/>
      </c>
      <c r="R117" s="74">
        <f>IF(M117&lt;=0,0,(H117+I117)/M117)</f>
        <v/>
      </c>
      <c r="S117" s="74">
        <f>IF(F117=0,"-",IFERROR(M117/SUMIFS($M$5:$M$138,$A$5:$A$138,A117,$F$5:$F$138,1),0))</f>
        <v/>
      </c>
      <c r="T117" s="72">
        <f>M117-N('Sprzedaż'!O117)</f>
        <v/>
      </c>
      <c r="U117" s="75">
        <f>IF(F117=1,M117,-1)-ROW()/1000000</f>
        <v/>
      </c>
    </row>
    <row r="118">
      <c r="A118" s="70">
        <f>'Sprzedaż'!A118</f>
        <v/>
      </c>
      <c r="B118" s="70">
        <f>'Sprzedaż'!B118</f>
        <v/>
      </c>
      <c r="C118" s="70">
        <f>IF(COUNT('Sprzedaż'!C118:N118)=0,"BRAK DANYCH",IF(COUNT('Sprzedaż'!C118:N118)&lt;12,"niepełne","komplet"))</f>
        <v/>
      </c>
      <c r="D118" s="70">
        <f>COUNTIF('Sprzedaż'!C118:N118,"&gt;0.001")</f>
        <v/>
      </c>
      <c r="E118" s="71" t="inlineStr">
        <is>
          <t>t</t>
        </is>
      </c>
      <c r="F118" s="71" t="n">
        <v>1</v>
      </c>
      <c r="G118" s="72">
        <f>SUM('Sprzedaż'!C118:E118)</f>
        <v/>
      </c>
      <c r="H118" s="72">
        <f>SUM('Sprzedaż'!F118:H118)</f>
        <v/>
      </c>
      <c r="I118" s="72">
        <f>SUM('Sprzedaż'!I118:K118)</f>
        <v/>
      </c>
      <c r="J118" s="72">
        <f>SUM('Sprzedaż'!L118:N118)</f>
        <v/>
      </c>
      <c r="K118" s="72">
        <f>G118+H118</f>
        <v/>
      </c>
      <c r="L118" s="72">
        <f>I118+J118</f>
        <v/>
      </c>
      <c r="M118" s="72">
        <f>SUM('Sprzedaż'!C118:N118)</f>
        <v/>
      </c>
      <c r="N118" s="72">
        <f>IF(COUNT('Sprzedaż'!C118:N118)=0,0,M118/12)</f>
        <v/>
      </c>
      <c r="O118" s="72">
        <f>MAX('Sprzedaż'!C118:N118)</f>
        <v/>
      </c>
      <c r="P118" s="72">
        <f>MIN('Sprzedaż'!C118:N118)</f>
        <v/>
      </c>
      <c r="Q118" s="73">
        <f>IF(M118&lt;=0,"-",INDEX('Sprzedaż'!$C$4:$N$4,MATCH(O118,'Sprzedaż'!C118:N118,0)))</f>
        <v/>
      </c>
      <c r="R118" s="74">
        <f>IF(M118&lt;=0,0,(H118+I118)/M118)</f>
        <v/>
      </c>
      <c r="S118" s="74">
        <f>IF(F118=0,"-",IFERROR(M118/SUMIFS($M$5:$M$138,$A$5:$A$138,A118,$F$5:$F$138,1),0))</f>
        <v/>
      </c>
      <c r="T118" s="72">
        <f>M118-N('Sprzedaż'!O118)</f>
        <v/>
      </c>
      <c r="U118" s="75">
        <f>IF(F118=1,M118,-1)-ROW()/1000000</f>
        <v/>
      </c>
    </row>
    <row r="119">
      <c r="A119" s="70">
        <f>'Sprzedaż'!A119</f>
        <v/>
      </c>
      <c r="B119" s="70">
        <f>'Sprzedaż'!B119</f>
        <v/>
      </c>
      <c r="C119" s="70">
        <f>IF(COUNT('Sprzedaż'!C119:N119)=0,"BRAK DANYCH",IF(COUNT('Sprzedaż'!C119:N119)&lt;12,"niepełne","komplet"))</f>
        <v/>
      </c>
      <c r="D119" s="70">
        <f>COUNTIF('Sprzedaż'!C119:N119,"&gt;0.001")</f>
        <v/>
      </c>
      <c r="E119" s="71" t="inlineStr">
        <is>
          <t>t</t>
        </is>
      </c>
      <c r="F119" s="71" t="n">
        <v>1</v>
      </c>
      <c r="G119" s="72">
        <f>SUM('Sprzedaż'!C119:E119)</f>
        <v/>
      </c>
      <c r="H119" s="72">
        <f>SUM('Sprzedaż'!F119:H119)</f>
        <v/>
      </c>
      <c r="I119" s="72">
        <f>SUM('Sprzedaż'!I119:K119)</f>
        <v/>
      </c>
      <c r="J119" s="72">
        <f>SUM('Sprzedaż'!L119:N119)</f>
        <v/>
      </c>
      <c r="K119" s="72">
        <f>G119+H119</f>
        <v/>
      </c>
      <c r="L119" s="72">
        <f>I119+J119</f>
        <v/>
      </c>
      <c r="M119" s="72">
        <f>SUM('Sprzedaż'!C119:N119)</f>
        <v/>
      </c>
      <c r="N119" s="72">
        <f>IF(COUNT('Sprzedaż'!C119:N119)=0,0,M119/12)</f>
        <v/>
      </c>
      <c r="O119" s="72">
        <f>MAX('Sprzedaż'!C119:N119)</f>
        <v/>
      </c>
      <c r="P119" s="72">
        <f>MIN('Sprzedaż'!C119:N119)</f>
        <v/>
      </c>
      <c r="Q119" s="73">
        <f>IF(M119&lt;=0,"-",INDEX('Sprzedaż'!$C$4:$N$4,MATCH(O119,'Sprzedaż'!C119:N119,0)))</f>
        <v/>
      </c>
      <c r="R119" s="74">
        <f>IF(M119&lt;=0,0,(H119+I119)/M119)</f>
        <v/>
      </c>
      <c r="S119" s="74">
        <f>IF(F119=0,"-",IFERROR(M119/SUMIFS($M$5:$M$138,$A$5:$A$138,A119,$F$5:$F$138,1),0))</f>
        <v/>
      </c>
      <c r="T119" s="72">
        <f>M119-N('Sprzedaż'!O119)</f>
        <v/>
      </c>
      <c r="U119" s="75">
        <f>IF(F119=1,M119,-1)-ROW()/1000000</f>
        <v/>
      </c>
    </row>
    <row r="121">
      <c r="A121" s="70">
        <f>'Sprzedaż'!A121</f>
        <v/>
      </c>
      <c r="B121" s="70">
        <f>'Sprzedaż'!B121</f>
        <v/>
      </c>
      <c r="C121" s="70">
        <f>IF(COUNT('Sprzedaż'!C121:N121)=0,"BRAK DANYCH",IF(COUNT('Sprzedaż'!C121:N121)&lt;12,"niepełne","komplet"))</f>
        <v/>
      </c>
      <c r="D121" s="70">
        <f>COUNTIF('Sprzedaż'!C121:N121,"&gt;0.001")</f>
        <v/>
      </c>
      <c r="E121" s="71" t="inlineStr">
        <is>
          <t>t</t>
        </is>
      </c>
      <c r="F121" s="71" t="n">
        <v>1</v>
      </c>
      <c r="G121" s="72">
        <f>SUM('Sprzedaż'!C121:E121)</f>
        <v/>
      </c>
      <c r="H121" s="72">
        <f>SUM('Sprzedaż'!F121:H121)</f>
        <v/>
      </c>
      <c r="I121" s="72">
        <f>SUM('Sprzedaż'!I121:K121)</f>
        <v/>
      </c>
      <c r="J121" s="72">
        <f>SUM('Sprzedaż'!L121:N121)</f>
        <v/>
      </c>
      <c r="K121" s="72">
        <f>G121+H121</f>
        <v/>
      </c>
      <c r="L121" s="72">
        <f>I121+J121</f>
        <v/>
      </c>
      <c r="M121" s="72">
        <f>SUM('Sprzedaż'!C121:N121)</f>
        <v/>
      </c>
      <c r="N121" s="72">
        <f>IF(COUNT('Sprzedaż'!C121:N121)=0,0,M121/12)</f>
        <v/>
      </c>
      <c r="O121" s="72">
        <f>MAX('Sprzedaż'!C121:N121)</f>
        <v/>
      </c>
      <c r="P121" s="72">
        <f>MIN('Sprzedaż'!C121:N121)</f>
        <v/>
      </c>
      <c r="Q121" s="73">
        <f>IF(M121&lt;=0,"-",INDEX('Sprzedaż'!$C$4:$N$4,MATCH(O121,'Sprzedaż'!C121:N121,0)))</f>
        <v/>
      </c>
      <c r="R121" s="74">
        <f>IF(M121&lt;=0,0,(H121+I121)/M121)</f>
        <v/>
      </c>
      <c r="S121" s="74">
        <f>IF(F121=0,"-",IFERROR(M121/SUMIFS($M$5:$M$138,$A$5:$A$138,A121,$F$5:$F$138,1),0))</f>
        <v/>
      </c>
      <c r="T121" s="72">
        <f>M121-N('Sprzedaż'!O121)</f>
        <v/>
      </c>
      <c r="U121" s="75">
        <f>IF(F121=1,M121,-1)-ROW()/1000000</f>
        <v/>
      </c>
    </row>
    <row r="122">
      <c r="A122" s="70">
        <f>'Sprzedaż'!A122</f>
        <v/>
      </c>
      <c r="B122" s="70">
        <f>'Sprzedaż'!B122</f>
        <v/>
      </c>
      <c r="C122" s="70">
        <f>IF(COUNT('Sprzedaż'!C122:N122)=0,"BRAK DANYCH",IF(COUNT('Sprzedaż'!C122:N122)&lt;12,"niepełne","komplet"))</f>
        <v/>
      </c>
      <c r="D122" s="70">
        <f>COUNTIF('Sprzedaż'!C122:N122,"&gt;0.001")</f>
        <v/>
      </c>
      <c r="E122" s="71" t="inlineStr">
        <is>
          <t>t</t>
        </is>
      </c>
      <c r="F122" s="71" t="n">
        <v>1</v>
      </c>
      <c r="G122" s="72">
        <f>SUM('Sprzedaż'!C122:E122)</f>
        <v/>
      </c>
      <c r="H122" s="72">
        <f>SUM('Sprzedaż'!F122:H122)</f>
        <v/>
      </c>
      <c r="I122" s="72">
        <f>SUM('Sprzedaż'!I122:K122)</f>
        <v/>
      </c>
      <c r="J122" s="72">
        <f>SUM('Sprzedaż'!L122:N122)</f>
        <v/>
      </c>
      <c r="K122" s="72">
        <f>G122+H122</f>
        <v/>
      </c>
      <c r="L122" s="72">
        <f>I122+J122</f>
        <v/>
      </c>
      <c r="M122" s="72">
        <f>SUM('Sprzedaż'!C122:N122)</f>
        <v/>
      </c>
      <c r="N122" s="72">
        <f>IF(COUNT('Sprzedaż'!C122:N122)=0,0,M122/12)</f>
        <v/>
      </c>
      <c r="O122" s="72">
        <f>MAX('Sprzedaż'!C122:N122)</f>
        <v/>
      </c>
      <c r="P122" s="72">
        <f>MIN('Sprzedaż'!C122:N122)</f>
        <v/>
      </c>
      <c r="Q122" s="73">
        <f>IF(M122&lt;=0,"-",INDEX('Sprzedaż'!$C$4:$N$4,MATCH(O122,'Sprzedaż'!C122:N122,0)))</f>
        <v/>
      </c>
      <c r="R122" s="74">
        <f>IF(M122&lt;=0,0,(H122+I122)/M122)</f>
        <v/>
      </c>
      <c r="S122" s="74">
        <f>IF(F122=0,"-",IFERROR(M122/SUMIFS($M$5:$M$138,$A$5:$A$138,A122,$F$5:$F$138,1),0))</f>
        <v/>
      </c>
      <c r="T122" s="72">
        <f>M122-N('Sprzedaż'!O122)</f>
        <v/>
      </c>
      <c r="U122" s="75">
        <f>IF(F122=1,M122,-1)-ROW()/1000000</f>
        <v/>
      </c>
    </row>
    <row r="123">
      <c r="A123" s="70">
        <f>'Sprzedaż'!A123</f>
        <v/>
      </c>
      <c r="B123" s="70">
        <f>'Sprzedaż'!B123</f>
        <v/>
      </c>
      <c r="C123" s="70">
        <f>IF(COUNT('Sprzedaż'!C123:N123)=0,"BRAK DANYCH",IF(COUNT('Sprzedaż'!C123:N123)&lt;12,"niepełne","komplet"))</f>
        <v/>
      </c>
      <c r="D123" s="70">
        <f>COUNTIF('Sprzedaż'!C123:N123,"&gt;0.001")</f>
        <v/>
      </c>
      <c r="E123" s="71" t="inlineStr">
        <is>
          <t>t</t>
        </is>
      </c>
      <c r="F123" s="71" t="n">
        <v>1</v>
      </c>
      <c r="G123" s="72">
        <f>SUM('Sprzedaż'!C123:E123)</f>
        <v/>
      </c>
      <c r="H123" s="72">
        <f>SUM('Sprzedaż'!F123:H123)</f>
        <v/>
      </c>
      <c r="I123" s="72">
        <f>SUM('Sprzedaż'!I123:K123)</f>
        <v/>
      </c>
      <c r="J123" s="72">
        <f>SUM('Sprzedaż'!L123:N123)</f>
        <v/>
      </c>
      <c r="K123" s="72">
        <f>G123+H123</f>
        <v/>
      </c>
      <c r="L123" s="72">
        <f>I123+J123</f>
        <v/>
      </c>
      <c r="M123" s="72">
        <f>SUM('Sprzedaż'!C123:N123)</f>
        <v/>
      </c>
      <c r="N123" s="72">
        <f>IF(COUNT('Sprzedaż'!C123:N123)=0,0,M123/12)</f>
        <v/>
      </c>
      <c r="O123" s="72">
        <f>MAX('Sprzedaż'!C123:N123)</f>
        <v/>
      </c>
      <c r="P123" s="72">
        <f>MIN('Sprzedaż'!C123:N123)</f>
        <v/>
      </c>
      <c r="Q123" s="73">
        <f>IF(M123&lt;=0,"-",INDEX('Sprzedaż'!$C$4:$N$4,MATCH(O123,'Sprzedaż'!C123:N123,0)))</f>
        <v/>
      </c>
      <c r="R123" s="74">
        <f>IF(M123&lt;=0,0,(H123+I123)/M123)</f>
        <v/>
      </c>
      <c r="S123" s="74">
        <f>IF(F123=0,"-",IFERROR(M123/SUMIFS($M$5:$M$138,$A$5:$A$138,A123,$F$5:$F$138,1),0))</f>
        <v/>
      </c>
      <c r="T123" s="72">
        <f>M123-N('Sprzedaż'!O123)</f>
        <v/>
      </c>
      <c r="U123" s="75">
        <f>IF(F123=1,M123,-1)-ROW()/1000000</f>
        <v/>
      </c>
    </row>
    <row r="124">
      <c r="A124" s="70">
        <f>'Sprzedaż'!A124</f>
        <v/>
      </c>
      <c r="B124" s="70">
        <f>'Sprzedaż'!B124</f>
        <v/>
      </c>
      <c r="C124" s="70">
        <f>IF(COUNT('Sprzedaż'!C124:N124)=0,"BRAK DANYCH",IF(COUNT('Sprzedaż'!C124:N124)&lt;12,"niepełne","komplet"))</f>
        <v/>
      </c>
      <c r="D124" s="70">
        <f>COUNTIF('Sprzedaż'!C124:N124,"&gt;0.001")</f>
        <v/>
      </c>
      <c r="E124" s="71" t="inlineStr">
        <is>
          <t>t</t>
        </is>
      </c>
      <c r="F124" s="71" t="n">
        <v>1</v>
      </c>
      <c r="G124" s="72">
        <f>SUM('Sprzedaż'!C124:E124)</f>
        <v/>
      </c>
      <c r="H124" s="72">
        <f>SUM('Sprzedaż'!F124:H124)</f>
        <v/>
      </c>
      <c r="I124" s="72">
        <f>SUM('Sprzedaż'!I124:K124)</f>
        <v/>
      </c>
      <c r="J124" s="72">
        <f>SUM('Sprzedaż'!L124:N124)</f>
        <v/>
      </c>
      <c r="K124" s="72">
        <f>G124+H124</f>
        <v/>
      </c>
      <c r="L124" s="72">
        <f>I124+J124</f>
        <v/>
      </c>
      <c r="M124" s="72">
        <f>SUM('Sprzedaż'!C124:N124)</f>
        <v/>
      </c>
      <c r="N124" s="72">
        <f>IF(COUNT('Sprzedaż'!C124:N124)=0,0,M124/12)</f>
        <v/>
      </c>
      <c r="O124" s="72">
        <f>MAX('Sprzedaż'!C124:N124)</f>
        <v/>
      </c>
      <c r="P124" s="72">
        <f>MIN('Sprzedaż'!C124:N124)</f>
        <v/>
      </c>
      <c r="Q124" s="73">
        <f>IF(M124&lt;=0,"-",INDEX('Sprzedaż'!$C$4:$N$4,MATCH(O124,'Sprzedaż'!C124:N124,0)))</f>
        <v/>
      </c>
      <c r="R124" s="74">
        <f>IF(M124&lt;=0,0,(H124+I124)/M124)</f>
        <v/>
      </c>
      <c r="S124" s="74">
        <f>IF(F124=0,"-",IFERROR(M124/SUMIFS($M$5:$M$138,$A$5:$A$138,A124,$F$5:$F$138,1),0))</f>
        <v/>
      </c>
      <c r="T124" s="72">
        <f>M124-N('Sprzedaż'!O124)</f>
        <v/>
      </c>
      <c r="U124" s="75">
        <f>IF(F124=1,M124,-1)-ROW()/1000000</f>
        <v/>
      </c>
    </row>
    <row r="125">
      <c r="A125" s="70">
        <f>'Sprzedaż'!A125</f>
        <v/>
      </c>
      <c r="B125" s="70">
        <f>'Sprzedaż'!B125</f>
        <v/>
      </c>
      <c r="C125" s="70">
        <f>IF(COUNT('Sprzedaż'!C125:N125)=0,"BRAK DANYCH",IF(COUNT('Sprzedaż'!C125:N125)&lt;12,"niepełne","komplet"))</f>
        <v/>
      </c>
      <c r="D125" s="70">
        <f>COUNTIF('Sprzedaż'!C125:N125,"&gt;0.001")</f>
        <v/>
      </c>
      <c r="E125" s="71" t="inlineStr">
        <is>
          <t>t</t>
        </is>
      </c>
      <c r="F125" s="71" t="n">
        <v>1</v>
      </c>
      <c r="G125" s="72">
        <f>SUM('Sprzedaż'!C125:E125)</f>
        <v/>
      </c>
      <c r="H125" s="72">
        <f>SUM('Sprzedaż'!F125:H125)</f>
        <v/>
      </c>
      <c r="I125" s="72">
        <f>SUM('Sprzedaż'!I125:K125)</f>
        <v/>
      </c>
      <c r="J125" s="72">
        <f>SUM('Sprzedaż'!L125:N125)</f>
        <v/>
      </c>
      <c r="K125" s="72">
        <f>G125+H125</f>
        <v/>
      </c>
      <c r="L125" s="72">
        <f>I125+J125</f>
        <v/>
      </c>
      <c r="M125" s="72">
        <f>SUM('Sprzedaż'!C125:N125)</f>
        <v/>
      </c>
      <c r="N125" s="72">
        <f>IF(COUNT('Sprzedaż'!C125:N125)=0,0,M125/12)</f>
        <v/>
      </c>
      <c r="O125" s="72">
        <f>MAX('Sprzedaż'!C125:N125)</f>
        <v/>
      </c>
      <c r="P125" s="72">
        <f>MIN('Sprzedaż'!C125:N125)</f>
        <v/>
      </c>
      <c r="Q125" s="73">
        <f>IF(M125&lt;=0,"-",INDEX('Sprzedaż'!$C$4:$N$4,MATCH(O125,'Sprzedaż'!C125:N125,0)))</f>
        <v/>
      </c>
      <c r="R125" s="74">
        <f>IF(M125&lt;=0,0,(H125+I125)/M125)</f>
        <v/>
      </c>
      <c r="S125" s="74">
        <f>IF(F125=0,"-",IFERROR(M125/SUMIFS($M$5:$M$138,$A$5:$A$138,A125,$F$5:$F$138,1),0))</f>
        <v/>
      </c>
      <c r="T125" s="72">
        <f>M125-N('Sprzedaż'!O125)</f>
        <v/>
      </c>
      <c r="U125" s="75">
        <f>IF(F125=1,M125,-1)-ROW()/1000000</f>
        <v/>
      </c>
    </row>
    <row r="126">
      <c r="A126" s="70">
        <f>'Sprzedaż'!A126</f>
        <v/>
      </c>
      <c r="B126" s="70">
        <f>'Sprzedaż'!B126</f>
        <v/>
      </c>
      <c r="C126" s="70">
        <f>IF(COUNT('Sprzedaż'!C126:N126)=0,"BRAK DANYCH",IF(COUNT('Sprzedaż'!C126:N126)&lt;12,"niepełne","komplet"))</f>
        <v/>
      </c>
      <c r="D126" s="70">
        <f>COUNTIF('Sprzedaż'!C126:N126,"&gt;0.001")</f>
        <v/>
      </c>
      <c r="E126" s="71" t="inlineStr">
        <is>
          <t>t</t>
        </is>
      </c>
      <c r="F126" s="71" t="n">
        <v>1</v>
      </c>
      <c r="G126" s="72">
        <f>SUM('Sprzedaż'!C126:E126)</f>
        <v/>
      </c>
      <c r="H126" s="72">
        <f>SUM('Sprzedaż'!F126:H126)</f>
        <v/>
      </c>
      <c r="I126" s="72">
        <f>SUM('Sprzedaż'!I126:K126)</f>
        <v/>
      </c>
      <c r="J126" s="72">
        <f>SUM('Sprzedaż'!L126:N126)</f>
        <v/>
      </c>
      <c r="K126" s="72">
        <f>G126+H126</f>
        <v/>
      </c>
      <c r="L126" s="72">
        <f>I126+J126</f>
        <v/>
      </c>
      <c r="M126" s="72">
        <f>SUM('Sprzedaż'!C126:N126)</f>
        <v/>
      </c>
      <c r="N126" s="72">
        <f>IF(COUNT('Sprzedaż'!C126:N126)=0,0,M126/12)</f>
        <v/>
      </c>
      <c r="O126" s="72">
        <f>MAX('Sprzedaż'!C126:N126)</f>
        <v/>
      </c>
      <c r="P126" s="72">
        <f>MIN('Sprzedaż'!C126:N126)</f>
        <v/>
      </c>
      <c r="Q126" s="73">
        <f>IF(M126&lt;=0,"-",INDEX('Sprzedaż'!$C$4:$N$4,MATCH(O126,'Sprzedaż'!C126:N126,0)))</f>
        <v/>
      </c>
      <c r="R126" s="74">
        <f>IF(M126&lt;=0,0,(H126+I126)/M126)</f>
        <v/>
      </c>
      <c r="S126" s="74">
        <f>IF(F126=0,"-",IFERROR(M126/SUMIFS($M$5:$M$138,$A$5:$A$138,A126,$F$5:$F$138,1),0))</f>
        <v/>
      </c>
      <c r="T126" s="72">
        <f>M126-N('Sprzedaż'!O126)</f>
        <v/>
      </c>
      <c r="U126" s="75">
        <f>IF(F126=1,M126,-1)-ROW()/1000000</f>
        <v/>
      </c>
    </row>
    <row r="127">
      <c r="A127" s="70">
        <f>'Sprzedaż'!A127</f>
        <v/>
      </c>
      <c r="B127" s="70">
        <f>'Sprzedaż'!B127</f>
        <v/>
      </c>
      <c r="C127" s="70">
        <f>IF(COUNT('Sprzedaż'!C127:N127)=0,"BRAK DANYCH",IF(COUNT('Sprzedaż'!C127:N127)&lt;12,"niepełne","komplet"))</f>
        <v/>
      </c>
      <c r="D127" s="70">
        <f>COUNTIF('Sprzedaż'!C127:N127,"&gt;0.001")</f>
        <v/>
      </c>
      <c r="E127" s="71" t="inlineStr">
        <is>
          <t>t</t>
        </is>
      </c>
      <c r="F127" s="71" t="n">
        <v>1</v>
      </c>
      <c r="G127" s="72">
        <f>SUM('Sprzedaż'!C127:E127)</f>
        <v/>
      </c>
      <c r="H127" s="72">
        <f>SUM('Sprzedaż'!F127:H127)</f>
        <v/>
      </c>
      <c r="I127" s="72">
        <f>SUM('Sprzedaż'!I127:K127)</f>
        <v/>
      </c>
      <c r="J127" s="72">
        <f>SUM('Sprzedaż'!L127:N127)</f>
        <v/>
      </c>
      <c r="K127" s="72">
        <f>G127+H127</f>
        <v/>
      </c>
      <c r="L127" s="72">
        <f>I127+J127</f>
        <v/>
      </c>
      <c r="M127" s="72">
        <f>SUM('Sprzedaż'!C127:N127)</f>
        <v/>
      </c>
      <c r="N127" s="72">
        <f>IF(COUNT('Sprzedaż'!C127:N127)=0,0,M127/12)</f>
        <v/>
      </c>
      <c r="O127" s="72">
        <f>MAX('Sprzedaż'!C127:N127)</f>
        <v/>
      </c>
      <c r="P127" s="72">
        <f>MIN('Sprzedaż'!C127:N127)</f>
        <v/>
      </c>
      <c r="Q127" s="73">
        <f>IF(M127&lt;=0,"-",INDEX('Sprzedaż'!$C$4:$N$4,MATCH(O127,'Sprzedaż'!C127:N127,0)))</f>
        <v/>
      </c>
      <c r="R127" s="74">
        <f>IF(M127&lt;=0,0,(H127+I127)/M127)</f>
        <v/>
      </c>
      <c r="S127" s="74">
        <f>IF(F127=0,"-",IFERROR(M127/SUMIFS($M$5:$M$138,$A$5:$A$138,A127,$F$5:$F$138,1),0))</f>
        <v/>
      </c>
      <c r="T127" s="72">
        <f>M127-N('Sprzedaż'!O127)</f>
        <v/>
      </c>
      <c r="U127" s="75">
        <f>IF(F127=1,M127,-1)-ROW()/1000000</f>
        <v/>
      </c>
    </row>
    <row r="128">
      <c r="A128" s="70">
        <f>'Sprzedaż'!A128</f>
        <v/>
      </c>
      <c r="B128" s="70">
        <f>'Sprzedaż'!B128</f>
        <v/>
      </c>
      <c r="C128" s="70">
        <f>IF(COUNT('Sprzedaż'!C128:N128)=0,"BRAK DANYCH",IF(COUNT('Sprzedaż'!C128:N128)&lt;12,"niepełne","komplet"))</f>
        <v/>
      </c>
      <c r="D128" s="70">
        <f>COUNTIF('Sprzedaż'!C128:N128,"&gt;0.001")</f>
        <v/>
      </c>
      <c r="E128" s="71" t="inlineStr">
        <is>
          <t>t</t>
        </is>
      </c>
      <c r="F128" s="71" t="n">
        <v>1</v>
      </c>
      <c r="G128" s="72">
        <f>SUM('Sprzedaż'!C128:E128)</f>
        <v/>
      </c>
      <c r="H128" s="72">
        <f>SUM('Sprzedaż'!F128:H128)</f>
        <v/>
      </c>
      <c r="I128" s="72">
        <f>SUM('Sprzedaż'!I128:K128)</f>
        <v/>
      </c>
      <c r="J128" s="72">
        <f>SUM('Sprzedaż'!L128:N128)</f>
        <v/>
      </c>
      <c r="K128" s="72">
        <f>G128+H128</f>
        <v/>
      </c>
      <c r="L128" s="72">
        <f>I128+J128</f>
        <v/>
      </c>
      <c r="M128" s="72">
        <f>SUM('Sprzedaż'!C128:N128)</f>
        <v/>
      </c>
      <c r="N128" s="72">
        <f>IF(COUNT('Sprzedaż'!C128:N128)=0,0,M128/12)</f>
        <v/>
      </c>
      <c r="O128" s="72">
        <f>MAX('Sprzedaż'!C128:N128)</f>
        <v/>
      </c>
      <c r="P128" s="72">
        <f>MIN('Sprzedaż'!C128:N128)</f>
        <v/>
      </c>
      <c r="Q128" s="73">
        <f>IF(M128&lt;=0,"-",INDEX('Sprzedaż'!$C$4:$N$4,MATCH(O128,'Sprzedaż'!C128:N128,0)))</f>
        <v/>
      </c>
      <c r="R128" s="74">
        <f>IF(M128&lt;=0,0,(H128+I128)/M128)</f>
        <v/>
      </c>
      <c r="S128" s="74">
        <f>IF(F128=0,"-",IFERROR(M128/SUMIFS($M$5:$M$138,$A$5:$A$138,A128,$F$5:$F$138,1),0))</f>
        <v/>
      </c>
      <c r="T128" s="72">
        <f>M128-N('Sprzedaż'!O128)</f>
        <v/>
      </c>
      <c r="U128" s="75">
        <f>IF(F128=1,M128,-1)-ROW()/1000000</f>
        <v/>
      </c>
    </row>
    <row r="129">
      <c r="A129" s="70">
        <f>'Sprzedaż'!A129</f>
        <v/>
      </c>
      <c r="B129" s="70">
        <f>'Sprzedaż'!B129</f>
        <v/>
      </c>
      <c r="C129" s="70">
        <f>IF(COUNT('Sprzedaż'!C129:N129)=0,"BRAK DANYCH",IF(COUNT('Sprzedaż'!C129:N129)&lt;12,"niepełne","komplet"))</f>
        <v/>
      </c>
      <c r="D129" s="70">
        <f>COUNTIF('Sprzedaż'!C129:N129,"&gt;0.001")</f>
        <v/>
      </c>
      <c r="E129" s="71" t="inlineStr">
        <is>
          <t>t</t>
        </is>
      </c>
      <c r="F129" s="71" t="n">
        <v>1</v>
      </c>
      <c r="G129" s="72">
        <f>SUM('Sprzedaż'!C129:E129)</f>
        <v/>
      </c>
      <c r="H129" s="72">
        <f>SUM('Sprzedaż'!F129:H129)</f>
        <v/>
      </c>
      <c r="I129" s="72">
        <f>SUM('Sprzedaż'!I129:K129)</f>
        <v/>
      </c>
      <c r="J129" s="72">
        <f>SUM('Sprzedaż'!L129:N129)</f>
        <v/>
      </c>
      <c r="K129" s="72">
        <f>G129+H129</f>
        <v/>
      </c>
      <c r="L129" s="72">
        <f>I129+J129</f>
        <v/>
      </c>
      <c r="M129" s="72">
        <f>SUM('Sprzedaż'!C129:N129)</f>
        <v/>
      </c>
      <c r="N129" s="72">
        <f>IF(COUNT('Sprzedaż'!C129:N129)=0,0,M129/12)</f>
        <v/>
      </c>
      <c r="O129" s="72">
        <f>MAX('Sprzedaż'!C129:N129)</f>
        <v/>
      </c>
      <c r="P129" s="72">
        <f>MIN('Sprzedaż'!C129:N129)</f>
        <v/>
      </c>
      <c r="Q129" s="73">
        <f>IF(M129&lt;=0,"-",INDEX('Sprzedaż'!$C$4:$N$4,MATCH(O129,'Sprzedaż'!C129:N129,0)))</f>
        <v/>
      </c>
      <c r="R129" s="74">
        <f>IF(M129&lt;=0,0,(H129+I129)/M129)</f>
        <v/>
      </c>
      <c r="S129" s="74">
        <f>IF(F129=0,"-",IFERROR(M129/SUMIFS($M$5:$M$138,$A$5:$A$138,A129,$F$5:$F$138,1),0))</f>
        <v/>
      </c>
      <c r="T129" s="72">
        <f>M129-N('Sprzedaż'!O129)</f>
        <v/>
      </c>
      <c r="U129" s="75">
        <f>IF(F129=1,M129,-1)-ROW()/1000000</f>
        <v/>
      </c>
    </row>
    <row r="130">
      <c r="A130" s="70">
        <f>'Sprzedaż'!A130</f>
        <v/>
      </c>
      <c r="B130" s="70">
        <f>'Sprzedaż'!B130</f>
        <v/>
      </c>
      <c r="C130" s="70">
        <f>IF(COUNT('Sprzedaż'!C130:N130)=0,"BRAK DANYCH",IF(COUNT('Sprzedaż'!C130:N130)&lt;12,"niepełne","komplet"))</f>
        <v/>
      </c>
      <c r="D130" s="70">
        <f>COUNTIF('Sprzedaż'!C130:N130,"&gt;0.001")</f>
        <v/>
      </c>
      <c r="E130" s="71" t="inlineStr">
        <is>
          <t>t</t>
        </is>
      </c>
      <c r="F130" s="71" t="n">
        <v>1</v>
      </c>
      <c r="G130" s="72">
        <f>SUM('Sprzedaż'!C130:E130)</f>
        <v/>
      </c>
      <c r="H130" s="72">
        <f>SUM('Sprzedaż'!F130:H130)</f>
        <v/>
      </c>
      <c r="I130" s="72">
        <f>SUM('Sprzedaż'!I130:K130)</f>
        <v/>
      </c>
      <c r="J130" s="72">
        <f>SUM('Sprzedaż'!L130:N130)</f>
        <v/>
      </c>
      <c r="K130" s="72">
        <f>G130+H130</f>
        <v/>
      </c>
      <c r="L130" s="72">
        <f>I130+J130</f>
        <v/>
      </c>
      <c r="M130" s="72">
        <f>SUM('Sprzedaż'!C130:N130)</f>
        <v/>
      </c>
      <c r="N130" s="72">
        <f>IF(COUNT('Sprzedaż'!C130:N130)=0,0,M130/12)</f>
        <v/>
      </c>
      <c r="O130" s="72">
        <f>MAX('Sprzedaż'!C130:N130)</f>
        <v/>
      </c>
      <c r="P130" s="72">
        <f>MIN('Sprzedaż'!C130:N130)</f>
        <v/>
      </c>
      <c r="Q130" s="73">
        <f>IF(M130&lt;=0,"-",INDEX('Sprzedaż'!$C$4:$N$4,MATCH(O130,'Sprzedaż'!C130:N130,0)))</f>
        <v/>
      </c>
      <c r="R130" s="74">
        <f>IF(M130&lt;=0,0,(H130+I130)/M130)</f>
        <v/>
      </c>
      <c r="S130" s="74">
        <f>IF(F130=0,"-",IFERROR(M130/SUMIFS($M$5:$M$138,$A$5:$A$138,A130,$F$5:$F$138,1),0))</f>
        <v/>
      </c>
      <c r="T130" s="72">
        <f>M130-N('Sprzedaż'!O130)</f>
        <v/>
      </c>
      <c r="U130" s="75">
        <f>IF(F130=1,M130,-1)-ROW()/1000000</f>
        <v/>
      </c>
    </row>
    <row r="131">
      <c r="A131" s="70">
        <f>'Sprzedaż'!A131</f>
        <v/>
      </c>
      <c r="B131" s="70">
        <f>'Sprzedaż'!B131</f>
        <v/>
      </c>
      <c r="C131" s="70">
        <f>IF(COUNT('Sprzedaż'!C131:N131)=0,"BRAK DANYCH",IF(COUNT('Sprzedaż'!C131:N131)&lt;12,"niepełne","komplet"))</f>
        <v/>
      </c>
      <c r="D131" s="70">
        <f>COUNTIF('Sprzedaż'!C131:N131,"&gt;0.001")</f>
        <v/>
      </c>
      <c r="E131" s="71" t="inlineStr">
        <is>
          <t>t</t>
        </is>
      </c>
      <c r="F131" s="71" t="n">
        <v>1</v>
      </c>
      <c r="G131" s="72">
        <f>SUM('Sprzedaż'!C131:E131)</f>
        <v/>
      </c>
      <c r="H131" s="72">
        <f>SUM('Sprzedaż'!F131:H131)</f>
        <v/>
      </c>
      <c r="I131" s="72">
        <f>SUM('Sprzedaż'!I131:K131)</f>
        <v/>
      </c>
      <c r="J131" s="72">
        <f>SUM('Sprzedaż'!L131:N131)</f>
        <v/>
      </c>
      <c r="K131" s="72">
        <f>G131+H131</f>
        <v/>
      </c>
      <c r="L131" s="72">
        <f>I131+J131</f>
        <v/>
      </c>
      <c r="M131" s="72">
        <f>SUM('Sprzedaż'!C131:N131)</f>
        <v/>
      </c>
      <c r="N131" s="72">
        <f>IF(COUNT('Sprzedaż'!C131:N131)=0,0,M131/12)</f>
        <v/>
      </c>
      <c r="O131" s="72">
        <f>MAX('Sprzedaż'!C131:N131)</f>
        <v/>
      </c>
      <c r="P131" s="72">
        <f>MIN('Sprzedaż'!C131:N131)</f>
        <v/>
      </c>
      <c r="Q131" s="73">
        <f>IF(M131&lt;=0,"-",INDEX('Sprzedaż'!$C$4:$N$4,MATCH(O131,'Sprzedaż'!C131:N131,0)))</f>
        <v/>
      </c>
      <c r="R131" s="74">
        <f>IF(M131&lt;=0,0,(H131+I131)/M131)</f>
        <v/>
      </c>
      <c r="S131" s="74">
        <f>IF(F131=0,"-",IFERROR(M131/SUMIFS($M$5:$M$138,$A$5:$A$138,A131,$F$5:$F$138,1),0))</f>
        <v/>
      </c>
      <c r="T131" s="72">
        <f>M131-N('Sprzedaż'!O131)</f>
        <v/>
      </c>
      <c r="U131" s="75">
        <f>IF(F131=1,M131,-1)-ROW()/1000000</f>
        <v/>
      </c>
    </row>
    <row r="132">
      <c r="A132" s="70">
        <f>'Sprzedaż'!A132</f>
        <v/>
      </c>
      <c r="B132" s="70">
        <f>'Sprzedaż'!B132</f>
        <v/>
      </c>
      <c r="C132" s="70">
        <f>IF(COUNT('Sprzedaż'!C132:N132)=0,"BRAK DANYCH",IF(COUNT('Sprzedaż'!C132:N132)&lt;12,"niepełne","komplet"))</f>
        <v/>
      </c>
      <c r="D132" s="70">
        <f>COUNTIF('Sprzedaż'!C132:N132,"&gt;0.001")</f>
        <v/>
      </c>
      <c r="E132" s="71" t="inlineStr">
        <is>
          <t>t</t>
        </is>
      </c>
      <c r="F132" s="71" t="n">
        <v>1</v>
      </c>
      <c r="G132" s="72">
        <f>SUM('Sprzedaż'!C132:E132)</f>
        <v/>
      </c>
      <c r="H132" s="72">
        <f>SUM('Sprzedaż'!F132:H132)</f>
        <v/>
      </c>
      <c r="I132" s="72">
        <f>SUM('Sprzedaż'!I132:K132)</f>
        <v/>
      </c>
      <c r="J132" s="72">
        <f>SUM('Sprzedaż'!L132:N132)</f>
        <v/>
      </c>
      <c r="K132" s="72">
        <f>G132+H132</f>
        <v/>
      </c>
      <c r="L132" s="72">
        <f>I132+J132</f>
        <v/>
      </c>
      <c r="M132" s="72">
        <f>SUM('Sprzedaż'!C132:N132)</f>
        <v/>
      </c>
      <c r="N132" s="72">
        <f>IF(COUNT('Sprzedaż'!C132:N132)=0,0,M132/12)</f>
        <v/>
      </c>
      <c r="O132" s="72">
        <f>MAX('Sprzedaż'!C132:N132)</f>
        <v/>
      </c>
      <c r="P132" s="72">
        <f>MIN('Sprzedaż'!C132:N132)</f>
        <v/>
      </c>
      <c r="Q132" s="73">
        <f>IF(M132&lt;=0,"-",INDEX('Sprzedaż'!$C$4:$N$4,MATCH(O132,'Sprzedaż'!C132:N132,0)))</f>
        <v/>
      </c>
      <c r="R132" s="74">
        <f>IF(M132&lt;=0,0,(H132+I132)/M132)</f>
        <v/>
      </c>
      <c r="S132" s="74">
        <f>IF(F132=0,"-",IFERROR(M132/SUMIFS($M$5:$M$138,$A$5:$A$138,A132,$F$5:$F$138,1),0))</f>
        <v/>
      </c>
      <c r="T132" s="72">
        <f>M132-N('Sprzedaż'!O132)</f>
        <v/>
      </c>
      <c r="U132" s="75">
        <f>IF(F132=1,M132,-1)-ROW()/1000000</f>
        <v/>
      </c>
    </row>
    <row r="133">
      <c r="A133" s="70">
        <f>'Sprzedaż'!A133</f>
        <v/>
      </c>
      <c r="B133" s="70">
        <f>'Sprzedaż'!B133</f>
        <v/>
      </c>
      <c r="C133" s="70">
        <f>IF(COUNT('Sprzedaż'!C133:N133)=0,"BRAK DANYCH",IF(COUNT('Sprzedaż'!C133:N133)&lt;12,"niepełne","komplet"))</f>
        <v/>
      </c>
      <c r="D133" s="70">
        <f>COUNTIF('Sprzedaż'!C133:N133,"&gt;0.001")</f>
        <v/>
      </c>
      <c r="E133" s="71" t="inlineStr">
        <is>
          <t>t</t>
        </is>
      </c>
      <c r="F133" s="71" t="n">
        <v>1</v>
      </c>
      <c r="G133" s="72">
        <f>SUM('Sprzedaż'!C133:E133)</f>
        <v/>
      </c>
      <c r="H133" s="72">
        <f>SUM('Sprzedaż'!F133:H133)</f>
        <v/>
      </c>
      <c r="I133" s="72">
        <f>SUM('Sprzedaż'!I133:K133)</f>
        <v/>
      </c>
      <c r="J133" s="72">
        <f>SUM('Sprzedaż'!L133:N133)</f>
        <v/>
      </c>
      <c r="K133" s="72">
        <f>G133+H133</f>
        <v/>
      </c>
      <c r="L133" s="72">
        <f>I133+J133</f>
        <v/>
      </c>
      <c r="M133" s="72">
        <f>SUM('Sprzedaż'!C133:N133)</f>
        <v/>
      </c>
      <c r="N133" s="72">
        <f>IF(COUNT('Sprzedaż'!C133:N133)=0,0,M133/12)</f>
        <v/>
      </c>
      <c r="O133" s="72">
        <f>MAX('Sprzedaż'!C133:N133)</f>
        <v/>
      </c>
      <c r="P133" s="72">
        <f>MIN('Sprzedaż'!C133:N133)</f>
        <v/>
      </c>
      <c r="Q133" s="73">
        <f>IF(M133&lt;=0,"-",INDEX('Sprzedaż'!$C$4:$N$4,MATCH(O133,'Sprzedaż'!C133:N133,0)))</f>
        <v/>
      </c>
      <c r="R133" s="74">
        <f>IF(M133&lt;=0,0,(H133+I133)/M133)</f>
        <v/>
      </c>
      <c r="S133" s="74">
        <f>IF(F133=0,"-",IFERROR(M133/SUMIFS($M$5:$M$138,$A$5:$A$138,A133,$F$5:$F$138,1),0))</f>
        <v/>
      </c>
      <c r="T133" s="72">
        <f>M133-N('Sprzedaż'!O133)</f>
        <v/>
      </c>
      <c r="U133" s="75">
        <f>IF(F133=1,M133,-1)-ROW()/1000000</f>
        <v/>
      </c>
    </row>
    <row r="134">
      <c r="A134" s="70">
        <f>'Sprzedaż'!A134</f>
        <v/>
      </c>
      <c r="B134" s="70">
        <f>'Sprzedaż'!B134</f>
        <v/>
      </c>
      <c r="C134" s="70">
        <f>IF(COUNT('Sprzedaż'!C134:N134)=0,"BRAK DANYCH",IF(COUNT('Sprzedaż'!C134:N134)&lt;12,"niepełne","komplet"))</f>
        <v/>
      </c>
      <c r="D134" s="70">
        <f>COUNTIF('Sprzedaż'!C134:N134,"&gt;0.001")</f>
        <v/>
      </c>
      <c r="E134" s="71" t="inlineStr">
        <is>
          <t>t</t>
        </is>
      </c>
      <c r="F134" s="71" t="n">
        <v>1</v>
      </c>
      <c r="G134" s="72">
        <f>SUM('Sprzedaż'!C134:E134)</f>
        <v/>
      </c>
      <c r="H134" s="72">
        <f>SUM('Sprzedaż'!F134:H134)</f>
        <v/>
      </c>
      <c r="I134" s="72">
        <f>SUM('Sprzedaż'!I134:K134)</f>
        <v/>
      </c>
      <c r="J134" s="72">
        <f>SUM('Sprzedaż'!L134:N134)</f>
        <v/>
      </c>
      <c r="K134" s="72">
        <f>G134+H134</f>
        <v/>
      </c>
      <c r="L134" s="72">
        <f>I134+J134</f>
        <v/>
      </c>
      <c r="M134" s="72">
        <f>SUM('Sprzedaż'!C134:N134)</f>
        <v/>
      </c>
      <c r="N134" s="72">
        <f>IF(COUNT('Sprzedaż'!C134:N134)=0,0,M134/12)</f>
        <v/>
      </c>
      <c r="O134" s="72">
        <f>MAX('Sprzedaż'!C134:N134)</f>
        <v/>
      </c>
      <c r="P134" s="72">
        <f>MIN('Sprzedaż'!C134:N134)</f>
        <v/>
      </c>
      <c r="Q134" s="73">
        <f>IF(M134&lt;=0,"-",INDEX('Sprzedaż'!$C$4:$N$4,MATCH(O134,'Sprzedaż'!C134:N134,0)))</f>
        <v/>
      </c>
      <c r="R134" s="74">
        <f>IF(M134&lt;=0,0,(H134+I134)/M134)</f>
        <v/>
      </c>
      <c r="S134" s="74">
        <f>IF(F134=0,"-",IFERROR(M134/SUMIFS($M$5:$M$138,$A$5:$A$138,A134,$F$5:$F$138,1),0))</f>
        <v/>
      </c>
      <c r="T134" s="72">
        <f>M134-N('Sprzedaż'!O134)</f>
        <v/>
      </c>
      <c r="U134" s="75">
        <f>IF(F134=1,M134,-1)-ROW()/1000000</f>
        <v/>
      </c>
    </row>
    <row r="135">
      <c r="A135" s="70">
        <f>'Sprzedaż'!A135</f>
        <v/>
      </c>
      <c r="B135" s="70">
        <f>'Sprzedaż'!B135</f>
        <v/>
      </c>
      <c r="C135" s="70">
        <f>IF(COUNT('Sprzedaż'!C135:N135)=0,"BRAK DANYCH",IF(COUNT('Sprzedaż'!C135:N135)&lt;12,"niepełne","komplet"))</f>
        <v/>
      </c>
      <c r="D135" s="70">
        <f>COUNTIF('Sprzedaż'!C135:N135,"&gt;0.001")</f>
        <v/>
      </c>
      <c r="E135" s="71" t="inlineStr">
        <is>
          <t>t</t>
        </is>
      </c>
      <c r="F135" s="71" t="n">
        <v>1</v>
      </c>
      <c r="G135" s="72">
        <f>SUM('Sprzedaż'!C135:E135)</f>
        <v/>
      </c>
      <c r="H135" s="72">
        <f>SUM('Sprzedaż'!F135:H135)</f>
        <v/>
      </c>
      <c r="I135" s="72">
        <f>SUM('Sprzedaż'!I135:K135)</f>
        <v/>
      </c>
      <c r="J135" s="72">
        <f>SUM('Sprzedaż'!L135:N135)</f>
        <v/>
      </c>
      <c r="K135" s="72">
        <f>G135+H135</f>
        <v/>
      </c>
      <c r="L135" s="72">
        <f>I135+J135</f>
        <v/>
      </c>
      <c r="M135" s="72">
        <f>SUM('Sprzedaż'!C135:N135)</f>
        <v/>
      </c>
      <c r="N135" s="72">
        <f>IF(COUNT('Sprzedaż'!C135:N135)=0,0,M135/12)</f>
        <v/>
      </c>
      <c r="O135" s="72">
        <f>MAX('Sprzedaż'!C135:N135)</f>
        <v/>
      </c>
      <c r="P135" s="72">
        <f>MIN('Sprzedaż'!C135:N135)</f>
        <v/>
      </c>
      <c r="Q135" s="73">
        <f>IF(M135&lt;=0,"-",INDEX('Sprzedaż'!$C$4:$N$4,MATCH(O135,'Sprzedaż'!C135:N135,0)))</f>
        <v/>
      </c>
      <c r="R135" s="74">
        <f>IF(M135&lt;=0,0,(H135+I135)/M135)</f>
        <v/>
      </c>
      <c r="S135" s="74">
        <f>IF(F135=0,"-",IFERROR(M135/SUMIFS($M$5:$M$138,$A$5:$A$138,A135,$F$5:$F$138,1),0))</f>
        <v/>
      </c>
      <c r="T135" s="72">
        <f>M135-N('Sprzedaż'!O135)</f>
        <v/>
      </c>
      <c r="U135" s="75">
        <f>IF(F135=1,M135,-1)-ROW()/1000000</f>
        <v/>
      </c>
    </row>
    <row r="136">
      <c r="A136" s="70">
        <f>'Sprzedaż'!A136</f>
        <v/>
      </c>
      <c r="B136" s="70">
        <f>'Sprzedaż'!B136</f>
        <v/>
      </c>
      <c r="C136" s="70">
        <f>IF(COUNT('Sprzedaż'!C136:N136)=0,"BRAK DANYCH",IF(COUNT('Sprzedaż'!C136:N136)&lt;12,"niepełne","komplet"))</f>
        <v/>
      </c>
      <c r="D136" s="70">
        <f>COUNTIF('Sprzedaż'!C136:N136,"&gt;0.001")</f>
        <v/>
      </c>
      <c r="E136" s="71" t="inlineStr">
        <is>
          <t>t</t>
        </is>
      </c>
      <c r="F136" s="71" t="n">
        <v>1</v>
      </c>
      <c r="G136" s="72">
        <f>SUM('Sprzedaż'!C136:E136)</f>
        <v/>
      </c>
      <c r="H136" s="72">
        <f>SUM('Sprzedaż'!F136:H136)</f>
        <v/>
      </c>
      <c r="I136" s="72">
        <f>SUM('Sprzedaż'!I136:K136)</f>
        <v/>
      </c>
      <c r="J136" s="72">
        <f>SUM('Sprzedaż'!L136:N136)</f>
        <v/>
      </c>
      <c r="K136" s="72">
        <f>G136+H136</f>
        <v/>
      </c>
      <c r="L136" s="72">
        <f>I136+J136</f>
        <v/>
      </c>
      <c r="M136" s="72">
        <f>SUM('Sprzedaż'!C136:N136)</f>
        <v/>
      </c>
      <c r="N136" s="72">
        <f>IF(COUNT('Sprzedaż'!C136:N136)=0,0,M136/12)</f>
        <v/>
      </c>
      <c r="O136" s="72">
        <f>MAX('Sprzedaż'!C136:N136)</f>
        <v/>
      </c>
      <c r="P136" s="72">
        <f>MIN('Sprzedaż'!C136:N136)</f>
        <v/>
      </c>
      <c r="Q136" s="73">
        <f>IF(M136&lt;=0,"-",INDEX('Sprzedaż'!$C$4:$N$4,MATCH(O136,'Sprzedaż'!C136:N136,0)))</f>
        <v/>
      </c>
      <c r="R136" s="74">
        <f>IF(M136&lt;=0,0,(H136+I136)/M136)</f>
        <v/>
      </c>
      <c r="S136" s="74">
        <f>IF(F136=0,"-",IFERROR(M136/SUMIFS($M$5:$M$138,$A$5:$A$138,A136,$F$5:$F$138,1),0))</f>
        <v/>
      </c>
      <c r="T136" s="72">
        <f>M136-N('Sprzedaż'!O136)</f>
        <v/>
      </c>
      <c r="U136" s="75">
        <f>IF(F136=1,M136,-1)-ROW()/1000000</f>
        <v/>
      </c>
    </row>
    <row r="137">
      <c r="A137" s="70">
        <f>'Sprzedaż'!A137</f>
        <v/>
      </c>
      <c r="B137" s="70">
        <f>'Sprzedaż'!B137</f>
        <v/>
      </c>
      <c r="C137" s="70">
        <f>IF(COUNT('Sprzedaż'!C137:N137)=0,"BRAK DANYCH",IF(COUNT('Sprzedaż'!C137:N137)&lt;12,"niepełne","komplet"))</f>
        <v/>
      </c>
      <c r="D137" s="70">
        <f>COUNTIF('Sprzedaż'!C137:N137,"&gt;0.001")</f>
        <v/>
      </c>
      <c r="E137" s="71" t="inlineStr">
        <is>
          <t>t</t>
        </is>
      </c>
      <c r="F137" s="71" t="n">
        <v>1</v>
      </c>
      <c r="G137" s="72">
        <f>SUM('Sprzedaż'!C137:E137)</f>
        <v/>
      </c>
      <c r="H137" s="72">
        <f>SUM('Sprzedaż'!F137:H137)</f>
        <v/>
      </c>
      <c r="I137" s="72">
        <f>SUM('Sprzedaż'!I137:K137)</f>
        <v/>
      </c>
      <c r="J137" s="72">
        <f>SUM('Sprzedaż'!L137:N137)</f>
        <v/>
      </c>
      <c r="K137" s="72">
        <f>G137+H137</f>
        <v/>
      </c>
      <c r="L137" s="72">
        <f>I137+J137</f>
        <v/>
      </c>
      <c r="M137" s="72">
        <f>SUM('Sprzedaż'!C137:N137)</f>
        <v/>
      </c>
      <c r="N137" s="72">
        <f>IF(COUNT('Sprzedaż'!C137:N137)=0,0,M137/12)</f>
        <v/>
      </c>
      <c r="O137" s="72">
        <f>MAX('Sprzedaż'!C137:N137)</f>
        <v/>
      </c>
      <c r="P137" s="72">
        <f>MIN('Sprzedaż'!C137:N137)</f>
        <v/>
      </c>
      <c r="Q137" s="73">
        <f>IF(M137&lt;=0,"-",INDEX('Sprzedaż'!$C$4:$N$4,MATCH(O137,'Sprzedaż'!C137:N137,0)))</f>
        <v/>
      </c>
      <c r="R137" s="74">
        <f>IF(M137&lt;=0,0,(H137+I137)/M137)</f>
        <v/>
      </c>
      <c r="S137" s="74">
        <f>IF(F137=0,"-",IFERROR(M137/SUMIFS($M$5:$M$138,$A$5:$A$138,A137,$F$5:$F$138,1),0))</f>
        <v/>
      </c>
      <c r="T137" s="72">
        <f>M137-N('Sprzedaż'!O137)</f>
        <v/>
      </c>
      <c r="U137" s="75">
        <f>IF(F137=1,M137,-1)-ROW()/1000000</f>
        <v/>
      </c>
    </row>
    <row r="138">
      <c r="A138" s="70">
        <f>'Sprzedaż'!A138</f>
        <v/>
      </c>
      <c r="B138" s="70">
        <f>'Sprzedaż'!B138</f>
        <v/>
      </c>
      <c r="C138" s="70">
        <f>IF(COUNT('Sprzedaż'!C138:N138)=0,"BRAK DANYCH",IF(COUNT('Sprzedaż'!C138:N138)&lt;12,"niepełne","komplet"))</f>
        <v/>
      </c>
      <c r="D138" s="70">
        <f>COUNTIF('Sprzedaż'!C138:N138,"&gt;0.001")</f>
        <v/>
      </c>
      <c r="E138" s="71" t="inlineStr">
        <is>
          <t>t</t>
        </is>
      </c>
      <c r="F138" s="71" t="n">
        <v>1</v>
      </c>
      <c r="G138" s="72">
        <f>SUM('Sprzedaż'!C138:E138)</f>
        <v/>
      </c>
      <c r="H138" s="72">
        <f>SUM('Sprzedaż'!F138:H138)</f>
        <v/>
      </c>
      <c r="I138" s="72">
        <f>SUM('Sprzedaż'!I138:K138)</f>
        <v/>
      </c>
      <c r="J138" s="72">
        <f>SUM('Sprzedaż'!L138:N138)</f>
        <v/>
      </c>
      <c r="K138" s="72">
        <f>G138+H138</f>
        <v/>
      </c>
      <c r="L138" s="72">
        <f>I138+J138</f>
        <v/>
      </c>
      <c r="M138" s="72">
        <f>SUM('Sprzedaż'!C138:N138)</f>
        <v/>
      </c>
      <c r="N138" s="72">
        <f>IF(COUNT('Sprzedaż'!C138:N138)=0,0,M138/12)</f>
        <v/>
      </c>
      <c r="O138" s="72">
        <f>MAX('Sprzedaż'!C138:N138)</f>
        <v/>
      </c>
      <c r="P138" s="72">
        <f>MIN('Sprzedaż'!C138:N138)</f>
        <v/>
      </c>
      <c r="Q138" s="73">
        <f>IF(M138&lt;=0,"-",INDEX('Sprzedaż'!$C$4:$N$4,MATCH(O138,'Sprzedaż'!C138:N138,0)))</f>
        <v/>
      </c>
      <c r="R138" s="74">
        <f>IF(M138&lt;=0,0,(H138+I138)/M138)</f>
        <v/>
      </c>
      <c r="S138" s="74">
        <f>IF(F138=0,"-",IFERROR(M138/SUMIFS($M$5:$M$138,$A$5:$A$138,A138,$F$5:$F$138,1),0))</f>
        <v/>
      </c>
      <c r="T138" s="72">
        <f>M138-N('Sprzedaż'!O138)</f>
        <v/>
      </c>
      <c r="U138" s="75">
        <f>IF(F138=1,M138,-1)-ROW()/1000000</f>
        <v/>
      </c>
    </row>
  </sheetData>
  <conditionalFormatting sqref="C5:C138">
    <cfRule type="cellIs" priority="1" operator="equal" dxfId="0">
      <formula>"BRAK DANYCH"</formula>
    </cfRule>
    <cfRule type="cellIs" priority="2" operator="equal" dxfId="1">
      <formula>"niepełne"</formula>
    </cfRule>
  </conditionalFormatting>
  <conditionalFormatting sqref="T5:T138">
    <cfRule type="expression" priority="3" dxfId="0">
      <formula>ABS(T5)&gt;0.5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67" t="inlineStr">
        <is>
          <t>Podsumowanie – wolumen sprzedaży 2027 wg spółek [t]</t>
        </is>
      </c>
    </row>
    <row r="2">
      <c r="A2" s="68" t="inlineStr">
        <is>
          <t>Suma ton: bez wierszy-sum (PULREA razem, MELAMINA ogółem), bez jednostek innych niż tony (wodór, CO2 butle, powietrze) i bez wodoru OXO – wg kolumny F w arkuszu „Obliczenia”.</t>
        </is>
      </c>
    </row>
    <row r="4">
      <c r="A4" s="69" t="inlineStr">
        <is>
          <t>Spółka</t>
        </is>
      </c>
      <c r="B4" s="69" t="inlineStr">
        <is>
          <t>styczeń</t>
        </is>
      </c>
      <c r="C4" s="69" t="inlineStr">
        <is>
          <t>luty</t>
        </is>
      </c>
      <c r="D4" s="69" t="inlineStr">
        <is>
          <t>marzec</t>
        </is>
      </c>
      <c r="E4" s="69" t="inlineStr">
        <is>
          <t>kwiecień</t>
        </is>
      </c>
      <c r="F4" s="69" t="inlineStr">
        <is>
          <t>maj</t>
        </is>
      </c>
      <c r="G4" s="69" t="inlineStr">
        <is>
          <t>czerwiec</t>
        </is>
      </c>
      <c r="H4" s="69" t="inlineStr">
        <is>
          <t>lipiec</t>
        </is>
      </c>
      <c r="I4" s="69" t="inlineStr">
        <is>
          <t>sierpień</t>
        </is>
      </c>
      <c r="J4" s="69" t="inlineStr">
        <is>
          <t>wrzesień</t>
        </is>
      </c>
      <c r="K4" s="69" t="inlineStr">
        <is>
          <t>październik</t>
        </is>
      </c>
      <c r="L4" s="69" t="inlineStr">
        <is>
          <t>listopad</t>
        </is>
      </c>
      <c r="M4" s="69" t="inlineStr">
        <is>
          <t>grudzień</t>
        </is>
      </c>
      <c r="N4" s="69" t="inlineStr">
        <is>
          <t>Rok</t>
        </is>
      </c>
      <c r="O4" s="69" t="inlineStr">
        <is>
          <t>Q1</t>
        </is>
      </c>
      <c r="P4" s="69" t="inlineStr">
        <is>
          <t>Q2</t>
        </is>
      </c>
      <c r="Q4" s="69" t="inlineStr">
        <is>
          <t>Q3</t>
        </is>
      </c>
      <c r="R4" s="69" t="inlineStr">
        <is>
          <t>Q4</t>
        </is>
      </c>
      <c r="S4" s="69" t="inlineStr">
        <is>
          <t>Udział w Grupie</t>
        </is>
      </c>
      <c r="T4" s="69" t="inlineStr">
        <is>
          <t>Średnio / mies.</t>
        </is>
      </c>
      <c r="U4" s="69" t="inlineStr">
        <is>
          <t>Liczba produktów</t>
        </is>
      </c>
      <c r="V4" s="69" t="inlineStr">
        <is>
          <t>w tym bez danych</t>
        </is>
      </c>
    </row>
    <row r="5">
      <c r="A5" s="76" t="inlineStr">
        <is>
          <t>ZAP</t>
        </is>
      </c>
      <c r="B5" s="72">
        <f>SUMPRODUCT(('Sprzedaż'!$A$5:$A$138=$A5)*(Obliczenia!$F$5:$F$138=1),'Sprzedaż'!C$5:C$138)</f>
        <v/>
      </c>
      <c r="C5" s="72">
        <f>SUMPRODUCT(('Sprzedaż'!$A$5:$A$138=$A5)*(Obliczenia!$F$5:$F$138=1),'Sprzedaż'!D$5:D$138)</f>
        <v/>
      </c>
      <c r="D5" s="72">
        <f>SUMPRODUCT(('Sprzedaż'!$A$5:$A$138=$A5)*(Obliczenia!$F$5:$F$138=1),'Sprzedaż'!E$5:E$138)</f>
        <v/>
      </c>
      <c r="E5" s="72">
        <f>SUMPRODUCT(('Sprzedaż'!$A$5:$A$138=$A5)*(Obliczenia!$F$5:$F$138=1),'Sprzedaż'!F$5:F$138)</f>
        <v/>
      </c>
      <c r="F5" s="72">
        <f>SUMPRODUCT(('Sprzedaż'!$A$5:$A$138=$A5)*(Obliczenia!$F$5:$F$138=1),'Sprzedaż'!G$5:G$138)</f>
        <v/>
      </c>
      <c r="G5" s="72">
        <f>SUMPRODUCT(('Sprzedaż'!$A$5:$A$138=$A5)*(Obliczenia!$F$5:$F$138=1),'Sprzedaż'!H$5:H$138)</f>
        <v/>
      </c>
      <c r="H5" s="72">
        <f>SUMPRODUCT(('Sprzedaż'!$A$5:$A$138=$A5)*(Obliczenia!$F$5:$F$138=1),'Sprzedaż'!I$5:I$138)</f>
        <v/>
      </c>
      <c r="I5" s="72">
        <f>SUMPRODUCT(('Sprzedaż'!$A$5:$A$138=$A5)*(Obliczenia!$F$5:$F$138=1),'Sprzedaż'!J$5:J$138)</f>
        <v/>
      </c>
      <c r="J5" s="72">
        <f>SUMPRODUCT(('Sprzedaż'!$A$5:$A$138=$A5)*(Obliczenia!$F$5:$F$138=1),'Sprzedaż'!K$5:K$138)</f>
        <v/>
      </c>
      <c r="K5" s="72">
        <f>SUMPRODUCT(('Sprzedaż'!$A$5:$A$138=$A5)*(Obliczenia!$F$5:$F$138=1),'Sprzedaż'!L$5:L$138)</f>
        <v/>
      </c>
      <c r="L5" s="72">
        <f>SUMPRODUCT(('Sprzedaż'!$A$5:$A$138=$A5)*(Obliczenia!$F$5:$F$138=1),'Sprzedaż'!M$5:M$138)</f>
        <v/>
      </c>
      <c r="M5" s="72">
        <f>SUMPRODUCT(('Sprzedaż'!$A$5:$A$138=$A5)*(Obliczenia!$F$5:$F$138=1),'Sprzedaż'!N$5:N$138)</f>
        <v/>
      </c>
      <c r="N5" s="72">
        <f>SUM(B5:M5)</f>
        <v/>
      </c>
      <c r="O5" s="72">
        <f>SUM(B5:D5)</f>
        <v/>
      </c>
      <c r="P5" s="72">
        <f>SUM(E5:G5)</f>
        <v/>
      </c>
      <c r="Q5" s="72">
        <f>SUM(H5:J5)</f>
        <v/>
      </c>
      <c r="R5" s="72">
        <f>SUM(K5:M5)</f>
        <v/>
      </c>
      <c r="S5" s="74">
        <f>IF($N$10=0,0,N5/$N$10)</f>
        <v/>
      </c>
      <c r="T5" s="72">
        <f>N5/12</f>
        <v/>
      </c>
      <c r="U5" s="72">
        <f>SUMPRODUCT(('Sprzedaż'!$A$5:$A$138=$A5)*('Sprzedaż'!$B$5:$B$138&lt;&gt;""))</f>
        <v/>
      </c>
      <c r="V5" s="72">
        <f>COUNTIFS('Sprzedaż'!$A$5:$A$138,$A5,Obliczenia!$C$5:$C$138,"BRAK DANYCH")</f>
        <v/>
      </c>
    </row>
    <row r="6">
      <c r="A6" s="76" t="inlineStr">
        <is>
          <t>ZAK</t>
        </is>
      </c>
      <c r="B6" s="72">
        <f>SUMPRODUCT(('Sprzedaż'!$A$5:$A$138=$A6)*(Obliczenia!$F$5:$F$138=1),'Sprzedaż'!C$5:C$138)</f>
        <v/>
      </c>
      <c r="C6" s="72">
        <f>SUMPRODUCT(('Sprzedaż'!$A$5:$A$138=$A6)*(Obliczenia!$F$5:$F$138=1),'Sprzedaż'!D$5:D$138)</f>
        <v/>
      </c>
      <c r="D6" s="72">
        <f>SUMPRODUCT(('Sprzedaż'!$A$5:$A$138=$A6)*(Obliczenia!$F$5:$F$138=1),'Sprzedaż'!E$5:E$138)</f>
        <v/>
      </c>
      <c r="E6" s="72">
        <f>SUMPRODUCT(('Sprzedaż'!$A$5:$A$138=$A6)*(Obliczenia!$F$5:$F$138=1),'Sprzedaż'!F$5:F$138)</f>
        <v/>
      </c>
      <c r="F6" s="72">
        <f>SUMPRODUCT(('Sprzedaż'!$A$5:$A$138=$A6)*(Obliczenia!$F$5:$F$138=1),'Sprzedaż'!G$5:G$138)</f>
        <v/>
      </c>
      <c r="G6" s="72">
        <f>SUMPRODUCT(('Sprzedaż'!$A$5:$A$138=$A6)*(Obliczenia!$F$5:$F$138=1),'Sprzedaż'!H$5:H$138)</f>
        <v/>
      </c>
      <c r="H6" s="72">
        <f>SUMPRODUCT(('Sprzedaż'!$A$5:$A$138=$A6)*(Obliczenia!$F$5:$F$138=1),'Sprzedaż'!I$5:I$138)</f>
        <v/>
      </c>
      <c r="I6" s="72">
        <f>SUMPRODUCT(('Sprzedaż'!$A$5:$A$138=$A6)*(Obliczenia!$F$5:$F$138=1),'Sprzedaż'!J$5:J$138)</f>
        <v/>
      </c>
      <c r="J6" s="72">
        <f>SUMPRODUCT(('Sprzedaż'!$A$5:$A$138=$A6)*(Obliczenia!$F$5:$F$138=1),'Sprzedaż'!K$5:K$138)</f>
        <v/>
      </c>
      <c r="K6" s="72">
        <f>SUMPRODUCT(('Sprzedaż'!$A$5:$A$138=$A6)*(Obliczenia!$F$5:$F$138=1),'Sprzedaż'!L$5:L$138)</f>
        <v/>
      </c>
      <c r="L6" s="72">
        <f>SUMPRODUCT(('Sprzedaż'!$A$5:$A$138=$A6)*(Obliczenia!$F$5:$F$138=1),'Sprzedaż'!M$5:M$138)</f>
        <v/>
      </c>
      <c r="M6" s="72">
        <f>SUMPRODUCT(('Sprzedaż'!$A$5:$A$138=$A6)*(Obliczenia!$F$5:$F$138=1),'Sprzedaż'!N$5:N$138)</f>
        <v/>
      </c>
      <c r="N6" s="72">
        <f>SUM(B6:M6)</f>
        <v/>
      </c>
      <c r="O6" s="72">
        <f>SUM(B6:D6)</f>
        <v/>
      </c>
      <c r="P6" s="72">
        <f>SUM(E6:G6)</f>
        <v/>
      </c>
      <c r="Q6" s="72">
        <f>SUM(H6:J6)</f>
        <v/>
      </c>
      <c r="R6" s="72">
        <f>SUM(K6:M6)</f>
        <v/>
      </c>
      <c r="S6" s="74">
        <f>IF($N$10=0,0,N6/$N$10)</f>
        <v/>
      </c>
      <c r="T6" s="72">
        <f>N6/12</f>
        <v/>
      </c>
      <c r="U6" s="72">
        <f>SUMPRODUCT(('Sprzedaż'!$A$5:$A$138=$A6)*('Sprzedaż'!$B$5:$B$138&lt;&gt;""))</f>
        <v/>
      </c>
      <c r="V6" s="72">
        <f>COUNTIFS('Sprzedaż'!$A$5:$A$138,$A6,Obliczenia!$C$5:$C$138,"BRAK DANYCH")</f>
        <v/>
      </c>
    </row>
    <row r="7">
      <c r="A7" s="76" t="inlineStr">
        <is>
          <t>ZAT</t>
        </is>
      </c>
      <c r="B7" s="72">
        <f>SUMPRODUCT(('Sprzedaż'!$A$5:$A$138=$A7)*(Obliczenia!$F$5:$F$138=1),'Sprzedaż'!C$5:C$138)</f>
        <v/>
      </c>
      <c r="C7" s="72">
        <f>SUMPRODUCT(('Sprzedaż'!$A$5:$A$138=$A7)*(Obliczenia!$F$5:$F$138=1),'Sprzedaż'!D$5:D$138)</f>
        <v/>
      </c>
      <c r="D7" s="72">
        <f>SUMPRODUCT(('Sprzedaż'!$A$5:$A$138=$A7)*(Obliczenia!$F$5:$F$138=1),'Sprzedaż'!E$5:E$138)</f>
        <v/>
      </c>
      <c r="E7" s="72">
        <f>SUMPRODUCT(('Sprzedaż'!$A$5:$A$138=$A7)*(Obliczenia!$F$5:$F$138=1),'Sprzedaż'!F$5:F$138)</f>
        <v/>
      </c>
      <c r="F7" s="72">
        <f>SUMPRODUCT(('Sprzedaż'!$A$5:$A$138=$A7)*(Obliczenia!$F$5:$F$138=1),'Sprzedaż'!G$5:G$138)</f>
        <v/>
      </c>
      <c r="G7" s="72">
        <f>SUMPRODUCT(('Sprzedaż'!$A$5:$A$138=$A7)*(Obliczenia!$F$5:$F$138=1),'Sprzedaż'!H$5:H$138)</f>
        <v/>
      </c>
      <c r="H7" s="72">
        <f>SUMPRODUCT(('Sprzedaż'!$A$5:$A$138=$A7)*(Obliczenia!$F$5:$F$138=1),'Sprzedaż'!I$5:I$138)</f>
        <v/>
      </c>
      <c r="I7" s="72">
        <f>SUMPRODUCT(('Sprzedaż'!$A$5:$A$138=$A7)*(Obliczenia!$F$5:$F$138=1),'Sprzedaż'!J$5:J$138)</f>
        <v/>
      </c>
      <c r="J7" s="72">
        <f>SUMPRODUCT(('Sprzedaż'!$A$5:$A$138=$A7)*(Obliczenia!$F$5:$F$138=1),'Sprzedaż'!K$5:K$138)</f>
        <v/>
      </c>
      <c r="K7" s="72">
        <f>SUMPRODUCT(('Sprzedaż'!$A$5:$A$138=$A7)*(Obliczenia!$F$5:$F$138=1),'Sprzedaż'!L$5:L$138)</f>
        <v/>
      </c>
      <c r="L7" s="72">
        <f>SUMPRODUCT(('Sprzedaż'!$A$5:$A$138=$A7)*(Obliczenia!$F$5:$F$138=1),'Sprzedaż'!M$5:M$138)</f>
        <v/>
      </c>
      <c r="M7" s="72">
        <f>SUMPRODUCT(('Sprzedaż'!$A$5:$A$138=$A7)*(Obliczenia!$F$5:$F$138=1),'Sprzedaż'!N$5:N$138)</f>
        <v/>
      </c>
      <c r="N7" s="72">
        <f>SUM(B7:M7)</f>
        <v/>
      </c>
      <c r="O7" s="72">
        <f>SUM(B7:D7)</f>
        <v/>
      </c>
      <c r="P7" s="72">
        <f>SUM(E7:G7)</f>
        <v/>
      </c>
      <c r="Q7" s="72">
        <f>SUM(H7:J7)</f>
        <v/>
      </c>
      <c r="R7" s="72">
        <f>SUM(K7:M7)</f>
        <v/>
      </c>
      <c r="S7" s="74">
        <f>IF($N$10=0,0,N7/$N$10)</f>
        <v/>
      </c>
      <c r="T7" s="72">
        <f>N7/12</f>
        <v/>
      </c>
      <c r="U7" s="72">
        <f>SUMPRODUCT(('Sprzedaż'!$A$5:$A$138=$A7)*('Sprzedaż'!$B$5:$B$138&lt;&gt;""))</f>
        <v/>
      </c>
      <c r="V7" s="72">
        <f>COUNTIFS('Sprzedaż'!$A$5:$A$138,$A7,Obliczenia!$C$5:$C$138,"BRAK DANYCH")</f>
        <v/>
      </c>
    </row>
    <row r="8">
      <c r="A8" s="76" t="inlineStr">
        <is>
          <t>ZChP</t>
        </is>
      </c>
      <c r="B8" s="72">
        <f>SUMPRODUCT(('Sprzedaż'!$A$5:$A$138=$A8)*(Obliczenia!$F$5:$F$138=1),'Sprzedaż'!C$5:C$138)</f>
        <v/>
      </c>
      <c r="C8" s="72">
        <f>SUMPRODUCT(('Sprzedaż'!$A$5:$A$138=$A8)*(Obliczenia!$F$5:$F$138=1),'Sprzedaż'!D$5:D$138)</f>
        <v/>
      </c>
      <c r="D8" s="72">
        <f>SUMPRODUCT(('Sprzedaż'!$A$5:$A$138=$A8)*(Obliczenia!$F$5:$F$138=1),'Sprzedaż'!E$5:E$138)</f>
        <v/>
      </c>
      <c r="E8" s="72">
        <f>SUMPRODUCT(('Sprzedaż'!$A$5:$A$138=$A8)*(Obliczenia!$F$5:$F$138=1),'Sprzedaż'!F$5:F$138)</f>
        <v/>
      </c>
      <c r="F8" s="72">
        <f>SUMPRODUCT(('Sprzedaż'!$A$5:$A$138=$A8)*(Obliczenia!$F$5:$F$138=1),'Sprzedaż'!G$5:G$138)</f>
        <v/>
      </c>
      <c r="G8" s="72">
        <f>SUMPRODUCT(('Sprzedaż'!$A$5:$A$138=$A8)*(Obliczenia!$F$5:$F$138=1),'Sprzedaż'!H$5:H$138)</f>
        <v/>
      </c>
      <c r="H8" s="72">
        <f>SUMPRODUCT(('Sprzedaż'!$A$5:$A$138=$A8)*(Obliczenia!$F$5:$F$138=1),'Sprzedaż'!I$5:I$138)</f>
        <v/>
      </c>
      <c r="I8" s="72">
        <f>SUMPRODUCT(('Sprzedaż'!$A$5:$A$138=$A8)*(Obliczenia!$F$5:$F$138=1),'Sprzedaż'!J$5:J$138)</f>
        <v/>
      </c>
      <c r="J8" s="72">
        <f>SUMPRODUCT(('Sprzedaż'!$A$5:$A$138=$A8)*(Obliczenia!$F$5:$F$138=1),'Sprzedaż'!K$5:K$138)</f>
        <v/>
      </c>
      <c r="K8" s="72">
        <f>SUMPRODUCT(('Sprzedaż'!$A$5:$A$138=$A8)*(Obliczenia!$F$5:$F$138=1),'Sprzedaż'!L$5:L$138)</f>
        <v/>
      </c>
      <c r="L8" s="72">
        <f>SUMPRODUCT(('Sprzedaż'!$A$5:$A$138=$A8)*(Obliczenia!$F$5:$F$138=1),'Sprzedaż'!M$5:M$138)</f>
        <v/>
      </c>
      <c r="M8" s="72">
        <f>SUMPRODUCT(('Sprzedaż'!$A$5:$A$138=$A8)*(Obliczenia!$F$5:$F$138=1),'Sprzedaż'!N$5:N$138)</f>
        <v/>
      </c>
      <c r="N8" s="72">
        <f>SUM(B8:M8)</f>
        <v/>
      </c>
      <c r="O8" s="72">
        <f>SUM(B8:D8)</f>
        <v/>
      </c>
      <c r="P8" s="72">
        <f>SUM(E8:G8)</f>
        <v/>
      </c>
      <c r="Q8" s="72">
        <f>SUM(H8:J8)</f>
        <v/>
      </c>
      <c r="R8" s="72">
        <f>SUM(K8:M8)</f>
        <v/>
      </c>
      <c r="S8" s="74">
        <f>IF($N$10=0,0,N8/$N$10)</f>
        <v/>
      </c>
      <c r="T8" s="72">
        <f>N8/12</f>
        <v/>
      </c>
      <c r="U8" s="72">
        <f>SUMPRODUCT(('Sprzedaż'!$A$5:$A$138=$A8)*('Sprzedaż'!$B$5:$B$138&lt;&gt;""))</f>
        <v/>
      </c>
      <c r="V8" s="72">
        <f>COUNTIFS('Sprzedaż'!$A$5:$A$138,$A8,Obliczenia!$C$5:$C$138,"BRAK DANYCH")</f>
        <v/>
      </c>
    </row>
    <row r="9">
      <c r="A9" s="76" t="inlineStr">
        <is>
          <t>Fosfory</t>
        </is>
      </c>
      <c r="B9" s="72">
        <f>SUMPRODUCT(('Sprzedaż'!$A$5:$A$138=$A9)*(Obliczenia!$F$5:$F$138=1),'Sprzedaż'!C$5:C$138)</f>
        <v/>
      </c>
      <c r="C9" s="72">
        <f>SUMPRODUCT(('Sprzedaż'!$A$5:$A$138=$A9)*(Obliczenia!$F$5:$F$138=1),'Sprzedaż'!D$5:D$138)</f>
        <v/>
      </c>
      <c r="D9" s="72">
        <f>SUMPRODUCT(('Sprzedaż'!$A$5:$A$138=$A9)*(Obliczenia!$F$5:$F$138=1),'Sprzedaż'!E$5:E$138)</f>
        <v/>
      </c>
      <c r="E9" s="72">
        <f>SUMPRODUCT(('Sprzedaż'!$A$5:$A$138=$A9)*(Obliczenia!$F$5:$F$138=1),'Sprzedaż'!F$5:F$138)</f>
        <v/>
      </c>
      <c r="F9" s="72">
        <f>SUMPRODUCT(('Sprzedaż'!$A$5:$A$138=$A9)*(Obliczenia!$F$5:$F$138=1),'Sprzedaż'!G$5:G$138)</f>
        <v/>
      </c>
      <c r="G9" s="72">
        <f>SUMPRODUCT(('Sprzedaż'!$A$5:$A$138=$A9)*(Obliczenia!$F$5:$F$138=1),'Sprzedaż'!H$5:H$138)</f>
        <v/>
      </c>
      <c r="H9" s="72">
        <f>SUMPRODUCT(('Sprzedaż'!$A$5:$A$138=$A9)*(Obliczenia!$F$5:$F$138=1),'Sprzedaż'!I$5:I$138)</f>
        <v/>
      </c>
      <c r="I9" s="72">
        <f>SUMPRODUCT(('Sprzedaż'!$A$5:$A$138=$A9)*(Obliczenia!$F$5:$F$138=1),'Sprzedaż'!J$5:J$138)</f>
        <v/>
      </c>
      <c r="J9" s="72">
        <f>SUMPRODUCT(('Sprzedaż'!$A$5:$A$138=$A9)*(Obliczenia!$F$5:$F$138=1),'Sprzedaż'!K$5:K$138)</f>
        <v/>
      </c>
      <c r="K9" s="72">
        <f>SUMPRODUCT(('Sprzedaż'!$A$5:$A$138=$A9)*(Obliczenia!$F$5:$F$138=1),'Sprzedaż'!L$5:L$138)</f>
        <v/>
      </c>
      <c r="L9" s="72">
        <f>SUMPRODUCT(('Sprzedaż'!$A$5:$A$138=$A9)*(Obliczenia!$F$5:$F$138=1),'Sprzedaż'!M$5:M$138)</f>
        <v/>
      </c>
      <c r="M9" s="72">
        <f>SUMPRODUCT(('Sprzedaż'!$A$5:$A$138=$A9)*(Obliczenia!$F$5:$F$138=1),'Sprzedaż'!N$5:N$138)</f>
        <v/>
      </c>
      <c r="N9" s="72">
        <f>SUM(B9:M9)</f>
        <v/>
      </c>
      <c r="O9" s="72">
        <f>SUM(B9:D9)</f>
        <v/>
      </c>
      <c r="P9" s="72">
        <f>SUM(E9:G9)</f>
        <v/>
      </c>
      <c r="Q9" s="72">
        <f>SUM(H9:J9)</f>
        <v/>
      </c>
      <c r="R9" s="72">
        <f>SUM(K9:M9)</f>
        <v/>
      </c>
      <c r="S9" s="74">
        <f>IF($N$10=0,0,N9/$N$10)</f>
        <v/>
      </c>
      <c r="T9" s="72">
        <f>N9/12</f>
        <v/>
      </c>
      <c r="U9" s="72">
        <f>SUMPRODUCT(('Sprzedaż'!$A$5:$A$138=$A9)*('Sprzedaż'!$B$5:$B$138&lt;&gt;""))</f>
        <v/>
      </c>
      <c r="V9" s="72">
        <f>COUNTIFS('Sprzedaż'!$A$5:$A$138,$A9,Obliczenia!$C$5:$C$138,"BRAK DANYCH")</f>
        <v/>
      </c>
    </row>
    <row r="10">
      <c r="A10" s="77" t="inlineStr">
        <is>
          <t>GRUPA razem</t>
        </is>
      </c>
      <c r="B10" s="77">
        <f>SUM(B5:B9)</f>
        <v/>
      </c>
      <c r="C10" s="77">
        <f>SUM(C5:C9)</f>
        <v/>
      </c>
      <c r="D10" s="77">
        <f>SUM(D5:D9)</f>
        <v/>
      </c>
      <c r="E10" s="77">
        <f>SUM(E5:E9)</f>
        <v/>
      </c>
      <c r="F10" s="77">
        <f>SUM(F5:F9)</f>
        <v/>
      </c>
      <c r="G10" s="77">
        <f>SUM(G5:G9)</f>
        <v/>
      </c>
      <c r="H10" s="77">
        <f>SUM(H5:H9)</f>
        <v/>
      </c>
      <c r="I10" s="77">
        <f>SUM(I5:I9)</f>
        <v/>
      </c>
      <c r="J10" s="77">
        <f>SUM(J5:J9)</f>
        <v/>
      </c>
      <c r="K10" s="77">
        <f>SUM(K5:K9)</f>
        <v/>
      </c>
      <c r="L10" s="77">
        <f>SUM(L5:L9)</f>
        <v/>
      </c>
      <c r="M10" s="77">
        <f>SUM(M5:M9)</f>
        <v/>
      </c>
      <c r="N10" s="77">
        <f>SUM(N5:N9)</f>
        <v/>
      </c>
      <c r="O10" s="77">
        <f>SUM(O5:O9)</f>
        <v/>
      </c>
      <c r="P10" s="77">
        <f>SUM(P5:P9)</f>
        <v/>
      </c>
      <c r="Q10" s="77">
        <f>SUM(Q5:Q9)</f>
        <v/>
      </c>
      <c r="R10" s="77">
        <f>SUM(R5:R9)</f>
        <v/>
      </c>
      <c r="S10" s="78">
        <f>SUM(S5:S9)</f>
        <v/>
      </c>
      <c r="T10" s="77">
        <f>SUM(T5:T9)</f>
        <v/>
      </c>
      <c r="U10" s="77">
        <f>SUM(U5:U9)</f>
        <v/>
      </c>
      <c r="V10" s="77">
        <f>SUM(V5:V9)</f>
        <v/>
      </c>
    </row>
    <row r="11">
      <c r="A11" s="79" t="inlineStr">
        <is>
          <t>Udział miesiąca w roku</t>
        </is>
      </c>
      <c r="B11" s="80">
        <f>IF($N$10=0,0,B10/$N$10)</f>
        <v/>
      </c>
      <c r="C11" s="80">
        <f>IF($N$10=0,0,C10/$N$10)</f>
        <v/>
      </c>
      <c r="D11" s="80">
        <f>IF($N$10=0,0,D10/$N$10)</f>
        <v/>
      </c>
      <c r="E11" s="80">
        <f>IF($N$10=0,0,E10/$N$10)</f>
        <v/>
      </c>
      <c r="F11" s="80">
        <f>IF($N$10=0,0,F10/$N$10)</f>
        <v/>
      </c>
      <c r="G11" s="80">
        <f>IF($N$10=0,0,G10/$N$10)</f>
        <v/>
      </c>
      <c r="H11" s="80">
        <f>IF($N$10=0,0,H10/$N$10)</f>
        <v/>
      </c>
      <c r="I11" s="80">
        <f>IF($N$10=0,0,I10/$N$10)</f>
        <v/>
      </c>
      <c r="J11" s="80">
        <f>IF($N$10=0,0,J10/$N$10)</f>
        <v/>
      </c>
      <c r="K11" s="80">
        <f>IF($N$10=0,0,K10/$N$10)</f>
        <v/>
      </c>
      <c r="L11" s="80">
        <f>IF($N$10=0,0,L10/$N$10)</f>
        <v/>
      </c>
      <c r="M11" s="80">
        <f>IF($N$10=0,0,M10/$N$10)</f>
        <v/>
      </c>
      <c r="N11" s="80">
        <f>IF($N$10=0,0,N10/$N$10)</f>
        <v/>
      </c>
      <c r="O11" s="80">
        <f>IF($N$10=0,0,O10/$N$10)</f>
        <v/>
      </c>
      <c r="P11" s="80">
        <f>IF($N$10=0,0,P10/$N$10)</f>
        <v/>
      </c>
      <c r="Q11" s="80">
        <f>IF($N$10=0,0,Q10/$N$10)</f>
        <v/>
      </c>
      <c r="R11" s="80">
        <f>IF($N$10=0,0,R10/$N$10)</f>
        <v/>
      </c>
      <c r="S11" s="80" t="n"/>
      <c r="T11" s="80" t="n"/>
      <c r="U11" s="80" t="n"/>
      <c r="V11" s="80" t="n"/>
    </row>
    <row r="13">
      <c r="A13" s="81" t="inlineStr">
        <is>
          <t>Produkty w innych jednostkach (poza sumą ton)</t>
        </is>
      </c>
    </row>
    <row r="14">
      <c r="A14" s="69" t="inlineStr">
        <is>
          <t>Spółka</t>
        </is>
      </c>
      <c r="B14" s="69" t="inlineStr">
        <is>
          <t>Produkt</t>
        </is>
      </c>
      <c r="C14" s="69" t="inlineStr">
        <is>
          <t>styczeń</t>
        </is>
      </c>
      <c r="D14" s="69" t="inlineStr">
        <is>
          <t>luty</t>
        </is>
      </c>
      <c r="E14" s="69" t="inlineStr">
        <is>
          <t>marzec</t>
        </is>
      </c>
      <c r="F14" s="69" t="inlineStr">
        <is>
          <t>kwiecień</t>
        </is>
      </c>
      <c r="G14" s="69" t="inlineStr">
        <is>
          <t>maj</t>
        </is>
      </c>
      <c r="H14" s="69" t="inlineStr">
        <is>
          <t>czerwiec</t>
        </is>
      </c>
      <c r="I14" s="69" t="inlineStr">
        <is>
          <t>lipiec</t>
        </is>
      </c>
      <c r="J14" s="69" t="inlineStr">
        <is>
          <t>sierpień</t>
        </is>
      </c>
      <c r="K14" s="69" t="inlineStr">
        <is>
          <t>wrzesień</t>
        </is>
      </c>
      <c r="L14" s="69" t="inlineStr">
        <is>
          <t>październik</t>
        </is>
      </c>
      <c r="M14" s="69" t="inlineStr">
        <is>
          <t>listopad</t>
        </is>
      </c>
      <c r="N14" s="69" t="inlineStr">
        <is>
          <t>grudzień</t>
        </is>
      </c>
      <c r="O14" s="69" t="inlineStr">
        <is>
          <t>Rok</t>
        </is>
      </c>
      <c r="P14" s="69" t="inlineStr">
        <is>
          <t>Jednostka</t>
        </is>
      </c>
    </row>
    <row r="15">
      <c r="A15" s="70">
        <f>'Sprzedaż'!A6</f>
        <v/>
      </c>
      <c r="B15" s="70">
        <f>'Sprzedaż'!B6</f>
        <v/>
      </c>
      <c r="C15" s="72">
        <f>'Sprzedaż'!C6</f>
        <v/>
      </c>
      <c r="D15" s="72">
        <f>'Sprzedaż'!D6</f>
        <v/>
      </c>
      <c r="E15" s="72">
        <f>'Sprzedaż'!E6</f>
        <v/>
      </c>
      <c r="F15" s="72">
        <f>'Sprzedaż'!F6</f>
        <v/>
      </c>
      <c r="G15" s="72">
        <f>'Sprzedaż'!G6</f>
        <v/>
      </c>
      <c r="H15" s="72">
        <f>'Sprzedaż'!H6</f>
        <v/>
      </c>
      <c r="I15" s="72">
        <f>'Sprzedaż'!I6</f>
        <v/>
      </c>
      <c r="J15" s="72">
        <f>'Sprzedaż'!J6</f>
        <v/>
      </c>
      <c r="K15" s="72">
        <f>'Sprzedaż'!K6</f>
        <v/>
      </c>
      <c r="L15" s="72">
        <f>'Sprzedaż'!L6</f>
        <v/>
      </c>
      <c r="M15" s="72">
        <f>'Sprzedaż'!M6</f>
        <v/>
      </c>
      <c r="N15" s="72">
        <f>'Sprzedaż'!N6</f>
        <v/>
      </c>
      <c r="O15" s="72">
        <f>SUM(C15:N15)</f>
        <v/>
      </c>
      <c r="P15" s="70">
        <f>Obliczenia!E6</f>
        <v/>
      </c>
    </row>
    <row r="16">
      <c r="A16" s="70">
        <f>'Sprzedaż'!A38</f>
        <v/>
      </c>
      <c r="B16" s="70">
        <f>'Sprzedaż'!B38</f>
        <v/>
      </c>
      <c r="C16" s="72">
        <f>'Sprzedaż'!C38</f>
        <v/>
      </c>
      <c r="D16" s="72">
        <f>'Sprzedaż'!D38</f>
        <v/>
      </c>
      <c r="E16" s="72">
        <f>'Sprzedaż'!E38</f>
        <v/>
      </c>
      <c r="F16" s="72">
        <f>'Sprzedaż'!F38</f>
        <v/>
      </c>
      <c r="G16" s="72">
        <f>'Sprzedaż'!G38</f>
        <v/>
      </c>
      <c r="H16" s="72">
        <f>'Sprzedaż'!H38</f>
        <v/>
      </c>
      <c r="I16" s="72">
        <f>'Sprzedaż'!I38</f>
        <v/>
      </c>
      <c r="J16" s="72">
        <f>'Sprzedaż'!J38</f>
        <v/>
      </c>
      <c r="K16" s="72">
        <f>'Sprzedaż'!K38</f>
        <v/>
      </c>
      <c r="L16" s="72">
        <f>'Sprzedaż'!L38</f>
        <v/>
      </c>
      <c r="M16" s="72">
        <f>'Sprzedaż'!M38</f>
        <v/>
      </c>
      <c r="N16" s="72">
        <f>'Sprzedaż'!N38</f>
        <v/>
      </c>
      <c r="O16" s="72">
        <f>SUM(C16:N16)</f>
        <v/>
      </c>
      <c r="P16" s="70">
        <f>Obliczenia!E38</f>
        <v/>
      </c>
    </row>
    <row r="17">
      <c r="A17" s="70">
        <f>'Sprzedaż'!A39</f>
        <v/>
      </c>
      <c r="B17" s="70">
        <f>'Sprzedaż'!B39</f>
        <v/>
      </c>
      <c r="C17" s="72">
        <f>'Sprzedaż'!C39</f>
        <v/>
      </c>
      <c r="D17" s="72">
        <f>'Sprzedaż'!D39</f>
        <v/>
      </c>
      <c r="E17" s="72">
        <f>'Sprzedaż'!E39</f>
        <v/>
      </c>
      <c r="F17" s="72">
        <f>'Sprzedaż'!F39</f>
        <v/>
      </c>
      <c r="G17" s="72">
        <f>'Sprzedaż'!G39</f>
        <v/>
      </c>
      <c r="H17" s="72">
        <f>'Sprzedaż'!H39</f>
        <v/>
      </c>
      <c r="I17" s="72">
        <f>'Sprzedaż'!I39</f>
        <v/>
      </c>
      <c r="J17" s="72">
        <f>'Sprzedaż'!J39</f>
        <v/>
      </c>
      <c r="K17" s="72">
        <f>'Sprzedaż'!K39</f>
        <v/>
      </c>
      <c r="L17" s="72">
        <f>'Sprzedaż'!L39</f>
        <v/>
      </c>
      <c r="M17" s="72">
        <f>'Sprzedaż'!M39</f>
        <v/>
      </c>
      <c r="N17" s="72">
        <f>'Sprzedaż'!N39</f>
        <v/>
      </c>
      <c r="O17" s="72">
        <f>SUM(C17:N17)</f>
        <v/>
      </c>
      <c r="P17" s="70">
        <f>Obliczenia!E39</f>
        <v/>
      </c>
    </row>
    <row r="18">
      <c r="A18" s="70">
        <f>'Sprzedaż'!A56</f>
        <v/>
      </c>
      <c r="B18" s="70">
        <f>'Sprzedaż'!B56</f>
        <v/>
      </c>
      <c r="C18" s="72">
        <f>'Sprzedaż'!C56</f>
        <v/>
      </c>
      <c r="D18" s="72">
        <f>'Sprzedaż'!D56</f>
        <v/>
      </c>
      <c r="E18" s="72">
        <f>'Sprzedaż'!E56</f>
        <v/>
      </c>
      <c r="F18" s="72">
        <f>'Sprzedaż'!F56</f>
        <v/>
      </c>
      <c r="G18" s="72">
        <f>'Sprzedaż'!G56</f>
        <v/>
      </c>
      <c r="H18" s="72">
        <f>'Sprzedaż'!H56</f>
        <v/>
      </c>
      <c r="I18" s="72">
        <f>'Sprzedaż'!I56</f>
        <v/>
      </c>
      <c r="J18" s="72">
        <f>'Sprzedaż'!J56</f>
        <v/>
      </c>
      <c r="K18" s="72">
        <f>'Sprzedaż'!K56</f>
        <v/>
      </c>
      <c r="L18" s="72">
        <f>'Sprzedaż'!L56</f>
        <v/>
      </c>
      <c r="M18" s="72">
        <f>'Sprzedaż'!M56</f>
        <v/>
      </c>
      <c r="N18" s="72">
        <f>'Sprzedaż'!N56</f>
        <v/>
      </c>
      <c r="O18" s="72">
        <f>SUM(C18:N18)</f>
        <v/>
      </c>
      <c r="P18" s="70">
        <f>Obliczenia!E56</f>
        <v/>
      </c>
    </row>
    <row r="19">
      <c r="A19" s="70">
        <f>'Sprzedaż'!A57</f>
        <v/>
      </c>
      <c r="B19" s="70">
        <f>'Sprzedaż'!B57</f>
        <v/>
      </c>
      <c r="C19" s="72">
        <f>'Sprzedaż'!C57</f>
        <v/>
      </c>
      <c r="D19" s="72">
        <f>'Sprzedaż'!D57</f>
        <v/>
      </c>
      <c r="E19" s="72">
        <f>'Sprzedaż'!E57</f>
        <v/>
      </c>
      <c r="F19" s="72">
        <f>'Sprzedaż'!F57</f>
        <v/>
      </c>
      <c r="G19" s="72">
        <f>'Sprzedaż'!G57</f>
        <v/>
      </c>
      <c r="H19" s="72">
        <f>'Sprzedaż'!H57</f>
        <v/>
      </c>
      <c r="I19" s="72">
        <f>'Sprzedaż'!I57</f>
        <v/>
      </c>
      <c r="J19" s="72">
        <f>'Sprzedaż'!J57</f>
        <v/>
      </c>
      <c r="K19" s="72">
        <f>'Sprzedaż'!K57</f>
        <v/>
      </c>
      <c r="L19" s="72">
        <f>'Sprzedaż'!L57</f>
        <v/>
      </c>
      <c r="M19" s="72">
        <f>'Sprzedaż'!M57</f>
        <v/>
      </c>
      <c r="N19" s="72">
        <f>'Sprzedaż'!N57</f>
        <v/>
      </c>
      <c r="O19" s="72">
        <f>SUM(C19:N19)</f>
        <v/>
      </c>
      <c r="P19" s="70">
        <f>Obliczenia!E57</f>
        <v/>
      </c>
    </row>
    <row r="22">
      <c r="A22" s="81" t="inlineStr">
        <is>
          <t>TOP 10 produktów wg wolumenu rocznego [t]</t>
        </is>
      </c>
    </row>
    <row r="23">
      <c r="A23" s="69" t="inlineStr">
        <is>
          <t>Miejsce</t>
        </is>
      </c>
      <c r="B23" s="69" t="inlineStr">
        <is>
          <t>Produkt</t>
        </is>
      </c>
      <c r="C23" s="69" t="inlineStr">
        <is>
          <t>Spółka</t>
        </is>
      </c>
      <c r="D23" s="69" t="inlineStr">
        <is>
          <t>Rok [t]</t>
        </is>
      </c>
      <c r="E23" s="69" t="inlineStr">
        <is>
          <t>Udział w Grupie</t>
        </is>
      </c>
    </row>
    <row r="24">
      <c r="A24" s="70" t="n">
        <v>1</v>
      </c>
      <c r="B24" s="70">
        <f>INDEX(Obliczenia!$B$5:$B$138,MATCH(LARGE(Obliczenia!$U$5:$U$138,1),Obliczenia!$U$5:$U$138,0))</f>
        <v/>
      </c>
      <c r="C24" s="70">
        <f>INDEX(Obliczenia!$A$5:$A$138,MATCH(LARGE(Obliczenia!$U$5:$U$138,1),Obliczenia!$U$5:$U$138,0))</f>
        <v/>
      </c>
      <c r="D24" s="72">
        <f>INDEX(Obliczenia!$M$5:$M$138,MATCH(LARGE(Obliczenia!$U$5:$U$138,1),Obliczenia!$U$5:$U$138,0))</f>
        <v/>
      </c>
      <c r="E24" s="74">
        <f>IF($N$10=0,0,D24/$N$10)</f>
        <v/>
      </c>
    </row>
    <row r="25">
      <c r="A25" s="70" t="n">
        <v>2</v>
      </c>
      <c r="B25" s="70">
        <f>INDEX(Obliczenia!$B$5:$B$138,MATCH(LARGE(Obliczenia!$U$5:$U$138,2),Obliczenia!$U$5:$U$138,0))</f>
        <v/>
      </c>
      <c r="C25" s="70">
        <f>INDEX(Obliczenia!$A$5:$A$138,MATCH(LARGE(Obliczenia!$U$5:$U$138,2),Obliczenia!$U$5:$U$138,0))</f>
        <v/>
      </c>
      <c r="D25" s="72">
        <f>INDEX(Obliczenia!$M$5:$M$138,MATCH(LARGE(Obliczenia!$U$5:$U$138,2),Obliczenia!$U$5:$U$138,0))</f>
        <v/>
      </c>
      <c r="E25" s="74">
        <f>IF($N$10=0,0,D25/$N$10)</f>
        <v/>
      </c>
    </row>
    <row r="26">
      <c r="A26" s="70" t="n">
        <v>3</v>
      </c>
      <c r="B26" s="70">
        <f>INDEX(Obliczenia!$B$5:$B$138,MATCH(LARGE(Obliczenia!$U$5:$U$138,3),Obliczenia!$U$5:$U$138,0))</f>
        <v/>
      </c>
      <c r="C26" s="70">
        <f>INDEX(Obliczenia!$A$5:$A$138,MATCH(LARGE(Obliczenia!$U$5:$U$138,3),Obliczenia!$U$5:$U$138,0))</f>
        <v/>
      </c>
      <c r="D26" s="72">
        <f>INDEX(Obliczenia!$M$5:$M$138,MATCH(LARGE(Obliczenia!$U$5:$U$138,3),Obliczenia!$U$5:$U$138,0))</f>
        <v/>
      </c>
      <c r="E26" s="74">
        <f>IF($N$10=0,0,D26/$N$10)</f>
        <v/>
      </c>
    </row>
    <row r="27">
      <c r="A27" s="70" t="n">
        <v>4</v>
      </c>
      <c r="B27" s="70">
        <f>INDEX(Obliczenia!$B$5:$B$138,MATCH(LARGE(Obliczenia!$U$5:$U$138,4),Obliczenia!$U$5:$U$138,0))</f>
        <v/>
      </c>
      <c r="C27" s="70">
        <f>INDEX(Obliczenia!$A$5:$A$138,MATCH(LARGE(Obliczenia!$U$5:$U$138,4),Obliczenia!$U$5:$U$138,0))</f>
        <v/>
      </c>
      <c r="D27" s="72">
        <f>INDEX(Obliczenia!$M$5:$M$138,MATCH(LARGE(Obliczenia!$U$5:$U$138,4),Obliczenia!$U$5:$U$138,0))</f>
        <v/>
      </c>
      <c r="E27" s="74">
        <f>IF($N$10=0,0,D27/$N$10)</f>
        <v/>
      </c>
    </row>
    <row r="28">
      <c r="A28" s="70" t="n">
        <v>5</v>
      </c>
      <c r="B28" s="70">
        <f>INDEX(Obliczenia!$B$5:$B$138,MATCH(LARGE(Obliczenia!$U$5:$U$138,5),Obliczenia!$U$5:$U$138,0))</f>
        <v/>
      </c>
      <c r="C28" s="70">
        <f>INDEX(Obliczenia!$A$5:$A$138,MATCH(LARGE(Obliczenia!$U$5:$U$138,5),Obliczenia!$U$5:$U$138,0))</f>
        <v/>
      </c>
      <c r="D28" s="72">
        <f>INDEX(Obliczenia!$M$5:$M$138,MATCH(LARGE(Obliczenia!$U$5:$U$138,5),Obliczenia!$U$5:$U$138,0))</f>
        <v/>
      </c>
      <c r="E28" s="74">
        <f>IF($N$10=0,0,D28/$N$10)</f>
        <v/>
      </c>
    </row>
    <row r="29">
      <c r="A29" s="70" t="n">
        <v>6</v>
      </c>
      <c r="B29" s="70">
        <f>INDEX(Obliczenia!$B$5:$B$138,MATCH(LARGE(Obliczenia!$U$5:$U$138,6),Obliczenia!$U$5:$U$138,0))</f>
        <v/>
      </c>
      <c r="C29" s="70">
        <f>INDEX(Obliczenia!$A$5:$A$138,MATCH(LARGE(Obliczenia!$U$5:$U$138,6),Obliczenia!$U$5:$U$138,0))</f>
        <v/>
      </c>
      <c r="D29" s="72">
        <f>INDEX(Obliczenia!$M$5:$M$138,MATCH(LARGE(Obliczenia!$U$5:$U$138,6),Obliczenia!$U$5:$U$138,0))</f>
        <v/>
      </c>
      <c r="E29" s="74">
        <f>IF($N$10=0,0,D29/$N$10)</f>
        <v/>
      </c>
    </row>
    <row r="30">
      <c r="A30" s="70" t="n">
        <v>7</v>
      </c>
      <c r="B30" s="70">
        <f>INDEX(Obliczenia!$B$5:$B$138,MATCH(LARGE(Obliczenia!$U$5:$U$138,7),Obliczenia!$U$5:$U$138,0))</f>
        <v/>
      </c>
      <c r="C30" s="70">
        <f>INDEX(Obliczenia!$A$5:$A$138,MATCH(LARGE(Obliczenia!$U$5:$U$138,7),Obliczenia!$U$5:$U$138,0))</f>
        <v/>
      </c>
      <c r="D30" s="72">
        <f>INDEX(Obliczenia!$M$5:$M$138,MATCH(LARGE(Obliczenia!$U$5:$U$138,7),Obliczenia!$U$5:$U$138,0))</f>
        <v/>
      </c>
      <c r="E30" s="74">
        <f>IF($N$10=0,0,D30/$N$10)</f>
        <v/>
      </c>
    </row>
    <row r="31">
      <c r="A31" s="70" t="n">
        <v>8</v>
      </c>
      <c r="B31" s="70">
        <f>INDEX(Obliczenia!$B$5:$B$138,MATCH(LARGE(Obliczenia!$U$5:$U$138,8),Obliczenia!$U$5:$U$138,0))</f>
        <v/>
      </c>
      <c r="C31" s="70">
        <f>INDEX(Obliczenia!$A$5:$A$138,MATCH(LARGE(Obliczenia!$U$5:$U$138,8),Obliczenia!$U$5:$U$138,0))</f>
        <v/>
      </c>
      <c r="D31" s="72">
        <f>INDEX(Obliczenia!$M$5:$M$138,MATCH(LARGE(Obliczenia!$U$5:$U$138,8),Obliczenia!$U$5:$U$138,0))</f>
        <v/>
      </c>
      <c r="E31" s="74">
        <f>IF($N$10=0,0,D31/$N$10)</f>
        <v/>
      </c>
    </row>
    <row r="32">
      <c r="A32" s="70" t="n">
        <v>9</v>
      </c>
      <c r="B32" s="70">
        <f>INDEX(Obliczenia!$B$5:$B$138,MATCH(LARGE(Obliczenia!$U$5:$U$138,9),Obliczenia!$U$5:$U$138,0))</f>
        <v/>
      </c>
      <c r="C32" s="70">
        <f>INDEX(Obliczenia!$A$5:$A$138,MATCH(LARGE(Obliczenia!$U$5:$U$138,9),Obliczenia!$U$5:$U$138,0))</f>
        <v/>
      </c>
      <c r="D32" s="72">
        <f>INDEX(Obliczenia!$M$5:$M$138,MATCH(LARGE(Obliczenia!$U$5:$U$138,9),Obliczenia!$U$5:$U$138,0))</f>
        <v/>
      </c>
      <c r="E32" s="74">
        <f>IF($N$10=0,0,D32/$N$10)</f>
        <v/>
      </c>
    </row>
    <row r="33">
      <c r="A33" s="70" t="n">
        <v>10</v>
      </c>
      <c r="B33" s="70">
        <f>INDEX(Obliczenia!$B$5:$B$138,MATCH(LARGE(Obliczenia!$U$5:$U$138,10),Obliczenia!$U$5:$U$138,0))</f>
        <v/>
      </c>
      <c r="C33" s="70">
        <f>INDEX(Obliczenia!$A$5:$A$138,MATCH(LARGE(Obliczenia!$U$5:$U$138,10),Obliczenia!$U$5:$U$138,0))</f>
        <v/>
      </c>
      <c r="D33" s="72">
        <f>INDEX(Obliczenia!$M$5:$M$138,MATCH(LARGE(Obliczenia!$U$5:$U$138,10),Obliczenia!$U$5:$U$138,0))</f>
        <v/>
      </c>
      <c r="E33" s="74">
        <f>IF($N$10=0,0,D33/$N$10)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70" customWidth="1" min="4" max="4"/>
  </cols>
  <sheetData>
    <row r="1">
      <c r="A1" s="67" t="inlineStr">
        <is>
          <t>Kontrola kompletności i spójności danych od sprzedaży</t>
        </is>
      </c>
    </row>
    <row r="3">
      <c r="A3" s="69" t="inlineStr">
        <is>
          <t>Kontrola</t>
        </is>
      </c>
      <c r="B3" s="69" t="inlineStr">
        <is>
          <t>Wynik</t>
        </is>
      </c>
      <c r="C3" s="69" t="inlineStr">
        <is>
          <t>Status</t>
        </is>
      </c>
      <c r="D3" s="69" t="inlineStr">
        <is>
          <t>Opis</t>
        </is>
      </c>
    </row>
    <row r="4">
      <c r="A4" s="82" t="inlineStr">
        <is>
          <t>Produkty bez żadnych danych</t>
        </is>
      </c>
      <c r="B4" s="83">
        <f>COUNTIF(Obliczenia!$C$5:$C$138,"BRAK DANYCH")</f>
        <v/>
      </c>
      <c r="C4" s="82">
        <f>IF(B4=0,"OK","DO UZUPEŁNIENIA")</f>
        <v/>
      </c>
      <c r="D4" s="82" t="inlineStr">
        <is>
          <t>Wiersze, w których sprzedaż nie podała wolumenu – lista poniżej. Puste = brak planu albo brak odpowiedzi; potwierdzić ze sprzedażą.</t>
        </is>
      </c>
    </row>
    <row r="5">
      <c r="A5" s="82" t="inlineStr">
        <is>
          <t>Produkty z niepełnym rokiem</t>
        </is>
      </c>
      <c r="B5" s="83">
        <f>COUNTIF(Obliczenia!$C$5:$C$138,"niepełne")</f>
        <v/>
      </c>
      <c r="C5" s="82">
        <f>IF(B5=0,"OK","SPRAWDŹ")</f>
        <v/>
      </c>
      <c r="D5" s="82" t="inlineStr">
        <is>
          <t>Część miesięcy pusta (np. sprzedaż kampanijna). Jeśli ma być 0 – warto wpisać 0, żeby odróżnić od braku danych.</t>
        </is>
      </c>
    </row>
    <row r="6">
      <c r="A6" s="82" t="inlineStr">
        <is>
          <t>Rozbieżności ∑ roku vs kolumna O</t>
        </is>
      </c>
      <c r="B6" s="83">
        <f>SUMPRODUCT(--(ABS(Obliczenia!$T$5:$T$138)&gt;0.5))</f>
        <v/>
      </c>
      <c r="C6" s="82">
        <f>IF(B6=0,"OK","BŁĄD")</f>
        <v/>
      </c>
      <c r="D6" s="82" t="inlineStr">
        <is>
          <t>Porównanie sumy 12 miesięcy z kolumną ∑ w arkuszu Sprzedaż.</t>
        </is>
      </c>
    </row>
    <row r="7">
      <c r="A7" s="82" t="inlineStr">
        <is>
          <t>PULREA razem = chemia + agro</t>
        </is>
      </c>
      <c r="B7" s="83">
        <f>SUMPRODUCT(ABS('Sprzedaż'!C18:N18-'Sprzedaż'!C16:N16-'Sprzedaż'!C17:N17))</f>
        <v/>
      </c>
      <c r="C7" s="82">
        <f>IF(B7&lt;0.5,"OK","BŁĄD")</f>
        <v/>
      </c>
      <c r="D7" s="82" t="inlineStr">
        <is>
          <t>Wiersz 18 musi być sumą wierszy 16 i 17.</t>
        </is>
      </c>
    </row>
    <row r="8">
      <c r="A8" s="82" t="inlineStr">
        <is>
          <t>MELAMINA ogółem = I + II + III</t>
        </is>
      </c>
      <c r="B8" s="83">
        <f>SUMPRODUCT(ABS('Sprzedaż'!C26:N26-'Sprzedaż'!C27:N27-'Sprzedaż'!C28:N28-'Sprzedaż'!C29:N29))</f>
        <v/>
      </c>
      <c r="C8" s="82">
        <f>IF(B8&lt;0.5,"OK","BŁĄD")</f>
        <v/>
      </c>
      <c r="D8" s="82" t="inlineStr">
        <is>
          <t>Wiersz 26 uzupełniono formułą sumy wierszy 27–29.</t>
        </is>
      </c>
    </row>
    <row r="9">
      <c r="A9" s="82" t="inlineStr">
        <is>
          <t>Wartości ujemne</t>
        </is>
      </c>
      <c r="B9" s="83">
        <f>COUNTIF('Sprzedaż'!C5:N138,"&lt;0")</f>
        <v/>
      </c>
      <c r="C9" s="82">
        <f>IF(B9=0,"OK","BŁĄD")</f>
        <v/>
      </c>
      <c r="D9" s="82" t="inlineStr">
        <is>
          <t>Wolumen sprzedaży nie może być ujemny.</t>
        </is>
      </c>
    </row>
    <row r="10">
      <c r="A10" s="82" t="inlineStr">
        <is>
          <t>Ułamkowe resztki (&lt; 0,001 t)</t>
        </is>
      </c>
      <c r="B10" s="83">
        <f>SUMPRODUCT(('Sprzedaż'!C5:N138&gt;0)*('Sprzedaż'!C5:N138&lt;0.001))</f>
        <v/>
      </c>
      <c r="C10" s="82">
        <f>IF(B10=0,"OK","INFO")</f>
        <v/>
      </c>
      <c r="D10" s="82" t="inlineStr">
        <is>
          <t>ZAK: SALMAG z siarką / z borem mają w pustych miesiącach wartości rzędu 1E-188 z pliku źródłowego – w praktyce 0.</t>
        </is>
      </c>
    </row>
    <row r="11">
      <c r="A11" s="82" t="inlineStr">
        <is>
          <t>Suma ton Grupy (rok)</t>
        </is>
      </c>
      <c r="B11" s="83">
        <f>Podsumowanie!N10</f>
        <v/>
      </c>
      <c r="C11" s="82">
        <f>"INFO"</f>
        <v/>
      </c>
      <c r="D11" s="82" t="inlineStr">
        <is>
          <t>Z arkusza Podsumowanie.</t>
        </is>
      </c>
    </row>
    <row r="13">
      <c r="A13" s="81" t="inlineStr">
        <is>
          <t>Wiersze do potwierdzenia ze sprzedażą</t>
        </is>
      </c>
    </row>
    <row r="14">
      <c r="A14" s="69" t="inlineStr">
        <is>
          <t>Spółka</t>
        </is>
      </c>
      <c r="B14" s="69" t="inlineStr">
        <is>
          <t>Produkt</t>
        </is>
      </c>
      <c r="C14" s="69" t="inlineStr">
        <is>
          <t>Status</t>
        </is>
      </c>
      <c r="D14" s="69" t="inlineStr">
        <is>
          <t>Wiersz w arkuszu Sprzedaż</t>
        </is>
      </c>
    </row>
    <row r="15">
      <c r="A15" s="70">
        <f>'Sprzedaż'!A11</f>
        <v/>
      </c>
      <c r="B15" s="70">
        <f>'Sprzedaż'!B11</f>
        <v/>
      </c>
      <c r="C15" s="70">
        <f>Obliczenia!C11</f>
        <v/>
      </c>
      <c r="D15" s="70" t="n">
        <v>11</v>
      </c>
    </row>
    <row r="16">
      <c r="A16" s="70">
        <f>'Sprzedaż'!A19</f>
        <v/>
      </c>
      <c r="B16" s="70">
        <f>'Sprzedaż'!B19</f>
        <v/>
      </c>
      <c r="C16" s="70">
        <f>Obliczenia!C19</f>
        <v/>
      </c>
      <c r="D16" s="70" t="n">
        <v>19</v>
      </c>
    </row>
    <row r="17">
      <c r="A17" s="70">
        <f>'Sprzedaż'!A20</f>
        <v/>
      </c>
      <c r="B17" s="70">
        <f>'Sprzedaż'!B20</f>
        <v/>
      </c>
      <c r="C17" s="70">
        <f>Obliczenia!C20</f>
        <v/>
      </c>
      <c r="D17" s="70" t="n">
        <v>20</v>
      </c>
    </row>
    <row r="18">
      <c r="A18" s="70">
        <f>'Sprzedaż'!A21</f>
        <v/>
      </c>
      <c r="B18" s="70">
        <f>'Sprzedaż'!B21</f>
        <v/>
      </c>
      <c r="C18" s="70">
        <f>Obliczenia!C21</f>
        <v/>
      </c>
      <c r="D18" s="70" t="n">
        <v>21</v>
      </c>
    </row>
    <row r="19">
      <c r="A19" s="70">
        <f>'Sprzedaż'!A22</f>
        <v/>
      </c>
      <c r="B19" s="70">
        <f>'Sprzedaż'!B22</f>
        <v/>
      </c>
      <c r="C19" s="70">
        <f>Obliczenia!C22</f>
        <v/>
      </c>
      <c r="D19" s="70" t="n">
        <v>22</v>
      </c>
    </row>
    <row r="20">
      <c r="A20" s="70">
        <f>'Sprzedaż'!A23</f>
        <v/>
      </c>
      <c r="B20" s="70">
        <f>'Sprzedaż'!B23</f>
        <v/>
      </c>
      <c r="C20" s="70">
        <f>Obliczenia!C23</f>
        <v/>
      </c>
      <c r="D20" s="70" t="n">
        <v>23</v>
      </c>
    </row>
    <row r="21">
      <c r="A21" s="70">
        <f>'Sprzedaż'!A27</f>
        <v/>
      </c>
      <c r="B21" s="70">
        <f>'Sprzedaż'!B27</f>
        <v/>
      </c>
      <c r="C21" s="70">
        <f>Obliczenia!C27</f>
        <v/>
      </c>
      <c r="D21" s="70" t="n">
        <v>27</v>
      </c>
    </row>
    <row r="22">
      <c r="A22" s="70">
        <f>'Sprzedaż'!A28</f>
        <v/>
      </c>
      <c r="B22" s="70">
        <f>'Sprzedaż'!B28</f>
        <v/>
      </c>
      <c r="C22" s="70">
        <f>Obliczenia!C28</f>
        <v/>
      </c>
      <c r="D22" s="70" t="n">
        <v>28</v>
      </c>
    </row>
    <row r="23">
      <c r="A23" s="70">
        <f>'Sprzedaż'!A29</f>
        <v/>
      </c>
      <c r="B23" s="70">
        <f>'Sprzedaż'!B29</f>
        <v/>
      </c>
      <c r="C23" s="70">
        <f>Obliczenia!C29</f>
        <v/>
      </c>
      <c r="D23" s="70" t="n">
        <v>29</v>
      </c>
    </row>
    <row r="24">
      <c r="A24" s="70">
        <f>'Sprzedaż'!A30</f>
        <v/>
      </c>
      <c r="B24" s="70">
        <f>'Sprzedaż'!B30</f>
        <v/>
      </c>
      <c r="C24" s="70">
        <f>Obliczenia!C30</f>
        <v/>
      </c>
      <c r="D24" s="70" t="n">
        <v>30</v>
      </c>
    </row>
    <row r="25">
      <c r="A25" s="70">
        <f>'Sprzedaż'!A31</f>
        <v/>
      </c>
      <c r="B25" s="70">
        <f>'Sprzedaż'!B31</f>
        <v/>
      </c>
      <c r="C25" s="70">
        <f>Obliczenia!C31</f>
        <v/>
      </c>
      <c r="D25" s="70" t="n">
        <v>31</v>
      </c>
    </row>
    <row r="26">
      <c r="A26" s="70">
        <f>'Sprzedaż'!A69</f>
        <v/>
      </c>
      <c r="B26" s="70">
        <f>'Sprzedaż'!B69</f>
        <v/>
      </c>
      <c r="C26" s="70">
        <f>Obliczenia!C69</f>
        <v/>
      </c>
      <c r="D26" s="70" t="n">
        <v>69</v>
      </c>
    </row>
    <row r="27">
      <c r="A27" s="70">
        <f>'Sprzedaż'!A71</f>
        <v/>
      </c>
      <c r="B27" s="70">
        <f>'Sprzedaż'!B71</f>
        <v/>
      </c>
      <c r="C27" s="70">
        <f>Obliczenia!C71</f>
        <v/>
      </c>
      <c r="D27" s="70" t="n">
        <v>71</v>
      </c>
    </row>
    <row r="28">
      <c r="A28" s="70">
        <f>'Sprzedaż'!A72</f>
        <v/>
      </c>
      <c r="B28" s="70">
        <f>'Sprzedaż'!B72</f>
        <v/>
      </c>
      <c r="C28" s="70">
        <f>Obliczenia!C72</f>
        <v/>
      </c>
      <c r="D28" s="70" t="n">
        <v>72</v>
      </c>
    </row>
    <row r="29">
      <c r="A29" s="70">
        <f>'Sprzedaż'!A76</f>
        <v/>
      </c>
      <c r="B29" s="70">
        <f>'Sprzedaż'!B76</f>
        <v/>
      </c>
      <c r="C29" s="70">
        <f>Obliczenia!C76</f>
        <v/>
      </c>
      <c r="D29" s="70" t="n">
        <v>76</v>
      </c>
    </row>
    <row r="30">
      <c r="A30" s="70">
        <f>'Sprzedaż'!A90</f>
        <v/>
      </c>
      <c r="B30" s="70">
        <f>'Sprzedaż'!B90</f>
        <v/>
      </c>
      <c r="C30" s="70">
        <f>Obliczenia!C90</f>
        <v/>
      </c>
      <c r="D30" s="70" t="n">
        <v>90</v>
      </c>
    </row>
    <row r="31">
      <c r="A31" s="70">
        <f>'Sprzedaż'!A91</f>
        <v/>
      </c>
      <c r="B31" s="70">
        <f>'Sprzedaż'!B91</f>
        <v/>
      </c>
      <c r="C31" s="70">
        <f>Obliczenia!C91</f>
        <v/>
      </c>
      <c r="D31" s="70" t="n">
        <v>91</v>
      </c>
    </row>
    <row r="32">
      <c r="A32" s="70">
        <f>'Sprzedaż'!A92</f>
        <v/>
      </c>
      <c r="B32" s="70">
        <f>'Sprzedaż'!B92</f>
        <v/>
      </c>
      <c r="C32" s="70">
        <f>Obliczenia!C92</f>
        <v/>
      </c>
      <c r="D32" s="70" t="n">
        <v>92</v>
      </c>
    </row>
    <row r="33">
      <c r="A33" s="70">
        <f>'Sprzedaż'!A103</f>
        <v/>
      </c>
      <c r="B33" s="70">
        <f>'Sprzedaż'!B103</f>
        <v/>
      </c>
      <c r="C33" s="70">
        <f>Obliczenia!C103</f>
        <v/>
      </c>
      <c r="D33" s="70" t="n">
        <v>103</v>
      </c>
    </row>
    <row r="34">
      <c r="A34" s="70">
        <f>'Sprzedaż'!A108</f>
        <v/>
      </c>
      <c r="B34" s="70">
        <f>'Sprzedaż'!B108</f>
        <v/>
      </c>
      <c r="C34" s="70">
        <f>Obliczenia!C108</f>
        <v/>
      </c>
      <c r="D34" s="70" t="n">
        <v>108</v>
      </c>
    </row>
    <row r="35">
      <c r="A35" s="70">
        <f>'Sprzedaż'!A109</f>
        <v/>
      </c>
      <c r="B35" s="70">
        <f>'Sprzedaż'!B109</f>
        <v/>
      </c>
      <c r="C35" s="70">
        <f>Obliczenia!C109</f>
        <v/>
      </c>
      <c r="D35" s="70" t="n">
        <v>109</v>
      </c>
    </row>
    <row r="36">
      <c r="A36" s="70">
        <f>'Sprzedaż'!A110</f>
        <v/>
      </c>
      <c r="B36" s="70">
        <f>'Sprzedaż'!B110</f>
        <v/>
      </c>
      <c r="C36" s="70">
        <f>Obliczenia!C110</f>
        <v/>
      </c>
      <c r="D36" s="70" t="n">
        <v>110</v>
      </c>
    </row>
    <row r="37">
      <c r="A37" s="70">
        <f>'Sprzedaż'!A111</f>
        <v/>
      </c>
      <c r="B37" s="70">
        <f>'Sprzedaż'!B111</f>
        <v/>
      </c>
      <c r="C37" s="70">
        <f>Obliczenia!C111</f>
        <v/>
      </c>
      <c r="D37" s="70" t="n">
        <v>111</v>
      </c>
    </row>
    <row r="38">
      <c r="A38" s="70">
        <f>'Sprzedaż'!A112</f>
        <v/>
      </c>
      <c r="B38" s="70">
        <f>'Sprzedaż'!B112</f>
        <v/>
      </c>
      <c r="C38" s="70">
        <f>Obliczenia!C112</f>
        <v/>
      </c>
      <c r="D38" s="70" t="n">
        <v>112</v>
      </c>
    </row>
    <row r="39">
      <c r="A39" s="70">
        <f>'Sprzedaż'!A113</f>
        <v/>
      </c>
      <c r="B39" s="70">
        <f>'Sprzedaż'!B113</f>
        <v/>
      </c>
      <c r="C39" s="70">
        <f>Obliczenia!C113</f>
        <v/>
      </c>
      <c r="D39" s="70" t="n">
        <v>113</v>
      </c>
    </row>
    <row r="40">
      <c r="A40" s="70">
        <f>'Sprzedaż'!A114</f>
        <v/>
      </c>
      <c r="B40" s="70">
        <f>'Sprzedaż'!B114</f>
        <v/>
      </c>
      <c r="C40" s="70">
        <f>Obliczenia!C114</f>
        <v/>
      </c>
      <c r="D40" s="70" t="n">
        <v>114</v>
      </c>
    </row>
    <row r="41">
      <c r="A41" s="70">
        <f>'Sprzedaż'!A115</f>
        <v/>
      </c>
      <c r="B41" s="70">
        <f>'Sprzedaż'!B115</f>
        <v/>
      </c>
      <c r="C41" s="70">
        <f>Obliczenia!C115</f>
        <v/>
      </c>
      <c r="D41" s="70" t="n">
        <v>115</v>
      </c>
    </row>
    <row r="42">
      <c r="A42" s="70">
        <f>'Sprzedaż'!A116</f>
        <v/>
      </c>
      <c r="B42" s="70">
        <f>'Sprzedaż'!B116</f>
        <v/>
      </c>
      <c r="C42" s="70">
        <f>Obliczenia!C116</f>
        <v/>
      </c>
      <c r="D42" s="70" t="n">
        <v>116</v>
      </c>
    </row>
    <row r="43">
      <c r="A43" s="70">
        <f>'Sprzedaż'!A117</f>
        <v/>
      </c>
      <c r="B43" s="70">
        <f>'Sprzedaż'!B117</f>
        <v/>
      </c>
      <c r="C43" s="70">
        <f>Obliczenia!C117</f>
        <v/>
      </c>
      <c r="D43" s="70" t="n">
        <v>117</v>
      </c>
    </row>
    <row r="44">
      <c r="A44" s="70">
        <f>'Sprzedaż'!A118</f>
        <v/>
      </c>
      <c r="B44" s="70">
        <f>'Sprzedaż'!B118</f>
        <v/>
      </c>
      <c r="C44" s="70">
        <f>Obliczenia!C118</f>
        <v/>
      </c>
      <c r="D44" s="70" t="n">
        <v>118</v>
      </c>
    </row>
    <row r="45">
      <c r="A45" s="70">
        <f>'Sprzedaż'!A119</f>
        <v/>
      </c>
      <c r="B45" s="70">
        <f>'Sprzedaż'!B119</f>
        <v/>
      </c>
      <c r="C45" s="70">
        <f>Obliczenia!C119</f>
        <v/>
      </c>
      <c r="D45" s="70" t="n">
        <v>119</v>
      </c>
    </row>
    <row r="46">
      <c r="A46" s="70">
        <f>'Sprzedaż'!A123</f>
        <v/>
      </c>
      <c r="B46" s="70">
        <f>'Sprzedaż'!B123</f>
        <v/>
      </c>
      <c r="C46" s="70">
        <f>Obliczenia!C123</f>
        <v/>
      </c>
      <c r="D46" s="70" t="n">
        <v>123</v>
      </c>
    </row>
    <row r="47">
      <c r="A47" s="70">
        <f>'Sprzedaż'!A128</f>
        <v/>
      </c>
      <c r="B47" s="70">
        <f>'Sprzedaż'!B128</f>
        <v/>
      </c>
      <c r="C47" s="70">
        <f>Obliczenia!C128</f>
        <v/>
      </c>
      <c r="D47" s="70" t="n">
        <v>128</v>
      </c>
    </row>
    <row r="48">
      <c r="A48" s="70">
        <f>'Sprzedaż'!A129</f>
        <v/>
      </c>
      <c r="B48" s="70">
        <f>'Sprzedaż'!B129</f>
        <v/>
      </c>
      <c r="C48" s="70">
        <f>Obliczenia!C129</f>
        <v/>
      </c>
      <c r="D48" s="70" t="n">
        <v>129</v>
      </c>
    </row>
    <row r="49">
      <c r="A49" s="70">
        <f>'Sprzedaż'!A133</f>
        <v/>
      </c>
      <c r="B49" s="70">
        <f>'Sprzedaż'!B133</f>
        <v/>
      </c>
      <c r="C49" s="70">
        <f>Obliczenia!C133</f>
        <v/>
      </c>
      <c r="D49" s="70" t="n">
        <v>133</v>
      </c>
    </row>
    <row r="50">
      <c r="A50" s="70">
        <f>'Sprzedaż'!A136</f>
        <v/>
      </c>
      <c r="B50" s="70">
        <f>'Sprzedaż'!B136</f>
        <v/>
      </c>
      <c r="C50" s="70">
        <f>Obliczenia!C136</f>
        <v/>
      </c>
      <c r="D50" s="70" t="n">
        <v>136</v>
      </c>
    </row>
    <row r="51">
      <c r="A51" s="70">
        <f>'Sprzedaż'!A137</f>
        <v/>
      </c>
      <c r="B51" s="70">
        <f>'Sprzedaż'!B137</f>
        <v/>
      </c>
      <c r="C51" s="70">
        <f>Obliczenia!C137</f>
        <v/>
      </c>
      <c r="D51" s="70" t="n">
        <v>137</v>
      </c>
    </row>
  </sheetData>
  <conditionalFormatting sqref="C4:C11">
    <cfRule type="cellIs" priority="1" operator="equal" dxfId="2">
      <formula>"OK"</formula>
    </cfRule>
    <cfRule type="cellIs" priority="2" operator="equal" dxfId="0">
      <formula>"BŁĄD"</formula>
    </cfRule>
    <cfRule type="expression" priority="3" dxfId="1">
      <formula>OR(C4="DO UZUPEŁNIENIA",C4="SPRAWDŹ")</formula>
    </cfRule>
  </conditionalFormatting>
  <conditionalFormatting sqref="C15:C51">
    <cfRule type="cellIs" priority="4" operator="equal" dxfId="0">
      <formula>"BRAK DANYCH"</formula>
    </cfRule>
    <cfRule type="cellIs" priority="5" operator="equal" dxfId="1">
      <formula>"niepełne"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Zatorski, Marek</dc:creator>
  <dcterms:created xmlns:dcterms="http://purl.org/dc/terms/" xmlns:xsi="http://www.w3.org/2001/XMLSchema-instance" xsi:type="dcterms:W3CDTF">2026-09-04T07:28:08Z</dcterms:created>
  <dcterms:modified xmlns:dcterms="http://purl.org/dc/terms/" xmlns:xsi="http://www.w3.org/2001/XMLSchema-instance" xsi:type="dcterms:W3CDTF">2026-10-20T11:31:02Z</dcterms:modified>
  <cp:lastModifiedBy>Kasprzak-Szmyła, Grażyna</cp:lastModifiedBy>
</cp:coreProperties>
</file>