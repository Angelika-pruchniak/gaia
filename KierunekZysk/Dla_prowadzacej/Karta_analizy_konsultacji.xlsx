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Klient" sheetId="2" state="visible" r:id="rId2"/>
    <sheet xmlns:r="http://schemas.openxmlformats.org/officeDocument/2006/relationships" name="Analiza" sheetId="3" state="visible" r:id="rId3"/>
    <sheet xmlns:r="http://schemas.openxmlformats.org/officeDocument/2006/relationships" name="Raport" sheetId="4" state="visible" r:id="rId4"/>
  </sheets>
  <definedNames>
    <definedName name="_xlnm.Print_Area" localSheetId="3">'Raport'!$B$2:$F$47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2A4A"/>
      <sz val="18"/>
    </font>
    <font>
      <i val="1"/>
      <color rgb="006B6F80"/>
      <sz val="10"/>
    </font>
    <font>
      <b val="1"/>
      <color rgb="001E2A4A"/>
    </font>
    <font>
      <color rgb="001E2A4A"/>
    </font>
    <font>
      <b val="1"/>
      <color rgb="00FFFFFF"/>
    </font>
    <font>
      <b val="1"/>
      <color rgb="001E2A4A"/>
      <sz val="12"/>
    </font>
    <font>
      <color rgb="006B6F80"/>
    </font>
    <font>
      <i val="1"/>
      <color rgb="006B6F80"/>
      <sz val="9"/>
    </font>
  </fonts>
  <fills count="8">
    <fill>
      <patternFill/>
    </fill>
    <fill>
      <patternFill patternType="gray125"/>
    </fill>
    <fill>
      <patternFill patternType="solid">
        <fgColor rgb="00F2BFC5"/>
        <bgColor rgb="00F2BFC5"/>
      </patternFill>
    </fill>
    <fill>
      <patternFill patternType="solid">
        <fgColor rgb="00F8B68C"/>
        <bgColor rgb="00F8B68C"/>
      </patternFill>
    </fill>
    <fill>
      <patternFill patternType="solid">
        <fgColor rgb="00FBE6E7"/>
        <bgColor rgb="00FBE6E7"/>
      </patternFill>
    </fill>
    <fill>
      <patternFill patternType="solid">
        <fgColor rgb="00FDDCC6"/>
        <bgColor rgb="00FDDCC6"/>
      </patternFill>
    </fill>
    <fill>
      <patternFill patternType="solid">
        <fgColor rgb="001E2A4A"/>
        <bgColor rgb="001E2A4A"/>
      </patternFill>
    </fill>
    <fill>
      <patternFill patternType="solid">
        <fgColor rgb="00FFF8F3"/>
        <bgColor rgb="00FFF8F3"/>
      </patternFill>
    </fill>
  </fills>
  <borders count="6">
    <border>
      <left/>
      <right/>
      <top/>
      <bottom/>
      <diagonal/>
    </border>
    <border>
      <left style="thin">
        <color rgb="00E3E5EC"/>
      </left>
      <right style="thin">
        <color rgb="00E3E5EC"/>
      </right>
      <top style="thin">
        <color rgb="00E3E5EC"/>
      </top>
      <bottom style="thin">
        <color rgb="00E3E5EC"/>
      </bottom>
    </border>
    <border>
      <left/>
      <right/>
      <top style="thin">
        <color rgb="00E3E5EC"/>
      </top>
      <bottom/>
      <diagonal/>
    </border>
    <border>
      <left/>
      <right style="thin">
        <color rgb="00E3E5EC"/>
      </right>
      <top style="thin">
        <color rgb="00E3E5EC"/>
      </top>
      <bottom/>
      <diagonal/>
    </border>
    <border>
      <left/>
      <right style="thin">
        <color rgb="00E3E5EC"/>
      </right>
      <top style="thin">
        <color rgb="00E3E5EC"/>
      </top>
      <bottom style="thin">
        <color rgb="00E3E5EC"/>
      </bottom>
      <diagonal/>
    </border>
    <border>
      <left/>
      <right/>
      <top style="thin">
        <color rgb="00E3E5EC"/>
      </top>
      <bottom style="thin">
        <color rgb="00E3E5E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6" borderId="0" pivotButton="0" quotePrefix="0" xfId="0"/>
    <xf numFmtId="0" fontId="5" fillId="6" borderId="0" applyAlignment="1" pivotButton="0" quotePrefix="0" xfId="0">
      <alignment horizontal="center"/>
    </xf>
    <xf numFmtId="0" fontId="5" fillId="6" borderId="0" pivotButton="0" quotePrefix="0" xfId="0"/>
    <xf numFmtId="0" fontId="4" fillId="5" borderId="1" applyAlignment="1" pivotButton="0" quotePrefix="0" xfId="0">
      <alignment horizontal="center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right" vertical="top"/>
    </xf>
    <xf numFmtId="0" fontId="0" fillId="0" borderId="5" pivotButton="0" quotePrefix="0" xfId="0"/>
  </cellXfs>
  <cellStyles count="1">
    <cellStyle name="Normal" xfId="0" builtinId="0" hidden="0"/>
  </cellStyles>
  <dxfs count="4">
    <dxf>
      <font>
        <b val="1"/>
        <color rgb="009C2B3B"/>
      </font>
      <fill>
        <patternFill patternType="solid">
          <fgColor rgb="00F2BFC5"/>
          <bgColor rgb="00F2BFC5"/>
        </patternFill>
      </fill>
    </dxf>
    <dxf>
      <fill>
        <patternFill patternType="solid">
          <fgColor rgb="00F8B68C"/>
          <bgColor rgb="00F8B68C"/>
        </patternFill>
      </fill>
    </dxf>
    <dxf>
      <fill>
        <patternFill patternType="solid">
          <fgColor rgb="00F2BFC5"/>
          <bgColor rgb="00F2BFC5"/>
        </patternFill>
      </fill>
    </dxf>
    <dxf>
      <fill>
        <patternFill patternType="solid">
          <fgColor rgb="00FDDCC6"/>
          <bgColor rgb="00FDDC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2A4A"/>
    <outlinePr summaryBelow="1" summaryRight="1"/>
    <pageSetUpPr/>
  </sheetPr>
  <dimension ref="B1:E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90" customWidth="1" min="3" max="3"/>
  </cols>
  <sheetData>
    <row r="1" ht="8" customHeight="1">
      <c r="B1" s="1" t="n"/>
      <c r="C1" s="2" t="n"/>
      <c r="D1" s="1" t="n"/>
      <c r="E1" s="2" t="n"/>
    </row>
    <row r="2">
      <c r="B2" s="3" t="inlineStr">
        <is>
          <t>Przegląd Decyzji · karta analizy</t>
        </is>
      </c>
    </row>
    <row r="3">
      <c r="B3" s="4" t="inlineStr">
        <is>
          <t>Narzędzie prowadzącej. Jeden plik = jeden klient. Zapisz kopię jako „Nazwa klienta_data.xlsx”.</t>
        </is>
      </c>
    </row>
    <row r="5" ht="34" customHeight="1">
      <c r="B5" s="5" t="inlineStr">
        <is>
          <t>1. Klient</t>
        </is>
      </c>
      <c r="C5" s="6" t="inlineStr">
        <is>
          <t>Dane z karty przygotowania i kalkulatora klienta (arkusz Podsumowanie).</t>
        </is>
      </c>
    </row>
    <row r="6" ht="34" customHeight="1">
      <c r="B6" s="7" t="inlineStr">
        <is>
          <t>2. Analiza</t>
        </is>
      </c>
      <c r="C6" s="8" t="inlineStr">
        <is>
          <t>Przed sesją: dla 3 decyzji oceń 6 ogniw (1–5), wpisz ukryte założenia, sygnały ostrzegawcze, pytania i hipotezę. Arkusz wskaże najsłabsze ogniwo i kolejność omawiania.</t>
        </is>
      </c>
    </row>
    <row r="7" ht="34" customHeight="1">
      <c r="B7" s="5" t="inlineStr">
        <is>
          <t>3. Sesja</t>
        </is>
      </c>
      <c r="C7" s="6" t="inlineStr">
        <is>
          <t>Pracuj według scenariusza 120 min (Pakiet prowadzącej, rozdz. 6). Po sesji uzupełnij werdykty, zmiany i wzorzec decyzyjny.</t>
        </is>
      </c>
    </row>
    <row r="8" ht="34" customHeight="1">
      <c r="B8" s="7" t="inlineStr">
        <is>
          <t>4. Raport</t>
        </is>
      </c>
      <c r="C8" s="8" t="inlineStr">
        <is>
          <t>Arkusz Raport składa się sam. Uzupełnij pola brzoskwiniowe (podsumowanie, rekomendacje, plan 30 dni), potem Plik → Drukuj → PDF i wyślij klientowi w 3 dni robocze.</t>
        </is>
      </c>
    </row>
    <row r="9" ht="34" customHeight="1">
      <c r="B9" s="5" t="inlineStr">
        <is>
          <t>Skala ogniw</t>
        </is>
      </c>
      <c r="C9" s="6" t="inlineStr">
        <is>
          <t>1–2 słabe · 3 wystarczające · 4–5 mocne (kryteria: Pakiet prowadzącej, rozdz. 5).</t>
        </is>
      </c>
    </row>
    <row r="10" ht="34" customHeight="1">
      <c r="B10" s="7" t="inlineStr">
        <is>
          <t>Przykład</t>
        </is>
      </c>
      <c r="C10" s="8" t="inlineStr">
        <is>
          <t>Plik zawiera przykładowe dane fikcyjnego klienta „Studio Lumen”. Usuń je przed pierwszym użyciem.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8B68C"/>
    <outlinePr summaryBelow="1" summaryRight="1"/>
    <pageSetUpPr/>
  </sheetPr>
  <dimension ref="B1:D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70" customWidth="1" min="3" max="3"/>
  </cols>
  <sheetData>
    <row r="1" ht="8" customHeight="1">
      <c r="B1" s="1" t="n"/>
      <c r="C1" s="2" t="n"/>
      <c r="D1" s="1" t="n"/>
    </row>
    <row r="2">
      <c r="B2" s="3" t="inlineStr">
        <is>
          <t>Klient</t>
        </is>
      </c>
    </row>
    <row r="3">
      <c r="B3" s="4" t="inlineStr">
        <is>
          <t>Dane z karty przygotowania do konsultacji</t>
        </is>
      </c>
    </row>
    <row r="5" ht="30" customHeight="1">
      <c r="B5" s="7" t="inlineStr">
        <is>
          <t>Klient (osoba)</t>
        </is>
      </c>
      <c r="C5" s="9" t="inlineStr">
        <is>
          <t>Anna Nowak (przykład)</t>
        </is>
      </c>
    </row>
    <row r="6" ht="30" customHeight="1">
      <c r="B6" s="7" t="inlineStr">
        <is>
          <t>Firma</t>
        </is>
      </c>
      <c r="C6" s="9" t="inlineStr">
        <is>
          <t>Studio Lumen (fikcyjne)</t>
        </is>
      </c>
    </row>
    <row r="7" ht="30" customHeight="1">
      <c r="B7" s="7" t="inlineStr">
        <is>
          <t>Branża / liczba osób</t>
        </is>
      </c>
      <c r="C7" s="9" t="inlineStr">
        <is>
          <t>Studio graficzno-marketingowe, 6 osób</t>
        </is>
      </c>
    </row>
    <row r="8" ht="30" customHeight="1">
      <c r="B8" s="7" t="inlineStr">
        <is>
          <t>Data sesji</t>
        </is>
      </c>
      <c r="C8" s="9" t="inlineStr">
        <is>
          <t>2026-11-20</t>
        </is>
      </c>
    </row>
    <row r="9" ht="30" customHeight="1">
      <c r="B9" s="7" t="inlineStr">
        <is>
          <t>Przychód / marża netto (12 mies.)</t>
        </is>
      </c>
      <c r="C9" s="9" t="inlineStr">
        <is>
          <t>1,2 mln zł / 8%</t>
        </is>
      </c>
    </row>
    <row r="10" ht="30" customHeight="1">
      <c r="B10" s="7" t="inlineStr">
        <is>
          <t>Wynik audytu / najsłabszy obszar</t>
        </is>
      </c>
      <c r="C10" s="9" t="inlineStr">
        <is>
          <t>31/60 · Oferta i ceny</t>
        </is>
      </c>
    </row>
    <row r="11" ht="30" customHeight="1">
      <c r="B11" s="7" t="inlineStr">
        <is>
          <t>Cel na 12 miesięcy</t>
        </is>
      </c>
      <c r="C11" s="9" t="inlineStr">
        <is>
          <t>Marża netto 18%, 40% przychodu z abonamentów</t>
        </is>
      </c>
    </row>
    <row r="12" ht="30" customHeight="1">
      <c r="B12" s="7" t="inlineStr">
        <is>
          <t>Czego oczekuje po konsultacji</t>
        </is>
      </c>
      <c r="C12" s="9" t="inlineStr">
        <is>
          <t>Pewności, że podwyżka nie zniszczy relacji z największymi klientami</t>
        </is>
      </c>
    </row>
    <row r="13" ht="30" customHeight="1">
      <c r="B13" s="7" t="inlineStr">
        <is>
          <t>Decyzja z najmniejszą pewnością</t>
        </is>
      </c>
      <c r="C13" s="9" t="inlineStr">
        <is>
          <t>Podwyżka 10% dla wszystkich obecnych klientów</t>
        </is>
      </c>
    </row>
    <row r="14" ht="30" customHeight="1">
      <c r="B14" s="7" t="inlineStr">
        <is>
          <t>Inni decydenci</t>
        </is>
      </c>
      <c r="C14" s="9" t="inlineStr">
        <is>
          <t>Wspólnik (udziały 30%), nie uczestniczył w programie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8B68C"/>
    <outlinePr summaryBelow="1" summaryRight="1"/>
    <pageSetUpPr/>
  </sheetPr>
  <dimension ref="B1:E5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42" customWidth="1" min="3" max="3"/>
    <col width="42" customWidth="1" min="4" max="4"/>
    <col width="42" customWidth="1" min="5" max="5"/>
  </cols>
  <sheetData>
    <row r="1" ht="8" customHeight="1">
      <c r="B1" s="1" t="n"/>
      <c r="C1" s="2" t="n"/>
      <c r="D1" s="1" t="n"/>
      <c r="E1" s="2" t="n"/>
    </row>
    <row r="2">
      <c r="B2" s="3" t="inlineStr">
        <is>
          <t>Analiza toku rozumowania</t>
        </is>
      </c>
    </row>
    <row r="3">
      <c r="B3" s="4" t="inlineStr">
        <is>
          <t>Wiersze = elementy analizy, kolumny = decyzje. Brzoskwiniowe pola wypełniasz.</t>
        </is>
      </c>
    </row>
    <row r="5">
      <c r="B5" s="10" t="inlineStr"/>
      <c r="C5" s="11" t="inlineStr">
        <is>
          <t>Decyzja 1</t>
        </is>
      </c>
      <c r="D5" s="11" t="inlineStr">
        <is>
          <t>Decyzja 2</t>
        </is>
      </c>
      <c r="E5" s="11" t="inlineStr">
        <is>
          <t>Decyzja 3</t>
        </is>
      </c>
    </row>
    <row r="6" ht="34" customHeight="1">
      <c r="B6" s="7" t="inlineStr">
        <is>
          <t>Decyzja (z karty klienta)</t>
        </is>
      </c>
      <c r="C6" s="9" t="inlineStr">
        <is>
          <t>Gdzie grać: kliniki i gabinety + pakiet flagowy</t>
        </is>
      </c>
      <c r="D6" s="9" t="inlineStr">
        <is>
          <t>Ceny: podwyżka 10% dla wszystkich od 1.03</t>
        </is>
      </c>
      <c r="E6" s="9" t="inlineStr">
        <is>
          <t>3 priorytety: abonament, cennik, standard sprzedaży</t>
        </is>
      </c>
    </row>
    <row r="8">
      <c r="B8" s="12" t="inlineStr">
        <is>
          <t>OCENA 6 OGNIW (1–5)</t>
        </is>
      </c>
      <c r="C8" s="12" t="n"/>
      <c r="D8" s="12" t="n"/>
      <c r="E8" s="12" t="n"/>
    </row>
    <row r="9">
      <c r="B9" s="7" t="inlineStr">
        <is>
          <t>Rama</t>
        </is>
      </c>
      <c r="C9" s="13" t="n">
        <v>4</v>
      </c>
      <c r="D9" s="13" t="n">
        <v>3</v>
      </c>
      <c r="E9" s="13" t="n">
        <v>3</v>
      </c>
    </row>
    <row r="10">
      <c r="B10" s="7" t="inlineStr">
        <is>
          <t>Opcje</t>
        </is>
      </c>
      <c r="C10" s="13" t="n">
        <v>2</v>
      </c>
      <c r="D10" s="13" t="n">
        <v>1</v>
      </c>
      <c r="E10" s="13" t="n">
        <v>3</v>
      </c>
    </row>
    <row r="11">
      <c r="B11" s="7" t="inlineStr">
        <is>
          <t>Informacje</t>
        </is>
      </c>
      <c r="C11" s="13" t="n">
        <v>4</v>
      </c>
      <c r="D11" s="13" t="n">
        <v>3</v>
      </c>
      <c r="E11" s="13" t="n">
        <v>2</v>
      </c>
    </row>
    <row r="12">
      <c r="B12" s="7" t="inlineStr">
        <is>
          <t>Kryteria</t>
        </is>
      </c>
      <c r="C12" s="13" t="n">
        <v>3</v>
      </c>
      <c r="D12" s="13" t="n">
        <v>2</v>
      </c>
      <c r="E12" s="13" t="n">
        <v>3</v>
      </c>
    </row>
    <row r="13">
      <c r="B13" s="7" t="inlineStr">
        <is>
          <t>Rozumowanie</t>
        </is>
      </c>
      <c r="C13" s="13" t="n">
        <v>3</v>
      </c>
      <c r="D13" s="13" t="n">
        <v>2</v>
      </c>
      <c r="E13" s="13" t="n">
        <v>3</v>
      </c>
    </row>
    <row r="14">
      <c r="B14" s="7" t="inlineStr">
        <is>
          <t>Zobowiązanie</t>
        </is>
      </c>
      <c r="C14" s="13" t="n">
        <v>3</v>
      </c>
      <c r="D14" s="13" t="n">
        <v>4</v>
      </c>
      <c r="E14" s="13" t="n">
        <v>2</v>
      </c>
    </row>
    <row r="15">
      <c r="B15" s="14" t="inlineStr">
        <is>
          <t>Średnia</t>
        </is>
      </c>
      <c r="C15" s="15">
        <f>IFERROR(ROUND(AVERAGE(C9:C14),1),"")</f>
        <v/>
      </c>
      <c r="D15" s="15">
        <f>IFERROR(ROUND(AVERAGE(D9:D14),1),"")</f>
        <v/>
      </c>
      <c r="E15" s="15">
        <f>IFERROR(ROUND(AVERAGE(E9:E14),1),"")</f>
        <v/>
      </c>
    </row>
    <row r="16">
      <c r="B16" s="14" t="inlineStr">
        <is>
          <t>Najsłabsze ogniwo</t>
        </is>
      </c>
      <c r="C16" s="15">
        <f>IFERROR(INDEX($B$9:$B$14,MATCH(MIN(C9:C14),C9:C14,0))&amp;" ("&amp;MIN(C9:C14)&amp;")","")</f>
        <v/>
      </c>
      <c r="D16" s="15">
        <f>IFERROR(INDEX($B$9:$B$14,MATCH(MIN(D9:D14),D9:D14,0))&amp;" ("&amp;MIN(D9:D14)&amp;")","")</f>
        <v/>
      </c>
      <c r="E16" s="15">
        <f>IFERROR(INDEX($B$9:$B$14,MATCH(MIN(E9:E14),E9:E14,0))&amp;" ("&amp;MIN(E9:E14)&amp;")","")</f>
        <v/>
      </c>
    </row>
    <row r="17">
      <c r="B17" s="14" t="inlineStr">
        <is>
          <t>Kolejność omawiania (1 = najpierw)</t>
        </is>
      </c>
      <c r="C17" s="15">
        <f>IFERROR(RANK(C15,$C$15:$E$15,1),"")</f>
        <v/>
      </c>
      <c r="D17" s="15">
        <f>IFERROR(RANK(D15,$C$15:$E$15,1),"")</f>
        <v/>
      </c>
      <c r="E17" s="15">
        <f>IFERROR(RANK(E15,$C$15:$E$15,1),"")</f>
        <v/>
      </c>
    </row>
    <row r="19">
      <c r="B19" s="12" t="inlineStr">
        <is>
          <t>NOTATKI DO OGNIW (dlaczego taka ocena)</t>
        </is>
      </c>
      <c r="C19" s="12" t="n"/>
      <c r="D19" s="12" t="n"/>
      <c r="E19" s="12" t="n"/>
    </row>
    <row r="20" ht="44" customHeight="1">
      <c r="B20" s="7" t="inlineStr">
        <is>
          <t>Mocne strony</t>
        </is>
      </c>
      <c r="C20" s="9" t="inlineStr">
        <is>
          <t>Dane z kalkulatora potwierdzają: najwyższy zysk/h w medycznych</t>
        </is>
      </c>
      <c r="D20" s="9" t="inlineStr">
        <is>
          <t>Jedna opcja: +10% dla wszystkich; brak wariantu dla Gwiazd</t>
        </is>
      </c>
      <c r="E20" s="9" t="inlineStr">
        <is>
          <t>Lista pomysłów obszerna, wybór sensowny</t>
        </is>
      </c>
    </row>
    <row r="21" ht="44" customHeight="1">
      <c r="B21" s="7" t="inlineStr">
        <is>
          <t>Luki w informacjach</t>
        </is>
      </c>
      <c r="C21" s="9" t="inlineStr">
        <is>
          <t>Tylko 2 rozmowy z klientami z segmentu</t>
        </is>
      </c>
      <c r="D21" s="9" t="inlineStr">
        <is>
          <t>Brak danych o elastyczności: klient A (18% przychodu) bez rozmowy</t>
        </is>
      </c>
      <c r="E21" s="9" t="inlineStr">
        <is>
          <t>Brak oszacowania czasu wdrożenia</t>
        </is>
      </c>
    </row>
    <row r="22" ht="44" customHeight="1">
      <c r="B22" s="7" t="inlineStr">
        <is>
          <t>Zobowiązanie / wdrożenie</t>
        </is>
      </c>
      <c r="C22" s="9" t="inlineStr">
        <is>
          <t>Pre-mortem konkretny</t>
        </is>
      </c>
      <c r="D22" s="9" t="inlineStr">
        <is>
          <t>Pre-mortem: „nic nie pójdzie źle”</t>
        </is>
      </c>
      <c r="E22" s="9" t="inlineStr">
        <is>
          <t>Trzy priorytety wymagają pracy właścicielki</t>
        </is>
      </c>
    </row>
    <row r="24">
      <c r="B24" s="12" t="inlineStr">
        <is>
          <t>UKRYTE ZAŁOŻENIA (klient ich nie zapisał)</t>
        </is>
      </c>
      <c r="C24" s="12" t="n"/>
      <c r="D24" s="12" t="n"/>
      <c r="E24" s="12" t="n"/>
    </row>
    <row r="25" ht="34" customHeight="1">
      <c r="B25" s="7" t="inlineStr">
        <is>
          <t>Założenie 1</t>
        </is>
      </c>
      <c r="C25" s="9" t="inlineStr">
        <is>
          <t>Gabinety mają budżet na pakiet 16 900 zł</t>
        </is>
      </c>
      <c r="D25" s="9" t="inlineStr">
        <is>
          <t>Klient A nie ma alternatywy w tej cenie</t>
        </is>
      </c>
      <c r="E25" s="9" t="inlineStr">
        <is>
          <t>Właścicielka znajdzie 6 h tygodniowo</t>
        </is>
      </c>
    </row>
    <row r="26" ht="34" customHeight="1">
      <c r="B26" s="7" t="inlineStr">
        <is>
          <t>Założenie 2</t>
        </is>
      </c>
      <c r="C26" s="9" t="inlineStr">
        <is>
          <t>Partner (biura rachunkowe) poleca aktywnie</t>
        </is>
      </c>
      <c r="D26" s="9" t="inlineStr">
        <is>
          <t>Wszyscy klienci reagują na podwyżkę tak samo</t>
        </is>
      </c>
      <c r="E26" s="9" t="inlineStr">
        <is>
          <t>PM przejmie rozmowy bez szkolenia</t>
        </is>
      </c>
    </row>
    <row r="27" ht="34" customHeight="1">
      <c r="B27" s="7" t="inlineStr">
        <is>
          <t>Założenie 3</t>
        </is>
      </c>
      <c r="C27" s="9" t="inlineStr"/>
      <c r="D27" s="9" t="inlineStr">
        <is>
          <t>Wspólnik zaakceptuje ryzyko utraty klienta A</t>
        </is>
      </c>
      <c r="E27" s="9" t="inlineStr"/>
    </row>
    <row r="29">
      <c r="B29" s="12" t="inlineStr">
        <is>
          <t>SYGNAŁY OSTRZEGAWCZE (wpisz X)</t>
        </is>
      </c>
      <c r="C29" s="12" t="n"/>
      <c r="D29" s="12" t="n"/>
      <c r="E29" s="12" t="n"/>
    </row>
    <row r="30">
      <c r="B30" s="16" t="inlineStr">
        <is>
          <t>Jedna opcja jako jedyna możliwa</t>
        </is>
      </c>
      <c r="C30" s="13" t="n"/>
      <c r="D30" s="13" t="inlineStr">
        <is>
          <t>X</t>
        </is>
      </c>
      <c r="E30" s="13" t="n"/>
    </row>
    <row r="31">
      <c r="B31" s="16" t="inlineStr">
        <is>
          <t>„Wszyscy w branży tak robią”</t>
        </is>
      </c>
      <c r="C31" s="13" t="n"/>
      <c r="D31" s="13" t="inlineStr">
        <is>
          <t>X</t>
        </is>
      </c>
      <c r="E31" s="13" t="n"/>
    </row>
    <row r="32">
      <c r="B32" s="16" t="inlineStr">
        <is>
          <t>Cena względem konkurencji / dawnego cennika</t>
        </is>
      </c>
      <c r="C32" s="13" t="n"/>
      <c r="D32" s="13" t="n"/>
      <c r="E32" s="13" t="n"/>
    </row>
    <row r="33">
      <c r="B33" s="16" t="inlineStr">
        <is>
          <t>Decyzja chroni przed stratą, nie buduje zysku</t>
        </is>
      </c>
      <c r="C33" s="13" t="n"/>
      <c r="D33" s="13" t="inlineStr">
        <is>
          <t>X</t>
        </is>
      </c>
      <c r="E33" s="13" t="n"/>
    </row>
    <row r="34">
      <c r="B34" s="16" t="inlineStr">
        <is>
          <t>Cel bez liczby lub terminu</t>
        </is>
      </c>
      <c r="C34" s="13" t="n"/>
      <c r="D34" s="13" t="n"/>
      <c r="E34" s="13" t="n"/>
    </row>
    <row r="35">
      <c r="B35" s="16" t="inlineStr">
        <is>
          <t>Pewność 90%+ przy słabych danych</t>
        </is>
      </c>
      <c r="C35" s="13" t="n"/>
      <c r="D35" s="13" t="inlineStr">
        <is>
          <t>X</t>
        </is>
      </c>
      <c r="E35" s="13" t="n"/>
    </row>
    <row r="36">
      <c r="B36" s="16" t="inlineStr">
        <is>
          <t>Każda decyzja wymaga pracy właściciela</t>
        </is>
      </c>
      <c r="C36" s="13" t="n"/>
      <c r="D36" s="13" t="n"/>
      <c r="E36" s="13" t="inlineStr">
        <is>
          <t>X</t>
        </is>
      </c>
    </row>
    <row r="37">
      <c r="B37" s="16" t="inlineStr">
        <is>
          <t>Pre-mortem pusty</t>
        </is>
      </c>
      <c r="C37" s="13" t="n"/>
      <c r="D37" s="13" t="inlineStr">
        <is>
          <t>X</t>
        </is>
      </c>
      <c r="E37" s="13" t="n"/>
    </row>
    <row r="38">
      <c r="B38" s="16" t="inlineStr">
        <is>
          <t>Trzymanie nierentownego klienta z sentymentu</t>
        </is>
      </c>
      <c r="C38" s="13" t="n"/>
      <c r="D38" s="13" t="n"/>
      <c r="E38" s="13" t="n"/>
    </row>
    <row r="39">
      <c r="B39" s="16" t="inlineStr">
        <is>
          <t>Wdrożenie „przy okazji”</t>
        </is>
      </c>
      <c r="C39" s="13" t="n"/>
      <c r="D39" s="13" t="n"/>
      <c r="E39" s="13" t="inlineStr">
        <is>
          <t>X</t>
        </is>
      </c>
    </row>
    <row r="40">
      <c r="B40" s="14" t="inlineStr">
        <is>
          <t>Liczba sygnałów</t>
        </is>
      </c>
      <c r="C40" s="15">
        <f>COUNTIF(C30:C39,"X")</f>
        <v/>
      </c>
      <c r="D40" s="15">
        <f>COUNTIF(D30:D39,"X")</f>
        <v/>
      </c>
      <c r="E40" s="15">
        <f>COUNTIF(E30:E39,"X")</f>
        <v/>
      </c>
    </row>
    <row r="42">
      <c r="B42" s="12" t="inlineStr">
        <is>
          <t>PYTANIA NA SESJĘ</t>
        </is>
      </c>
      <c r="C42" s="12" t="n"/>
      <c r="D42" s="12" t="n"/>
      <c r="E42" s="12" t="n"/>
    </row>
    <row r="43" ht="44" customHeight="1">
      <c r="B43" s="7" t="inlineStr">
        <is>
          <t>Pytanie 1</t>
        </is>
      </c>
      <c r="C43" s="9" t="inlineStr">
        <is>
          <t>Co musiałoby być prawdą, żeby gabinety kupowały pakiet za 16 900 zł?</t>
        </is>
      </c>
      <c r="D43" s="9" t="inlineStr">
        <is>
          <t>Co by Pani zrobiła, gdyby podwyżka dla klienta A była niemożliwa?</t>
        </is>
      </c>
      <c r="E43" s="9" t="inlineStr">
        <is>
          <t>Co Pani przestanie robić, żeby znaleźć 6 h tygodniowo?</t>
        </is>
      </c>
    </row>
    <row r="44" ht="44" customHeight="1">
      <c r="B44" s="7" t="inlineStr">
        <is>
          <t>Pytanie 2</t>
        </is>
      </c>
      <c r="C44" s="9" t="inlineStr">
        <is>
          <t>Który segment odrzuciła Pani najszybciej i dlaczego?</t>
        </is>
      </c>
      <c r="D44" s="9" t="inlineStr">
        <is>
          <t>Czego najbardziej się Pani obawia w rozmowie z klientem A?</t>
        </is>
      </c>
      <c r="E44" s="9" t="inlineStr">
        <is>
          <t>Kto poza Panią może prowadzić rozmowy o abonamencie?</t>
        </is>
      </c>
    </row>
    <row r="45" ht="44" customHeight="1">
      <c r="B45" s="7" t="inlineStr">
        <is>
          <t>Pytanie 3</t>
        </is>
      </c>
      <c r="C45" s="9" t="inlineStr">
        <is>
          <t>Jaki fakt zmieniłby Pani zdanie co do segmentu?</t>
        </is>
      </c>
      <c r="D45" s="9" t="inlineStr">
        <is>
          <t>Co doradziłaby Pani znajomej właścicielce w tej sytuacji?</t>
        </is>
      </c>
      <c r="E45" s="9" t="inlineStr">
        <is>
          <t>Po czym pozna Pani w 4. tygodniu, że plan nie działa?</t>
        </is>
      </c>
    </row>
    <row r="47">
      <c r="B47" s="12" t="inlineStr">
        <is>
          <t>HIPOTEZA PRZED SESJĄ</t>
        </is>
      </c>
      <c r="C47" s="12" t="n"/>
      <c r="D47" s="12" t="n"/>
      <c r="E47" s="12" t="n"/>
    </row>
    <row r="48" ht="60" customHeight="1">
      <c r="B48" s="7" t="inlineStr">
        <is>
          <t>Moja hipoteza (zostaw / popraw / wstrzymaj + dlaczego)</t>
        </is>
      </c>
      <c r="C48" s="9" t="inlineStr">
        <is>
          <t>Zostaw. Mocne dane; dodać test z 5 gabinetami</t>
        </is>
      </c>
      <c r="D48" s="9" t="inlineStr">
        <is>
          <t>Popraw. Zróżnicować podwyżkę: Gwiazdy +5% z wartością dodaną, „Do pożegnania” +15%, klient A rozmowa osobista</t>
        </is>
      </c>
      <c r="E48" s="9" t="inlineStr">
        <is>
          <t>Popraw. Odciążyć właścicielkę: standard sprzedaży jako priorytet 1</t>
        </is>
      </c>
    </row>
    <row r="50">
      <c r="B50" s="12" t="inlineStr">
        <is>
          <t>PO SESJI</t>
        </is>
      </c>
      <c r="C50" s="12" t="n"/>
      <c r="D50" s="12" t="n"/>
      <c r="E50" s="12" t="n"/>
    </row>
    <row r="51" ht="20" customHeight="1">
      <c r="B51" s="7" t="inlineStr">
        <is>
          <t>Werdykt</t>
        </is>
      </c>
      <c r="C51" s="9" t="inlineStr">
        <is>
          <t>Zostaw</t>
        </is>
      </c>
      <c r="D51" s="9" t="inlineStr">
        <is>
          <t>Popraw</t>
        </is>
      </c>
      <c r="E51" s="9" t="inlineStr">
        <is>
          <t>Popraw</t>
        </is>
      </c>
    </row>
    <row r="52" ht="40" customHeight="1">
      <c r="B52" s="7" t="inlineStr">
        <is>
          <t>Co konkretnie zmieniamy</t>
        </is>
      </c>
      <c r="C52" s="9" t="inlineStr">
        <is>
          <t>Dodać test: 5 rozmów z gabinetami do 15.12</t>
        </is>
      </c>
      <c r="D52" s="9" t="inlineStr">
        <is>
          <t>Podwyżka zróżnicowana; klient A: rozmowa właścicielki do 10.01, wariant zakresu</t>
        </is>
      </c>
      <c r="E52" s="9" t="inlineStr">
        <is>
          <t>Kolejność: 1) standard sprzedaży 2) cennik 3) abonament</t>
        </is>
      </c>
    </row>
    <row r="53" ht="40" customHeight="1">
      <c r="B53" s="7" t="inlineStr">
        <is>
          <t>Pierwszy krok, kto, kiedy</t>
        </is>
      </c>
      <c r="C53" s="9" t="inlineStr">
        <is>
          <t>Właścicielka: lista 20 gabinetów do 5.12</t>
        </is>
      </c>
      <c r="D53" s="9" t="inlineStr">
        <is>
          <t>Właścicielka + wspólnik: decyzja o kliencie A do 20.12</t>
        </is>
      </c>
      <c r="E53" s="9" t="inlineStr">
        <is>
          <t>PM: skrypty i CRM do 31.12</t>
        </is>
      </c>
    </row>
    <row r="55" ht="40" customHeight="1">
      <c r="B55" s="7" t="inlineStr">
        <is>
          <t>Wzorzec decyzyjny klienta</t>
        </is>
      </c>
      <c r="C55" s="9" t="inlineStr">
        <is>
          <t>Przy decyzjach o cenach i ludziach wygrywa obawa przed konfliktem: zawęża opcje do jednej „bezpiecznej” i pomija rozmowę z najważniejszym interesariuszem.</t>
        </is>
      </c>
    </row>
    <row r="56" ht="34" customHeight="1">
      <c r="B56" s="7" t="inlineStr">
        <is>
          <t>Nawyk na przyszłość</t>
        </is>
      </c>
      <c r="C56" s="9" t="inlineStr">
        <is>
          <t>Przed każdą decyzją powyżej 10 tys. zł: 3 opcje (w tym status quo) + pre-mortem + rozmowa z osobą, której decyzja dotyczy najbardziej.</t>
        </is>
      </c>
    </row>
  </sheetData>
  <mergeCells count="2">
    <mergeCell ref="C55:E55"/>
    <mergeCell ref="C56:E56"/>
  </mergeCells>
  <conditionalFormatting sqref="C9:E14">
    <cfRule type="cellIs" priority="1" operator="lessThanOrEqual" dxfId="0">
      <formula>2</formula>
    </cfRule>
    <cfRule type="cellIs" priority="2" operator="greaterThanOrEqual" dxfId="1">
      <formula>4</formula>
    </cfRule>
  </conditionalFormatting>
  <conditionalFormatting sqref="C40:E40">
    <cfRule type="cellIs" priority="3" operator="greaterThanOrEqual" dxfId="2">
      <formula>2</formula>
    </cfRule>
  </conditionalFormatting>
  <conditionalFormatting sqref="C51:E51">
    <cfRule type="expression" priority="4" dxfId="1">
      <formula>C51="Zostaw"</formula>
    </cfRule>
    <cfRule type="expression" priority="5" dxfId="3">
      <formula>C51="Popraw"</formula>
    </cfRule>
    <cfRule type="expression" priority="6" dxfId="2">
      <formula>C51="Wstrzymaj"</formula>
    </cfRule>
  </conditionalFormatting>
  <dataValidations count="2">
    <dataValidation sqref="C9 C10 C11 C12 C13 C14 D9 D10 D11 D12 D13 D14 E9 E10 E11 E12 E13 E14" showDropDown="0" showInputMessage="0" showErrorMessage="0" allowBlank="1" type="whole" operator="between">
      <formula1>1</formula1>
      <formula2>5</formula2>
    </dataValidation>
    <dataValidation sqref="C51 D51 E51" showDropDown="0" showInputMessage="0" showErrorMessage="0" allowBlank="1" type="list">
      <formula1>"Zostaw,Popraw,Wstrzymaj"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2A4A"/>
    <outlinePr summaryBelow="1" summaryRight="1"/>
    <pageSetUpPr fitToPage="1"/>
  </sheetPr>
  <dimension ref="B1:F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6" customWidth="1" min="4" max="4"/>
    <col width="22" customWidth="1" min="5" max="5"/>
    <col width="40" customWidth="1" min="6" max="6"/>
  </cols>
  <sheetData>
    <row r="1" ht="8" customHeight="1">
      <c r="B1" s="1" t="n"/>
      <c r="C1" s="2" t="n"/>
      <c r="D1" s="1" t="n"/>
      <c r="E1" s="2" t="n"/>
      <c r="F1" s="1" t="n"/>
    </row>
    <row r="2">
      <c r="B2" s="3" t="inlineStr">
        <is>
          <t>Raport z konsultacji Przegląd Decyzji</t>
        </is>
      </c>
    </row>
    <row r="3">
      <c r="B3" s="4" t="inlineStr">
        <is>
          <t>guliwera4.pl · poufne</t>
        </is>
      </c>
    </row>
    <row r="4">
      <c r="B4" s="17">
        <f>Klient!C6&amp;" · "&amp;Klient!C5</f>
        <v/>
      </c>
      <c r="F4" s="18">
        <f>"Data sesji: "&amp;Klient!C8</f>
        <v/>
      </c>
    </row>
    <row r="6">
      <c r="B6" s="12" t="inlineStr">
        <is>
          <t>1. PODSUMOWANIE</t>
        </is>
      </c>
      <c r="C6" s="12" t="n"/>
      <c r="D6" s="12" t="n"/>
      <c r="E6" s="12" t="n"/>
      <c r="F6" s="12" t="n"/>
    </row>
    <row r="7" ht="70" customHeight="1">
      <c r="B7" s="9" t="inlineStr">
        <is>
          <t>Firma ma mocny fundament: wybrany segment medyczny daje najwyższy zysk na godzinę, a dane z kalkulatora go potwierdzają. Najsłabszym miejscem planu jest decyzja o cenach: oparta na jednej opcji i na obawie przed utratą klienta A, a nie na jego realnej sytuacji. Plan wymaga też odciążenia właścicielki, żeby był wykonalny.</t>
        </is>
      </c>
    </row>
    <row r="9">
      <c r="B9" s="12" t="inlineStr">
        <is>
          <t>2. MAPA DECYZJI</t>
        </is>
      </c>
      <c r="C9" s="12" t="n"/>
      <c r="D9" s="12" t="n"/>
      <c r="E9" s="12" t="n"/>
      <c r="F9" s="12" t="n"/>
    </row>
    <row r="10">
      <c r="B10" s="19" t="inlineStr">
        <is>
          <t>Decyzja</t>
        </is>
      </c>
      <c r="C10" s="19" t="inlineStr">
        <is>
          <t>Średnia ocena (1–5)</t>
        </is>
      </c>
      <c r="D10" s="19" t="inlineStr">
        <is>
          <t>Najsłabsze ogniwo</t>
        </is>
      </c>
      <c r="E10" s="19" t="inlineStr">
        <is>
          <t>Werdykt</t>
        </is>
      </c>
      <c r="F10" s="19" t="inlineStr">
        <is>
          <t>Co zmieniamy</t>
        </is>
      </c>
    </row>
    <row r="11" ht="48" customHeight="1">
      <c r="B11" s="16">
        <f>Analiza!C6</f>
        <v/>
      </c>
      <c r="C11" s="16">
        <f>Analiza!C15</f>
        <v/>
      </c>
      <c r="D11" s="16">
        <f>Analiza!C16</f>
        <v/>
      </c>
      <c r="E11" s="7">
        <f>Analiza!C51</f>
        <v/>
      </c>
      <c r="F11" s="16">
        <f>Analiza!C52</f>
        <v/>
      </c>
    </row>
    <row r="12" ht="48" customHeight="1">
      <c r="B12" s="16">
        <f>Analiza!D6</f>
        <v/>
      </c>
      <c r="C12" s="16">
        <f>Analiza!D15</f>
        <v/>
      </c>
      <c r="D12" s="16">
        <f>Analiza!D16</f>
        <v/>
      </c>
      <c r="E12" s="7">
        <f>Analiza!D51</f>
        <v/>
      </c>
      <c r="F12" s="16">
        <f>Analiza!D52</f>
        <v/>
      </c>
    </row>
    <row r="13" ht="48" customHeight="1">
      <c r="B13" s="16">
        <f>Analiza!E6</f>
        <v/>
      </c>
      <c r="C13" s="16">
        <f>Analiza!E15</f>
        <v/>
      </c>
      <c r="D13" s="16">
        <f>Analiza!E16</f>
        <v/>
      </c>
      <c r="E13" s="7">
        <f>Analiza!E51</f>
        <v/>
      </c>
      <c r="F13" s="16">
        <f>Analiza!E52</f>
        <v/>
      </c>
    </row>
    <row r="15">
      <c r="B15" s="12" t="inlineStr">
        <is>
          <t>3. OCENA 6 OGNIW</t>
        </is>
      </c>
      <c r="C15" s="12" t="n"/>
      <c r="D15" s="12" t="n"/>
      <c r="E15" s="12" t="n"/>
      <c r="F15" s="12" t="n"/>
    </row>
    <row r="16">
      <c r="B16" s="20" t="inlineStr">
        <is>
          <t>Ogniwo</t>
        </is>
      </c>
      <c r="C16" s="20" t="inlineStr">
        <is>
          <t>Decyzja 1</t>
        </is>
      </c>
      <c r="D16" s="20" t="inlineStr">
        <is>
          <t>Decyzja 2</t>
        </is>
      </c>
      <c r="E16" s="20" t="inlineStr">
        <is>
          <t>Decyzja 3</t>
        </is>
      </c>
    </row>
    <row r="17">
      <c r="B17" s="21" t="inlineStr">
        <is>
          <t>Rama</t>
        </is>
      </c>
      <c r="C17" s="22">
        <f>Analiza!C9</f>
        <v/>
      </c>
      <c r="D17" s="22">
        <f>Analiza!D9</f>
        <v/>
      </c>
      <c r="E17" s="22">
        <f>Analiza!E9</f>
        <v/>
      </c>
      <c r="F17" s="23" t="inlineStr">
        <is>
          <t>Skala: 1–2 słabe · 3 wystarczające · 4–5 mocne. Decyzja jest tak mocna, jak jej najsłabsze ogniwo.</t>
        </is>
      </c>
    </row>
    <row r="18">
      <c r="B18" s="21" t="inlineStr">
        <is>
          <t>Opcje</t>
        </is>
      </c>
      <c r="C18" s="22">
        <f>Analiza!C10</f>
        <v/>
      </c>
      <c r="D18" s="22">
        <f>Analiza!D10</f>
        <v/>
      </c>
      <c r="E18" s="22">
        <f>Analiza!E10</f>
        <v/>
      </c>
    </row>
    <row r="19">
      <c r="B19" s="21" t="inlineStr">
        <is>
          <t>Informacje</t>
        </is>
      </c>
      <c r="C19" s="22">
        <f>Analiza!C11</f>
        <v/>
      </c>
      <c r="D19" s="22">
        <f>Analiza!D11</f>
        <v/>
      </c>
      <c r="E19" s="22">
        <f>Analiza!E11</f>
        <v/>
      </c>
    </row>
    <row r="20">
      <c r="B20" s="21" t="inlineStr">
        <is>
          <t>Kryteria</t>
        </is>
      </c>
      <c r="C20" s="22">
        <f>Analiza!C12</f>
        <v/>
      </c>
      <c r="D20" s="22">
        <f>Analiza!D12</f>
        <v/>
      </c>
      <c r="E20" s="22">
        <f>Analiza!E12</f>
        <v/>
      </c>
    </row>
    <row r="21">
      <c r="B21" s="21" t="inlineStr">
        <is>
          <t>Rozumowanie</t>
        </is>
      </c>
      <c r="C21" s="22">
        <f>Analiza!C13</f>
        <v/>
      </c>
      <c r="D21" s="22">
        <f>Analiza!D13</f>
        <v/>
      </c>
      <c r="E21" s="22">
        <f>Analiza!E13</f>
        <v/>
      </c>
    </row>
    <row r="22">
      <c r="B22" s="21" t="inlineStr">
        <is>
          <t>Zobowiązanie</t>
        </is>
      </c>
      <c r="C22" s="22">
        <f>Analiza!C14</f>
        <v/>
      </c>
      <c r="D22" s="22">
        <f>Analiza!D14</f>
        <v/>
      </c>
      <c r="E22" s="22">
        <f>Analiza!E14</f>
        <v/>
      </c>
    </row>
    <row r="24">
      <c r="B24" s="12" t="inlineStr">
        <is>
          <t>4. ZAŁOŻENIA DO SPRAWDZENIA</t>
        </is>
      </c>
      <c r="C24" s="12" t="n"/>
      <c r="D24" s="12" t="n"/>
      <c r="E24" s="12" t="n"/>
      <c r="F24" s="12" t="n"/>
    </row>
    <row r="25">
      <c r="B25" s="24" t="inlineStr">
        <is>
          <t>Założenie</t>
        </is>
      </c>
      <c r="C25" s="24" t="inlineStr">
        <is>
          <t>Jak sprawdzić</t>
        </is>
      </c>
      <c r="D25" s="25" t="n"/>
      <c r="E25" s="24" t="inlineStr">
        <is>
          <t>Do kiedy</t>
        </is>
      </c>
      <c r="F25" s="24" t="inlineStr">
        <is>
          <t>Kto</t>
        </is>
      </c>
    </row>
    <row r="26" ht="34" customHeight="1">
      <c r="B26" s="8">
        <f>Analiza!D26</f>
        <v/>
      </c>
      <c r="C26" s="9" t="inlineStr">
        <is>
          <t>Rozmowy z 3 klientami z ćwiartki Gwiazd przed ogłoszeniem podwyżki</t>
        </is>
      </c>
      <c r="E26" s="9" t="inlineStr">
        <is>
          <t>15.12</t>
        </is>
      </c>
      <c r="F26" s="9" t="inlineStr">
        <is>
          <t>Właścicielka</t>
        </is>
      </c>
    </row>
    <row r="27" ht="34" customHeight="1">
      <c r="B27" s="8">
        <f>Analiza!C25</f>
        <v/>
      </c>
      <c r="C27" s="9" t="inlineStr">
        <is>
          <t>5 rozmów z gabinetami (karta testu)</t>
        </is>
      </c>
      <c r="E27" s="9" t="inlineStr">
        <is>
          <t>15.12</t>
        </is>
      </c>
      <c r="F27" s="9" t="inlineStr">
        <is>
          <t>Właścicielka</t>
        </is>
      </c>
    </row>
    <row r="28" ht="34" customHeight="1">
      <c r="B28" s="8">
        <f>Analiza!E26</f>
        <v/>
      </c>
      <c r="C28" s="9" t="inlineStr">
        <is>
          <t>Szkolenie PM + 2 rozmowy pod obserwacją</t>
        </is>
      </c>
      <c r="E28" s="9" t="inlineStr">
        <is>
          <t>31.12</t>
        </is>
      </c>
      <c r="F28" s="9" t="inlineStr">
        <is>
          <t>PM</t>
        </is>
      </c>
    </row>
    <row r="30">
      <c r="B30" s="12" t="inlineStr">
        <is>
          <t>5. TWÓJ WZORZEC DECYZYJNY</t>
        </is>
      </c>
      <c r="C30" s="12" t="n"/>
      <c r="D30" s="12" t="n"/>
      <c r="E30" s="12" t="n"/>
      <c r="F30" s="12" t="n"/>
    </row>
    <row r="31" ht="40" customHeight="1">
      <c r="B31" s="26">
        <f>Analiza!C55</f>
        <v/>
      </c>
    </row>
    <row r="32" ht="34" customHeight="1">
      <c r="B32" s="27">
        <f>"Nawyk na przyszłość: "&amp;Analiza!C56</f>
        <v/>
      </c>
    </row>
    <row r="34">
      <c r="B34" s="12" t="inlineStr">
        <is>
          <t>6. TRZY REKOMENDACJE</t>
        </is>
      </c>
      <c r="C34" s="12" t="n"/>
      <c r="D34" s="12" t="n"/>
      <c r="E34" s="12" t="n"/>
      <c r="F34" s="12" t="n"/>
    </row>
    <row r="35" ht="34" customHeight="1">
      <c r="B35" s="28" t="inlineStr">
        <is>
          <t>1.</t>
        </is>
      </c>
      <c r="C35" s="9" t="inlineStr">
        <is>
          <t>Zróżnicuj podwyżkę według ćwiartek macierzy i przeprowadź osobistą rozmowę z klientem A, zanim wyślesz list.</t>
        </is>
      </c>
    </row>
    <row r="36" ht="34" customHeight="1">
      <c r="B36" s="28" t="inlineStr">
        <is>
          <t>2.</t>
        </is>
      </c>
      <c r="C36" s="9" t="inlineStr">
        <is>
          <t>Uczyń standard sprzedaży (skrypty, CRM, PM) priorytetem nr 1. Bez niego pozostałe dwa priorytety zależą wyłącznie od Ciebie.</t>
        </is>
      </c>
    </row>
    <row r="37" ht="34" customHeight="1">
      <c r="B37" s="28" t="inlineStr">
        <is>
          <t>3.</t>
        </is>
      </c>
      <c r="C37" s="9" t="inlineStr">
        <is>
          <t>Potwierdź segment medyczny testem 5 rozmów, zanim zmienisz stronę i komunikację.</t>
        </is>
      </c>
    </row>
    <row r="39">
      <c r="B39" s="12" t="inlineStr">
        <is>
          <t>7. PLAN NA 30 DNI</t>
        </is>
      </c>
      <c r="C39" s="12" t="n"/>
      <c r="D39" s="12" t="n"/>
      <c r="E39" s="12" t="n"/>
      <c r="F39" s="12" t="n"/>
    </row>
    <row r="40">
      <c r="B40" s="24" t="inlineStr">
        <is>
          <t>Tydzień</t>
        </is>
      </c>
      <c r="C40" s="24" t="inlineStr">
        <is>
          <t>Działanie</t>
        </is>
      </c>
      <c r="D40" s="29" t="n"/>
      <c r="E40" s="25" t="n"/>
      <c r="F40" s="24" t="inlineStr">
        <is>
          <t>Kto</t>
        </is>
      </c>
    </row>
    <row r="41" ht="30" customHeight="1">
      <c r="B41" s="9" t="inlineStr">
        <is>
          <t>Tydzień 1</t>
        </is>
      </c>
      <c r="C41" s="9" t="inlineStr">
        <is>
          <t>Lista 20 gabinetów; rozmowy z 3 Gwiazdami o zmianach</t>
        </is>
      </c>
      <c r="F41" s="9" t="inlineStr">
        <is>
          <t>Właścicielka</t>
        </is>
      </c>
    </row>
    <row r="42" ht="30" customHeight="1">
      <c r="B42" s="9" t="inlineStr">
        <is>
          <t>Tydzień 2</t>
        </is>
      </c>
      <c r="C42" s="9" t="inlineStr">
        <is>
          <t>Rozmowa z klientem A; decyzja ze wspólnikiem</t>
        </is>
      </c>
      <c r="F42" s="9" t="inlineStr">
        <is>
          <t>Właścicielka + wspólnik</t>
        </is>
      </c>
    </row>
    <row r="43" ht="30" customHeight="1">
      <c r="B43" s="9" t="inlineStr">
        <is>
          <t>Tydzień 3</t>
        </is>
      </c>
      <c r="C43" s="9" t="inlineStr">
        <is>
          <t>Skrypty i CRM; PM prowadzi 2 rozmowy</t>
        </is>
      </c>
      <c r="F43" s="9" t="inlineStr">
        <is>
          <t>PM</t>
        </is>
      </c>
    </row>
    <row r="44" ht="30" customHeight="1">
      <c r="B44" s="9" t="inlineStr">
        <is>
          <t>Tydzień 4</t>
        </is>
      </c>
      <c r="C44" s="9" t="inlineStr">
        <is>
          <t>Wysyłka listów o zmianie cen; przegląd wyników testu</t>
        </is>
      </c>
      <c r="F44" s="9" t="inlineStr">
        <is>
          <t>Właścicielka</t>
        </is>
      </c>
    </row>
    <row r="46">
      <c r="B46" s="12" t="inlineStr">
        <is>
          <t>8. KOLEJNY KONTAKT</t>
        </is>
      </c>
      <c r="C46" s="12" t="n"/>
      <c r="D46" s="12" t="n"/>
      <c r="E46" s="12" t="n"/>
      <c r="F46" s="12" t="n"/>
    </row>
    <row r="47" ht="30" customHeight="1">
      <c r="B47" s="9" t="inlineStr">
        <is>
          <t>Pytania mailowe do 14 dni po sesji. Przegląd po 30 dniach (30 min): [data i godzina].</t>
        </is>
      </c>
    </row>
  </sheetData>
  <mergeCells count="17">
    <mergeCell ref="C42:E42"/>
    <mergeCell ref="B7:F7"/>
    <mergeCell ref="C44:E44"/>
    <mergeCell ref="C41:E41"/>
    <mergeCell ref="B47:F47"/>
    <mergeCell ref="F17:F22"/>
    <mergeCell ref="C35:F35"/>
    <mergeCell ref="C25:D25"/>
    <mergeCell ref="C27:D27"/>
    <mergeCell ref="C40:E40"/>
    <mergeCell ref="C43:E43"/>
    <mergeCell ref="C28:D28"/>
    <mergeCell ref="B31:F31"/>
    <mergeCell ref="C37:F37"/>
    <mergeCell ref="B32:F32"/>
    <mergeCell ref="C26:D26"/>
    <mergeCell ref="C36:F36"/>
  </mergeCells>
  <conditionalFormatting sqref="E11:E13">
    <cfRule type="expression" priority="1" dxfId="1">
      <formula>E11="Zostaw"</formula>
    </cfRule>
    <cfRule type="expression" priority="2" dxfId="3">
      <formula>E11="Popraw"</formula>
    </cfRule>
    <cfRule type="expression" priority="3" dxfId="2">
      <formula>E11="Wstrzymaj"</formula>
    </cfRule>
  </conditionalFormatting>
  <conditionalFormatting sqref="C17:E22">
    <cfRule type="cellIs" priority="4" operator="lessThanOrEqual" dxfId="0">
      <formula>2</formula>
    </cfRule>
    <cfRule type="cellIs" priority="5" operator="greaterThanOrEqual" dxfId="1">
      <formula>4</formula>
    </cfRule>
  </conditionalFormatting>
  <printOptions horizontalCentered="1"/>
  <pageMargins left="0.4" right="0.4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2026-10-13T06:28:11Z</dcterms:created>
  <dcterms:modified xmlns:dcterms="http://purl.org/dc/terms/" xmlns:xsi="http://www.w3.org/2001/XMLSchema-instance" xsi:type="dcterms:W3CDTF">2026-10-13T06:28:11Z</dcterms:modified>
</cp:coreProperties>
</file>