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Ustawienia" sheetId="2" state="visible" r:id="rId2"/>
    <sheet xmlns:r="http://schemas.openxmlformats.org/officeDocument/2006/relationships" name="Usługi" sheetId="3" state="visible" r:id="rId3"/>
    <sheet xmlns:r="http://schemas.openxmlformats.org/officeDocument/2006/relationships" name="Klienci" sheetId="4" state="visible" r:id="rId4"/>
    <sheet xmlns:r="http://schemas.openxmlformats.org/officeDocument/2006/relationships" name="Podwyżka cen" sheetId="5" state="visible" r:id="rId5"/>
    <sheet xmlns:r="http://schemas.openxmlformats.org/officeDocument/2006/relationships" name="Lejek" sheetId="6" state="visible" r:id="rId6"/>
    <sheet xmlns:r="http://schemas.openxmlformats.org/officeDocument/2006/relationships" name="Dźwignie wzrostu" sheetId="7" state="visible" r:id="rId7"/>
    <sheet xmlns:r="http://schemas.openxmlformats.org/officeDocument/2006/relationships" name="Próg rentowności" sheetId="8" state="visible" r:id="rId8"/>
    <sheet xmlns:r="http://schemas.openxmlformats.org/officeDocument/2006/relationships" name="Podsumowani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zł&quot;"/>
    <numFmt numFmtId="165" formatCode="#,##0.00 &quot;zł&quot;"/>
    <numFmt numFmtId="166" formatCode="0.0%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E2A4A"/>
      <sz val="20"/>
    </font>
    <font>
      <i val="1"/>
      <color rgb="006B6F80"/>
      <sz val="10"/>
    </font>
    <font>
      <b val="1"/>
      <color rgb="001E2A4A"/>
      <sz val="12"/>
    </font>
    <font>
      <b val="1"/>
      <color rgb="001E2A4A"/>
      <sz val="11"/>
    </font>
    <font>
      <i val="1"/>
      <color rgb="006B6F80"/>
      <sz val="9"/>
    </font>
    <font>
      <color rgb="001E2A4A"/>
    </font>
    <font>
      <b val="1"/>
      <color rgb="001E2A4A"/>
    </font>
    <font>
      <b val="1"/>
      <color rgb="001E2A4A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2BFC5"/>
        <bgColor rgb="00F2BFC5"/>
      </patternFill>
    </fill>
    <fill>
      <patternFill patternType="solid">
        <fgColor rgb="00F8B68C"/>
        <bgColor rgb="00F8B68C"/>
      </patternFill>
    </fill>
    <fill>
      <patternFill patternType="solid">
        <fgColor rgb="00FBE6E7"/>
        <bgColor rgb="00FBE6E7"/>
      </patternFill>
    </fill>
    <fill>
      <patternFill patternType="solid">
        <fgColor rgb="00FFF8F3"/>
        <bgColor rgb="00FFF8F3"/>
      </patternFill>
    </fill>
    <fill>
      <patternFill patternType="solid">
        <fgColor rgb="00FDDCC6"/>
        <bgColor rgb="00FDDCC6"/>
      </patternFill>
    </fill>
    <fill>
      <patternFill patternType="solid">
        <fgColor rgb="001E2A4A"/>
        <bgColor rgb="001E2A4A"/>
      </patternFill>
    </fill>
  </fills>
  <borders count="2">
    <border>
      <left/>
      <right/>
      <top/>
      <bottom/>
      <diagonal/>
    </border>
    <border>
      <left style="thin">
        <color rgb="00E9D6CF"/>
      </left>
      <right style="thin">
        <color rgb="00E9D6CF"/>
      </right>
      <top style="thin">
        <color rgb="00E9D6CF"/>
      </top>
      <bottom style="thin">
        <color rgb="00E9D6C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0" fillId="4" borderId="0" applyAlignment="1" pivotButton="0" quotePrefix="0" xfId="0">
      <alignment vertical="top" wrapText="1"/>
    </xf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0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164" fontId="7" fillId="6" borderId="1" pivotButton="0" quotePrefix="0" xfId="0"/>
    <xf numFmtId="3" fontId="7" fillId="6" borderId="1" pivotButton="0" quotePrefix="0" xfId="0"/>
    <xf numFmtId="0" fontId="7" fillId="0" borderId="0" applyAlignment="1" pivotButton="0" quotePrefix="0" xfId="0">
      <alignment vertical="center" wrapText="1"/>
    </xf>
    <xf numFmtId="3" fontId="7" fillId="0" borderId="1" pivotButton="0" quotePrefix="0" xfId="0"/>
    <xf numFmtId="0" fontId="7" fillId="3" borderId="0" applyAlignment="1" pivotButton="0" quotePrefix="0" xfId="0">
      <alignment vertical="center" wrapText="1"/>
    </xf>
    <xf numFmtId="165" fontId="8" fillId="3" borderId="1" pivotButton="0" quotePrefix="0" xfId="0"/>
    <xf numFmtId="166" fontId="7" fillId="6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6" fillId="6" borderId="1" pivotButton="0" quotePrefix="0" xfId="0"/>
    <xf numFmtId="164" fontId="6" fillId="0" borderId="1" pivotButton="0" quotePrefix="0" xfId="0"/>
    <xf numFmtId="166" fontId="6" fillId="0" borderId="1" pivotButton="0" quotePrefix="0" xfId="0"/>
    <xf numFmtId="3" fontId="6" fillId="0" borderId="1" pivotButton="0" quotePrefix="0" xfId="0"/>
    <xf numFmtId="0" fontId="9" fillId="7" borderId="0" pivotButton="0" quotePrefix="0" xfId="0"/>
    <xf numFmtId="3" fontId="9" fillId="7" borderId="0" pivotButton="0" quotePrefix="0" xfId="0"/>
    <xf numFmtId="164" fontId="9" fillId="7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1" pivotButton="0" quotePrefix="0" xfId="0"/>
    <xf numFmtId="166" fontId="9" fillId="7" borderId="0" pivotButton="0" quotePrefix="0" xfId="0"/>
    <xf numFmtId="166" fontId="7" fillId="0" borderId="1" pivotButton="0" quotePrefix="0" xfId="0"/>
    <xf numFmtId="164" fontId="7" fillId="3" borderId="1" pivotButton="0" quotePrefix="0" xfId="0"/>
    <xf numFmtId="164" fontId="7" fillId="0" borderId="1" pivotButton="0" quotePrefix="0" xfId="0"/>
    <xf numFmtId="166" fontId="7" fillId="3" borderId="1" pivotButton="0" quotePrefix="0" xfId="0"/>
    <xf numFmtId="9" fontId="9" fillId="7" borderId="0" applyAlignment="1" pivotButton="0" quotePrefix="0" xfId="0">
      <alignment horizontal="center"/>
    </xf>
    <xf numFmtId="9" fontId="7" fillId="4" borderId="0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9" fontId="7" fillId="6" borderId="0" applyAlignment="1" pivotButton="0" quotePrefix="0" xfId="0">
      <alignment horizontal="center"/>
    </xf>
    <xf numFmtId="167" fontId="6" fillId="0" borderId="1" pivotButton="0" quotePrefix="0" xfId="0"/>
    <xf numFmtId="167" fontId="7" fillId="3" borderId="1" pivotButton="0" quotePrefix="0" xfId="0"/>
    <xf numFmtId="2" fontId="7" fillId="6" borderId="1" pivotButton="0" quotePrefix="0" xfId="0"/>
    <xf numFmtId="2" fontId="6" fillId="0" borderId="1" pivotButton="0" quotePrefix="0" xfId="0"/>
    <xf numFmtId="0" fontId="7" fillId="6" borderId="0" applyAlignment="1" pivotButton="0" quotePrefix="0" xfId="0">
      <alignment vertical="center" wrapText="1"/>
    </xf>
    <xf numFmtId="165" fontId="7" fillId="0" borderId="1" pivotButton="0" quotePrefix="0" xfId="0"/>
    <xf numFmtId="0" fontId="7" fillId="0" borderId="1" pivotButton="0" quotePrefix="0" xfId="0"/>
    <xf numFmtId="0" fontId="5" fillId="0" borderId="1" pivotButton="0" quotePrefix="0" xfId="0"/>
    <xf numFmtId="0" fontId="6" fillId="5" borderId="0" applyAlignment="1" pivotButton="0" quotePrefix="0" xfId="0">
      <alignment vertical="center" wrapText="1"/>
    </xf>
    <xf numFmtId="166" fontId="7" fillId="5" borderId="1" pivotButton="0" quotePrefix="0" xfId="0"/>
    <xf numFmtId="0" fontId="7" fillId="5" borderId="1" pivotButton="0" quotePrefix="0" xfId="0"/>
    <xf numFmtId="0" fontId="5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167" fontId="7" fillId="5" borderId="1" pivotButton="0" quotePrefix="0" xfId="0"/>
    <xf numFmtId="0" fontId="7" fillId="0" borderId="0" pivotButton="0" quotePrefix="0" xfId="0"/>
    <xf numFmtId="0" fontId="7" fillId="6" borderId="1" pivotButton="0" quotePrefix="0" xfId="0"/>
    <xf numFmtId="0" fontId="9" fillId="7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7">
    <dxf>
      <font>
        <b val="1"/>
        <color rgb="009C2B3B"/>
      </font>
      <fill>
        <patternFill patternType="solid">
          <fgColor rgb="00F2BFC5"/>
          <bgColor rgb="00F2BFC5"/>
        </patternFill>
      </fill>
    </dxf>
    <dxf>
      <font>
        <b val="1"/>
        <color rgb="001E2A4A"/>
      </font>
      <fill>
        <patternFill patternType="solid">
          <fgColor rgb="00F8B68C"/>
          <bgColor rgb="00F8B68C"/>
        </patternFill>
      </fill>
    </dxf>
    <dxf>
      <fill>
        <patternFill patternType="solid">
          <fgColor rgb="00F8B68C"/>
          <bgColor rgb="00F8B68C"/>
        </patternFill>
      </fill>
    </dxf>
    <dxf>
      <fill>
        <patternFill patternType="solid">
          <fgColor rgb="00F2BFC5"/>
          <bgColor rgb="00F2BFC5"/>
        </patternFill>
      </fill>
    </dxf>
    <dxf>
      <fill>
        <patternFill patternType="solid">
          <fgColor rgb="00FDDCC6"/>
          <bgColor rgb="00FDDCC6"/>
        </patternFill>
      </fill>
    </dxf>
    <dxf>
      <fill>
        <patternFill patternType="solid">
          <fgColor rgb="00FBE6E7"/>
          <bgColor rgb="00FBE6E7"/>
        </patternFill>
      </fill>
    </dxf>
    <dxf>
      <font>
        <b val="1"/>
        <color rgb="009C2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A4A"/>
    <outlinePr summaryBelow="1" summaryRight="1"/>
    <pageSetUpPr/>
  </sheetPr>
  <dimension ref="B1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80" customWidth="1" min="3" max="3"/>
  </cols>
  <sheetData>
    <row r="1" ht="8" customHeight="1">
      <c r="B1" s="1" t="n"/>
      <c r="C1" s="2" t="n"/>
      <c r="D1" s="1" t="n"/>
      <c r="E1" s="2" t="n"/>
      <c r="F1" s="1" t="n"/>
      <c r="G1" s="2" t="n"/>
      <c r="H1" s="1" t="n"/>
      <c r="I1" s="2" t="n"/>
    </row>
    <row r="2">
      <c r="B2" s="3" t="inlineStr">
        <is>
          <t>Kierunek Zysk · Kalkulator Zysku</t>
        </is>
      </c>
    </row>
    <row r="3">
      <c r="B3" s="4" t="inlineStr">
        <is>
          <t>Materiał 2 z 6 · do ćwiczeń z modułów 1, 4 i 5 przewodnika</t>
        </is>
      </c>
    </row>
    <row r="5" ht="20" customHeight="1">
      <c r="B5" s="5" t="inlineStr">
        <is>
          <t>Jak korzystać</t>
        </is>
      </c>
      <c r="C5" s="6" t="inlineStr"/>
    </row>
    <row r="6" ht="30" customHeight="1">
      <c r="B6" s="7" t="inlineStr">
        <is>
          <t>1. Ustawienia</t>
        </is>
      </c>
      <c r="C6" s="8" t="inlineStr">
        <is>
          <t>Wpisz wynagrodzenia, koszty stałe i godziny. Arkusz policzy pełny koszt godziny pracy zespołu, potrzebny wszędzie dalej.</t>
        </is>
      </c>
    </row>
    <row r="7" ht="30" customHeight="1">
      <c r="B7" s="9" t="inlineStr">
        <is>
          <t>2. Usługi</t>
        </is>
      </c>
      <c r="C7" s="10" t="inlineStr">
        <is>
          <t>Rentowność każdej usługi: marża, zysk na godzinę, efektywna stawka. Moduł 1 i 2 (usługa flagowa).</t>
        </is>
      </c>
    </row>
    <row r="8" ht="30" customHeight="1">
      <c r="B8" s="7" t="inlineStr">
        <is>
          <t>3. Klienci</t>
        </is>
      </c>
      <c r="C8" s="8" t="inlineStr">
        <is>
          <t>Marża na każdym kliencie, udział w przychodzie i automatyczna ćwiartka macierzy (Gwiazda / Okazja / Do rozwoju / Do pożegnania). Moduł 1.</t>
        </is>
      </c>
    </row>
    <row r="9" ht="30" customHeight="1">
      <c r="B9" s="9" t="inlineStr">
        <is>
          <t>4. Podwyżka cen</t>
        </is>
      </c>
      <c r="C9" s="10" t="inlineStr">
        <is>
          <t>Ile zarobisz po podwyżce i ilu klientów możesz stracić, żeby nadal być na plusie. Moduł 4.</t>
        </is>
      </c>
    </row>
    <row r="10" ht="30" customHeight="1">
      <c r="B10" s="7" t="inlineStr">
        <is>
          <t>5. Lejek</t>
        </is>
      </c>
      <c r="C10" s="8" t="inlineStr">
        <is>
          <t>Ile zapytań, rozmów i ofert potrzebujesz, żeby osiągnąć cel przychodu. Moduł 5.</t>
        </is>
      </c>
    </row>
    <row r="11" ht="30" customHeight="1">
      <c r="B11" s="9" t="inlineStr">
        <is>
          <t>6. Dźwignie wzrostu</t>
        </is>
      </c>
      <c r="C11" s="10" t="inlineStr">
        <is>
          <t>Efekt poprawy 5 dźwigni (klienci, wartość, częstotliwość, długość, marża) na przychód i zysk.</t>
        </is>
      </c>
    </row>
    <row r="12" ht="30" customHeight="1">
      <c r="B12" s="7" t="inlineStr">
        <is>
          <t>7. Próg rentowności</t>
        </is>
      </c>
      <c r="C12" s="8" t="inlineStr">
        <is>
          <t>Minimalny przychód miesięczny i przychód potrzebny do zysku docelowego.</t>
        </is>
      </c>
    </row>
    <row r="13" ht="30" customHeight="1">
      <c r="B13" s="9" t="inlineStr">
        <is>
          <t>8. Podsumowanie</t>
        </is>
      </c>
      <c r="C13" s="10" t="inlineStr">
        <is>
          <t>Najważniejsze liczby i diagnoza na jednym ekranie. Wyślij ten arkusz przed konsultacją Przegląd Decyzji.</t>
        </is>
      </c>
    </row>
    <row r="14" ht="20" customHeight="1">
      <c r="B14" s="11" t="inlineStr"/>
      <c r="C14" s="6" t="inlineStr"/>
    </row>
    <row r="15" ht="30" customHeight="1">
      <c r="B15" s="12" t="inlineStr">
        <is>
          <t>Kolory</t>
        </is>
      </c>
      <c r="C15" s="6" t="inlineStr">
        <is>
          <t>Brzoskwiniowe pola = wpisujesz. Białe pola = liczą się same (nie nadpisuj formuł).</t>
        </is>
      </c>
    </row>
    <row r="16" ht="30" customHeight="1">
      <c r="B16" s="11" t="inlineStr">
        <is>
          <t>Dane</t>
        </is>
      </c>
      <c r="C16" s="6" t="inlineStr">
        <is>
          <t>Wystarczą przybliżenia z faktur i kalendarza z ostatnich 12 miesięcy. Kwoty netto.</t>
        </is>
      </c>
    </row>
    <row r="17" ht="30" customHeight="1">
      <c r="B17" s="11" t="inlineStr">
        <is>
          <t>Licencja</t>
        </is>
      </c>
      <c r="C17" s="6" t="inlineStr">
        <is>
          <t>Do użytku w jednej firmie nabywcy. © guliwera4.pl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2A4A"/>
    <outlinePr summaryBelow="1" summaryRight="1"/>
    <pageSetUpPr/>
  </sheetPr>
  <dimension ref="B1:E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0" customWidth="1" min="3" max="3"/>
    <col width="50" customWidth="1" min="4" max="4"/>
  </cols>
  <sheetData>
    <row r="1" ht="8" customHeight="1">
      <c r="B1" s="1" t="n"/>
      <c r="C1" s="2" t="n"/>
      <c r="D1" s="1" t="n"/>
      <c r="E1" s="2" t="n"/>
    </row>
    <row r="2">
      <c r="B2" s="3" t="inlineStr">
        <is>
          <t>Ustawienia firmy</t>
        </is>
      </c>
    </row>
    <row r="3">
      <c r="B3" s="4" t="inlineStr">
        <is>
          <t>Pełny koszt godziny = (wynagrodzenia + koszty stałe) ÷ godziny fakturowalne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>
      <c r="B6" s="15" t="inlineStr">
        <is>
          <t>Wynagrodzenia zespołu z narzutami (rocznie, z właścicielem)</t>
        </is>
      </c>
      <c r="C6" s="16" t="n">
        <v>640000</v>
      </c>
      <c r="D6" s="14" t="inlineStr">
        <is>
          <t>Uwzględnij też godziwe wynagrodzenie właściciela</t>
        </is>
      </c>
    </row>
    <row r="7">
      <c r="B7" s="15" t="inlineStr">
        <is>
          <t>Pozostałe koszty stałe (rocznie: biuro, narzędzia, księgowość, auta)</t>
        </is>
      </c>
      <c r="C7" s="16" t="n">
        <v>215000</v>
      </c>
      <c r="D7" s="14" t="inlineStr"/>
    </row>
    <row r="8">
      <c r="B8" s="15" t="inlineStr">
        <is>
          <t>Liczba osób realizujących usługi</t>
        </is>
      </c>
      <c r="C8" s="17" t="n">
        <v>6</v>
      </c>
      <c r="D8" s="14" t="inlineStr"/>
    </row>
    <row r="9">
      <c r="B9" s="15" t="inlineStr">
        <is>
          <t>Godziny fakturowalne na osobę rocznie</t>
        </is>
      </c>
      <c r="C9" s="17" t="n">
        <v>1500</v>
      </c>
      <c r="D9" s="14" t="inlineStr">
        <is>
          <t>Realnie 1 200–1 500 h (nie 2 000): urlopy, administracja, sprzedaż</t>
        </is>
      </c>
    </row>
    <row r="11">
      <c r="B11" s="18" t="inlineStr">
        <is>
          <t>Godziny fakturowalne zespołu rocznie</t>
        </is>
      </c>
      <c r="C11" s="19">
        <f>C8*C9</f>
        <v/>
      </c>
    </row>
    <row r="12">
      <c r="B12" s="20" t="inlineStr">
        <is>
          <t>PEŁNY KOSZT GODZINY PRACY</t>
        </is>
      </c>
      <c r="C12" s="21">
        <f>IFERROR((C6+C7)/C11,0)</f>
        <v/>
      </c>
    </row>
    <row r="14">
      <c r="B14" s="15" t="inlineStr">
        <is>
          <t>Próg marży „zdrowego” klienta (do macierzy klientów)</t>
        </is>
      </c>
      <c r="C14" s="22" t="n">
        <v>0.25</v>
      </c>
      <c r="D14" s="14" t="inlineStr">
        <is>
          <t>Klient z marżą powyżej progu = wysoki zysk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FC5"/>
    <outlinePr summaryBelow="1" summaryRight="1"/>
    <pageSetUpPr/>
  </sheetPr>
  <dimension ref="B1:M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4" customWidth="1" min="4" max="4"/>
    <col width="18" customWidth="1" min="5" max="5"/>
    <col width="13" customWidth="1" min="6" max="6"/>
    <col width="13" customWidth="1" min="7" max="7"/>
    <col width="10" customWidth="1" min="8" max="8"/>
    <col width="13" customWidth="1" min="9" max="9"/>
    <col width="14" customWidth="1" min="10" max="10"/>
    <col width="12" customWidth="1" min="11" max="11"/>
    <col width="14" customWidth="1" min="12" max="12"/>
    <col width="10" customWidth="1" min="13" max="13"/>
  </cols>
  <sheetData>
    <row r="1" ht="8" customHeight="1">
      <c r="B1" s="1" t="n"/>
      <c r="C1" s="2" t="n"/>
      <c r="D1" s="1" t="n"/>
      <c r="E1" s="2" t="n"/>
      <c r="F1" s="1" t="n"/>
      <c r="G1" s="2" t="n"/>
      <c r="H1" s="1" t="n"/>
      <c r="I1" s="2" t="n"/>
      <c r="J1" s="1" t="n"/>
      <c r="K1" s="2" t="n"/>
      <c r="L1" s="1" t="n"/>
      <c r="M1" s="2" t="n"/>
    </row>
    <row r="2">
      <c r="B2" s="3" t="inlineStr">
        <is>
          <t>Rentowność usług</t>
        </is>
      </c>
    </row>
    <row r="3">
      <c r="B3" s="4" t="inlineStr">
        <is>
          <t>Która usługa daje najwyższy zysk na godzinę? Kandydat na usługę flagową (moduł 2).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 ht="32" customHeight="1">
      <c r="B6" s="23" t="inlineStr">
        <is>
          <t>Usługa / pakiet</t>
        </is>
      </c>
      <c r="C6" s="23" t="inlineStr">
        <is>
          <t>Cena netto</t>
        </is>
      </c>
      <c r="D6" s="23" t="inlineStr">
        <is>
          <t>Godziny zespołu na 1 sprzedaż</t>
        </is>
      </c>
      <c r="E6" s="23" t="inlineStr">
        <is>
          <t>Koszty bezpośrednie (podwykonawcy, licencje)</t>
        </is>
      </c>
      <c r="F6" s="23" t="inlineStr">
        <is>
          <t>Koszt pracy</t>
        </is>
      </c>
      <c r="G6" s="23" t="inlineStr">
        <is>
          <t>Marża zł</t>
        </is>
      </c>
      <c r="H6" s="23" t="inlineStr">
        <is>
          <t>Marża %</t>
        </is>
      </c>
      <c r="I6" s="23" t="inlineStr">
        <is>
          <t>Zysk na godzinę</t>
        </is>
      </c>
      <c r="J6" s="23" t="inlineStr">
        <is>
          <t>Efektywna stawka (cena ÷ h)</t>
        </is>
      </c>
      <c r="K6" s="23" t="inlineStr">
        <is>
          <t>Sprzedaży rocznie</t>
        </is>
      </c>
      <c r="L6" s="23" t="inlineStr">
        <is>
          <t>Marża roczna</t>
        </is>
      </c>
      <c r="M6" s="23" t="inlineStr">
        <is>
          <t>Ranking zysku/h</t>
        </is>
      </c>
    </row>
    <row r="7">
      <c r="B7" s="24" t="inlineStr">
        <is>
          <t>Pakiet „Gotowi na pacjentów”</t>
        </is>
      </c>
      <c r="C7" s="16" t="n">
        <v>16900</v>
      </c>
      <c r="D7" s="17" t="n">
        <v>120</v>
      </c>
      <c r="E7" s="16" t="n">
        <v>500</v>
      </c>
      <c r="F7" s="25">
        <f>IF(C7="","",D7*Ustawienia!$C$12)</f>
        <v/>
      </c>
      <c r="G7" s="25">
        <f>IF(C7="","",C7-F7-E7)</f>
        <v/>
      </c>
      <c r="H7" s="26">
        <f>IF(OR(C7="",C7=0),"",G7/C7)</f>
        <v/>
      </c>
      <c r="I7" s="25">
        <f>IF(OR(D7="",D7=0),"",G7/D7)</f>
        <v/>
      </c>
      <c r="J7" s="25">
        <f>IF(OR(D7="",D7=0),"",C7/D7)</f>
        <v/>
      </c>
      <c r="K7" s="17" t="n">
        <v>8</v>
      </c>
      <c r="L7" s="25">
        <f>IF(OR(G7="",K7=""),"",G7*K7)</f>
        <v/>
      </c>
      <c r="M7" s="27">
        <f>IF(I7="","",RANK(I7,$I$7:$I$18))</f>
        <v/>
      </c>
    </row>
    <row r="8">
      <c r="B8" s="24" t="inlineStr">
        <is>
          <t>Identyfikacja wizualna</t>
        </is>
      </c>
      <c r="C8" s="16" t="n">
        <v>12000</v>
      </c>
      <c r="D8" s="17" t="n">
        <v>90</v>
      </c>
      <c r="E8" s="16" t="n">
        <v>0</v>
      </c>
      <c r="F8" s="25">
        <f>IF(C8="","",D8*Ustawienia!$C$12)</f>
        <v/>
      </c>
      <c r="G8" s="25">
        <f>IF(C8="","",C8-F8-E8)</f>
        <v/>
      </c>
      <c r="H8" s="26">
        <f>IF(OR(C8="",C8=0),"",G8/C8)</f>
        <v/>
      </c>
      <c r="I8" s="25">
        <f>IF(OR(D8="",D8=0),"",G8/D8)</f>
        <v/>
      </c>
      <c r="J8" s="25">
        <f>IF(OR(D8="",D8=0),"",C8/D8)</f>
        <v/>
      </c>
      <c r="K8" s="17" t="n">
        <v>14</v>
      </c>
      <c r="L8" s="25">
        <f>IF(OR(G8="",K8=""),"",G8*K8)</f>
        <v/>
      </c>
      <c r="M8" s="27">
        <f>IF(I8="","",RANK(I8,$I$7:$I$18))</f>
        <v/>
      </c>
    </row>
    <row r="9">
      <c r="B9" s="24" t="inlineStr">
        <is>
          <t>Strona internetowa</t>
        </is>
      </c>
      <c r="C9" s="16" t="n">
        <v>15000</v>
      </c>
      <c r="D9" s="17" t="n">
        <v>140</v>
      </c>
      <c r="E9" s="16" t="n">
        <v>1500</v>
      </c>
      <c r="F9" s="25">
        <f>IF(C9="","",D9*Ustawienia!$C$12)</f>
        <v/>
      </c>
      <c r="G9" s="25">
        <f>IF(C9="","",C9-F9-E9)</f>
        <v/>
      </c>
      <c r="H9" s="26">
        <f>IF(OR(C9="",C9=0),"",G9/C9)</f>
        <v/>
      </c>
      <c r="I9" s="25">
        <f>IF(OR(D9="",D9=0),"",G9/D9)</f>
        <v/>
      </c>
      <c r="J9" s="25">
        <f>IF(OR(D9="",D9=0),"",C9/D9)</f>
        <v/>
      </c>
      <c r="K9" s="17" t="n">
        <v>10</v>
      </c>
      <c r="L9" s="25">
        <f>IF(OR(G9="",K9=""),"",G9*K9)</f>
        <v/>
      </c>
      <c r="M9" s="27">
        <f>IF(I9="","",RANK(I9,$I$7:$I$18))</f>
        <v/>
      </c>
    </row>
    <row r="10">
      <c r="B10" s="24" t="inlineStr">
        <is>
          <t>Pakiet „ulotka / drobne”</t>
        </is>
      </c>
      <c r="C10" s="16" t="n">
        <v>800</v>
      </c>
      <c r="D10" s="17" t="n">
        <v>9</v>
      </c>
      <c r="E10" s="16" t="n">
        <v>0</v>
      </c>
      <c r="F10" s="25">
        <f>IF(C10="","",D10*Ustawienia!$C$12)</f>
        <v/>
      </c>
      <c r="G10" s="25">
        <f>IF(C10="","",C10-F10-E10)</f>
        <v/>
      </c>
      <c r="H10" s="26">
        <f>IF(OR(C10="",C10=0),"",G10/C10)</f>
        <v/>
      </c>
      <c r="I10" s="25">
        <f>IF(OR(D10="",D10=0),"",G10/D10)</f>
        <v/>
      </c>
      <c r="J10" s="25">
        <f>IF(OR(D10="",D10=0),"",C10/D10)</f>
        <v/>
      </c>
      <c r="K10" s="17" t="n">
        <v>60</v>
      </c>
      <c r="L10" s="25">
        <f>IF(OR(G10="",K10=""),"",G10*K10)</f>
        <v/>
      </c>
      <c r="M10" s="27">
        <f>IF(I10="","",RANK(I10,$I$7:$I$18))</f>
        <v/>
      </c>
    </row>
    <row r="11">
      <c r="B11" s="24" t="inlineStr">
        <is>
          <t>Kampania social (miesiąc)</t>
        </is>
      </c>
      <c r="C11" s="16" t="n">
        <v>3500</v>
      </c>
      <c r="D11" s="17" t="n">
        <v>30</v>
      </c>
      <c r="E11" s="16" t="n">
        <v>0</v>
      </c>
      <c r="F11" s="25">
        <f>IF(C11="","",D11*Ustawienia!$C$12)</f>
        <v/>
      </c>
      <c r="G11" s="25">
        <f>IF(C11="","",C11-F11-E11)</f>
        <v/>
      </c>
      <c r="H11" s="26">
        <f>IF(OR(C11="",C11=0),"",G11/C11)</f>
        <v/>
      </c>
      <c r="I11" s="25">
        <f>IF(OR(D11="",D11=0),"",G11/D11)</f>
        <v/>
      </c>
      <c r="J11" s="25">
        <f>IF(OR(D11="",D11=0),"",C11/D11)</f>
        <v/>
      </c>
      <c r="K11" s="17" t="n">
        <v>40</v>
      </c>
      <c r="L11" s="25">
        <f>IF(OR(G11="",K11=""),"",G11*K11)</f>
        <v/>
      </c>
      <c r="M11" s="27">
        <f>IF(I11="","",RANK(I11,$I$7:$I$18))</f>
        <v/>
      </c>
    </row>
    <row r="12">
      <c r="B12" s="24" t="inlineStr">
        <is>
          <t>Opieka nad stroną (miesiąc)</t>
        </is>
      </c>
      <c r="C12" s="16" t="n">
        <v>900</v>
      </c>
      <c r="D12" s="17" t="n">
        <v>6</v>
      </c>
      <c r="E12" s="16" t="n">
        <v>100</v>
      </c>
      <c r="F12" s="25">
        <f>IF(C12="","",D12*Ustawienia!$C$12)</f>
        <v/>
      </c>
      <c r="G12" s="25">
        <f>IF(C12="","",C12-F12-E12)</f>
        <v/>
      </c>
      <c r="H12" s="26">
        <f>IF(OR(C12="",C12=0),"",G12/C12)</f>
        <v/>
      </c>
      <c r="I12" s="25">
        <f>IF(OR(D12="",D12=0),"",G12/D12)</f>
        <v/>
      </c>
      <c r="J12" s="25">
        <f>IF(OR(D12="",D12=0),"",C12/D12)</f>
        <v/>
      </c>
      <c r="K12" s="17" t="n">
        <v>36</v>
      </c>
      <c r="L12" s="25">
        <f>IF(OR(G12="",K12=""),"",G12*K12)</f>
        <v/>
      </c>
      <c r="M12" s="27">
        <f>IF(I12="","",RANK(I12,$I$7:$I$18))</f>
        <v/>
      </c>
    </row>
    <row r="13">
      <c r="B13" s="24" t="n"/>
      <c r="C13" s="16" t="n"/>
      <c r="D13" s="17" t="n"/>
      <c r="E13" s="16" t="n"/>
      <c r="F13" s="25">
        <f>IF(C13="","",D13*Ustawienia!$C$12)</f>
        <v/>
      </c>
      <c r="G13" s="25">
        <f>IF(C13="","",C13-F13-E13)</f>
        <v/>
      </c>
      <c r="H13" s="26">
        <f>IF(OR(C13="",C13=0),"",G13/C13)</f>
        <v/>
      </c>
      <c r="I13" s="25">
        <f>IF(OR(D13="",D13=0),"",G13/D13)</f>
        <v/>
      </c>
      <c r="J13" s="25">
        <f>IF(OR(D13="",D13=0),"",C13/D13)</f>
        <v/>
      </c>
      <c r="K13" s="17" t="n"/>
      <c r="L13" s="25">
        <f>IF(OR(G13="",K13=""),"",G13*K13)</f>
        <v/>
      </c>
      <c r="M13" s="27">
        <f>IF(I13="","",RANK(I13,$I$7:$I$18))</f>
        <v/>
      </c>
    </row>
    <row r="14">
      <c r="B14" s="24" t="n"/>
      <c r="C14" s="16" t="n"/>
      <c r="D14" s="17" t="n"/>
      <c r="E14" s="16" t="n"/>
      <c r="F14" s="25">
        <f>IF(C14="","",D14*Ustawienia!$C$12)</f>
        <v/>
      </c>
      <c r="G14" s="25">
        <f>IF(C14="","",C14-F14-E14)</f>
        <v/>
      </c>
      <c r="H14" s="26">
        <f>IF(OR(C14="",C14=0),"",G14/C14)</f>
        <v/>
      </c>
      <c r="I14" s="25">
        <f>IF(OR(D14="",D14=0),"",G14/D14)</f>
        <v/>
      </c>
      <c r="J14" s="25">
        <f>IF(OR(D14="",D14=0),"",C14/D14)</f>
        <v/>
      </c>
      <c r="K14" s="17" t="n"/>
      <c r="L14" s="25">
        <f>IF(OR(G14="",K14=""),"",G14*K14)</f>
        <v/>
      </c>
      <c r="M14" s="27">
        <f>IF(I14="","",RANK(I14,$I$7:$I$18))</f>
        <v/>
      </c>
    </row>
    <row r="15">
      <c r="B15" s="24" t="n"/>
      <c r="C15" s="16" t="n"/>
      <c r="D15" s="17" t="n"/>
      <c r="E15" s="16" t="n"/>
      <c r="F15" s="25">
        <f>IF(C15="","",D15*Ustawienia!$C$12)</f>
        <v/>
      </c>
      <c r="G15" s="25">
        <f>IF(C15="","",C15-F15-E15)</f>
        <v/>
      </c>
      <c r="H15" s="26">
        <f>IF(OR(C15="",C15=0),"",G15/C15)</f>
        <v/>
      </c>
      <c r="I15" s="25">
        <f>IF(OR(D15="",D15=0),"",G15/D15)</f>
        <v/>
      </c>
      <c r="J15" s="25">
        <f>IF(OR(D15="",D15=0),"",C15/D15)</f>
        <v/>
      </c>
      <c r="K15" s="17" t="n"/>
      <c r="L15" s="25">
        <f>IF(OR(G15="",K15=""),"",G15*K15)</f>
        <v/>
      </c>
      <c r="M15" s="27">
        <f>IF(I15="","",RANK(I15,$I$7:$I$18))</f>
        <v/>
      </c>
    </row>
    <row r="16">
      <c r="B16" s="24" t="n"/>
      <c r="C16" s="16" t="n"/>
      <c r="D16" s="17" t="n"/>
      <c r="E16" s="16" t="n"/>
      <c r="F16" s="25">
        <f>IF(C16="","",D16*Ustawienia!$C$12)</f>
        <v/>
      </c>
      <c r="G16" s="25">
        <f>IF(C16="","",C16-F16-E16)</f>
        <v/>
      </c>
      <c r="H16" s="26">
        <f>IF(OR(C16="",C16=0),"",G16/C16)</f>
        <v/>
      </c>
      <c r="I16" s="25">
        <f>IF(OR(D16="",D16=0),"",G16/D16)</f>
        <v/>
      </c>
      <c r="J16" s="25">
        <f>IF(OR(D16="",D16=0),"",C16/D16)</f>
        <v/>
      </c>
      <c r="K16" s="17" t="n"/>
      <c r="L16" s="25">
        <f>IF(OR(G16="",K16=""),"",G16*K16)</f>
        <v/>
      </c>
      <c r="M16" s="27">
        <f>IF(I16="","",RANK(I16,$I$7:$I$18))</f>
        <v/>
      </c>
    </row>
    <row r="17">
      <c r="B17" s="24" t="n"/>
      <c r="C17" s="16" t="n"/>
      <c r="D17" s="17" t="n"/>
      <c r="E17" s="16" t="n"/>
      <c r="F17" s="25">
        <f>IF(C17="","",D17*Ustawienia!$C$12)</f>
        <v/>
      </c>
      <c r="G17" s="25">
        <f>IF(C17="","",C17-F17-E17)</f>
        <v/>
      </c>
      <c r="H17" s="26">
        <f>IF(OR(C17="",C17=0),"",G17/C17)</f>
        <v/>
      </c>
      <c r="I17" s="25">
        <f>IF(OR(D17="",D17=0),"",G17/D17)</f>
        <v/>
      </c>
      <c r="J17" s="25">
        <f>IF(OR(D17="",D17=0),"",C17/D17)</f>
        <v/>
      </c>
      <c r="K17" s="17" t="n"/>
      <c r="L17" s="25">
        <f>IF(OR(G17="",K17=""),"",G17*K17)</f>
        <v/>
      </c>
      <c r="M17" s="27">
        <f>IF(I17="","",RANK(I17,$I$7:$I$18))</f>
        <v/>
      </c>
    </row>
    <row r="18">
      <c r="B18" s="24" t="n"/>
      <c r="C18" s="16" t="n"/>
      <c r="D18" s="17" t="n"/>
      <c r="E18" s="16" t="n"/>
      <c r="F18" s="25">
        <f>IF(C18="","",D18*Ustawienia!$C$12)</f>
        <v/>
      </c>
      <c r="G18" s="25">
        <f>IF(C18="","",C18-F18-E18)</f>
        <v/>
      </c>
      <c r="H18" s="26">
        <f>IF(OR(C18="",C18=0),"",G18/C18)</f>
        <v/>
      </c>
      <c r="I18" s="25">
        <f>IF(OR(D18="",D18=0),"",G18/D18)</f>
        <v/>
      </c>
      <c r="J18" s="25">
        <f>IF(OR(D18="",D18=0),"",C18/D18)</f>
        <v/>
      </c>
      <c r="K18" s="17" t="n"/>
      <c r="L18" s="25">
        <f>IF(OR(G18="",K18=""),"",G18*K18)</f>
        <v/>
      </c>
      <c r="M18" s="27">
        <f>IF(I18="","",RANK(I18,$I$7:$I$18))</f>
        <v/>
      </c>
    </row>
    <row r="19">
      <c r="B19" s="28" t="inlineStr">
        <is>
          <t>RAZEM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9">
        <f>SUM(K7:K18)</f>
        <v/>
      </c>
      <c r="L19" s="30">
        <f>SUM(L7:L18)</f>
        <v/>
      </c>
      <c r="M19" s="28" t="n"/>
    </row>
    <row r="21">
      <c r="B21" s="31" t="inlineStr">
        <is>
          <t>Jak czytać: usługa z ujemnym zyskiem na godzinę (na różowo) dokłada do firmy. Podnieś cenę, zmień zakres albo przestań ją sprzedawać. Ranking 1 (pomarańczowy) = najlepszy kandydat na usługę flagową.</t>
        </is>
      </c>
    </row>
    <row r="22"/>
  </sheetData>
  <mergeCells count="1">
    <mergeCell ref="B21:M22"/>
  </mergeCells>
  <conditionalFormatting sqref="I7:I18">
    <cfRule type="cellIs" priority="1" operator="lessThan" dxfId="0">
      <formula>0</formula>
    </cfRule>
  </conditionalFormatting>
  <conditionalFormatting sqref="M7:M18">
    <cfRule type="cellIs" priority="2" operator="equal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8B68C"/>
    <outlinePr summaryBelow="1" summaryRight="1"/>
    <pageSetUpPr/>
  </sheetPr>
  <dimension ref="B1:L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3" customWidth="1" min="4" max="4"/>
    <col width="14" customWidth="1" min="5" max="5"/>
    <col width="16" customWidth="1" min="6" max="6"/>
    <col width="13" customWidth="1" min="7" max="7"/>
    <col width="10" customWidth="1" min="8" max="8"/>
    <col width="13" customWidth="1" min="9" max="9"/>
    <col width="12" customWidth="1" min="10" max="10"/>
    <col width="18" customWidth="1" min="11" max="11"/>
    <col width="10" customWidth="1" min="12" max="12"/>
  </cols>
  <sheetData>
    <row r="1" ht="8" customHeight="1">
      <c r="B1" s="1" t="n"/>
      <c r="C1" s="2" t="n"/>
      <c r="D1" s="1" t="n"/>
      <c r="E1" s="2" t="n"/>
      <c r="F1" s="1" t="n"/>
      <c r="G1" s="2" t="n"/>
      <c r="H1" s="1" t="n"/>
      <c r="I1" s="2" t="n"/>
      <c r="J1" s="1" t="n"/>
      <c r="K1" s="2" t="n"/>
      <c r="L1" s="1" t="n"/>
    </row>
    <row r="2">
      <c r="B2" s="3" t="inlineStr">
        <is>
          <t>Rentowność klientów i macierz</t>
        </is>
      </c>
    </row>
    <row r="3">
      <c r="B3" s="4" t="inlineStr">
        <is>
          <t>Kto naprawdę zarabia dla firmy? Ćwiczenia 1.2 i 1.3 przewodnika.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 ht="32" customHeight="1">
      <c r="B6" s="23" t="inlineStr">
        <is>
          <t>Klient</t>
        </is>
      </c>
      <c r="C6" s="23" t="inlineStr">
        <is>
          <t>Przychód 12 mies.</t>
        </is>
      </c>
      <c r="D6" s="23" t="inlineStr">
        <is>
          <t>Godziny zespołu 12 mies.</t>
        </is>
      </c>
      <c r="E6" s="23" t="inlineStr">
        <is>
          <t>Koszty bezpośrednie</t>
        </is>
      </c>
      <c r="F6" s="23" t="inlineStr">
        <is>
          <t>Wysiłek 1–5 (poprawki, telefony, płatności)</t>
        </is>
      </c>
      <c r="G6" s="23" t="inlineStr">
        <is>
          <t>Marża zł</t>
        </is>
      </c>
      <c r="H6" s="23" t="inlineStr">
        <is>
          <t>Marża %</t>
        </is>
      </c>
      <c r="I6" s="23" t="inlineStr">
        <is>
          <t>Zysk na godzinę</t>
        </is>
      </c>
      <c r="J6" s="23" t="inlineStr">
        <is>
          <t>Udział w przychodzie</t>
        </is>
      </c>
      <c r="K6" s="23" t="inlineStr">
        <is>
          <t>Ćwiartka macierzy</t>
        </is>
      </c>
      <c r="L6" s="23" t="inlineStr">
        <is>
          <t>Ranking marży</t>
        </is>
      </c>
    </row>
    <row r="7">
      <c r="B7" s="24" t="inlineStr">
        <is>
          <t>Klient A (sieć sklepów)</t>
        </is>
      </c>
      <c r="C7" s="16" t="n">
        <v>210000</v>
      </c>
      <c r="D7" s="17" t="n">
        <v>2100</v>
      </c>
      <c r="E7" s="16" t="n">
        <v>8000</v>
      </c>
      <c r="F7" s="17" t="n">
        <v>5</v>
      </c>
      <c r="G7" s="25">
        <f>IF(C7="","",C7-D7*Ustawienia!$C$12-E7)</f>
        <v/>
      </c>
      <c r="H7" s="26">
        <f>IF(OR(C7="",C7=0),"",G7/C7)</f>
        <v/>
      </c>
      <c r="I7" s="25">
        <f>IF(OR(D7="",D7=0),"",G7/D7)</f>
        <v/>
      </c>
      <c r="J7" s="26">
        <f>IF(C7="","",C7/$C$32)</f>
        <v/>
      </c>
      <c r="K7" s="32">
        <f>IF(OR(C7="",F7=""),"",IF(H7&gt;=Ustawienia!$C$14,IF(F7&lt;=3,"⭐ Gwiazda","💎 Okazja"),IF(F7&lt;=3,"🌱 Do rozwoju","🧹 Do pożegnania / wyceny")))</f>
        <v/>
      </c>
      <c r="L7" s="27">
        <f>IF(G7="","",RANK(G7,$G$7:$G$31))</f>
        <v/>
      </c>
    </row>
    <row r="8">
      <c r="B8" s="24" t="inlineStr">
        <is>
          <t>Klient B (deweloper)</t>
        </is>
      </c>
      <c r="C8" s="16" t="n">
        <v>150000</v>
      </c>
      <c r="D8" s="17" t="n">
        <v>1500</v>
      </c>
      <c r="E8" s="16" t="n">
        <v>12000</v>
      </c>
      <c r="F8" s="17" t="n">
        <v>4</v>
      </c>
      <c r="G8" s="25">
        <f>IF(C8="","",C8-D8*Ustawienia!$C$12-E8)</f>
        <v/>
      </c>
      <c r="H8" s="26">
        <f>IF(OR(C8="",C8=0),"",G8/C8)</f>
        <v/>
      </c>
      <c r="I8" s="25">
        <f>IF(OR(D8="",D8=0),"",G8/D8)</f>
        <v/>
      </c>
      <c r="J8" s="26">
        <f>IF(C8="","",C8/$C$32)</f>
        <v/>
      </c>
      <c r="K8" s="32">
        <f>IF(OR(C8="",F8=""),"",IF(H8&gt;=Ustawienia!$C$14,IF(F8&lt;=3,"⭐ Gwiazda","💎 Okazja"),IF(F8&lt;=3,"🌱 Do rozwoju","🧹 Do pożegnania / wyceny")))</f>
        <v/>
      </c>
      <c r="L8" s="27">
        <f>IF(G8="","",RANK(G8,$G$7:$G$31))</f>
        <v/>
      </c>
    </row>
    <row r="9">
      <c r="B9" s="24" t="inlineStr">
        <is>
          <t>Klient C (producent)</t>
        </is>
      </c>
      <c r="C9" s="16" t="n">
        <v>132000</v>
      </c>
      <c r="D9" s="17" t="n">
        <v>900</v>
      </c>
      <c r="E9" s="16" t="n">
        <v>0</v>
      </c>
      <c r="F9" s="17" t="n">
        <v>2</v>
      </c>
      <c r="G9" s="25">
        <f>IF(C9="","",C9-D9*Ustawienia!$C$12-E9)</f>
        <v/>
      </c>
      <c r="H9" s="26">
        <f>IF(OR(C9="",C9=0),"",G9/C9)</f>
        <v/>
      </c>
      <c r="I9" s="25">
        <f>IF(OR(D9="",D9=0),"",G9/D9)</f>
        <v/>
      </c>
      <c r="J9" s="26">
        <f>IF(C9="","",C9/$C$32)</f>
        <v/>
      </c>
      <c r="K9" s="32">
        <f>IF(OR(C9="",F9=""),"",IF(H9&gt;=Ustawienia!$C$14,IF(F9&lt;=3,"⭐ Gwiazda","💎 Okazja"),IF(F9&lt;=3,"🌱 Do rozwoju","🧹 Do pożegnania / wyceny")))</f>
        <v/>
      </c>
      <c r="L9" s="27">
        <f>IF(G9="","",RANK(G9,$G$7:$G$31))</f>
        <v/>
      </c>
    </row>
    <row r="10">
      <c r="B10" s="24" t="inlineStr">
        <is>
          <t>Gabinet D</t>
        </is>
      </c>
      <c r="C10" s="16" t="n">
        <v>48000</v>
      </c>
      <c r="D10" s="17" t="n">
        <v>250</v>
      </c>
      <c r="E10" s="16" t="n">
        <v>0</v>
      </c>
      <c r="F10" s="17" t="n">
        <v>1</v>
      </c>
      <c r="G10" s="25">
        <f>IF(C10="","",C10-D10*Ustawienia!$C$12-E10)</f>
        <v/>
      </c>
      <c r="H10" s="26">
        <f>IF(OR(C10="",C10=0),"",G10/C10)</f>
        <v/>
      </c>
      <c r="I10" s="25">
        <f>IF(OR(D10="",D10=0),"",G10/D10)</f>
        <v/>
      </c>
      <c r="J10" s="26">
        <f>IF(C10="","",C10/$C$32)</f>
        <v/>
      </c>
      <c r="K10" s="32">
        <f>IF(OR(C10="",F10=""),"",IF(H10&gt;=Ustawienia!$C$14,IF(F10&lt;=3,"⭐ Gwiazda","💎 Okazja"),IF(F10&lt;=3,"🌱 Do rozwoju","🧹 Do pożegnania / wyceny")))</f>
        <v/>
      </c>
      <c r="L10" s="27">
        <f>IF(G10="","",RANK(G10,$G$7:$G$31))</f>
        <v/>
      </c>
    </row>
    <row r="11">
      <c r="B11" s="24" t="inlineStr">
        <is>
          <t>Klinika E</t>
        </is>
      </c>
      <c r="C11" s="16" t="n">
        <v>62000</v>
      </c>
      <c r="D11" s="17" t="n">
        <v>330</v>
      </c>
      <c r="E11" s="16" t="n">
        <v>2000</v>
      </c>
      <c r="F11" s="17" t="n">
        <v>2</v>
      </c>
      <c r="G11" s="25">
        <f>IF(C11="","",C11-D11*Ustawienia!$C$12-E11)</f>
        <v/>
      </c>
      <c r="H11" s="26">
        <f>IF(OR(C11="",C11=0),"",G11/C11)</f>
        <v/>
      </c>
      <c r="I11" s="25">
        <f>IF(OR(D11="",D11=0),"",G11/D11)</f>
        <v/>
      </c>
      <c r="J11" s="26">
        <f>IF(C11="","",C11/$C$32)</f>
        <v/>
      </c>
      <c r="K11" s="32">
        <f>IF(OR(C11="",F11=""),"",IF(H11&gt;=Ustawienia!$C$14,IF(F11&lt;=3,"⭐ Gwiazda","💎 Okazja"),IF(F11&lt;=3,"🌱 Do rozwoju","🧹 Do pożegnania / wyceny")))</f>
        <v/>
      </c>
      <c r="L11" s="27">
        <f>IF(G11="","",RANK(G11,$G$7:$G$31))</f>
        <v/>
      </c>
    </row>
    <row r="12">
      <c r="B12" s="24" t="inlineStr">
        <is>
          <t>Kancelaria F</t>
        </is>
      </c>
      <c r="C12" s="16" t="n">
        <v>36000</v>
      </c>
      <c r="D12" s="17" t="n">
        <v>300</v>
      </c>
      <c r="E12" s="16" t="n">
        <v>0</v>
      </c>
      <c r="F12" s="17" t="n">
        <v>4</v>
      </c>
      <c r="G12" s="25">
        <f>IF(C12="","",C12-D12*Ustawienia!$C$12-E12)</f>
        <v/>
      </c>
      <c r="H12" s="26">
        <f>IF(OR(C12="",C12=0),"",G12/C12)</f>
        <v/>
      </c>
      <c r="I12" s="25">
        <f>IF(OR(D12="",D12=0),"",G12/D12)</f>
        <v/>
      </c>
      <c r="J12" s="26">
        <f>IF(C12="","",C12/$C$32)</f>
        <v/>
      </c>
      <c r="K12" s="32">
        <f>IF(OR(C12="",F12=""),"",IF(H12&gt;=Ustawienia!$C$14,IF(F12&lt;=3,"⭐ Gwiazda","💎 Okazja"),IF(F12&lt;=3,"🌱 Do rozwoju","🧹 Do pożegnania / wyceny")))</f>
        <v/>
      </c>
      <c r="L12" s="27">
        <f>IF(G12="","",RANK(G12,$G$7:$G$31))</f>
        <v/>
      </c>
    </row>
    <row r="13">
      <c r="B13" s="24" t="inlineStr">
        <is>
          <t>Szkoła G</t>
        </is>
      </c>
      <c r="C13" s="16" t="n">
        <v>24000</v>
      </c>
      <c r="D13" s="17" t="n">
        <v>200</v>
      </c>
      <c r="E13" s="16" t="n">
        <v>0</v>
      </c>
      <c r="F13" s="17" t="n">
        <v>2</v>
      </c>
      <c r="G13" s="25">
        <f>IF(C13="","",C13-D13*Ustawienia!$C$12-E13)</f>
        <v/>
      </c>
      <c r="H13" s="26">
        <f>IF(OR(C13="",C13=0),"",G13/C13)</f>
        <v/>
      </c>
      <c r="I13" s="25">
        <f>IF(OR(D13="",D13=0),"",G13/D13)</f>
        <v/>
      </c>
      <c r="J13" s="26">
        <f>IF(C13="","",C13/$C$32)</f>
        <v/>
      </c>
      <c r="K13" s="32">
        <f>IF(OR(C13="",F13=""),"",IF(H13&gt;=Ustawienia!$C$14,IF(F13&lt;=3,"⭐ Gwiazda","💎 Okazja"),IF(F13&lt;=3,"🌱 Do rozwoju","🧹 Do pożegnania / wyceny")))</f>
        <v/>
      </c>
      <c r="L13" s="27">
        <f>IF(G13="","",RANK(G13,$G$7:$G$31))</f>
        <v/>
      </c>
    </row>
    <row r="14">
      <c r="B14" s="24" t="inlineStr">
        <is>
          <t>Hotel H</t>
        </is>
      </c>
      <c r="C14" s="16" t="n">
        <v>41000</v>
      </c>
      <c r="D14" s="17" t="n">
        <v>420</v>
      </c>
      <c r="E14" s="16" t="n">
        <v>0</v>
      </c>
      <c r="F14" s="17" t="n">
        <v>5</v>
      </c>
      <c r="G14" s="25">
        <f>IF(C14="","",C14-D14*Ustawienia!$C$12-E14)</f>
        <v/>
      </c>
      <c r="H14" s="26">
        <f>IF(OR(C14="",C14=0),"",G14/C14)</f>
        <v/>
      </c>
      <c r="I14" s="25">
        <f>IF(OR(D14="",D14=0),"",G14/D14)</f>
        <v/>
      </c>
      <c r="J14" s="26">
        <f>IF(C14="","",C14/$C$32)</f>
        <v/>
      </c>
      <c r="K14" s="32">
        <f>IF(OR(C14="",F14=""),"",IF(H14&gt;=Ustawienia!$C$14,IF(F14&lt;=3,"⭐ Gwiazda","💎 Okazja"),IF(F14&lt;=3,"🌱 Do rozwoju","🧹 Do pożegnania / wyceny")))</f>
        <v/>
      </c>
      <c r="L14" s="27">
        <f>IF(G14="","",RANK(G14,$G$7:$G$31))</f>
        <v/>
      </c>
    </row>
    <row r="15">
      <c r="B15" s="24" t="inlineStr">
        <is>
          <t>Producent I</t>
        </is>
      </c>
      <c r="C15" s="16" t="n">
        <v>90000</v>
      </c>
      <c r="D15" s="17" t="n">
        <v>520</v>
      </c>
      <c r="E15" s="16" t="n">
        <v>0</v>
      </c>
      <c r="F15" s="17" t="n">
        <v>4</v>
      </c>
      <c r="G15" s="25">
        <f>IF(C15="","",C15-D15*Ustawienia!$C$12-E15)</f>
        <v/>
      </c>
      <c r="H15" s="26">
        <f>IF(OR(C15="",C15=0),"",G15/C15)</f>
        <v/>
      </c>
      <c r="I15" s="25">
        <f>IF(OR(D15="",D15=0),"",G15/D15)</f>
        <v/>
      </c>
      <c r="J15" s="26">
        <f>IF(C15="","",C15/$C$32)</f>
        <v/>
      </c>
      <c r="K15" s="32">
        <f>IF(OR(C15="",F15=""),"",IF(H15&gt;=Ustawienia!$C$14,IF(F15&lt;=3,"⭐ Gwiazda","💎 Okazja"),IF(F15&lt;=3,"🌱 Do rozwoju","🧹 Do pożegnania / wyceny")))</f>
        <v/>
      </c>
      <c r="L15" s="27">
        <f>IF(G15="","",RANK(G15,$G$7:$G$31))</f>
        <v/>
      </c>
    </row>
    <row r="16">
      <c r="B16" s="24" t="n"/>
      <c r="C16" s="16" t="n"/>
      <c r="D16" s="17" t="n"/>
      <c r="E16" s="16" t="n"/>
      <c r="F16" s="17" t="n"/>
      <c r="G16" s="25">
        <f>IF(C16="","",C16-D16*Ustawienia!$C$12-E16)</f>
        <v/>
      </c>
      <c r="H16" s="26">
        <f>IF(OR(C16="",C16=0),"",G16/C16)</f>
        <v/>
      </c>
      <c r="I16" s="25">
        <f>IF(OR(D16="",D16=0),"",G16/D16)</f>
        <v/>
      </c>
      <c r="J16" s="26">
        <f>IF(C16="","",C16/$C$32)</f>
        <v/>
      </c>
      <c r="K16" s="32">
        <f>IF(OR(C16="",F16=""),"",IF(H16&gt;=Ustawienia!$C$14,IF(F16&lt;=3,"⭐ Gwiazda","💎 Okazja"),IF(F16&lt;=3,"🌱 Do rozwoju","🧹 Do pożegnania / wyceny")))</f>
        <v/>
      </c>
      <c r="L16" s="27">
        <f>IF(G16="","",RANK(G16,$G$7:$G$31))</f>
        <v/>
      </c>
    </row>
    <row r="17">
      <c r="B17" s="24" t="n"/>
      <c r="C17" s="16" t="n"/>
      <c r="D17" s="17" t="n"/>
      <c r="E17" s="16" t="n"/>
      <c r="F17" s="17" t="n"/>
      <c r="G17" s="25">
        <f>IF(C17="","",C17-D17*Ustawienia!$C$12-E17)</f>
        <v/>
      </c>
      <c r="H17" s="26">
        <f>IF(OR(C17="",C17=0),"",G17/C17)</f>
        <v/>
      </c>
      <c r="I17" s="25">
        <f>IF(OR(D17="",D17=0),"",G17/D17)</f>
        <v/>
      </c>
      <c r="J17" s="26">
        <f>IF(C17="","",C17/$C$32)</f>
        <v/>
      </c>
      <c r="K17" s="32">
        <f>IF(OR(C17="",F17=""),"",IF(H17&gt;=Ustawienia!$C$14,IF(F17&lt;=3,"⭐ Gwiazda","💎 Okazja"),IF(F17&lt;=3,"🌱 Do rozwoju","🧹 Do pożegnania / wyceny")))</f>
        <v/>
      </c>
      <c r="L17" s="27">
        <f>IF(G17="","",RANK(G17,$G$7:$G$31))</f>
        <v/>
      </c>
    </row>
    <row r="18">
      <c r="B18" s="24" t="n"/>
      <c r="C18" s="16" t="n"/>
      <c r="D18" s="17" t="n"/>
      <c r="E18" s="16" t="n"/>
      <c r="F18" s="17" t="n"/>
      <c r="G18" s="25">
        <f>IF(C18="","",C18-D18*Ustawienia!$C$12-E18)</f>
        <v/>
      </c>
      <c r="H18" s="26">
        <f>IF(OR(C18="",C18=0),"",G18/C18)</f>
        <v/>
      </c>
      <c r="I18" s="25">
        <f>IF(OR(D18="",D18=0),"",G18/D18)</f>
        <v/>
      </c>
      <c r="J18" s="26">
        <f>IF(C18="","",C18/$C$32)</f>
        <v/>
      </c>
      <c r="K18" s="32">
        <f>IF(OR(C18="",F18=""),"",IF(H18&gt;=Ustawienia!$C$14,IF(F18&lt;=3,"⭐ Gwiazda","💎 Okazja"),IF(F18&lt;=3,"🌱 Do rozwoju","🧹 Do pożegnania / wyceny")))</f>
        <v/>
      </c>
      <c r="L18" s="27">
        <f>IF(G18="","",RANK(G18,$G$7:$G$31))</f>
        <v/>
      </c>
    </row>
    <row r="19">
      <c r="B19" s="24" t="n"/>
      <c r="C19" s="16" t="n"/>
      <c r="D19" s="17" t="n"/>
      <c r="E19" s="16" t="n"/>
      <c r="F19" s="17" t="n"/>
      <c r="G19" s="25">
        <f>IF(C19="","",C19-D19*Ustawienia!$C$12-E19)</f>
        <v/>
      </c>
      <c r="H19" s="26">
        <f>IF(OR(C19="",C19=0),"",G19/C19)</f>
        <v/>
      </c>
      <c r="I19" s="25">
        <f>IF(OR(D19="",D19=0),"",G19/D19)</f>
        <v/>
      </c>
      <c r="J19" s="26">
        <f>IF(C19="","",C19/$C$32)</f>
        <v/>
      </c>
      <c r="K19" s="32">
        <f>IF(OR(C19="",F19=""),"",IF(H19&gt;=Ustawienia!$C$14,IF(F19&lt;=3,"⭐ Gwiazda","💎 Okazja"),IF(F19&lt;=3,"🌱 Do rozwoju","🧹 Do pożegnania / wyceny")))</f>
        <v/>
      </c>
      <c r="L19" s="27">
        <f>IF(G19="","",RANK(G19,$G$7:$G$31))</f>
        <v/>
      </c>
    </row>
    <row r="20">
      <c r="B20" s="24" t="n"/>
      <c r="C20" s="16" t="n"/>
      <c r="D20" s="17" t="n"/>
      <c r="E20" s="16" t="n"/>
      <c r="F20" s="17" t="n"/>
      <c r="G20" s="25">
        <f>IF(C20="","",C20-D20*Ustawienia!$C$12-E20)</f>
        <v/>
      </c>
      <c r="H20" s="26">
        <f>IF(OR(C20="",C20=0),"",G20/C20)</f>
        <v/>
      </c>
      <c r="I20" s="25">
        <f>IF(OR(D20="",D20=0),"",G20/D20)</f>
        <v/>
      </c>
      <c r="J20" s="26">
        <f>IF(C20="","",C20/$C$32)</f>
        <v/>
      </c>
      <c r="K20" s="32">
        <f>IF(OR(C20="",F20=""),"",IF(H20&gt;=Ustawienia!$C$14,IF(F20&lt;=3,"⭐ Gwiazda","💎 Okazja"),IF(F20&lt;=3,"🌱 Do rozwoju","🧹 Do pożegnania / wyceny")))</f>
        <v/>
      </c>
      <c r="L20" s="27">
        <f>IF(G20="","",RANK(G20,$G$7:$G$31))</f>
        <v/>
      </c>
    </row>
    <row r="21">
      <c r="B21" s="24" t="n"/>
      <c r="C21" s="16" t="n"/>
      <c r="D21" s="17" t="n"/>
      <c r="E21" s="16" t="n"/>
      <c r="F21" s="17" t="n"/>
      <c r="G21" s="25">
        <f>IF(C21="","",C21-D21*Ustawienia!$C$12-E21)</f>
        <v/>
      </c>
      <c r="H21" s="26">
        <f>IF(OR(C21="",C21=0),"",G21/C21)</f>
        <v/>
      </c>
      <c r="I21" s="25">
        <f>IF(OR(D21="",D21=0),"",G21/D21)</f>
        <v/>
      </c>
      <c r="J21" s="26">
        <f>IF(C21="","",C21/$C$32)</f>
        <v/>
      </c>
      <c r="K21" s="32">
        <f>IF(OR(C21="",F21=""),"",IF(H21&gt;=Ustawienia!$C$14,IF(F21&lt;=3,"⭐ Gwiazda","💎 Okazja"),IF(F21&lt;=3,"🌱 Do rozwoju","🧹 Do pożegnania / wyceny")))</f>
        <v/>
      </c>
      <c r="L21" s="27">
        <f>IF(G21="","",RANK(G21,$G$7:$G$31))</f>
        <v/>
      </c>
    </row>
    <row r="22">
      <c r="B22" s="24" t="n"/>
      <c r="C22" s="16" t="n"/>
      <c r="D22" s="17" t="n"/>
      <c r="E22" s="16" t="n"/>
      <c r="F22" s="17" t="n"/>
      <c r="G22" s="25">
        <f>IF(C22="","",C22-D22*Ustawienia!$C$12-E22)</f>
        <v/>
      </c>
      <c r="H22" s="26">
        <f>IF(OR(C22="",C22=0),"",G22/C22)</f>
        <v/>
      </c>
      <c r="I22" s="25">
        <f>IF(OR(D22="",D22=0),"",G22/D22)</f>
        <v/>
      </c>
      <c r="J22" s="26">
        <f>IF(C22="","",C22/$C$32)</f>
        <v/>
      </c>
      <c r="K22" s="32">
        <f>IF(OR(C22="",F22=""),"",IF(H22&gt;=Ustawienia!$C$14,IF(F22&lt;=3,"⭐ Gwiazda","💎 Okazja"),IF(F22&lt;=3,"🌱 Do rozwoju","🧹 Do pożegnania / wyceny")))</f>
        <v/>
      </c>
      <c r="L22" s="27">
        <f>IF(G22="","",RANK(G22,$G$7:$G$31))</f>
        <v/>
      </c>
    </row>
    <row r="23">
      <c r="B23" s="24" t="n"/>
      <c r="C23" s="16" t="n"/>
      <c r="D23" s="17" t="n"/>
      <c r="E23" s="16" t="n"/>
      <c r="F23" s="17" t="n"/>
      <c r="G23" s="25">
        <f>IF(C23="","",C23-D23*Ustawienia!$C$12-E23)</f>
        <v/>
      </c>
      <c r="H23" s="26">
        <f>IF(OR(C23="",C23=0),"",G23/C23)</f>
        <v/>
      </c>
      <c r="I23" s="25">
        <f>IF(OR(D23="",D23=0),"",G23/D23)</f>
        <v/>
      </c>
      <c r="J23" s="26">
        <f>IF(C23="","",C23/$C$32)</f>
        <v/>
      </c>
      <c r="K23" s="32">
        <f>IF(OR(C23="",F23=""),"",IF(H23&gt;=Ustawienia!$C$14,IF(F23&lt;=3,"⭐ Gwiazda","💎 Okazja"),IF(F23&lt;=3,"🌱 Do rozwoju","🧹 Do pożegnania / wyceny")))</f>
        <v/>
      </c>
      <c r="L23" s="27">
        <f>IF(G23="","",RANK(G23,$G$7:$G$31))</f>
        <v/>
      </c>
    </row>
    <row r="24">
      <c r="B24" s="24" t="n"/>
      <c r="C24" s="16" t="n"/>
      <c r="D24" s="17" t="n"/>
      <c r="E24" s="16" t="n"/>
      <c r="F24" s="17" t="n"/>
      <c r="G24" s="25">
        <f>IF(C24="","",C24-D24*Ustawienia!$C$12-E24)</f>
        <v/>
      </c>
      <c r="H24" s="26">
        <f>IF(OR(C24="",C24=0),"",G24/C24)</f>
        <v/>
      </c>
      <c r="I24" s="25">
        <f>IF(OR(D24="",D24=0),"",G24/D24)</f>
        <v/>
      </c>
      <c r="J24" s="26">
        <f>IF(C24="","",C24/$C$32)</f>
        <v/>
      </c>
      <c r="K24" s="32">
        <f>IF(OR(C24="",F24=""),"",IF(H24&gt;=Ustawienia!$C$14,IF(F24&lt;=3,"⭐ Gwiazda","💎 Okazja"),IF(F24&lt;=3,"🌱 Do rozwoju","🧹 Do pożegnania / wyceny")))</f>
        <v/>
      </c>
      <c r="L24" s="27">
        <f>IF(G24="","",RANK(G24,$G$7:$G$31))</f>
        <v/>
      </c>
    </row>
    <row r="25">
      <c r="B25" s="24" t="n"/>
      <c r="C25" s="16" t="n"/>
      <c r="D25" s="17" t="n"/>
      <c r="E25" s="16" t="n"/>
      <c r="F25" s="17" t="n"/>
      <c r="G25" s="25">
        <f>IF(C25="","",C25-D25*Ustawienia!$C$12-E25)</f>
        <v/>
      </c>
      <c r="H25" s="26">
        <f>IF(OR(C25="",C25=0),"",G25/C25)</f>
        <v/>
      </c>
      <c r="I25" s="25">
        <f>IF(OR(D25="",D25=0),"",G25/D25)</f>
        <v/>
      </c>
      <c r="J25" s="26">
        <f>IF(C25="","",C25/$C$32)</f>
        <v/>
      </c>
      <c r="K25" s="32">
        <f>IF(OR(C25="",F25=""),"",IF(H25&gt;=Ustawienia!$C$14,IF(F25&lt;=3,"⭐ Gwiazda","💎 Okazja"),IF(F25&lt;=3,"🌱 Do rozwoju","🧹 Do pożegnania / wyceny")))</f>
        <v/>
      </c>
      <c r="L25" s="27">
        <f>IF(G25="","",RANK(G25,$G$7:$G$31))</f>
        <v/>
      </c>
    </row>
    <row r="26">
      <c r="B26" s="24" t="n"/>
      <c r="C26" s="16" t="n"/>
      <c r="D26" s="17" t="n"/>
      <c r="E26" s="16" t="n"/>
      <c r="F26" s="17" t="n"/>
      <c r="G26" s="25">
        <f>IF(C26="","",C26-D26*Ustawienia!$C$12-E26)</f>
        <v/>
      </c>
      <c r="H26" s="26">
        <f>IF(OR(C26="",C26=0),"",G26/C26)</f>
        <v/>
      </c>
      <c r="I26" s="25">
        <f>IF(OR(D26="",D26=0),"",G26/D26)</f>
        <v/>
      </c>
      <c r="J26" s="26">
        <f>IF(C26="","",C26/$C$32)</f>
        <v/>
      </c>
      <c r="K26" s="32">
        <f>IF(OR(C26="",F26=""),"",IF(H26&gt;=Ustawienia!$C$14,IF(F26&lt;=3,"⭐ Gwiazda","💎 Okazja"),IF(F26&lt;=3,"🌱 Do rozwoju","🧹 Do pożegnania / wyceny")))</f>
        <v/>
      </c>
      <c r="L26" s="27">
        <f>IF(G26="","",RANK(G26,$G$7:$G$31))</f>
        <v/>
      </c>
    </row>
    <row r="27">
      <c r="B27" s="24" t="n"/>
      <c r="C27" s="16" t="n"/>
      <c r="D27" s="17" t="n"/>
      <c r="E27" s="16" t="n"/>
      <c r="F27" s="17" t="n"/>
      <c r="G27" s="25">
        <f>IF(C27="","",C27-D27*Ustawienia!$C$12-E27)</f>
        <v/>
      </c>
      <c r="H27" s="26">
        <f>IF(OR(C27="",C27=0),"",G27/C27)</f>
        <v/>
      </c>
      <c r="I27" s="25">
        <f>IF(OR(D27="",D27=0),"",G27/D27)</f>
        <v/>
      </c>
      <c r="J27" s="26">
        <f>IF(C27="","",C27/$C$32)</f>
        <v/>
      </c>
      <c r="K27" s="32">
        <f>IF(OR(C27="",F27=""),"",IF(H27&gt;=Ustawienia!$C$14,IF(F27&lt;=3,"⭐ Gwiazda","💎 Okazja"),IF(F27&lt;=3,"🌱 Do rozwoju","🧹 Do pożegnania / wyceny")))</f>
        <v/>
      </c>
      <c r="L27" s="27">
        <f>IF(G27="","",RANK(G27,$G$7:$G$31))</f>
        <v/>
      </c>
    </row>
    <row r="28">
      <c r="B28" s="24" t="n"/>
      <c r="C28" s="16" t="n"/>
      <c r="D28" s="17" t="n"/>
      <c r="E28" s="16" t="n"/>
      <c r="F28" s="17" t="n"/>
      <c r="G28" s="25">
        <f>IF(C28="","",C28-D28*Ustawienia!$C$12-E28)</f>
        <v/>
      </c>
      <c r="H28" s="26">
        <f>IF(OR(C28="",C28=0),"",G28/C28)</f>
        <v/>
      </c>
      <c r="I28" s="25">
        <f>IF(OR(D28="",D28=0),"",G28/D28)</f>
        <v/>
      </c>
      <c r="J28" s="26">
        <f>IF(C28="","",C28/$C$32)</f>
        <v/>
      </c>
      <c r="K28" s="32">
        <f>IF(OR(C28="",F28=""),"",IF(H28&gt;=Ustawienia!$C$14,IF(F28&lt;=3,"⭐ Gwiazda","💎 Okazja"),IF(F28&lt;=3,"🌱 Do rozwoju","🧹 Do pożegnania / wyceny")))</f>
        <v/>
      </c>
      <c r="L28" s="27">
        <f>IF(G28="","",RANK(G28,$G$7:$G$31))</f>
        <v/>
      </c>
    </row>
    <row r="29">
      <c r="B29" s="24" t="n"/>
      <c r="C29" s="16" t="n"/>
      <c r="D29" s="17" t="n"/>
      <c r="E29" s="16" t="n"/>
      <c r="F29" s="17" t="n"/>
      <c r="G29" s="25">
        <f>IF(C29="","",C29-D29*Ustawienia!$C$12-E29)</f>
        <v/>
      </c>
      <c r="H29" s="26">
        <f>IF(OR(C29="",C29=0),"",G29/C29)</f>
        <v/>
      </c>
      <c r="I29" s="25">
        <f>IF(OR(D29="",D29=0),"",G29/D29)</f>
        <v/>
      </c>
      <c r="J29" s="26">
        <f>IF(C29="","",C29/$C$32)</f>
        <v/>
      </c>
      <c r="K29" s="32">
        <f>IF(OR(C29="",F29=""),"",IF(H29&gt;=Ustawienia!$C$14,IF(F29&lt;=3,"⭐ Gwiazda","💎 Okazja"),IF(F29&lt;=3,"🌱 Do rozwoju","🧹 Do pożegnania / wyceny")))</f>
        <v/>
      </c>
      <c r="L29" s="27">
        <f>IF(G29="","",RANK(G29,$G$7:$G$31))</f>
        <v/>
      </c>
    </row>
    <row r="30">
      <c r="B30" s="24" t="n"/>
      <c r="C30" s="16" t="n"/>
      <c r="D30" s="17" t="n"/>
      <c r="E30" s="16" t="n"/>
      <c r="F30" s="17" t="n"/>
      <c r="G30" s="25">
        <f>IF(C30="","",C30-D30*Ustawienia!$C$12-E30)</f>
        <v/>
      </c>
      <c r="H30" s="26">
        <f>IF(OR(C30="",C30=0),"",G30/C30)</f>
        <v/>
      </c>
      <c r="I30" s="25">
        <f>IF(OR(D30="",D30=0),"",G30/D30)</f>
        <v/>
      </c>
      <c r="J30" s="26">
        <f>IF(C30="","",C30/$C$32)</f>
        <v/>
      </c>
      <c r="K30" s="32">
        <f>IF(OR(C30="",F30=""),"",IF(H30&gt;=Ustawienia!$C$14,IF(F30&lt;=3,"⭐ Gwiazda","💎 Okazja"),IF(F30&lt;=3,"🌱 Do rozwoju","🧹 Do pożegnania / wyceny")))</f>
        <v/>
      </c>
      <c r="L30" s="27">
        <f>IF(G30="","",RANK(G30,$G$7:$G$31))</f>
        <v/>
      </c>
    </row>
    <row r="31">
      <c r="B31" s="24" t="n"/>
      <c r="C31" s="16" t="n"/>
      <c r="D31" s="17" t="n"/>
      <c r="E31" s="16" t="n"/>
      <c r="F31" s="17" t="n"/>
      <c r="G31" s="25">
        <f>IF(C31="","",C31-D31*Ustawienia!$C$12-E31)</f>
        <v/>
      </c>
      <c r="H31" s="26">
        <f>IF(OR(C31="",C31=0),"",G31/C31)</f>
        <v/>
      </c>
      <c r="I31" s="25">
        <f>IF(OR(D31="",D31=0),"",G31/D31)</f>
        <v/>
      </c>
      <c r="J31" s="26">
        <f>IF(C31="","",C31/$C$32)</f>
        <v/>
      </c>
      <c r="K31" s="32">
        <f>IF(OR(C31="",F31=""),"",IF(H31&gt;=Ustawienia!$C$14,IF(F31&lt;=3,"⭐ Gwiazda","💎 Okazja"),IF(F31&lt;=3,"🌱 Do rozwoju","🧹 Do pożegnania / wyceny")))</f>
        <v/>
      </c>
      <c r="L31" s="27">
        <f>IF(G31="","",RANK(G31,$G$7:$G$31))</f>
        <v/>
      </c>
    </row>
    <row r="32">
      <c r="B32" s="28" t="inlineStr">
        <is>
          <t>RAZEM</t>
        </is>
      </c>
      <c r="C32" s="30">
        <f>SUM(C7:C31)</f>
        <v/>
      </c>
      <c r="D32" s="29">
        <f>SUM(D7:D31)</f>
        <v/>
      </c>
      <c r="E32" s="28" t="n"/>
      <c r="F32" s="28" t="n"/>
      <c r="G32" s="30">
        <f>SUM(G7:G31)</f>
        <v/>
      </c>
      <c r="H32" s="33">
        <f>IFERROR(G32/C32,0)</f>
        <v/>
      </c>
      <c r="I32" s="28" t="n"/>
      <c r="J32" s="28" t="n"/>
      <c r="K32" s="28" t="n"/>
      <c r="L32" s="28" t="n"/>
    </row>
    <row r="34">
      <c r="B34" s="18" t="inlineStr">
        <is>
          <t>Udział 3 największych klientów</t>
        </is>
      </c>
      <c r="E34" s="34">
        <f>IFERROR((LARGE(C7:C31,1)+LARGE(C7:C31,2)+LARGE(C7:C31,3))/C32,0)</f>
        <v/>
      </c>
      <c r="F34" s="14" t="inlineStr">
        <is>
          <t>Powyżej 40% = ryzyko koncentracji</t>
        </is>
      </c>
    </row>
    <row r="36">
      <c r="B36" s="31" t="inlineStr">
        <is>
          <t>Udział w przychodzie powyżej 20% jest pogrubiony na czerwono. Ćwiartkę liczy próg marży z arkusza Ustawienia i wysiłek (1–3 = mały, 4–5 = duży).</t>
        </is>
      </c>
    </row>
    <row r="37"/>
  </sheetData>
  <mergeCells count="1">
    <mergeCell ref="B36:L37"/>
  </mergeCells>
  <conditionalFormatting sqref="K7:K31">
    <cfRule type="expression" priority="1" dxfId="2">
      <formula>LEFT(K7,1)="⭐"</formula>
    </cfRule>
    <cfRule type="expression" priority="2" dxfId="3">
      <formula>ISNUMBER(SEARCH("pożegnania",K7))</formula>
    </cfRule>
    <cfRule type="expression" priority="3" dxfId="4">
      <formula>ISNUMBER(SEARCH("Okazja",K7))</formula>
    </cfRule>
    <cfRule type="expression" priority="4" dxfId="5">
      <formula>ISNUMBER(SEARCH("rozwoju",K7))</formula>
    </cfRule>
  </conditionalFormatting>
  <conditionalFormatting sqref="J7:J31">
    <cfRule type="cellIs" priority="5" operator="greaterThan" dxfId="6">
      <formula>0.2</formula>
    </cfRule>
  </conditionalFormatting>
  <dataValidations count="1">
    <dataValidation sqref="F7 F8 F9 F10 F11 F12 F13 F14 F15 F16 F17 F18 F19 F20 F21 F22 F23 F24 F25 F26 F27 F28 F29 F30 F3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2BFC5"/>
    <outlinePr summaryBelow="1" summaryRight="1"/>
    <pageSetUpPr/>
  </sheetPr>
  <dimension ref="B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8" customHeight="1">
      <c r="B1" s="1" t="n"/>
      <c r="C1" s="2" t="n"/>
      <c r="D1" s="1" t="n"/>
      <c r="E1" s="2" t="n"/>
      <c r="F1" s="1" t="n"/>
      <c r="G1" s="2" t="n"/>
      <c r="H1" s="1" t="n"/>
      <c r="I1" s="2" t="n"/>
      <c r="J1" s="1" t="n"/>
    </row>
    <row r="2">
      <c r="B2" s="3" t="inlineStr">
        <is>
          <t>Symulator podwyżki cen</t>
        </is>
      </c>
    </row>
    <row r="3">
      <c r="B3" s="4" t="inlineStr">
        <is>
          <t>Moduł 4 · dopuszczalny spadek sprzedaży = podwyżka ÷ (marża na pokrycie + podwyżka)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>
      <c r="B6" s="15" t="inlineStr">
        <is>
          <t>Przychód roczny obecnie</t>
        </is>
      </c>
      <c r="C6" s="16" t="n">
        <v>1200000</v>
      </c>
    </row>
    <row r="7">
      <c r="B7" s="15" t="inlineStr">
        <is>
          <t>Marża na pokrycie % (cena minus koszty zmienne zleceń)</t>
        </is>
      </c>
      <c r="C7" s="22" t="n">
        <v>0.4</v>
      </c>
    </row>
    <row r="8">
      <c r="B8" s="15" t="inlineStr">
        <is>
          <t>Zysk obecnie (przed opodatkowaniem)</t>
        </is>
      </c>
      <c r="C8" s="16" t="n">
        <v>96000</v>
      </c>
    </row>
    <row r="9">
      <c r="B9" s="15" t="inlineStr">
        <is>
          <t>Planowana podwyżka cen</t>
        </is>
      </c>
      <c r="C9" s="22" t="n">
        <v>0.1</v>
      </c>
    </row>
    <row r="10">
      <c r="B10" s="15" t="inlineStr">
        <is>
          <t>Przewidywana utrata sprzedaży (wolumenu)</t>
        </is>
      </c>
      <c r="C10" s="22" t="n">
        <v>0.05</v>
      </c>
    </row>
    <row r="12">
      <c r="B12" s="15" t="inlineStr">
        <is>
          <t>Koszty stałe (wyliczone)</t>
        </is>
      </c>
      <c r="C12" s="25">
        <f>C6*C7-C8</f>
        <v/>
      </c>
    </row>
    <row r="13">
      <c r="B13" s="15" t="inlineStr">
        <is>
          <t>Przychód po zmianie</t>
        </is>
      </c>
      <c r="C13" s="25">
        <f>C6*(1-C10)*(1+C9)</f>
        <v/>
      </c>
    </row>
    <row r="14">
      <c r="B14" s="20" t="inlineStr">
        <is>
          <t>Zysk po zmianie</t>
        </is>
      </c>
      <c r="C14" s="35">
        <f>C13-C6*(1-C7)*(1-C10)-C12</f>
        <v/>
      </c>
    </row>
    <row r="15">
      <c r="B15" s="18" t="inlineStr">
        <is>
          <t>Zmiana zysku</t>
        </is>
      </c>
      <c r="C15" s="36">
        <f>C14-C8</f>
        <v/>
      </c>
    </row>
    <row r="16">
      <c r="B16" s="15" t="inlineStr">
        <is>
          <t>Zmiana zysku %</t>
        </is>
      </c>
      <c r="C16" s="26">
        <f>IFERROR(C15/ABS(C8),0)</f>
        <v/>
      </c>
    </row>
    <row r="17">
      <c r="B17" s="20" t="inlineStr">
        <is>
          <t>DOPUSZCZALNA utrata sprzedaży (zysk bez zmian)</t>
        </is>
      </c>
      <c r="C17" s="37">
        <f>IFERROR(C9/(C7+C9),0)</f>
        <v/>
      </c>
    </row>
    <row r="19">
      <c r="B19" s="5" t="inlineStr">
        <is>
          <t>Tabela: dopuszczalna utrata sprzedaży przy różnych marżach i podwyżkach</t>
        </is>
      </c>
    </row>
    <row r="20">
      <c r="B20" s="28" t="inlineStr">
        <is>
          <t>Marża na pokrycie ↓ / podwyżka →</t>
        </is>
      </c>
      <c r="C20" s="38" t="n">
        <v>0.03</v>
      </c>
      <c r="D20" s="38" t="n">
        <v>0.05</v>
      </c>
      <c r="E20" s="38" t="n">
        <v>0.08</v>
      </c>
      <c r="F20" s="38" t="n">
        <v>0.1</v>
      </c>
      <c r="G20" s="38" t="n">
        <v>0.12</v>
      </c>
      <c r="H20" s="38" t="n">
        <v>0.15</v>
      </c>
      <c r="I20" s="38" t="n">
        <v>0.2</v>
      </c>
    </row>
    <row r="21">
      <c r="B21" s="39" t="n">
        <v>0.2</v>
      </c>
      <c r="C21" s="40">
        <f>-C$20/($B21+C$20)</f>
        <v/>
      </c>
      <c r="D21" s="40">
        <f>-D$20/($B21+D$20)</f>
        <v/>
      </c>
      <c r="E21" s="40">
        <f>-E$20/($B21+E$20)</f>
        <v/>
      </c>
      <c r="F21" s="40">
        <f>-F$20/($B21+F$20)</f>
        <v/>
      </c>
      <c r="G21" s="40">
        <f>-G$20/($B21+G$20)</f>
        <v/>
      </c>
      <c r="H21" s="40">
        <f>-H$20/($B21+H$20)</f>
        <v/>
      </c>
      <c r="I21" s="40">
        <f>-I$20/($B21+I$20)</f>
        <v/>
      </c>
    </row>
    <row r="22">
      <c r="B22" s="41" t="n">
        <v>0.3</v>
      </c>
      <c r="C22" s="40">
        <f>-C$20/($B22+C$20)</f>
        <v/>
      </c>
      <c r="D22" s="40">
        <f>-D$20/($B22+D$20)</f>
        <v/>
      </c>
      <c r="E22" s="40">
        <f>-E$20/($B22+E$20)</f>
        <v/>
      </c>
      <c r="F22" s="40">
        <f>-F$20/($B22+F$20)</f>
        <v/>
      </c>
      <c r="G22" s="40">
        <f>-G$20/($B22+G$20)</f>
        <v/>
      </c>
      <c r="H22" s="40">
        <f>-H$20/($B22+H$20)</f>
        <v/>
      </c>
      <c r="I22" s="40">
        <f>-I$20/($B22+I$20)</f>
        <v/>
      </c>
    </row>
    <row r="23">
      <c r="B23" s="39" t="n">
        <v>0.4</v>
      </c>
      <c r="C23" s="40">
        <f>-C$20/($B23+C$20)</f>
        <v/>
      </c>
      <c r="D23" s="40">
        <f>-D$20/($B23+D$20)</f>
        <v/>
      </c>
      <c r="E23" s="40">
        <f>-E$20/($B23+E$20)</f>
        <v/>
      </c>
      <c r="F23" s="40">
        <f>-F$20/($B23+F$20)</f>
        <v/>
      </c>
      <c r="G23" s="40">
        <f>-G$20/($B23+G$20)</f>
        <v/>
      </c>
      <c r="H23" s="40">
        <f>-H$20/($B23+H$20)</f>
        <v/>
      </c>
      <c r="I23" s="40">
        <f>-I$20/($B23+I$20)</f>
        <v/>
      </c>
    </row>
    <row r="24">
      <c r="B24" s="41" t="n">
        <v>0.5</v>
      </c>
      <c r="C24" s="40">
        <f>-C$20/($B24+C$20)</f>
        <v/>
      </c>
      <c r="D24" s="40">
        <f>-D$20/($B24+D$20)</f>
        <v/>
      </c>
      <c r="E24" s="40">
        <f>-E$20/($B24+E$20)</f>
        <v/>
      </c>
      <c r="F24" s="40">
        <f>-F$20/($B24+F$20)</f>
        <v/>
      </c>
      <c r="G24" s="40">
        <f>-G$20/($B24+G$20)</f>
        <v/>
      </c>
      <c r="H24" s="40">
        <f>-H$20/($B24+H$20)</f>
        <v/>
      </c>
      <c r="I24" s="40">
        <f>-I$20/($B24+I$20)</f>
        <v/>
      </c>
    </row>
    <row r="25">
      <c r="B25" s="39" t="n">
        <v>0.6</v>
      </c>
      <c r="C25" s="40">
        <f>-C$20/($B25+C$20)</f>
        <v/>
      </c>
      <c r="D25" s="40">
        <f>-D$20/($B25+D$20)</f>
        <v/>
      </c>
      <c r="E25" s="40">
        <f>-E$20/($B25+E$20)</f>
        <v/>
      </c>
      <c r="F25" s="40">
        <f>-F$20/($B25+F$20)</f>
        <v/>
      </c>
      <c r="G25" s="40">
        <f>-G$20/($B25+G$20)</f>
        <v/>
      </c>
      <c r="H25" s="40">
        <f>-H$20/($B25+H$20)</f>
        <v/>
      </c>
      <c r="I25" s="40">
        <f>-I$20/($B25+I$20)</f>
        <v/>
      </c>
    </row>
    <row r="27">
      <c r="B27" s="31" t="inlineStr">
        <is>
          <t>Przykład: przy marży 40% i podwyżce 10% możesz stracić do 20% sprzedaży i nadal zarobisz tyle samo. Zwykle odchodzą klienci z ćwiartki „Do pożegnania”.</t>
        </is>
      </c>
    </row>
    <row r="28"/>
  </sheetData>
  <mergeCells count="1">
    <mergeCell ref="B27:J28"/>
  </mergeCells>
  <conditionalFormatting sqref="C15">
    <cfRule type="cellIs" priority="1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8B68C"/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44" customWidth="1" min="5" max="5"/>
  </cols>
  <sheetData>
    <row r="1" ht="8" customHeight="1">
      <c r="B1" s="1" t="n"/>
      <c r="C1" s="2" t="n"/>
      <c r="D1" s="1" t="n"/>
      <c r="E1" s="2" t="n"/>
      <c r="F1" s="1" t="n"/>
      <c r="G1" s="2" t="n"/>
    </row>
    <row r="2">
      <c r="B2" s="3" t="inlineStr">
        <is>
          <t>Kalkulator lejka sprzedaży</t>
        </is>
      </c>
    </row>
    <row r="3">
      <c r="B3" s="4" t="inlineStr">
        <is>
          <t>Moduł 5 · ile aktywności potrzeba do celu przychodu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 ht="32" customHeight="1">
      <c r="B6" s="23" t="inlineStr"/>
      <c r="C6" s="23" t="inlineStr">
        <is>
          <t>Dziś</t>
        </is>
      </c>
      <c r="D6" s="23" t="inlineStr">
        <is>
          <t>Cel za 90 dni</t>
        </is>
      </c>
      <c r="E6" s="23" t="inlineStr">
        <is>
          <t>Uwagi</t>
        </is>
      </c>
    </row>
    <row r="7">
      <c r="B7" s="15" t="inlineStr">
        <is>
          <t>Cel / obecny przychód ze sprzedaży nowych zleceń (miesięcznie)</t>
        </is>
      </c>
      <c r="C7" s="16" t="n">
        <v>60000</v>
      </c>
      <c r="D7" s="16" t="n">
        <v>80000</v>
      </c>
      <c r="E7" s="14" t="inlineStr">
        <is>
          <t>Bez stałych abonamentów</t>
        </is>
      </c>
    </row>
    <row r="8">
      <c r="B8" s="15" t="inlineStr">
        <is>
          <t>Średnia wartość wygranego zlecenia</t>
        </is>
      </c>
      <c r="C8" s="16" t="n">
        <v>9500</v>
      </c>
      <c r="D8" s="16" t="n">
        <v>12000</v>
      </c>
      <c r="E8" s="14" t="inlineStr">
        <is>
          <t>Pakiety podnoszą wartość</t>
        </is>
      </c>
    </row>
    <row r="9">
      <c r="B9" s="15" t="inlineStr">
        <is>
          <t>Skuteczność ofert (wygrane ÷ oferty)</t>
        </is>
      </c>
      <c r="C9" s="22" t="n">
        <v>0.3</v>
      </c>
      <c r="D9" s="22" t="n">
        <v>0.4</v>
      </c>
      <c r="E9" s="14" t="inlineStr">
        <is>
          <t>Rozmowa przed ofertą + follow-up</t>
        </is>
      </c>
    </row>
    <row r="10">
      <c r="B10" s="15" t="inlineStr">
        <is>
          <t>% rozmów kończących się ofertą</t>
        </is>
      </c>
      <c r="C10" s="22" t="n">
        <v>0.7</v>
      </c>
      <c r="D10" s="22" t="n">
        <v>0.75</v>
      </c>
      <c r="E10" s="14" t="inlineStr">
        <is>
          <t>Kwalifikacja</t>
        </is>
      </c>
    </row>
    <row r="11">
      <c r="B11" s="15" t="inlineStr">
        <is>
          <t>% zapytań kończących się rozmową</t>
        </is>
      </c>
      <c r="C11" s="22" t="n">
        <v>0.6</v>
      </c>
      <c r="D11" s="22" t="n">
        <v>0.8</v>
      </c>
      <c r="E11" s="14" t="inlineStr">
        <is>
          <t>Szybka odpowiedź, link do kalendarza</t>
        </is>
      </c>
    </row>
    <row r="13">
      <c r="B13" s="15" t="inlineStr">
        <is>
          <t>Potrzebne wygrane zlecenia / mies.</t>
        </is>
      </c>
      <c r="C13" s="42">
        <f>IFERROR(C7/C8,0)</f>
        <v/>
      </c>
      <c r="D13" s="42">
        <f>IFERROR(D7/D8,0)</f>
        <v/>
      </c>
    </row>
    <row r="14">
      <c r="B14" s="15" t="inlineStr">
        <is>
          <t>Potrzebne oferty / mies.</t>
        </is>
      </c>
      <c r="C14" s="42">
        <f>IFERROR(C13/C9,0)</f>
        <v/>
      </c>
      <c r="D14" s="42">
        <f>IFERROR(D13/D9,0)</f>
        <v/>
      </c>
    </row>
    <row r="15">
      <c r="B15" s="15" t="inlineStr">
        <is>
          <t>Potrzebne rozmowy / mies.</t>
        </is>
      </c>
      <c r="C15" s="42">
        <f>IFERROR(C14/C10,0)</f>
        <v/>
      </c>
      <c r="D15" s="42">
        <f>IFERROR(D14/D10,0)</f>
        <v/>
      </c>
    </row>
    <row r="16">
      <c r="B16" s="20" t="inlineStr">
        <is>
          <t>POTRZEBNE ZAPYTANIA / mies.</t>
        </is>
      </c>
      <c r="C16" s="43">
        <f>IFERROR(C15/C11,0)</f>
        <v/>
      </c>
      <c r="D16" s="43">
        <f>IFERROR(D15/D11,0)</f>
        <v/>
      </c>
    </row>
    <row r="17">
      <c r="B17" s="15" t="inlineStr">
        <is>
          <t>Potrzebne zapytania / tydzień</t>
        </is>
      </c>
      <c r="C17" s="42">
        <f>C16/4.33</f>
        <v/>
      </c>
      <c r="D17" s="42">
        <f>D16/4.33</f>
        <v/>
      </c>
    </row>
    <row r="19">
      <c r="B19" s="31" t="inlineStr">
        <is>
          <t>Wniosek: porównaj kolumny. Często poprawa skuteczności i wartości zlecenia daje więcej niż szukanie dodatkowych zapytań.</t>
        </is>
      </c>
    </row>
    <row r="20"/>
  </sheetData>
  <mergeCells count="1">
    <mergeCell ref="B19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2BFC5"/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18" customWidth="1" min="4" max="4"/>
    <col width="18" customWidth="1" min="5" max="5"/>
  </cols>
  <sheetData>
    <row r="1" ht="8" customHeight="1">
      <c r="B1" s="1" t="n"/>
      <c r="C1" s="2" t="n"/>
      <c r="D1" s="1" t="n"/>
      <c r="E1" s="2" t="n"/>
      <c r="F1" s="1" t="n"/>
    </row>
    <row r="2">
      <c r="B2" s="3" t="inlineStr">
        <is>
          <t>5 dźwigni wzrostu zysku</t>
        </is>
      </c>
    </row>
    <row r="3">
      <c r="B3" s="4" t="inlineStr">
        <is>
          <t>Moduł 5 · przychód = klienci × wartość × częstotliwość × długość współpracy; do tego marża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 ht="32" customHeight="1">
      <c r="B6" s="23" t="inlineStr">
        <is>
          <t>Dźwignia</t>
        </is>
      </c>
      <c r="C6" s="23" t="inlineStr">
        <is>
          <t>Dziś</t>
        </is>
      </c>
      <c r="D6" s="23" t="inlineStr">
        <is>
          <t>Poprawa %</t>
        </is>
      </c>
      <c r="E6" s="23" t="inlineStr">
        <is>
          <t>Po zmianie</t>
        </is>
      </c>
    </row>
    <row r="7">
      <c r="B7" s="15" t="inlineStr">
        <is>
          <t>Liczba aktywnych klientów</t>
        </is>
      </c>
      <c r="C7" s="17" t="n">
        <v>38</v>
      </c>
      <c r="D7" s="22" t="n">
        <v>0.1</v>
      </c>
      <c r="E7" s="27">
        <f>C7*(1+D7)</f>
        <v/>
      </c>
    </row>
    <row r="8">
      <c r="B8" s="15" t="inlineStr">
        <is>
          <t>Średnia wartość zlecenia</t>
        </is>
      </c>
      <c r="C8" s="16" t="n">
        <v>9500</v>
      </c>
      <c r="D8" s="22" t="n">
        <v>0.1</v>
      </c>
      <c r="E8" s="25">
        <f>C8*(1+D8)</f>
        <v/>
      </c>
    </row>
    <row r="9">
      <c r="B9" s="15" t="inlineStr">
        <is>
          <t>Liczba zleceń na klienta rocznie</t>
        </is>
      </c>
      <c r="C9" s="44" t="n">
        <v>3.33</v>
      </c>
      <c r="D9" s="22" t="n">
        <v>0.1</v>
      </c>
      <c r="E9" s="45">
        <f>C9*(1+D9)</f>
        <v/>
      </c>
    </row>
    <row r="10">
      <c r="B10" s="15" t="inlineStr">
        <is>
          <t>Retencja / długość współpracy (mnożnik)</t>
        </is>
      </c>
      <c r="C10" s="44" t="n">
        <v>1</v>
      </c>
      <c r="D10" s="22" t="n">
        <v>0.1</v>
      </c>
      <c r="E10" s="45">
        <f>C10*(1+D10)</f>
        <v/>
      </c>
    </row>
    <row r="11">
      <c r="B11" s="15" t="inlineStr">
        <is>
          <t>Marża na pokrycie % (poprawa w punktach procentowych)</t>
        </is>
      </c>
      <c r="C11" s="22" t="n">
        <v>0.4</v>
      </c>
      <c r="D11" s="22" t="n">
        <v>0.05</v>
      </c>
      <c r="E11" s="26">
        <f>MIN(0.95,C11+D11)</f>
        <v/>
      </c>
    </row>
    <row r="13">
      <c r="B13" s="15" t="inlineStr">
        <is>
          <t>Koszty stałe roczne</t>
        </is>
      </c>
      <c r="C13" s="16" t="n">
        <v>384000</v>
      </c>
    </row>
    <row r="15">
      <c r="B15" s="18" t="inlineStr">
        <is>
          <t>Przychód roczny</t>
        </is>
      </c>
      <c r="C15" s="36">
        <f>C7*C8*C9*C10</f>
        <v/>
      </c>
      <c r="E15" s="36">
        <f>E7*E8*E9*E10</f>
        <v/>
      </c>
    </row>
    <row r="16">
      <c r="B16" s="18" t="inlineStr">
        <is>
          <t>Zysk roczny</t>
        </is>
      </c>
      <c r="C16" s="36">
        <f>C15*C11-C13</f>
        <v/>
      </c>
      <c r="E16" s="36">
        <f>E15*E11-C13</f>
        <v/>
      </c>
    </row>
    <row r="17">
      <c r="B17" s="15" t="inlineStr">
        <is>
          <t>Zmiana przychodu</t>
        </is>
      </c>
      <c r="E17" s="26">
        <f>IFERROR(E15/C15-1,0)</f>
        <v/>
      </c>
    </row>
    <row r="18">
      <c r="B18" s="20" t="inlineStr">
        <is>
          <t>Zmiana zysku</t>
        </is>
      </c>
      <c r="C18" s="2" t="n"/>
      <c r="D18" s="2" t="n"/>
      <c r="E18" s="37">
        <f>IFERROR(E16/C16-1,0)</f>
        <v/>
      </c>
    </row>
    <row r="20">
      <c r="B20" s="31" t="inlineStr">
        <is>
          <t>Zobacz, jak niewielka poprawa każdej dźwigni (bez nowych klientów: wartość, częstotliwość, długość, marża) zwielokrotnia zysk przy stałych kosztach.</t>
        </is>
      </c>
    </row>
    <row r="21"/>
  </sheetData>
  <mergeCells count="1">
    <mergeCell ref="B20:E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8B68C"/>
    <outlinePr summaryBelow="1" summaryRight="1"/>
    <pageSetUpPr/>
  </sheetPr>
  <dimension ref="B1: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</cols>
  <sheetData>
    <row r="1" ht="8" customHeight="1">
      <c r="B1" s="1" t="n"/>
      <c r="C1" s="2" t="n"/>
      <c r="D1" s="1" t="n"/>
      <c r="E1" s="2" t="n"/>
    </row>
    <row r="2">
      <c r="B2" s="3" t="inlineStr">
        <is>
          <t>Próg rentowności i przychód docelowy</t>
        </is>
      </c>
    </row>
    <row r="3">
      <c r="B3" s="4" t="inlineStr">
        <is>
          <t>Ile musisz sprzedawać miesięcznie, żeby wyjść na zero i żeby osiągnąć zysk docelowy</t>
        </is>
      </c>
    </row>
    <row r="4">
      <c r="B4" s="13" t="inlineStr">
        <is>
          <t xml:space="preserve">   </t>
        </is>
      </c>
      <c r="C4" s="14" t="inlineStr">
        <is>
          <t>← pole do wpisania (dane przykładowe: fikcyjne „Studio Lumen”, zastąp swoimi)</t>
        </is>
      </c>
    </row>
    <row r="6">
      <c r="B6" s="15" t="inlineStr">
        <is>
          <t>Koszty stałe miesięcznie (z wynagrodzeniami)</t>
        </is>
      </c>
      <c r="C6" s="16" t="n">
        <v>32000</v>
      </c>
    </row>
    <row r="7">
      <c r="B7" s="15" t="inlineStr">
        <is>
          <t>Marża na pokrycie %</t>
        </is>
      </c>
      <c r="C7" s="22" t="n">
        <v>0.4</v>
      </c>
    </row>
    <row r="8">
      <c r="B8" s="15" t="inlineStr">
        <is>
          <t>Zysk docelowy miesięcznie</t>
        </is>
      </c>
      <c r="C8" s="16" t="n">
        <v>18000</v>
      </c>
    </row>
    <row r="10">
      <c r="B10" s="46" t="inlineStr">
        <is>
          <t>PRÓG RENTOWNOŚCI (przychód / mies.)</t>
        </is>
      </c>
      <c r="C10" s="16">
        <f>IFERROR(C6/C7,0)</f>
        <v/>
      </c>
    </row>
    <row r="11">
      <c r="B11" s="20" t="inlineStr">
        <is>
          <t>Przychód potrzebny do zysku docelowego</t>
        </is>
      </c>
      <c r="C11" s="35">
        <f>IFERROR((C6+C8)/C7,0)</f>
        <v/>
      </c>
    </row>
    <row r="12">
      <c r="B12" s="15" t="inlineStr">
        <is>
          <t>Średnia wartość zlecenia</t>
        </is>
      </c>
      <c r="C12" s="16" t="n">
        <v>9500</v>
      </c>
    </row>
    <row r="13">
      <c r="B13" s="15" t="inlineStr">
        <is>
          <t>Zleceń miesięcznie do zysku docelowego</t>
        </is>
      </c>
      <c r="C13" s="42">
        <f>IFERROR(C11/C12,0)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2BFC5"/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0" customWidth="1" min="3" max="3"/>
    <col width="18" customWidth="1" min="4" max="4"/>
    <col width="44" customWidth="1" min="5" max="5"/>
  </cols>
  <sheetData>
    <row r="1" ht="8" customHeight="1">
      <c r="B1" s="1" t="n"/>
      <c r="C1" s="2" t="n"/>
      <c r="D1" s="1" t="n"/>
      <c r="E1" s="2" t="n"/>
      <c r="F1" s="1" t="n"/>
    </row>
    <row r="2">
      <c r="B2" s="3" t="inlineStr">
        <is>
          <t>Podsumowanie: moja firma w liczbach</t>
        </is>
      </c>
    </row>
    <row r="3">
      <c r="B3" s="4" t="inlineStr">
        <is>
          <t>Liczy się samo z pozostałych arkuszy. Wyślij przed konsultacją Przegląd Decyzji.</t>
        </is>
      </c>
    </row>
    <row r="5" ht="32" customHeight="1">
      <c r="B5" s="23" t="inlineStr">
        <is>
          <t>Wskaźnik</t>
        </is>
      </c>
      <c r="C5" s="23" t="inlineStr">
        <is>
          <t>Wartość</t>
        </is>
      </c>
      <c r="D5" s="23" t="inlineStr">
        <is>
          <t>Sygnał</t>
        </is>
      </c>
      <c r="E5" s="23" t="inlineStr">
        <is>
          <t>Co to znaczy</t>
        </is>
      </c>
    </row>
    <row r="6">
      <c r="B6" s="15" t="inlineStr">
        <is>
          <t>Pełny koszt godziny pracy</t>
        </is>
      </c>
      <c r="C6" s="47">
        <f>Ustawienia!C12</f>
        <v/>
      </c>
      <c r="D6" s="48">
        <f>""</f>
        <v/>
      </c>
      <c r="E6" s="49" t="inlineStr"/>
    </row>
    <row r="7">
      <c r="B7" s="50" t="inlineStr">
        <is>
          <t>Marża na klientach (z arkusza Klienci)</t>
        </is>
      </c>
      <c r="C7" s="51">
        <f>Klienci!H32</f>
        <v/>
      </c>
      <c r="D7" s="52">
        <f>IF(C7&lt;0.15,"⚠ niska",IF(C7&lt;0.3,"• średnia","✓ zdrowa"))</f>
        <v/>
      </c>
      <c r="E7" s="53" t="inlineStr">
        <is>
          <t>Poniżej 15%: pracujecie „na obrót”</t>
        </is>
      </c>
    </row>
    <row r="8">
      <c r="B8" s="15" t="inlineStr">
        <is>
          <t>Udział 3 największych klientów</t>
        </is>
      </c>
      <c r="C8" s="34">
        <f>Klienci!E34</f>
        <v/>
      </c>
      <c r="D8" s="48">
        <f>IF(C8&gt;0.4,"⚠ ryzyko","✓ OK")</f>
        <v/>
      </c>
      <c r="E8" s="49" t="inlineStr">
        <is>
          <t>Powyżej 40% = ryzyko koncentracji</t>
        </is>
      </c>
    </row>
    <row r="9">
      <c r="B9" s="50" t="inlineStr">
        <is>
          <t>Klienci „Do pożegnania / wyceny” (liczba)</t>
        </is>
      </c>
      <c r="C9" s="54">
        <f>COUNTIF(Klienci!K7:K31,"*pożegnania*")</f>
        <v/>
      </c>
      <c r="D9" s="52">
        <f>IF(C9&gt;0,"⚠ do decyzji","✓ OK")</f>
        <v/>
      </c>
      <c r="E9" s="53" t="inlineStr">
        <is>
          <t>Kandydaci do nowej wyceny lub rozstania</t>
        </is>
      </c>
    </row>
    <row r="10">
      <c r="B10" s="15" t="inlineStr">
        <is>
          <t>Klienci „Gwiazdy” (liczba)</t>
        </is>
      </c>
      <c r="C10" s="19">
        <f>COUNTIF(Klienci!K7:K31,"⭐*")</f>
        <v/>
      </c>
      <c r="D10" s="48">
        <f>""</f>
        <v/>
      </c>
      <c r="E10" s="49" t="inlineStr">
        <is>
          <t>Wzór idealnego klienta</t>
        </is>
      </c>
    </row>
    <row r="11">
      <c r="B11" s="50" t="inlineStr">
        <is>
          <t>Najlepsza usługa (zysk na godzinę)</t>
        </is>
      </c>
      <c r="C11" s="52">
        <f>IFERROR(INDEX(Usługi!B7:B18,MATCH(1,Usługi!M7:M18,0)),"")</f>
        <v/>
      </c>
      <c r="D11" s="52">
        <f>""</f>
        <v/>
      </c>
      <c r="E11" s="53" t="inlineStr">
        <is>
          <t>Kandydat na usługę flagową</t>
        </is>
      </c>
    </row>
    <row r="12">
      <c r="B12" s="15" t="inlineStr">
        <is>
          <t>Usługi ze stratą (liczba)</t>
        </is>
      </c>
      <c r="C12" s="19">
        <f>COUNTIF(Usługi!I7:I18,"&lt;0")</f>
        <v/>
      </c>
      <c r="D12" s="48">
        <f>IF(C12&gt;0,"⚠ do decyzji","✓ OK")</f>
        <v/>
      </c>
      <c r="E12" s="49" t="inlineStr">
        <is>
          <t>Podnieś cenę, zmień zakres albo wycofaj</t>
        </is>
      </c>
    </row>
    <row r="13">
      <c r="B13" s="50" t="inlineStr">
        <is>
          <t>Zysk po planowanej podwyżce</t>
        </is>
      </c>
      <c r="C13" s="55">
        <f>'Podwyżka cen'!C14</f>
        <v/>
      </c>
      <c r="D13" s="52">
        <f>IF('Podwyżka cen'!C15&gt;0,"✓ +"&amp;TEXT('Podwyżka cen'!C16,"0%"),"⚠ spadek")</f>
        <v/>
      </c>
      <c r="E13" s="53" t="inlineStr">
        <is>
          <t>Arkusz Podwyżka cen</t>
        </is>
      </c>
    </row>
    <row r="14">
      <c r="B14" s="15" t="inlineStr">
        <is>
          <t>Dopuszczalna utrata sprzedaży po podwyżce</t>
        </is>
      </c>
      <c r="C14" s="34">
        <f>'Podwyżka cen'!C17</f>
        <v/>
      </c>
      <c r="D14" s="48">
        <f>""</f>
        <v/>
      </c>
      <c r="E14" s="49" t="inlineStr">
        <is>
          <t>Bufor bezpieczeństwa decyzji o cenach</t>
        </is>
      </c>
    </row>
    <row r="15">
      <c r="B15" s="50" t="inlineStr">
        <is>
          <t>Potrzebne zapytania / mies. (cel)</t>
        </is>
      </c>
      <c r="C15" s="56">
        <f>Lejek!D16</f>
        <v/>
      </c>
      <c r="D15" s="52">
        <f>""</f>
        <v/>
      </c>
      <c r="E15" s="53" t="inlineStr">
        <is>
          <t>Arkusz Lejek</t>
        </is>
      </c>
    </row>
    <row r="16">
      <c r="B16" s="15" t="inlineStr">
        <is>
          <t>Przychód potrzebny do zysku docelowego / mies.</t>
        </is>
      </c>
      <c r="C16" s="36">
        <f>'Próg rentowności'!C11</f>
        <v/>
      </c>
      <c r="D16" s="48">
        <f>""</f>
        <v/>
      </c>
      <c r="E16" s="49" t="inlineStr">
        <is>
          <t>Arkusz Próg rentowności</t>
        </is>
      </c>
    </row>
    <row r="18">
      <c r="B18" s="18" t="inlineStr">
        <is>
          <t>Moje 3 najważniejsze decyzje (z Dziennika decyzji)</t>
        </is>
      </c>
    </row>
    <row r="19" ht="28" customHeight="1">
      <c r="B19" s="57" t="inlineStr">
        <is>
          <t>1.</t>
        </is>
      </c>
      <c r="C19" s="58" t="n"/>
    </row>
    <row r="20" ht="28" customHeight="1">
      <c r="B20" s="57" t="inlineStr">
        <is>
          <t>2.</t>
        </is>
      </c>
      <c r="C20" s="58" t="n"/>
    </row>
    <row r="21" ht="28" customHeight="1">
      <c r="B21" s="57" t="inlineStr">
        <is>
          <t>3.</t>
        </is>
      </c>
      <c r="C21" s="58" t="n"/>
    </row>
    <row r="23" ht="40" customHeight="1">
      <c r="B23" s="18" t="inlineStr">
        <is>
          <t>Decyzja, co do której mam najmniej pewności</t>
        </is>
      </c>
      <c r="C23" s="58" t="n"/>
    </row>
    <row r="25">
      <c r="B25" s="59" t="inlineStr">
        <is>
          <t>NASTĘPNY KROK · Przegląd Decyzji (3 000 zł netto, cena pakietu odliczana). Przed spotkaniem analizuję Twoje liczby i tok rozumowania z Dziennika decyzji, a na 2-godzinnej sesji wzmacniamy najsłabsze ogniwa planu. Umów termin: guliwera4.pl/konsultacja</t>
        </is>
      </c>
    </row>
    <row r="26"/>
    <row r="27"/>
  </sheetData>
  <mergeCells count="5">
    <mergeCell ref="C19:E19"/>
    <mergeCell ref="B25:E27"/>
    <mergeCell ref="C23:E23"/>
    <mergeCell ref="C21:E21"/>
    <mergeCell ref="C20:E20"/>
  </mergeCells>
  <conditionalFormatting sqref="D6:D16">
    <cfRule type="expression" priority="1" dxfId="3">
      <formula>LEFT(D6,1)="⚠"</formula>
    </cfRule>
    <cfRule type="expression" priority="2" dxfId="4">
      <formula>LEFT(D6,1)="✓"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2026-10-13T06:26:40Z</dcterms:created>
  <dcterms:modified xmlns:dcterms="http://purl.org/dc/terms/" xmlns:xsi="http://www.w3.org/2001/XMLSchema-instance" xsi:type="dcterms:W3CDTF">2026-10-13T06:26:40Z</dcterms:modified>
</cp:coreProperties>
</file>