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5 luk" sheetId="1" state="visible" r:id="rId3"/>
    <sheet name="Szacunki" sheetId="2" state="visible" r:id="rId4"/>
    <sheet name="Źródła" sheetId="3" state="visible" r:id="rId5"/>
  </sheets>
  <definedNames>
    <definedName function="false" hidden="false" localSheetId="0" name="_xlnm.Print_Titles" vbProcedure="false">'5 luk'!$4:$4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6" authorId="0">
      <text>
        <r>
          <rPr>
            <sz val="10"/>
            <rFont val="Arial"/>
            <family val="2"/>
          </rPr>
          <t xml:space="preserve">Nie wiadomo, czy 2,93 mln t to cała sprzedaż nawozów czy tylko jeden zakres. Zweryfikować z kontrolingiem.</t>
        </r>
      </text>
    </comment>
  </commentList>
</comments>
</file>

<file path=xl/sharedStrings.xml><?xml version="1.0" encoding="utf-8"?>
<sst xmlns="http://schemas.openxmlformats.org/spreadsheetml/2006/main" count="152" uniqueCount="130">
  <si>
    <t xml:space="preserve">GRUPA AZOTY | Dla Zarządu: 5 luk, które blokują wzrost z ~50% do 60% rynku nawozów</t>
  </si>
  <si>
    <t xml:space="preserve">Mamy technologię, ale każda spółka używa jej osobno. Dlatego nie widzimy: co kupuje rolnik, ile naprawdę zarabiamy na tonie i czy cała Grupa zdąży z towarem w sezonie.</t>
  </si>
  <si>
    <t xml:space="preserve">Nr</t>
  </si>
  <si>
    <t xml:space="preserve">Luka</t>
  </si>
  <si>
    <t xml:space="preserve">Na czym polega</t>
  </si>
  <si>
    <t xml:space="preserve">Skąd to wiemy (nasze dokumenty)</t>
  </si>
  <si>
    <t xml:space="preserve">Co już mamy w GA</t>
  </si>
  <si>
    <t xml:space="preserve">Co zrobić</t>
  </si>
  <si>
    <t xml:space="preserve">Co to da dla udziału</t>
  </si>
  <si>
    <t xml:space="preserve">Właściciel (propozycja)</t>
  </si>
  <si>
    <t xml:space="preserve">Pierwszy krok</t>
  </si>
  <si>
    <t xml:space="preserve">Priorytet</t>
  </si>
  <si>
    <t xml:space="preserve">Status</t>
  </si>
  <si>
    <t xml:space="preserve">Nie widzimy rolnika</t>
  </si>
  <si>
    <t xml:space="preserve">Widzimy tylko zamówienia 68 dystrybutorów (AD). Nie znamy ich zapasu ani sprzedaży do rolnika, więc zapas w kanale wygląda jak popyt.</t>
  </si>
  <si>
    <t xml:space="preserve">Strategia Nawozowa: brak wiedzy o kliencie końcowym; brak rejestru odmów i utraconych ofert. Mapa systemu: luka L1.</t>
  </si>
  <si>
    <t xml:space="preserve">Portal AD, CRM z profilami gospodarstw, SAP SD, Nawozy.eu, menadżerowie rynku. Scoring AD (sl. 86) już istnieje.</t>
  </si>
  <si>
    <t xml:space="preserve">AD raportują co tydzień stan i sprzedaż przez portal (kryterium w scoringu / KTR). Każda odmowa i utracona oferta zapisana w CRM.</t>
  </si>
  <si>
    <t xml:space="preserve">Wiemy, gdzie i dlaczego tracimy klienta. Każdy 1 p.p. udziału AN/CAN to ok. 39 mln zł przychodu rocznie (arkusz Szacunki).</t>
  </si>
  <si>
    <t xml:space="preserve">Handel / DKHSA</t>
  </si>
  <si>
    <t xml:space="preserve">Pilot z 5 AD: tygodniowy plik stanów i sprzedaży + rejestr odmów</t>
  </si>
  <si>
    <t xml:space="preserve">Wysoki</t>
  </si>
  <si>
    <t xml:space="preserve">Do decyzji</t>
  </si>
  <si>
    <t xml:space="preserve">Nie widzimy prawdziwej marży</t>
  </si>
  <si>
    <t xml:space="preserve">Cena na fakturze to nie cena, którą dostajemy. Upusty są rozproszone po kilku mechanizmach i dokumentach.</t>
  </si>
  <si>
    <t xml:space="preserve">5 poziomów upustów: bonifikata 30 zł/t, miesięczna 10–20 zł/t, skonto 40 zł/t (bierze ok. 95% rynku), rabat roczny 1,5%, przechowanie 10 zł/t/mies. Anwil ma 1 rabat (sl. 86).</t>
  </si>
  <si>
    <t xml:space="preserve">SAP SD i FI/CO w spółkach, Biuro Analityki Sprzedaży DKHSA, nowe stanowisko Managera ds. pricingu.</t>
  </si>
  <si>
    <t xml:space="preserve">Wszystkie upusty jako warunki w SAP SD. Marża per klient i produkt w CO-PA, po rabatach i koszcie dostawy.</t>
  </si>
  <si>
    <t xml:space="preserve">Rabat trafia tam, gdzie zdobywa udział. Samo skonto to rząd 78 mln zł rocznie (szacunek, arkusz Szacunki).</t>
  </si>
  <si>
    <t xml:space="preserve">Pricing / CFO</t>
  </si>
  <si>
    <t xml:space="preserve">Policzyć cenę netto po wszystkich upustach dla 20 największych klientów</t>
  </si>
  <si>
    <t xml:space="preserve">Każdy zakład planuje sam, w Excelu</t>
  </si>
  <si>
    <t xml:space="preserve">Nie wiemy, który zakład wyprodukuje daną tonę najtaniej ani ile mocy jest naprawdę wolne.</t>
  </si>
  <si>
    <t xml:space="preserve">Plan produkcji w Excelach. Kolumna „moc rzeczywista” pusta dla wszystkich zakładów (sl. 21). Wykorzystanie mocy NPK/NP/NS 39% w 2024 (Strategia 2030).</t>
  </si>
  <si>
    <t xml:space="preserve">SAP PP / PP-PI w zakładach, automatyka instalacji z pomiarem gazu i energii, wspólne surowce i media.</t>
  </si>
  <si>
    <t xml:space="preserve">Jeden plan 13 tygodni dla całej Grupy, zaczynając od AN/CAN. Koszt dobrej tony per zakład z danych z instalacji.</t>
  </si>
  <si>
    <t xml:space="preserve">Produkcja tam, gdzie taniej. Towar przygotowany przed sezonem, mniej odmów w szczycie.</t>
  </si>
  <si>
    <t xml:space="preserve">Planowanie / Operacje</t>
  </si>
  <si>
    <t xml:space="preserve">Uzupełnić moce rzeczywiste 4 zakładów i zrobić wspólny plan AN/CAN</t>
  </si>
  <si>
    <t xml:space="preserve">W szczycie sezonu blokuje magazyn</t>
  </si>
  <si>
    <t xml:space="preserve">Fabryka produkuje, ale nie zdąży zapakować i wydać towaru, gdy rolnik go potrzebuje.</t>
  </si>
  <si>
    <t xml:space="preserve">Saletra PULAN bez magazynu Big-Bag, bufor granulatu ok. 1 doby, Police M525: 14 → 8 tys. t przy 4 gatunkach (sl. 26–31). Przeciążeni magazynierzy, kolejki aut.</t>
  </si>
  <si>
    <t xml:space="preserve">Automatyczne linie paletyzacji we wszystkich zakładach, ok. 240 tys. t magazynów wyrobów stałych + 40 tys. t RSM, planowane RFID i automatyczne wagi (sl. 32).</t>
  </si>
  <si>
    <t xml:space="preserve">Jeden widok zapasu 4 zakładów w SAP (WMS / EWM), sloty załadunku, RFID i wagi podpięte do systemu.</t>
  </si>
  <si>
    <t xml:space="preserve">Więcej ton wydanych w oknie agrotechnicznym, czyli sprzedaż, której dziś nie robimy.</t>
  </si>
  <si>
    <t xml:space="preserve">Logistyka / Operacje</t>
  </si>
  <si>
    <t xml:space="preserve">Zmierzyć czas odprawy auta i kolejki w szczycie w Puławach i Policach</t>
  </si>
  <si>
    <t xml:space="preserve">Średni</t>
  </si>
  <si>
    <t xml:space="preserve">Flota Grupy nie działa jak jedna</t>
  </si>
  <si>
    <t xml:space="preserve">Mamy własną kolej, a w szczycie i tak czekamy na obcy tabor.</t>
  </si>
  <si>
    <t xml:space="preserve">Każdy zakład planuje transport sam. Zależność od taboru PKP Cargo w szczycie (sl. 32). Puste przebiegi i fracht awaryjny niezmierzone.</t>
  </si>
  <si>
    <t xml:space="preserve">GA Koltar, ok. 1 700 wagonów i cystern, ponad 175 km bocznic, BBM Gdynia, terminal w Policach (sl. 29–30).</t>
  </si>
  <si>
    <t xml:space="preserve">Jeden plan wagonów i cystern dla całej Grupy w Koltarze, połączony z planem produkcji i awizacją.</t>
  </si>
  <si>
    <t xml:space="preserve">Dostawa na czas w sezonie, niższy koszt, wolny tabor poza sezonem jako usługa zewnętrzna.</t>
  </si>
  <si>
    <t xml:space="preserve">Segment Logistyka / Koltar</t>
  </si>
  <si>
    <t xml:space="preserve">Zestawić obieg wagonów i cystern w ostatnim sezonie dla wszystkich zakładów</t>
  </si>
  <si>
    <t xml:space="preserve">O co prosimy Zarząd (3 decyzje)</t>
  </si>
  <si>
    <t xml:space="preserve">Decyzja</t>
  </si>
  <si>
    <t xml:space="preserve">Zakres</t>
  </si>
  <si>
    <t xml:space="preserve">Kto</t>
  </si>
  <si>
    <t xml:space="preserve">Termin</t>
  </si>
  <si>
    <t xml:space="preserve">1</t>
  </si>
  <si>
    <t xml:space="preserve">Jeden właściciel w centrali</t>
  </si>
  <si>
    <t xml:space="preserve">Dla planu, danych i systemów segmentu Nawozy. Bez tego każda spółka dalej optymalizuje swój wynik.</t>
  </si>
  <si>
    <t xml:space="preserve">Zarząd</t>
  </si>
  <si>
    <t xml:space="preserve">Od razu</t>
  </si>
  <si>
    <t xml:space="preserve">2</t>
  </si>
  <si>
    <t xml:space="preserve">30 dni: spis tego, co już mamy</t>
  </si>
  <si>
    <t xml:space="preserve">Które moduły SAP działają w każdej spółce, jakie licencje są opłacone, jakie dane są dostępne. Bez kupowania nowych systemów.</t>
  </si>
  <si>
    <t xml:space="preserve">CIO + Kontroling</t>
  </si>
  <si>
    <t xml:space="preserve">30 dni</t>
  </si>
  <si>
    <t xml:space="preserve">3</t>
  </si>
  <si>
    <t xml:space="preserve">90 dni: pilot na saletrze AN/CAN</t>
  </si>
  <si>
    <t xml:space="preserve">5 dystrybutorów: tygodniowe dane od AD, jeden plan 13 tygodni, marża po wszystkich upustach. CFO potwierdza efekt, potem skalowanie.</t>
  </si>
  <si>
    <t xml:space="preserve">Handel + Planowanie + CFO</t>
  </si>
  <si>
    <t xml:space="preserve">90 dni</t>
  </si>
  <si>
    <t xml:space="preserve">Ważne: dokumenty nie zawierają danych transakcyjnych, więc wielkość strat to szacunek do potwierdzenia w pilocie. Kolumny Właściciel, Priorytet i Status to propozycje do edycji (listy rozwijane).</t>
  </si>
  <si>
    <t xml:space="preserve">Szacunki do luk 1 i 2 (ilustracja, do potwierdzenia w pilocie)</t>
  </si>
  <si>
    <t xml:space="preserve">Niebieskie liczby = założenia z dokumentów, można je zmienić. Czarne = formuły.</t>
  </si>
  <si>
    <t xml:space="preserve">Luka 1: ile wart jest 1 p.p. udziału</t>
  </si>
  <si>
    <t xml:space="preserve">Pozycja</t>
  </si>
  <si>
    <t xml:space="preserve">Wartość</t>
  </si>
  <si>
    <t xml:space="preserve">Jednostka</t>
  </si>
  <si>
    <t xml:space="preserve">Źródło / uwaga</t>
  </si>
  <si>
    <t xml:space="preserve">Przychód z odbudowy udziału AN/CAN 45% → 60%</t>
  </si>
  <si>
    <t xml:space="preserve">mln zł/rok</t>
  </si>
  <si>
    <t xml:space="preserve">Strategia Nawozowa, sl. 87: +0,59 mld zł rocznie</t>
  </si>
  <si>
    <t xml:space="preserve">Udział AN/CAN dziś</t>
  </si>
  <si>
    <t xml:space="preserve">%</t>
  </si>
  <si>
    <t xml:space="preserve">Strategia Nawozowa, sl. 87</t>
  </si>
  <si>
    <t xml:space="preserve">Udział AN/CAN cel 2030</t>
  </si>
  <si>
    <t xml:space="preserve">Przyrost udziału</t>
  </si>
  <si>
    <t xml:space="preserve">p.p.</t>
  </si>
  <si>
    <t xml:space="preserve">Formuła</t>
  </si>
  <si>
    <t xml:space="preserve">Przychód z 1 p.p. udziału AN/CAN</t>
  </si>
  <si>
    <t xml:space="preserve">Formuła: przychód / przyrost p.p.</t>
  </si>
  <si>
    <t xml:space="preserve">Przychód z odbudowy udziału NPK 42% → 60%</t>
  </si>
  <si>
    <t xml:space="preserve">Strategia Nawozowa, sl. 87: +0,19 mld zł rocznie</t>
  </si>
  <si>
    <t xml:space="preserve">Przychód z 1 p.p. udziału NPK</t>
  </si>
  <si>
    <t xml:space="preserve">Formuła; baza NPK 42% vs 52% do uzgodnienia (Matryca, G01)</t>
  </si>
  <si>
    <t xml:space="preserve">Luka 2: ile kosztuje samo skonto</t>
  </si>
  <si>
    <t xml:space="preserve">Wolumen sprzedaży nawozów, plan 2026</t>
  </si>
  <si>
    <t xml:space="preserve">mln t</t>
  </si>
  <si>
    <t xml:space="preserve">Strategia Nawozowa, sl. 90 (zakres tabeli do potwierdzenia)</t>
  </si>
  <si>
    <t xml:space="preserve">Udział rynku krajowego w sprzedaży</t>
  </si>
  <si>
    <t xml:space="preserve">Strategia Nawozowa, sl. 91: reguła 70% kraj / 30% eksport</t>
  </si>
  <si>
    <t xml:space="preserve">Wolumen krajowy</t>
  </si>
  <si>
    <t xml:space="preserve">Skonto za płatność w 7 dni</t>
  </si>
  <si>
    <t xml:space="preserve">zł/t</t>
  </si>
  <si>
    <t xml:space="preserve">Strategia Nawozowa, sl. 86</t>
  </si>
  <si>
    <t xml:space="preserve">Część rynku korzystająca ze skonta</t>
  </si>
  <si>
    <t xml:space="preserve">Strategia Nawozowa, sl. 86: ok. 95% rynku</t>
  </si>
  <si>
    <t xml:space="preserve">Roczny koszt skonta</t>
  </si>
  <si>
    <t xml:space="preserve">Formuła. Nie jest to strata: trzeba porównać z kosztem finansowania i ryzykiem (Matryca, L02)</t>
  </si>
  <si>
    <t xml:space="preserve">Źródła</t>
  </si>
  <si>
    <t xml:space="preserve">Skrót</t>
  </si>
  <si>
    <t xml:space="preserve">Dokument</t>
  </si>
  <si>
    <t xml:space="preserve">Co z niego wzięto</t>
  </si>
  <si>
    <t xml:space="preserve">D1</t>
  </si>
  <si>
    <t xml:space="preserve">Strategia Grupy Azoty 2030 (wersja wewnętrzna), PDF</t>
  </si>
  <si>
    <t xml:space="preserve">Model segmentów, wzmocnienie centrali, cel &gt;50% udziału, wykorzystanie mocy 2024</t>
  </si>
  <si>
    <t xml:space="preserve">D2</t>
  </si>
  <si>
    <t xml:space="preserve">Strategia Nawozowa z komentarzami, PPTX</t>
  </si>
  <si>
    <t xml:space="preserve">Cele udziału (sl. 87), rabaty (sl. 86), moce i magazyny (sl. 21, 26–31), logistyka i Koltar (sl. 29–32), sprzedaż (sl. 90–91)</t>
  </si>
  <si>
    <t xml:space="preserve">M</t>
  </si>
  <si>
    <t xml:space="preserve">Mapa zintegrowanego systemu (drawio / PDF)</t>
  </si>
  <si>
    <t xml:space="preserve">Luki L1–L6 i proponowane narzędzia</t>
  </si>
  <si>
    <t xml:space="preserve">X</t>
  </si>
  <si>
    <t xml:space="preserve">Matryca wdrożenia i model, XLSX</t>
  </si>
  <si>
    <t xml:space="preserve">Uzgodnienia liczb (G01–G14), hipotezy kosztowe (L01–L12), systemy (S01–S10)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</si>
</sst>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%"/>
    <numFmt numFmtId="167" formatCode="0.0"/>
    <numFmt numFmtId="168" formatCode="#,##0.0"/>
    <numFmt numFmtId="169" formatCode="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83349"/>
      <name val="Arial"/>
      <family val="0"/>
      <charset val="1"/>
    </font>
    <font>
      <sz val="11"/>
      <color rgb="FF53677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183349"/>
      <name val="Arial"/>
      <family val="0"/>
      <charset val="1"/>
    </font>
    <font>
      <sz val="10"/>
      <color rgb="FF183349"/>
      <name val="Arial"/>
      <family val="0"/>
      <charset val="1"/>
    </font>
    <font>
      <b val="true"/>
      <sz val="13"/>
      <color rgb="FFA96512"/>
      <name val="Arial"/>
      <family val="0"/>
      <charset val="1"/>
    </font>
    <font>
      <b val="true"/>
      <sz val="10"/>
      <color rgb="FF183349"/>
      <name val="Arial"/>
      <family val="0"/>
      <charset val="1"/>
    </font>
    <font>
      <sz val="9"/>
      <color rgb="FF536773"/>
      <name val="Arial"/>
      <family val="0"/>
      <charset val="1"/>
    </font>
    <font>
      <b val="true"/>
      <sz val="14"/>
      <color rgb="FF183349"/>
      <name val="Arial"/>
      <family val="0"/>
      <charset val="1"/>
    </font>
    <font>
      <b val="true"/>
      <sz val="11"/>
      <color rgb="FF286396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83349"/>
        <bgColor rgb="FF333333"/>
      </patternFill>
    </fill>
    <fill>
      <patternFill patternType="solid">
        <fgColor rgb="FFB23A3A"/>
        <bgColor rgb="FF993366"/>
      </patternFill>
    </fill>
    <fill>
      <patternFill patternType="solid">
        <fgColor rgb="FF28794D"/>
        <bgColor rgb="FF008080"/>
      </patternFill>
    </fill>
    <fill>
      <patternFill patternType="solid">
        <fgColor rgb="FF286396"/>
        <bgColor rgb="FF536773"/>
      </patternFill>
    </fill>
    <fill>
      <patternFill patternType="solid">
        <fgColor rgb="FFA96512"/>
        <bgColor rgb="FFB23A3A"/>
      </patternFill>
    </fill>
    <fill>
      <patternFill patternType="solid">
        <fgColor rgb="FFF3F5F7"/>
        <bgColor rgb="FFE8F5EE"/>
      </patternFill>
    </fill>
    <fill>
      <patternFill patternType="solid">
        <fgColor rgb="FFFDECEC"/>
        <bgColor rgb="FFFFF1DF"/>
      </patternFill>
    </fill>
    <fill>
      <patternFill patternType="solid">
        <fgColor rgb="FFE8F5EE"/>
        <bgColor rgb="FFE7F1FA"/>
      </patternFill>
    </fill>
    <fill>
      <patternFill patternType="solid">
        <fgColor rgb="FFE7F1FA"/>
        <bgColor rgb="FFE8F5EE"/>
      </patternFill>
    </fill>
    <fill>
      <patternFill patternType="solid">
        <fgColor rgb="FFFFF1DF"/>
        <bgColor rgb="FFFDEC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DF"/>
      </left>
      <right style="thin">
        <color rgb="FFCBD5DF"/>
      </right>
      <top style="thin">
        <color rgb="FFCBD5DF"/>
      </top>
      <bottom style="thin">
        <color rgb="FFCBD5D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7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7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B23A3A"/>
      </font>
    </dxf>
    <dxf>
      <fill>
        <patternFill>
          <bgColor rgb="FFC6E8D4"/>
        </patternFill>
      </fill>
    </dxf>
    <dxf>
      <fill>
        <patternFill>
          <bgColor rgb="FFFFE7B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96512"/>
      <rgbColor rgb="FF800080"/>
      <rgbColor rgb="FF008080"/>
      <rgbColor rgb="FFF3F5F7"/>
      <rgbColor rgb="FF808080"/>
      <rgbColor rgb="FF9999FF"/>
      <rgbColor rgb="FFB23A3A"/>
      <rgbColor rgb="FFFFF1DF"/>
      <rgbColor rgb="FFE8F5EE"/>
      <rgbColor rgb="FF660066"/>
      <rgbColor rgb="FFFF8080"/>
      <rgbColor rgb="FF286396"/>
      <rgbColor rgb="FFCBD5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F1FA"/>
      <rgbColor rgb="FFC6E8D4"/>
      <rgbColor rgb="FFFFE7B3"/>
      <rgbColor rgb="FF99CCFF"/>
      <rgbColor rgb="FFFF99CC"/>
      <rgbColor rgb="FFCC99FF"/>
      <rgbColor rgb="FFFDECEC"/>
      <rgbColor rgb="FF3366FF"/>
      <rgbColor rgb="FF33CCCC"/>
      <rgbColor rgb="FF99CC00"/>
      <rgbColor rgb="FFFFCC00"/>
      <rgbColor rgb="FFFF9900"/>
      <rgbColor rgb="FFFF6600"/>
      <rgbColor rgb="FF536773"/>
      <rgbColor rgb="FF969696"/>
      <rgbColor rgb="FF183349"/>
      <rgbColor rgb="FF28794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4" min="4" style="0" width="44"/>
    <col collapsed="false" customWidth="true" hidden="false" outlineLevel="0" max="5" min="5" style="0" width="38"/>
    <col collapsed="false" customWidth="true" hidden="false" outlineLevel="0" max="6" min="6" style="0" width="44"/>
    <col collapsed="false" customWidth="true" hidden="false" outlineLevel="0" max="7" min="7" style="0" width="40"/>
    <col collapsed="false" customWidth="true" hidden="false" outlineLevel="0" max="8" min="8" style="0" width="20"/>
    <col collapsed="false" customWidth="true" hidden="false" outlineLevel="0" max="9" min="9" style="0" width="34"/>
    <col collapsed="false" customWidth="true" hidden="false" outlineLevel="0" max="10" min="10" style="0" width="11"/>
    <col collapsed="false" customWidth="true" hidden="false" outlineLevel="0" max="11" min="11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1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4" t="s">
        <v>5</v>
      </c>
      <c r="E4" s="5" t="s">
        <v>6</v>
      </c>
      <c r="F4" s="6" t="s">
        <v>7</v>
      </c>
      <c r="G4" s="6" t="s">
        <v>8</v>
      </c>
      <c r="H4" s="7" t="s">
        <v>9</v>
      </c>
      <c r="I4" s="7" t="s">
        <v>10</v>
      </c>
      <c r="J4" s="7" t="s">
        <v>11</v>
      </c>
      <c r="K4" s="7" t="s">
        <v>12</v>
      </c>
    </row>
    <row r="5" customFormat="false" ht="91.5" hidden="false" customHeight="true" outlineLevel="0" collapsed="false">
      <c r="A5" s="8" t="n">
        <v>1</v>
      </c>
      <c r="B5" s="9" t="s">
        <v>13</v>
      </c>
      <c r="C5" s="10" t="s">
        <v>14</v>
      </c>
      <c r="D5" s="11" t="s">
        <v>15</v>
      </c>
      <c r="E5" s="12" t="s">
        <v>16</v>
      </c>
      <c r="F5" s="13" t="s">
        <v>17</v>
      </c>
      <c r="G5" s="13" t="s">
        <v>18</v>
      </c>
      <c r="H5" s="14" t="s">
        <v>19</v>
      </c>
      <c r="I5" s="14" t="s">
        <v>20</v>
      </c>
      <c r="J5" s="15" t="s">
        <v>21</v>
      </c>
      <c r="K5" s="15" t="s">
        <v>22</v>
      </c>
    </row>
    <row r="6" customFormat="false" ht="91.5" hidden="false" customHeight="true" outlineLevel="0" collapsed="false">
      <c r="A6" s="8" t="n">
        <v>2</v>
      </c>
      <c r="B6" s="9" t="s">
        <v>23</v>
      </c>
      <c r="C6" s="10" t="s">
        <v>24</v>
      </c>
      <c r="D6" s="11" t="s">
        <v>25</v>
      </c>
      <c r="E6" s="12" t="s">
        <v>26</v>
      </c>
      <c r="F6" s="13" t="s">
        <v>27</v>
      </c>
      <c r="G6" s="13" t="s">
        <v>28</v>
      </c>
      <c r="H6" s="14" t="s">
        <v>29</v>
      </c>
      <c r="I6" s="14" t="s">
        <v>30</v>
      </c>
      <c r="J6" s="15" t="s">
        <v>21</v>
      </c>
      <c r="K6" s="15" t="s">
        <v>22</v>
      </c>
    </row>
    <row r="7" customFormat="false" ht="91.5" hidden="false" customHeight="true" outlineLevel="0" collapsed="false">
      <c r="A7" s="8" t="n">
        <v>3</v>
      </c>
      <c r="B7" s="9" t="s">
        <v>31</v>
      </c>
      <c r="C7" s="10" t="s">
        <v>32</v>
      </c>
      <c r="D7" s="11" t="s">
        <v>33</v>
      </c>
      <c r="E7" s="12" t="s">
        <v>34</v>
      </c>
      <c r="F7" s="13" t="s">
        <v>35</v>
      </c>
      <c r="G7" s="13" t="s">
        <v>36</v>
      </c>
      <c r="H7" s="14" t="s">
        <v>37</v>
      </c>
      <c r="I7" s="14" t="s">
        <v>38</v>
      </c>
      <c r="J7" s="15" t="s">
        <v>21</v>
      </c>
      <c r="K7" s="15" t="s">
        <v>22</v>
      </c>
    </row>
    <row r="8" customFormat="false" ht="91.5" hidden="false" customHeight="true" outlineLevel="0" collapsed="false">
      <c r="A8" s="8" t="n">
        <v>4</v>
      </c>
      <c r="B8" s="9" t="s">
        <v>39</v>
      </c>
      <c r="C8" s="10" t="s">
        <v>40</v>
      </c>
      <c r="D8" s="11" t="s">
        <v>41</v>
      </c>
      <c r="E8" s="12" t="s">
        <v>42</v>
      </c>
      <c r="F8" s="13" t="s">
        <v>43</v>
      </c>
      <c r="G8" s="13" t="s">
        <v>44</v>
      </c>
      <c r="H8" s="14" t="s">
        <v>45</v>
      </c>
      <c r="I8" s="14" t="s">
        <v>46</v>
      </c>
      <c r="J8" s="15" t="s">
        <v>47</v>
      </c>
      <c r="K8" s="15" t="s">
        <v>22</v>
      </c>
    </row>
    <row r="9" customFormat="false" ht="91.5" hidden="false" customHeight="true" outlineLevel="0" collapsed="false">
      <c r="A9" s="8" t="n">
        <v>5</v>
      </c>
      <c r="B9" s="9" t="s">
        <v>48</v>
      </c>
      <c r="C9" s="10" t="s">
        <v>49</v>
      </c>
      <c r="D9" s="11" t="s">
        <v>50</v>
      </c>
      <c r="E9" s="12" t="s">
        <v>51</v>
      </c>
      <c r="F9" s="13" t="s">
        <v>52</v>
      </c>
      <c r="G9" s="13" t="s">
        <v>53</v>
      </c>
      <c r="H9" s="14" t="s">
        <v>54</v>
      </c>
      <c r="I9" s="14" t="s">
        <v>55</v>
      </c>
      <c r="J9" s="15" t="s">
        <v>47</v>
      </c>
      <c r="K9" s="15" t="s">
        <v>22</v>
      </c>
    </row>
    <row r="11" customFormat="false" ht="16.15" hidden="false" customHeight="false" outlineLevel="0" collapsed="false">
      <c r="A11" s="16" t="s">
        <v>56</v>
      </c>
    </row>
    <row r="12" customFormat="false" ht="15" hidden="false" customHeight="true" outlineLevel="0" collapsed="false">
      <c r="A12" s="7" t="s">
        <v>2</v>
      </c>
      <c r="B12" s="7" t="s">
        <v>57</v>
      </c>
      <c r="C12" s="7" t="s">
        <v>58</v>
      </c>
      <c r="D12" s="7"/>
      <c r="E12" s="7"/>
      <c r="F12" s="7"/>
      <c r="G12" s="7"/>
      <c r="H12" s="7" t="s">
        <v>59</v>
      </c>
      <c r="I12" s="7" t="s">
        <v>60</v>
      </c>
    </row>
    <row r="13" customFormat="false" ht="33.75" hidden="false" customHeight="true" outlineLevel="0" collapsed="false">
      <c r="A13" s="17" t="s">
        <v>61</v>
      </c>
      <c r="B13" s="18" t="s">
        <v>62</v>
      </c>
      <c r="C13" s="19" t="s">
        <v>63</v>
      </c>
      <c r="D13" s="19"/>
      <c r="E13" s="19"/>
      <c r="F13" s="19"/>
      <c r="G13" s="19"/>
      <c r="H13" s="19" t="s">
        <v>64</v>
      </c>
      <c r="I13" s="19" t="s">
        <v>65</v>
      </c>
    </row>
    <row r="14" customFormat="false" ht="33.75" hidden="false" customHeight="true" outlineLevel="0" collapsed="false">
      <c r="A14" s="17" t="s">
        <v>66</v>
      </c>
      <c r="B14" s="18" t="s">
        <v>67</v>
      </c>
      <c r="C14" s="19" t="s">
        <v>68</v>
      </c>
      <c r="D14" s="19"/>
      <c r="E14" s="19"/>
      <c r="F14" s="19"/>
      <c r="G14" s="19"/>
      <c r="H14" s="19" t="s">
        <v>69</v>
      </c>
      <c r="I14" s="19" t="s">
        <v>70</v>
      </c>
    </row>
    <row r="15" customFormat="false" ht="33.75" hidden="false" customHeight="true" outlineLevel="0" collapsed="false">
      <c r="A15" s="17" t="s">
        <v>71</v>
      </c>
      <c r="B15" s="18" t="s">
        <v>72</v>
      </c>
      <c r="C15" s="19" t="s">
        <v>73</v>
      </c>
      <c r="D15" s="19"/>
      <c r="E15" s="19"/>
      <c r="F15" s="19"/>
      <c r="G15" s="19"/>
      <c r="H15" s="19" t="s">
        <v>74</v>
      </c>
      <c r="I15" s="19" t="s">
        <v>75</v>
      </c>
    </row>
    <row r="17" customFormat="false" ht="27.75" hidden="false" customHeight="true" outlineLevel="0" collapsed="false">
      <c r="A17" s="20" t="s">
        <v>76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</row>
  </sheetData>
  <mergeCells count="7">
    <mergeCell ref="A1:K1"/>
    <mergeCell ref="A2:K2"/>
    <mergeCell ref="C12:G12"/>
    <mergeCell ref="C13:G13"/>
    <mergeCell ref="C14:G14"/>
    <mergeCell ref="C15:G15"/>
    <mergeCell ref="A17:K17"/>
  </mergeCells>
  <conditionalFormatting sqref="J5:J9">
    <cfRule type="cellIs" priority="2" operator="equal" aboveAverage="0" equalAverage="0" bottom="0" percent="0" rank="0" text="" dxfId="0">
      <formula>"Wysoki"</formula>
    </cfRule>
  </conditionalFormatting>
  <conditionalFormatting sqref="K5:K9">
    <cfRule type="cellIs" priority="3" operator="equal" aboveAverage="0" equalAverage="0" bottom="0" percent="0" rank="0" text="" dxfId="1">
      <formula>"Zrobione"</formula>
    </cfRule>
    <cfRule type="cellIs" priority="4" operator="equal" aboveAverage="0" equalAverage="0" bottom="0" percent="0" rank="0" text="" dxfId="2">
      <formula>"W toku"</formula>
    </cfRule>
  </conditionalFormatting>
  <dataValidations count="2">
    <dataValidation allowBlank="true" errorStyle="stop" operator="between" showDropDown="false" showErrorMessage="false" showInputMessage="false" sqref="J5:J9" type="list">
      <formula1>"Wysoki,Średni,Niski"</formula1>
      <formula2>0</formula2>
    </dataValidation>
    <dataValidation allowBlank="true" errorStyle="stop" operator="between" showDropDown="false" showErrorMessage="false" showInputMessage="false" sqref="K5:K9" type="list">
      <formula1>"Do decyzji,W toku,Zrobione,Wstrzymane"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21" t="s">
        <v>77</v>
      </c>
    </row>
    <row r="2" customFormat="false" ht="15" hidden="false" customHeight="false" outlineLevel="0" collapsed="false">
      <c r="A2" s="22" t="s">
        <v>78</v>
      </c>
    </row>
    <row r="4" customFormat="false" ht="15" hidden="false" customHeight="false" outlineLevel="0" collapsed="false">
      <c r="A4" s="23" t="s">
        <v>79</v>
      </c>
    </row>
    <row r="5" customFormat="false" ht="15" hidden="false" customHeight="false" outlineLevel="0" collapsed="false">
      <c r="A5" s="24" t="s">
        <v>80</v>
      </c>
      <c r="B5" s="24" t="s">
        <v>81</v>
      </c>
      <c r="C5" s="24" t="s">
        <v>82</v>
      </c>
      <c r="D5" s="24" t="s">
        <v>83</v>
      </c>
    </row>
    <row r="6" customFormat="false" ht="15" hidden="false" customHeight="false" outlineLevel="0" collapsed="false">
      <c r="A6" s="25" t="s">
        <v>84</v>
      </c>
      <c r="B6" s="26" t="n">
        <v>590</v>
      </c>
      <c r="C6" s="25" t="s">
        <v>85</v>
      </c>
      <c r="D6" s="25" t="s">
        <v>86</v>
      </c>
    </row>
    <row r="7" customFormat="false" ht="15" hidden="false" customHeight="false" outlineLevel="0" collapsed="false">
      <c r="A7" s="25" t="s">
        <v>87</v>
      </c>
      <c r="B7" s="27" t="n">
        <v>0.45</v>
      </c>
      <c r="C7" s="25" t="s">
        <v>88</v>
      </c>
      <c r="D7" s="25" t="s">
        <v>89</v>
      </c>
    </row>
    <row r="8" customFormat="false" ht="15" hidden="false" customHeight="false" outlineLevel="0" collapsed="false">
      <c r="A8" s="25" t="s">
        <v>90</v>
      </c>
      <c r="B8" s="27" t="n">
        <v>0.6</v>
      </c>
      <c r="C8" s="25" t="s">
        <v>88</v>
      </c>
      <c r="D8" s="25" t="s">
        <v>89</v>
      </c>
    </row>
    <row r="9" customFormat="false" ht="15" hidden="false" customHeight="false" outlineLevel="0" collapsed="false">
      <c r="A9" s="25" t="s">
        <v>91</v>
      </c>
      <c r="B9" s="28" t="n">
        <f aca="false">(B8-B7)*100</f>
        <v>15</v>
      </c>
      <c r="C9" s="25" t="s">
        <v>92</v>
      </c>
      <c r="D9" s="25" t="s">
        <v>93</v>
      </c>
    </row>
    <row r="10" customFormat="false" ht="15" hidden="false" customHeight="false" outlineLevel="0" collapsed="false">
      <c r="A10" s="29" t="s">
        <v>94</v>
      </c>
      <c r="B10" s="30" t="n">
        <f aca="false">IF(B9=0,0,B6/B9)</f>
        <v>39.3333333333333</v>
      </c>
      <c r="C10" s="29" t="s">
        <v>85</v>
      </c>
      <c r="D10" s="29" t="s">
        <v>95</v>
      </c>
    </row>
    <row r="11" customFormat="false" ht="15" hidden="false" customHeight="false" outlineLevel="0" collapsed="false">
      <c r="A11" s="25" t="s">
        <v>96</v>
      </c>
      <c r="B11" s="26" t="n">
        <v>190</v>
      </c>
      <c r="C11" s="25" t="s">
        <v>85</v>
      </c>
      <c r="D11" s="25" t="s">
        <v>97</v>
      </c>
    </row>
    <row r="12" customFormat="false" ht="15" hidden="false" customHeight="false" outlineLevel="0" collapsed="false">
      <c r="A12" s="29" t="s">
        <v>98</v>
      </c>
      <c r="B12" s="31" t="n">
        <f aca="false">B11/((0.6-0.42)*100)</f>
        <v>10.5555555555556</v>
      </c>
      <c r="C12" s="29" t="s">
        <v>85</v>
      </c>
      <c r="D12" s="29" t="s">
        <v>99</v>
      </c>
    </row>
    <row r="14" customFormat="false" ht="15" hidden="false" customHeight="false" outlineLevel="0" collapsed="false">
      <c r="A14" s="23" t="s">
        <v>100</v>
      </c>
    </row>
    <row r="15" customFormat="false" ht="15" hidden="false" customHeight="false" outlineLevel="0" collapsed="false">
      <c r="A15" s="24" t="s">
        <v>80</v>
      </c>
      <c r="B15" s="24" t="s">
        <v>81</v>
      </c>
      <c r="C15" s="24" t="s">
        <v>82</v>
      </c>
      <c r="D15" s="24" t="s">
        <v>83</v>
      </c>
    </row>
    <row r="16" customFormat="false" ht="15" hidden="false" customHeight="false" outlineLevel="0" collapsed="false">
      <c r="A16" s="25" t="s">
        <v>101</v>
      </c>
      <c r="B16" s="32" t="n">
        <v>2.93</v>
      </c>
      <c r="C16" s="25" t="s">
        <v>102</v>
      </c>
      <c r="D16" s="25" t="s">
        <v>103</v>
      </c>
    </row>
    <row r="17" customFormat="false" ht="15" hidden="false" customHeight="false" outlineLevel="0" collapsed="false">
      <c r="A17" s="25" t="s">
        <v>104</v>
      </c>
      <c r="B17" s="27" t="n">
        <v>0.7</v>
      </c>
      <c r="C17" s="25" t="s">
        <v>88</v>
      </c>
      <c r="D17" s="25" t="s">
        <v>105</v>
      </c>
    </row>
    <row r="18" customFormat="false" ht="15" hidden="false" customHeight="false" outlineLevel="0" collapsed="false">
      <c r="A18" s="25" t="s">
        <v>106</v>
      </c>
      <c r="B18" s="33" t="n">
        <f aca="false">B16*B17</f>
        <v>2.051</v>
      </c>
      <c r="C18" s="25" t="s">
        <v>102</v>
      </c>
      <c r="D18" s="25" t="s">
        <v>93</v>
      </c>
    </row>
    <row r="19" customFormat="false" ht="15" hidden="false" customHeight="false" outlineLevel="0" collapsed="false">
      <c r="A19" s="25" t="s">
        <v>107</v>
      </c>
      <c r="B19" s="26" t="n">
        <v>40</v>
      </c>
      <c r="C19" s="25" t="s">
        <v>108</v>
      </c>
      <c r="D19" s="25" t="s">
        <v>109</v>
      </c>
    </row>
    <row r="20" customFormat="false" ht="15" hidden="false" customHeight="false" outlineLevel="0" collapsed="false">
      <c r="A20" s="25" t="s">
        <v>110</v>
      </c>
      <c r="B20" s="27" t="n">
        <v>0.95</v>
      </c>
      <c r="C20" s="25" t="s">
        <v>88</v>
      </c>
      <c r="D20" s="25" t="s">
        <v>111</v>
      </c>
    </row>
    <row r="21" customFormat="false" ht="23.85" hidden="false" customHeight="false" outlineLevel="0" collapsed="false">
      <c r="A21" s="29" t="s">
        <v>112</v>
      </c>
      <c r="B21" s="30" t="n">
        <f aca="false">B18*B19*B20</f>
        <v>77.938</v>
      </c>
      <c r="C21" s="29" t="s">
        <v>85</v>
      </c>
      <c r="D21" s="29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60"/>
  </cols>
  <sheetData>
    <row r="1" customFormat="false" ht="17.35" hidden="false" customHeight="false" outlineLevel="0" collapsed="false">
      <c r="A1" s="21" t="s">
        <v>114</v>
      </c>
    </row>
    <row r="3" customFormat="false" ht="15" hidden="false" customHeight="false" outlineLevel="0" collapsed="false">
      <c r="A3" s="34" t="s">
        <v>115</v>
      </c>
      <c r="B3" s="34" t="s">
        <v>116</v>
      </c>
      <c r="C3" s="34" t="s">
        <v>117</v>
      </c>
    </row>
    <row r="4" customFormat="false" ht="30" hidden="false" customHeight="true" outlineLevel="0" collapsed="false">
      <c r="A4" s="35" t="s">
        <v>118</v>
      </c>
      <c r="B4" s="36" t="s">
        <v>119</v>
      </c>
      <c r="C4" s="36" t="s">
        <v>120</v>
      </c>
    </row>
    <row r="5" customFormat="false" ht="30" hidden="false" customHeight="true" outlineLevel="0" collapsed="false">
      <c r="A5" s="35" t="s">
        <v>121</v>
      </c>
      <c r="B5" s="36" t="s">
        <v>122</v>
      </c>
      <c r="C5" s="36" t="s">
        <v>123</v>
      </c>
    </row>
    <row r="6" customFormat="false" ht="30" hidden="false" customHeight="true" outlineLevel="0" collapsed="false">
      <c r="A6" s="35" t="s">
        <v>124</v>
      </c>
      <c r="B6" s="36" t="s">
        <v>125</v>
      </c>
      <c r="C6" s="36" t="s">
        <v>126</v>
      </c>
    </row>
    <row r="7" customFormat="false" ht="30" hidden="false" customHeight="true" outlineLevel="0" collapsed="false">
      <c r="A7" s="35" t="s">
        <v>127</v>
      </c>
      <c r="B7" s="36" t="s">
        <v>128</v>
      </c>
      <c r="C7" s="36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2026-10-06T12:51:50Z</dcterms:created>
  <dc:creator>openpyxl</dc:creator>
  <dc:description/>
  <dc:language>en-US</dc:language>
  <cp:lastModifiedBy/>
  <dcterms:modified xsi:type="dcterms:W3CDTF">2026-10-06T12:51:50Z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